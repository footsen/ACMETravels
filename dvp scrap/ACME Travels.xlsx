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ACMETravels\"/>
    </mc:Choice>
  </mc:AlternateContent>
  <xr:revisionPtr revIDLastSave="0" documentId="13_ncr:1_{1BAEE2C5-5615-4DB2-975A-E6A269B11F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ntry or Territory" sheetId="1" r:id="rId1"/>
    <sheet name="with years" sheetId="14" r:id="rId2"/>
    <sheet name="U.S. States" sheetId="11" r:id="rId3"/>
    <sheet name="fusion" sheetId="10" r:id="rId4"/>
    <sheet name="Sovereign &amp; Non-Sovereign" sheetId="7" r:id="rId5"/>
    <sheet name="country codes" sheetId="8" r:id="rId6"/>
    <sheet name="geojson fields" sheetId="16" r:id="rId7"/>
    <sheet name="ISO 3166-2" sheetId="15" r:id="rId8"/>
    <sheet name="latlong" sheetId="9" r:id="rId9"/>
    <sheet name="Sheet1" sheetId="12" r:id="rId10"/>
    <sheet name="Sheet2" sheetId="13" r:id="rId11"/>
  </sheets>
  <definedNames>
    <definedName name="_xlnm._FilterDatabase" localSheetId="6" hidden="1">'geojson fields'!$D$1:$FL$261</definedName>
    <definedName name="ExternalData_1" localSheetId="7" hidden="1">'ISO 3166-2'!$A$1:$E$5048</definedName>
  </definedNames>
  <calcPr calcId="181029"/>
  <pivotCaches>
    <pivotCache cacheId="1" r:id="rId12"/>
  </pivotCaches>
</workbook>
</file>

<file path=xl/calcChain.xml><?xml version="1.0" encoding="utf-8"?>
<calcChain xmlns="http://schemas.openxmlformats.org/spreadsheetml/2006/main">
  <c r="A59" i="1" l="1"/>
  <c r="A54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5" i="1"/>
  <c r="A56" i="1"/>
  <c r="A57" i="1"/>
  <c r="A58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7" i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6" i="8"/>
  <c r="D37" i="8"/>
  <c r="D38" i="8"/>
  <c r="D39" i="8"/>
  <c r="D41" i="8"/>
  <c r="D42" i="8"/>
  <c r="D43" i="8"/>
  <c r="D40" i="8"/>
  <c r="D44" i="8"/>
  <c r="D45" i="8"/>
  <c r="D46" i="8"/>
  <c r="D47" i="8"/>
  <c r="D48" i="8"/>
  <c r="D49" i="8"/>
  <c r="D50" i="8"/>
  <c r="D51" i="8"/>
  <c r="D52" i="8"/>
  <c r="D53" i="8"/>
  <c r="D186" i="8"/>
  <c r="D62" i="8"/>
  <c r="D54" i="8"/>
  <c r="D55" i="8"/>
  <c r="D57" i="8"/>
  <c r="D58" i="8"/>
  <c r="D59" i="8"/>
  <c r="D60" i="8"/>
  <c r="D61" i="8"/>
  <c r="D56" i="8"/>
  <c r="D63" i="8"/>
  <c r="D64" i="8"/>
  <c r="D65" i="8"/>
  <c r="D66" i="8"/>
  <c r="D67" i="8"/>
  <c r="D68" i="8"/>
  <c r="D69" i="8"/>
  <c r="D70" i="8"/>
  <c r="D71" i="8"/>
  <c r="D72" i="8"/>
  <c r="D74" i="8"/>
  <c r="D75" i="8"/>
  <c r="D76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246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68" i="8"/>
  <c r="D213" i="8"/>
  <c r="D122" i="8"/>
  <c r="D123" i="8"/>
  <c r="D125" i="8"/>
  <c r="D126" i="8"/>
  <c r="D127" i="8"/>
  <c r="D128" i="8"/>
  <c r="D129" i="8"/>
  <c r="D130" i="8"/>
  <c r="D131" i="8"/>
  <c r="D132" i="8"/>
  <c r="D133" i="8"/>
  <c r="D134" i="8"/>
  <c r="D169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77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7" i="8"/>
  <c r="D188" i="8"/>
  <c r="D189" i="8"/>
  <c r="D124" i="8"/>
  <c r="D196" i="8"/>
  <c r="D190" i="8"/>
  <c r="D191" i="8"/>
  <c r="D192" i="8"/>
  <c r="D193" i="8"/>
  <c r="D194" i="8"/>
  <c r="D195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4" i="8"/>
  <c r="D215" i="8"/>
  <c r="D216" i="8"/>
  <c r="D217" i="8"/>
  <c r="D218" i="8"/>
  <c r="D73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8" i="8"/>
  <c r="D239" i="8"/>
  <c r="D240" i="8"/>
  <c r="D241" i="8"/>
  <c r="D242" i="8"/>
  <c r="D236" i="8"/>
  <c r="D243" i="8"/>
  <c r="D244" i="8"/>
  <c r="D245" i="8"/>
  <c r="D247" i="8"/>
  <c r="D248" i="8"/>
  <c r="D35" i="8"/>
  <c r="D237" i="8"/>
  <c r="D249" i="8"/>
  <c r="D250" i="8"/>
  <c r="D251" i="8"/>
  <c r="D252" i="8"/>
  <c r="D253" i="8"/>
  <c r="D3" i="8"/>
  <c r="D121" i="8"/>
  <c r="D2" i="8"/>
  <c r="E4" i="1"/>
  <c r="F4" i="1"/>
  <c r="G4" i="1"/>
  <c r="D4" i="1"/>
  <c r="G3" i="1"/>
  <c r="F3" i="1"/>
  <c r="E3" i="1"/>
  <c r="D3" i="1"/>
  <c r="F15" i="8"/>
  <c r="F16" i="8"/>
  <c r="F17" i="8"/>
  <c r="F18" i="8"/>
  <c r="F19" i="8"/>
  <c r="F20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6" i="8"/>
  <c r="F37" i="8"/>
  <c r="F38" i="8"/>
  <c r="F39" i="8"/>
  <c r="F41" i="8"/>
  <c r="F42" i="8"/>
  <c r="F43" i="8"/>
  <c r="F40" i="8"/>
  <c r="F44" i="8"/>
  <c r="F45" i="8"/>
  <c r="F46" i="8"/>
  <c r="F47" i="8"/>
  <c r="F48" i="8"/>
  <c r="F49" i="8"/>
  <c r="F50" i="8"/>
  <c r="F52" i="8"/>
  <c r="F53" i="8"/>
  <c r="F186" i="8"/>
  <c r="F62" i="8"/>
  <c r="F54" i="8"/>
  <c r="F55" i="8"/>
  <c r="F57" i="8"/>
  <c r="F58" i="8"/>
  <c r="F59" i="8"/>
  <c r="F60" i="8"/>
  <c r="F61" i="8"/>
  <c r="F56" i="8"/>
  <c r="F63" i="8"/>
  <c r="F64" i="8"/>
  <c r="F65" i="8"/>
  <c r="F66" i="8"/>
  <c r="F67" i="8"/>
  <c r="F68" i="8"/>
  <c r="F69" i="8"/>
  <c r="F70" i="8"/>
  <c r="F71" i="8"/>
  <c r="F72" i="8"/>
  <c r="F74" i="8"/>
  <c r="F75" i="8"/>
  <c r="F76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246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68" i="8"/>
  <c r="F213" i="8"/>
  <c r="F122" i="8"/>
  <c r="F123" i="8"/>
  <c r="F125" i="8"/>
  <c r="F126" i="8"/>
  <c r="F127" i="8"/>
  <c r="F128" i="8"/>
  <c r="F129" i="8"/>
  <c r="F130" i="8"/>
  <c r="F131" i="8"/>
  <c r="F132" i="8"/>
  <c r="F133" i="8"/>
  <c r="F134" i="8"/>
  <c r="F169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77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7" i="8"/>
  <c r="F188" i="8"/>
  <c r="F189" i="8"/>
  <c r="F124" i="8"/>
  <c r="F196" i="8"/>
  <c r="F190" i="8"/>
  <c r="F191" i="8"/>
  <c r="F192" i="8"/>
  <c r="F193" i="8"/>
  <c r="F194" i="8"/>
  <c r="F195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4" i="8"/>
  <c r="F215" i="8"/>
  <c r="F216" i="8"/>
  <c r="F217" i="8"/>
  <c r="F218" i="8"/>
  <c r="F73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8" i="8"/>
  <c r="F239" i="8"/>
  <c r="F240" i="8"/>
  <c r="F241" i="8"/>
  <c r="F242" i="8"/>
  <c r="F236" i="8"/>
  <c r="F243" i="8"/>
  <c r="F244" i="8"/>
  <c r="F245" i="8"/>
  <c r="F247" i="8"/>
  <c r="F248" i="8"/>
  <c r="F35" i="8"/>
  <c r="F237" i="8"/>
  <c r="F249" i="8"/>
  <c r="F250" i="8"/>
  <c r="F251" i="8"/>
  <c r="F252" i="8"/>
  <c r="F253" i="8"/>
  <c r="F3" i="8"/>
  <c r="F121" i="8"/>
  <c r="F4" i="8"/>
  <c r="F5" i="8"/>
  <c r="F6" i="8"/>
  <c r="F7" i="8"/>
  <c r="F8" i="8"/>
  <c r="F9" i="8"/>
  <c r="F10" i="8"/>
  <c r="F11" i="8"/>
  <c r="F12" i="8"/>
  <c r="F13" i="8"/>
  <c r="F14" i="8"/>
  <c r="F2" i="8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1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8" i="14"/>
  <c r="A127" i="14"/>
  <c r="A126" i="14"/>
  <c r="A125" i="14"/>
  <c r="A124" i="14"/>
  <c r="A123" i="14"/>
  <c r="A122" i="14"/>
  <c r="A121" i="14"/>
  <c r="A120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7" i="14"/>
  <c r="A96" i="14"/>
  <c r="A95" i="14"/>
  <c r="A94" i="14"/>
  <c r="A93" i="14"/>
  <c r="A92" i="14"/>
  <c r="A91" i="14"/>
  <c r="A89" i="14"/>
  <c r="A88" i="14"/>
  <c r="A87" i="14"/>
  <c r="A86" i="14"/>
  <c r="A85" i="14"/>
  <c r="A84" i="14"/>
  <c r="A83" i="14"/>
  <c r="A81" i="14"/>
  <c r="A80" i="14"/>
  <c r="A79" i="14"/>
  <c r="A77" i="14"/>
  <c r="A76" i="14"/>
  <c r="A75" i="14"/>
  <c r="A74" i="14"/>
  <c r="A72" i="14"/>
  <c r="A71" i="14"/>
  <c r="A70" i="14"/>
  <c r="A69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5" i="14"/>
  <c r="A24" i="14"/>
  <c r="A23" i="14"/>
  <c r="A22" i="14"/>
  <c r="A21" i="14"/>
  <c r="A20" i="14"/>
  <c r="A19" i="14"/>
  <c r="A18" i="14"/>
  <c r="A17" i="14"/>
  <c r="A16" i="14"/>
  <c r="A14" i="14"/>
  <c r="A13" i="14"/>
  <c r="A12" i="14"/>
  <c r="A11" i="14"/>
  <c r="A10" i="14"/>
  <c r="A9" i="14"/>
  <c r="A8" i="14"/>
  <c r="A7" i="14"/>
  <c r="G4" i="14"/>
  <c r="F4" i="14"/>
  <c r="E4" i="14"/>
  <c r="D4" i="14"/>
  <c r="G3" i="14"/>
  <c r="F3" i="14"/>
  <c r="E3" i="14"/>
  <c r="D3" i="14"/>
  <c r="D220" i="13"/>
  <c r="E218" i="13"/>
  <c r="I5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59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6" i="13"/>
  <c r="A125" i="13"/>
  <c r="A124" i="13"/>
  <c r="A123" i="13"/>
  <c r="A122" i="13"/>
  <c r="A121" i="13"/>
  <c r="A119" i="13"/>
  <c r="A118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5" i="13"/>
  <c r="A94" i="13"/>
  <c r="A93" i="13"/>
  <c r="A92" i="13"/>
  <c r="A91" i="13"/>
  <c r="A90" i="13"/>
  <c r="A89" i="13"/>
  <c r="A87" i="13"/>
  <c r="A86" i="13"/>
  <c r="A85" i="13"/>
  <c r="A84" i="13"/>
  <c r="A83" i="13"/>
  <c r="A82" i="13"/>
  <c r="A81" i="13"/>
  <c r="A79" i="13"/>
  <c r="A77" i="13"/>
  <c r="A75" i="13"/>
  <c r="A74" i="13"/>
  <c r="A73" i="13"/>
  <c r="A72" i="13"/>
  <c r="A70" i="13"/>
  <c r="A69" i="13"/>
  <c r="A68" i="13"/>
  <c r="A67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3" i="13"/>
  <c r="A22" i="13"/>
  <c r="A21" i="13"/>
  <c r="A20" i="13"/>
  <c r="A19" i="13"/>
  <c r="A18" i="13"/>
  <c r="A17" i="13"/>
  <c r="A16" i="13"/>
  <c r="A15" i="13"/>
  <c r="A14" i="13"/>
  <c r="A12" i="13"/>
  <c r="A11" i="13"/>
  <c r="A10" i="13"/>
  <c r="A9" i="13"/>
  <c r="A8" i="13"/>
  <c r="A7" i="13"/>
  <c r="A6" i="13"/>
  <c r="A5" i="13"/>
  <c r="D2" i="11"/>
  <c r="C2" i="11"/>
  <c r="G198" i="10"/>
  <c r="H198" i="10"/>
  <c r="G2" i="10"/>
  <c r="H2" i="10"/>
  <c r="G3" i="10"/>
  <c r="H3" i="10"/>
  <c r="G4" i="10"/>
  <c r="H4" i="10"/>
  <c r="G5" i="10"/>
  <c r="H5" i="10"/>
  <c r="G6" i="10"/>
  <c r="H6" i="10"/>
  <c r="G7" i="10"/>
  <c r="H7" i="10"/>
  <c r="G9" i="10"/>
  <c r="H9" i="10"/>
  <c r="G12" i="10"/>
  <c r="H12" i="10"/>
  <c r="G14" i="10"/>
  <c r="H14" i="10"/>
  <c r="G15" i="10"/>
  <c r="H15" i="10"/>
  <c r="G16" i="10"/>
  <c r="H16" i="10"/>
  <c r="G17" i="10"/>
  <c r="H17" i="10"/>
  <c r="G20" i="10"/>
  <c r="H20" i="10"/>
  <c r="G21" i="10"/>
  <c r="H21" i="10"/>
  <c r="G23" i="10"/>
  <c r="H23" i="10"/>
  <c r="G26" i="10"/>
  <c r="H26" i="10"/>
  <c r="G27" i="10"/>
  <c r="H27" i="10"/>
  <c r="G31" i="10"/>
  <c r="H31" i="10"/>
  <c r="G35" i="10"/>
  <c r="H35" i="10"/>
  <c r="G36" i="10"/>
  <c r="H36" i="10"/>
  <c r="G40" i="10"/>
  <c r="H40" i="10"/>
  <c r="G45" i="10"/>
  <c r="H45" i="10"/>
  <c r="G46" i="10"/>
  <c r="H46" i="10"/>
  <c r="G47" i="10"/>
  <c r="H47" i="10"/>
  <c r="G48" i="10"/>
  <c r="H48" i="10"/>
  <c r="G49" i="10"/>
  <c r="H49" i="10"/>
  <c r="G50" i="10"/>
  <c r="H50" i="10"/>
  <c r="G53" i="10"/>
  <c r="H53" i="10"/>
  <c r="G57" i="10"/>
  <c r="H57" i="10"/>
  <c r="G58" i="10"/>
  <c r="H58" i="10"/>
  <c r="G59" i="10"/>
  <c r="H59" i="10"/>
  <c r="G61" i="10"/>
  <c r="H61" i="10"/>
  <c r="G65" i="10"/>
  <c r="H65" i="10"/>
  <c r="G67" i="10"/>
  <c r="H67" i="10"/>
  <c r="G69" i="10"/>
  <c r="H69" i="10"/>
  <c r="G71" i="10"/>
  <c r="H71" i="10"/>
  <c r="G73" i="10"/>
  <c r="H73" i="10"/>
  <c r="G77" i="10"/>
  <c r="H77" i="10"/>
  <c r="G78" i="10"/>
  <c r="H78" i="10"/>
  <c r="G80" i="10"/>
  <c r="H80" i="10"/>
  <c r="G81" i="10"/>
  <c r="H81" i="10"/>
  <c r="G82" i="10"/>
  <c r="H82" i="10"/>
  <c r="G83" i="10"/>
  <c r="H83" i="10"/>
  <c r="G89" i="10"/>
  <c r="H89" i="10"/>
  <c r="G91" i="10"/>
  <c r="H91" i="10"/>
  <c r="G92" i="10"/>
  <c r="H92" i="10"/>
  <c r="G94" i="10"/>
  <c r="H94" i="10"/>
  <c r="G95" i="10"/>
  <c r="H95" i="10"/>
  <c r="G96" i="10"/>
  <c r="H96" i="10"/>
  <c r="G98" i="10"/>
  <c r="H98" i="10"/>
  <c r="G99" i="10"/>
  <c r="H99" i="10"/>
  <c r="G101" i="10"/>
  <c r="H101" i="10"/>
  <c r="G102" i="10"/>
  <c r="H102" i="10"/>
  <c r="G104" i="10"/>
  <c r="H104" i="10"/>
  <c r="G106" i="10"/>
  <c r="H106" i="10"/>
  <c r="G109" i="10"/>
  <c r="H109" i="10"/>
  <c r="G112" i="10"/>
  <c r="H112" i="10"/>
  <c r="G113" i="10"/>
  <c r="H113" i="10"/>
  <c r="G114" i="10"/>
  <c r="H114" i="10"/>
  <c r="G117" i="10"/>
  <c r="H117" i="10"/>
  <c r="G118" i="10"/>
  <c r="H118" i="10"/>
  <c r="G119" i="10"/>
  <c r="H119" i="10"/>
  <c r="G121" i="10"/>
  <c r="H121" i="10"/>
  <c r="G122" i="10"/>
  <c r="H122" i="10"/>
  <c r="G125" i="10"/>
  <c r="H125" i="10"/>
  <c r="G130" i="10"/>
  <c r="H130" i="10"/>
  <c r="G131" i="10"/>
  <c r="H131" i="10"/>
  <c r="G132" i="10"/>
  <c r="H132" i="10"/>
  <c r="G134" i="10"/>
  <c r="H134" i="10"/>
  <c r="G135" i="10"/>
  <c r="H135" i="10"/>
  <c r="G137" i="10"/>
  <c r="H137" i="10"/>
  <c r="G141" i="10"/>
  <c r="H141" i="10"/>
  <c r="G144" i="10"/>
  <c r="H144" i="10"/>
  <c r="G145" i="10"/>
  <c r="H145" i="10"/>
  <c r="G147" i="10"/>
  <c r="H147" i="10"/>
  <c r="G148" i="10"/>
  <c r="H148" i="10"/>
  <c r="G149" i="10"/>
  <c r="H149" i="10"/>
  <c r="G150" i="10"/>
  <c r="H150" i="10"/>
  <c r="G151" i="10"/>
  <c r="H151" i="10"/>
  <c r="G152" i="10"/>
  <c r="H152" i="10"/>
  <c r="G153" i="10"/>
  <c r="H153" i="10"/>
  <c r="G155" i="10"/>
  <c r="H155" i="10"/>
  <c r="G159" i="10"/>
  <c r="H159" i="10"/>
  <c r="G160" i="10"/>
  <c r="H160" i="10"/>
  <c r="G161" i="10"/>
  <c r="H161" i="10"/>
  <c r="G162" i="10"/>
  <c r="H162" i="10"/>
  <c r="G164" i="10"/>
  <c r="H164" i="10"/>
  <c r="G167" i="10"/>
  <c r="H167" i="10"/>
  <c r="G168" i="10"/>
  <c r="H168" i="10"/>
  <c r="G170" i="10"/>
  <c r="H170" i="10"/>
  <c r="G172" i="10"/>
  <c r="H172" i="10"/>
  <c r="G173" i="10"/>
  <c r="H173" i="10"/>
  <c r="G176" i="10"/>
  <c r="H176" i="10"/>
  <c r="G177" i="10"/>
  <c r="H177" i="10"/>
  <c r="G178" i="10"/>
  <c r="H178" i="10"/>
  <c r="G179" i="10"/>
  <c r="H179" i="10"/>
  <c r="G181" i="10"/>
  <c r="H181" i="10"/>
  <c r="G182" i="10"/>
  <c r="H182" i="10"/>
  <c r="G183" i="10"/>
  <c r="H183" i="10"/>
  <c r="G185" i="10"/>
  <c r="H185" i="10"/>
  <c r="G190" i="10"/>
  <c r="H190" i="10"/>
  <c r="G191" i="10"/>
  <c r="H191" i="10"/>
  <c r="G197" i="10"/>
  <c r="H197" i="10"/>
  <c r="G8" i="10"/>
  <c r="H8" i="10"/>
  <c r="G10" i="10"/>
  <c r="H10" i="10"/>
  <c r="G11" i="10"/>
  <c r="H11" i="10"/>
  <c r="G13" i="10"/>
  <c r="H13" i="10"/>
  <c r="G18" i="10"/>
  <c r="H18" i="10"/>
  <c r="G19" i="10"/>
  <c r="H19" i="10"/>
  <c r="G22" i="10"/>
  <c r="H22" i="10"/>
  <c r="G24" i="10"/>
  <c r="H24" i="10"/>
  <c r="G25" i="10"/>
  <c r="H25" i="10"/>
  <c r="G28" i="10"/>
  <c r="H28" i="10"/>
  <c r="G29" i="10"/>
  <c r="H29" i="10"/>
  <c r="G30" i="10"/>
  <c r="H30" i="10"/>
  <c r="G32" i="10"/>
  <c r="H32" i="10"/>
  <c r="G33" i="10"/>
  <c r="H33" i="10"/>
  <c r="G34" i="10"/>
  <c r="H34" i="10"/>
  <c r="G37" i="10"/>
  <c r="H37" i="10"/>
  <c r="G38" i="10"/>
  <c r="H38" i="10"/>
  <c r="G39" i="10"/>
  <c r="H39" i="10"/>
  <c r="G41" i="10"/>
  <c r="H41" i="10"/>
  <c r="G42" i="10"/>
  <c r="H42" i="10"/>
  <c r="G43" i="10"/>
  <c r="H43" i="10"/>
  <c r="G44" i="10"/>
  <c r="H44" i="10"/>
  <c r="G51" i="10"/>
  <c r="H51" i="10"/>
  <c r="G52" i="10"/>
  <c r="H52" i="10"/>
  <c r="G54" i="10"/>
  <c r="H54" i="10"/>
  <c r="G55" i="10"/>
  <c r="H55" i="10"/>
  <c r="G56" i="10"/>
  <c r="H56" i="10"/>
  <c r="G60" i="10"/>
  <c r="H60" i="10"/>
  <c r="G62" i="10"/>
  <c r="H62" i="10"/>
  <c r="G63" i="10"/>
  <c r="H63" i="10"/>
  <c r="G64" i="10"/>
  <c r="H64" i="10"/>
  <c r="G66" i="10"/>
  <c r="H66" i="10"/>
  <c r="G68" i="10"/>
  <c r="H68" i="10"/>
  <c r="G70" i="10"/>
  <c r="H70" i="10"/>
  <c r="G72" i="10"/>
  <c r="H72" i="10"/>
  <c r="G74" i="10"/>
  <c r="H74" i="10"/>
  <c r="G75" i="10"/>
  <c r="H75" i="10"/>
  <c r="G76" i="10"/>
  <c r="H76" i="10"/>
  <c r="G79" i="10"/>
  <c r="H79" i="10"/>
  <c r="G84" i="10"/>
  <c r="H84" i="10"/>
  <c r="G85" i="10"/>
  <c r="H85" i="10"/>
  <c r="G86" i="10"/>
  <c r="H86" i="10"/>
  <c r="G87" i="10"/>
  <c r="H87" i="10"/>
  <c r="G88" i="10"/>
  <c r="H88" i="10"/>
  <c r="G90" i="10"/>
  <c r="H90" i="10"/>
  <c r="G93" i="10"/>
  <c r="H93" i="10"/>
  <c r="G97" i="10"/>
  <c r="H97" i="10"/>
  <c r="G100" i="10"/>
  <c r="H100" i="10"/>
  <c r="G103" i="10"/>
  <c r="H103" i="10"/>
  <c r="G105" i="10"/>
  <c r="H105" i="10"/>
  <c r="G107" i="10"/>
  <c r="H107" i="10"/>
  <c r="G108" i="10"/>
  <c r="H108" i="10"/>
  <c r="G110" i="10"/>
  <c r="H110" i="10"/>
  <c r="G111" i="10"/>
  <c r="H111" i="10"/>
  <c r="G115" i="10"/>
  <c r="H115" i="10"/>
  <c r="G116" i="10"/>
  <c r="H116" i="10"/>
  <c r="G120" i="10"/>
  <c r="H120" i="10"/>
  <c r="G123" i="10"/>
  <c r="H123" i="10"/>
  <c r="G124" i="10"/>
  <c r="H124" i="10"/>
  <c r="G126" i="10"/>
  <c r="H126" i="10"/>
  <c r="G127" i="10"/>
  <c r="H127" i="10"/>
  <c r="G128" i="10"/>
  <c r="H128" i="10"/>
  <c r="G129" i="10"/>
  <c r="H129" i="10"/>
  <c r="G133" i="10"/>
  <c r="H133" i="10"/>
  <c r="G136" i="10"/>
  <c r="H136" i="10"/>
  <c r="G138" i="10"/>
  <c r="H138" i="10"/>
  <c r="G139" i="10"/>
  <c r="H139" i="10"/>
  <c r="G140" i="10"/>
  <c r="H140" i="10"/>
  <c r="G142" i="10"/>
  <c r="H142" i="10"/>
  <c r="G143" i="10"/>
  <c r="H143" i="10"/>
  <c r="G146" i="10"/>
  <c r="H146" i="10"/>
  <c r="G154" i="10"/>
  <c r="H154" i="10"/>
  <c r="G156" i="10"/>
  <c r="H156" i="10"/>
  <c r="G157" i="10"/>
  <c r="H157" i="10"/>
  <c r="G158" i="10"/>
  <c r="H158" i="10"/>
  <c r="G163" i="10"/>
  <c r="H163" i="10"/>
  <c r="G165" i="10"/>
  <c r="H165" i="10"/>
  <c r="G166" i="10"/>
  <c r="H166" i="10"/>
  <c r="G169" i="10"/>
  <c r="H169" i="10"/>
  <c r="G171" i="10"/>
  <c r="H171" i="10"/>
  <c r="G174" i="10"/>
  <c r="H174" i="10"/>
  <c r="G175" i="10"/>
  <c r="H175" i="10"/>
  <c r="G180" i="10"/>
  <c r="H180" i="10"/>
  <c r="G184" i="10"/>
  <c r="H184" i="10"/>
  <c r="G186" i="10"/>
  <c r="H186" i="10"/>
  <c r="G187" i="10"/>
  <c r="H187" i="10"/>
  <c r="G188" i="10"/>
  <c r="H188" i="10"/>
  <c r="G189" i="10"/>
  <c r="H189" i="10"/>
  <c r="G192" i="10"/>
  <c r="H192" i="10"/>
  <c r="G193" i="10"/>
  <c r="H193" i="10"/>
  <c r="G194" i="10"/>
  <c r="H194" i="10"/>
  <c r="G195" i="10"/>
  <c r="H195" i="10"/>
  <c r="G196" i="10"/>
  <c r="H196" i="10"/>
  <c r="E7" i="10" l="1"/>
  <c r="F23" i="10"/>
  <c r="D48" i="10"/>
  <c r="E36" i="10"/>
  <c r="A32" i="10"/>
  <c r="C5" i="10"/>
  <c r="E17" i="10"/>
  <c r="F40" i="10"/>
  <c r="D25" i="10"/>
  <c r="E23" i="10"/>
  <c r="F42" i="10"/>
  <c r="F14" i="10"/>
  <c r="F25" i="10"/>
  <c r="D30" i="10"/>
  <c r="F22" i="10"/>
  <c r="E21" i="10"/>
  <c r="A34" i="10"/>
  <c r="F117" i="10"/>
  <c r="A43" i="10"/>
  <c r="A56" i="10"/>
  <c r="E100" i="10"/>
  <c r="E39" i="10"/>
  <c r="C62" i="10"/>
  <c r="D99" i="10"/>
  <c r="F53" i="10"/>
  <c r="D52" i="10"/>
  <c r="D44" i="10"/>
  <c r="E37" i="10"/>
  <c r="C39" i="10"/>
  <c r="A49" i="10"/>
  <c r="F26" i="10"/>
  <c r="D139" i="10"/>
  <c r="E20" i="10"/>
  <c r="A21" i="10"/>
  <c r="D58" i="10"/>
  <c r="E18" i="10"/>
  <c r="C37" i="10"/>
  <c r="C114" i="10"/>
  <c r="A142" i="10"/>
  <c r="E14" i="10"/>
  <c r="E9" i="10"/>
  <c r="A11" i="10"/>
  <c r="C86" i="10"/>
  <c r="E10" i="10"/>
  <c r="C18" i="10"/>
  <c r="D53" i="10"/>
  <c r="D169" i="10"/>
  <c r="C10" i="10"/>
  <c r="F131" i="10"/>
  <c r="C6" i="10"/>
  <c r="F44" i="10"/>
  <c r="F46" i="10"/>
  <c r="A136" i="10"/>
  <c r="A41" i="10"/>
  <c r="E84" i="10"/>
  <c r="E38" i="10"/>
  <c r="E11" i="10"/>
  <c r="D157" i="10"/>
  <c r="D51" i="10"/>
  <c r="D28" i="10"/>
  <c r="A38" i="10"/>
  <c r="C75" i="10"/>
  <c r="C38" i="10"/>
  <c r="C11" i="10"/>
  <c r="F43" i="10"/>
  <c r="F24" i="10"/>
  <c r="C4" i="10"/>
  <c r="F15" i="10"/>
  <c r="C50" i="10"/>
  <c r="E65" i="10"/>
  <c r="E113" i="10"/>
  <c r="C47" i="10"/>
  <c r="A23" i="10"/>
  <c r="D6" i="10"/>
  <c r="C57" i="10"/>
  <c r="A26" i="10"/>
  <c r="D7" i="10"/>
  <c r="A40" i="10"/>
  <c r="C15" i="10"/>
  <c r="A127" i="10"/>
  <c r="A107" i="10"/>
  <c r="E56" i="10"/>
  <c r="E34" i="10"/>
  <c r="E8" i="10"/>
  <c r="D128" i="10"/>
  <c r="D43" i="10"/>
  <c r="D24" i="10"/>
  <c r="A25" i="10"/>
  <c r="C56" i="10"/>
  <c r="C34" i="10"/>
  <c r="C8" i="10"/>
  <c r="F41" i="10"/>
  <c r="F19" i="10"/>
  <c r="D134" i="10"/>
  <c r="D5" i="10"/>
  <c r="F45" i="10"/>
  <c r="C46" i="10"/>
  <c r="A78" i="10"/>
  <c r="A46" i="10"/>
  <c r="D20" i="10"/>
  <c r="F4" i="10"/>
  <c r="A53" i="10"/>
  <c r="D21" i="10"/>
  <c r="F5" i="10"/>
  <c r="D35" i="10"/>
  <c r="A14" i="10"/>
  <c r="E72" i="10"/>
  <c r="C95" i="10"/>
  <c r="F129" i="10"/>
  <c r="F156" i="10"/>
  <c r="A146" i="10"/>
  <c r="E55" i="10"/>
  <c r="E33" i="10"/>
  <c r="A63" i="10"/>
  <c r="D115" i="10"/>
  <c r="D42" i="10"/>
  <c r="D22" i="10"/>
  <c r="A18" i="10"/>
  <c r="C55" i="10"/>
  <c r="C33" i="10"/>
  <c r="F111" i="10"/>
  <c r="F39" i="10"/>
  <c r="F18" i="10"/>
  <c r="D109" i="10"/>
  <c r="F135" i="10"/>
  <c r="E40" i="10"/>
  <c r="A45" i="10"/>
  <c r="F59" i="10"/>
  <c r="E45" i="10"/>
  <c r="C17" i="10"/>
  <c r="A4" i="10"/>
  <c r="E50" i="10"/>
  <c r="C20" i="10"/>
  <c r="A5" i="10"/>
  <c r="C31" i="10"/>
  <c r="E12" i="10"/>
  <c r="F169" i="10"/>
  <c r="E54" i="10"/>
  <c r="E32" i="10"/>
  <c r="A55" i="10"/>
  <c r="D105" i="10"/>
  <c r="D41" i="10"/>
  <c r="D19" i="10"/>
  <c r="A8" i="10"/>
  <c r="C54" i="10"/>
  <c r="C32" i="10"/>
  <c r="F85" i="10"/>
  <c r="F38" i="10"/>
  <c r="F11" i="10"/>
  <c r="D95" i="10"/>
  <c r="E57" i="10"/>
  <c r="D26" i="10"/>
  <c r="F31" i="10"/>
  <c r="A59" i="10"/>
  <c r="D40" i="10"/>
  <c r="F16" i="10"/>
  <c r="E3" i="10"/>
  <c r="F47" i="10"/>
  <c r="F17" i="10"/>
  <c r="E4" i="10"/>
  <c r="F27" i="10"/>
  <c r="D9" i="10"/>
  <c r="A169" i="10"/>
  <c r="A24" i="10"/>
  <c r="F138" i="10"/>
  <c r="E52" i="10"/>
  <c r="E30" i="10"/>
  <c r="A44" i="10"/>
  <c r="D86" i="10"/>
  <c r="D39" i="10"/>
  <c r="D18" i="10"/>
  <c r="C169" i="10"/>
  <c r="C52" i="10"/>
  <c r="C30" i="10"/>
  <c r="F60" i="10"/>
  <c r="F37" i="10"/>
  <c r="F10" i="10"/>
  <c r="C59" i="10"/>
  <c r="C35" i="10"/>
  <c r="C16" i="10"/>
  <c r="E27" i="10"/>
  <c r="E58" i="10"/>
  <c r="C36" i="10"/>
  <c r="A16" i="10"/>
  <c r="D2" i="10"/>
  <c r="C40" i="10"/>
  <c r="A17" i="10"/>
  <c r="D3" i="10"/>
  <c r="A27" i="10"/>
  <c r="C7" i="10"/>
  <c r="E51" i="10"/>
  <c r="A39" i="10"/>
  <c r="C157" i="10"/>
  <c r="C51" i="10"/>
  <c r="C28" i="10"/>
  <c r="F34" i="10"/>
  <c r="F8" i="10"/>
  <c r="A58" i="10"/>
  <c r="F21" i="10"/>
  <c r="A15" i="10"/>
  <c r="D17" i="10"/>
  <c r="D57" i="10"/>
  <c r="F35" i="10"/>
  <c r="E15" i="10"/>
  <c r="F132" i="10"/>
  <c r="F36" i="10"/>
  <c r="E16" i="10"/>
  <c r="C2" i="10"/>
  <c r="E26" i="10"/>
  <c r="D4" i="10"/>
  <c r="A30" i="10"/>
  <c r="D38" i="10"/>
  <c r="A52" i="10"/>
  <c r="A33" i="10"/>
  <c r="C139" i="10"/>
  <c r="F33" i="10"/>
  <c r="D12" i="10"/>
  <c r="C9" i="10"/>
  <c r="C53" i="10"/>
  <c r="A35" i="10"/>
  <c r="D14" i="10"/>
  <c r="E114" i="10"/>
  <c r="A36" i="10"/>
  <c r="D15" i="10"/>
  <c r="F73" i="10"/>
  <c r="D23" i="10"/>
  <c r="C198" i="10"/>
  <c r="A151" i="10"/>
  <c r="E28" i="10"/>
  <c r="D75" i="10"/>
  <c r="D11" i="10"/>
  <c r="F56" i="10"/>
  <c r="A42" i="10"/>
  <c r="E44" i="10"/>
  <c r="E25" i="10"/>
  <c r="D62" i="10"/>
  <c r="D37" i="10"/>
  <c r="D10" i="10"/>
  <c r="C44" i="10"/>
  <c r="C25" i="10"/>
  <c r="F55" i="10"/>
  <c r="A135" i="10"/>
  <c r="F49" i="10"/>
  <c r="F7" i="10"/>
  <c r="A84" i="10"/>
  <c r="A116" i="10"/>
  <c r="E43" i="10"/>
  <c r="E24" i="10"/>
  <c r="A28" i="10"/>
  <c r="D56" i="10"/>
  <c r="D34" i="10"/>
  <c r="D8" i="10"/>
  <c r="C128" i="10"/>
  <c r="C43" i="10"/>
  <c r="C24" i="10"/>
  <c r="F54" i="10"/>
  <c r="F32" i="10"/>
  <c r="F58" i="10"/>
  <c r="E48" i="10"/>
  <c r="A3" i="10"/>
  <c r="E6" i="10"/>
  <c r="A7" i="10"/>
  <c r="F50" i="10"/>
  <c r="E31" i="10"/>
  <c r="C12" i="10"/>
  <c r="C96" i="10"/>
  <c r="E35" i="10"/>
  <c r="C14" i="10"/>
  <c r="E53" i="10"/>
  <c r="C21" i="10"/>
  <c r="E165" i="10"/>
  <c r="A37" i="10"/>
  <c r="E126" i="10"/>
  <c r="E22" i="10"/>
  <c r="D33" i="10"/>
  <c r="C115" i="10"/>
  <c r="C22" i="10"/>
  <c r="F30" i="10"/>
  <c r="D36" i="10"/>
  <c r="C155" i="10"/>
  <c r="A50" i="10"/>
  <c r="F9" i="10"/>
  <c r="A80" i="10"/>
  <c r="D31" i="10"/>
  <c r="D50" i="10"/>
  <c r="F20" i="10"/>
  <c r="E169" i="10"/>
  <c r="A128" i="10"/>
  <c r="E42" i="10"/>
  <c r="A19" i="10"/>
  <c r="D55" i="10"/>
  <c r="A75" i="10"/>
  <c r="C42" i="10"/>
  <c r="F52" i="10"/>
  <c r="D47" i="10"/>
  <c r="E151" i="10"/>
  <c r="F3" i="10"/>
  <c r="D27" i="10"/>
  <c r="F12" i="10"/>
  <c r="E138" i="10"/>
  <c r="E110" i="10"/>
  <c r="E41" i="10"/>
  <c r="E19" i="10"/>
  <c r="A10" i="10"/>
  <c r="D54" i="10"/>
  <c r="D32" i="10"/>
  <c r="A54" i="10"/>
  <c r="C105" i="10"/>
  <c r="C41" i="10"/>
  <c r="C19" i="10"/>
  <c r="F51" i="10"/>
  <c r="F28" i="10"/>
  <c r="A31" i="10"/>
  <c r="C23" i="10"/>
  <c r="C134" i="10"/>
  <c r="A144" i="10"/>
  <c r="E2" i="10"/>
  <c r="E49" i="10"/>
  <c r="C26" i="10"/>
  <c r="A9" i="10"/>
  <c r="E59" i="10"/>
  <c r="C27" i="10"/>
  <c r="A12" i="10"/>
  <c r="F48" i="10"/>
  <c r="A20" i="10"/>
  <c r="A22" i="10"/>
  <c r="F80" i="10"/>
  <c r="A29" i="10"/>
  <c r="D74" i="10"/>
  <c r="D29" i="10"/>
  <c r="A68" i="10"/>
  <c r="C156" i="10"/>
  <c r="C127" i="10"/>
  <c r="C103" i="10"/>
  <c r="C74" i="10"/>
  <c r="C29" i="10"/>
  <c r="F110" i="10"/>
  <c r="F84" i="10"/>
  <c r="A130" i="10"/>
  <c r="E150" i="10"/>
  <c r="A125" i="10"/>
  <c r="C94" i="10"/>
  <c r="E134" i="10"/>
  <c r="D150" i="10"/>
  <c r="E132" i="10"/>
  <c r="F98" i="10"/>
  <c r="F153" i="10"/>
  <c r="E141" i="10"/>
  <c r="C113" i="10"/>
  <c r="A131" i="10"/>
  <c r="D112" i="10"/>
  <c r="F94" i="10"/>
  <c r="E77" i="10"/>
  <c r="A132" i="10"/>
  <c r="D113" i="10"/>
  <c r="F95" i="10"/>
  <c r="E78" i="10"/>
  <c r="C92" i="10"/>
  <c r="A73" i="10"/>
  <c r="E198" i="10"/>
  <c r="A156" i="10"/>
  <c r="E124" i="10"/>
  <c r="A143" i="10"/>
  <c r="A60" i="10"/>
  <c r="E123" i="10"/>
  <c r="E90" i="10"/>
  <c r="E68" i="10"/>
  <c r="D154" i="10"/>
  <c r="D126" i="10"/>
  <c r="D100" i="10"/>
  <c r="D72" i="10"/>
  <c r="A62" i="10"/>
  <c r="C154" i="10"/>
  <c r="C126" i="10"/>
  <c r="C100" i="10"/>
  <c r="C72" i="10"/>
  <c r="F108" i="10"/>
  <c r="F79" i="10"/>
  <c r="E122" i="10"/>
  <c r="D149" i="10"/>
  <c r="D122" i="10"/>
  <c r="A92" i="10"/>
  <c r="E125" i="10"/>
  <c r="C149" i="10"/>
  <c r="D131" i="10"/>
  <c r="C83" i="10"/>
  <c r="A153" i="10"/>
  <c r="D137" i="10"/>
  <c r="F112" i="10"/>
  <c r="E130" i="10"/>
  <c r="C109" i="10"/>
  <c r="A94" i="10"/>
  <c r="D73" i="10"/>
  <c r="E131" i="10"/>
  <c r="C112" i="10"/>
  <c r="A95" i="10"/>
  <c r="D77" i="10"/>
  <c r="F91" i="10"/>
  <c r="E71" i="10"/>
  <c r="C49" i="10"/>
  <c r="A198" i="10"/>
  <c r="F120" i="10"/>
  <c r="A157" i="10"/>
  <c r="F116" i="10"/>
  <c r="A74" i="10"/>
  <c r="E120" i="10"/>
  <c r="E88" i="10"/>
  <c r="E66" i="10"/>
  <c r="D146" i="10"/>
  <c r="D124" i="10"/>
  <c r="D97" i="10"/>
  <c r="D70" i="10"/>
  <c r="C146" i="10"/>
  <c r="C124" i="10"/>
  <c r="C97" i="10"/>
  <c r="C70" i="10"/>
  <c r="F107" i="10"/>
  <c r="F76" i="10"/>
  <c r="F191" i="10"/>
  <c r="F119" i="10"/>
  <c r="C148" i="10"/>
  <c r="C121" i="10"/>
  <c r="F82" i="10"/>
  <c r="D121" i="10"/>
  <c r="F148" i="10"/>
  <c r="F130" i="10"/>
  <c r="A82" i="10"/>
  <c r="E152" i="10"/>
  <c r="C135" i="10"/>
  <c r="A102" i="10"/>
  <c r="D125" i="10"/>
  <c r="F106" i="10"/>
  <c r="E92" i="10"/>
  <c r="C71" i="10"/>
  <c r="D130" i="10"/>
  <c r="F109" i="10"/>
  <c r="E94" i="10"/>
  <c r="C73" i="10"/>
  <c r="A91" i="10"/>
  <c r="D69" i="10"/>
  <c r="D198" i="10"/>
  <c r="A191" i="10"/>
  <c r="F158" i="10"/>
  <c r="E97" i="10"/>
  <c r="D156" i="10"/>
  <c r="F124" i="10"/>
  <c r="F126" i="10"/>
  <c r="A88" i="10"/>
  <c r="E116" i="10"/>
  <c r="E87" i="10"/>
  <c r="E63" i="10"/>
  <c r="D143" i="10"/>
  <c r="D123" i="10"/>
  <c r="D90" i="10"/>
  <c r="D68" i="10"/>
  <c r="C143" i="10"/>
  <c r="C123" i="10"/>
  <c r="C90" i="10"/>
  <c r="C68" i="10"/>
  <c r="F105" i="10"/>
  <c r="F75" i="10"/>
  <c r="F162" i="10"/>
  <c r="E112" i="10"/>
  <c r="D161" i="10"/>
  <c r="F147" i="10"/>
  <c r="C119" i="10"/>
  <c r="E81" i="10"/>
  <c r="E161" i="10"/>
  <c r="A113" i="10"/>
  <c r="C161" i="10"/>
  <c r="A148" i="10"/>
  <c r="A119" i="10"/>
  <c r="F77" i="10"/>
  <c r="C164" i="10"/>
  <c r="D151" i="10"/>
  <c r="F134" i="10"/>
  <c r="D101" i="10"/>
  <c r="C122" i="10"/>
  <c r="A106" i="10"/>
  <c r="D91" i="10"/>
  <c r="F69" i="10"/>
  <c r="C125" i="10"/>
  <c r="A109" i="10"/>
  <c r="D92" i="10"/>
  <c r="F71" i="10"/>
  <c r="E89" i="10"/>
  <c r="C67" i="10"/>
  <c r="A48" i="10"/>
  <c r="F6" i="10"/>
  <c r="E127" i="10"/>
  <c r="A51" i="10"/>
  <c r="A158" i="10"/>
  <c r="D127" i="10"/>
  <c r="A72" i="10"/>
  <c r="F123" i="10"/>
  <c r="E128" i="10"/>
  <c r="A87" i="10"/>
  <c r="F128" i="10"/>
  <c r="A100" i="10"/>
  <c r="E115" i="10"/>
  <c r="E86" i="10"/>
  <c r="E62" i="10"/>
  <c r="D142" i="10"/>
  <c r="D120" i="10"/>
  <c r="D88" i="10"/>
  <c r="D66" i="10"/>
  <c r="C142" i="10"/>
  <c r="C120" i="10"/>
  <c r="C88" i="10"/>
  <c r="C66" i="10"/>
  <c r="F103" i="10"/>
  <c r="F74" i="10"/>
  <c r="F29" i="10"/>
  <c r="F155" i="10"/>
  <c r="D106" i="10"/>
  <c r="C160" i="10"/>
  <c r="A147" i="10"/>
  <c r="F118" i="10"/>
  <c r="D71" i="10"/>
  <c r="C159" i="10"/>
  <c r="E109" i="10"/>
  <c r="F160" i="10"/>
  <c r="E147" i="10"/>
  <c r="E118" i="10"/>
  <c r="E73" i="10"/>
  <c r="D160" i="10"/>
  <c r="C150" i="10"/>
  <c r="A134" i="10"/>
  <c r="C99" i="10"/>
  <c r="F121" i="10"/>
  <c r="E104" i="10"/>
  <c r="C89" i="10"/>
  <c r="A69" i="10"/>
  <c r="F122" i="10"/>
  <c r="E106" i="10"/>
  <c r="C91" i="10"/>
  <c r="A71" i="10"/>
  <c r="D49" i="10"/>
  <c r="D83" i="10"/>
  <c r="F65" i="10"/>
  <c r="E47" i="10"/>
  <c r="A6" i="10"/>
  <c r="E129" i="10"/>
  <c r="A79" i="10"/>
  <c r="A138" i="10"/>
  <c r="E70" i="10"/>
  <c r="D103" i="10"/>
  <c r="F127" i="10"/>
  <c r="A66" i="10"/>
  <c r="E133" i="10"/>
  <c r="A97" i="10"/>
  <c r="F133" i="10"/>
  <c r="A108" i="10"/>
  <c r="E111" i="10"/>
  <c r="E85" i="10"/>
  <c r="E60" i="10"/>
  <c r="D140" i="10"/>
  <c r="D116" i="10"/>
  <c r="D87" i="10"/>
  <c r="D63" i="10"/>
  <c r="C140" i="10"/>
  <c r="C116" i="10"/>
  <c r="C87" i="10"/>
  <c r="C63" i="10"/>
  <c r="F100" i="10"/>
  <c r="F72" i="10"/>
  <c r="D152" i="10"/>
  <c r="A98" i="10"/>
  <c r="F159" i="10"/>
  <c r="E145" i="10"/>
  <c r="A112" i="10"/>
  <c r="E153" i="10"/>
  <c r="F104" i="10"/>
  <c r="A160" i="10"/>
  <c r="D145" i="10"/>
  <c r="E117" i="10"/>
  <c r="D61" i="10"/>
  <c r="A155" i="10"/>
  <c r="F149" i="10"/>
  <c r="D132" i="10"/>
  <c r="C98" i="10"/>
  <c r="A121" i="10"/>
  <c r="D102" i="10"/>
  <c r="F83" i="10"/>
  <c r="E67" i="10"/>
  <c r="A122" i="10"/>
  <c r="D104" i="10"/>
  <c r="F89" i="10"/>
  <c r="E69" i="10"/>
  <c r="C48" i="10"/>
  <c r="C82" i="10"/>
  <c r="A65" i="10"/>
  <c r="D46" i="10"/>
  <c r="E5" i="10"/>
  <c r="E136" i="10"/>
  <c r="A90" i="10"/>
  <c r="A149" i="10"/>
  <c r="C131" i="10"/>
  <c r="F96" i="10"/>
  <c r="E119" i="10"/>
  <c r="C101" i="10"/>
  <c r="A83" i="10"/>
  <c r="D65" i="10"/>
  <c r="E121" i="10"/>
  <c r="C102" i="10"/>
  <c r="A89" i="10"/>
  <c r="D67" i="10"/>
  <c r="F81" i="10"/>
  <c r="E61" i="10"/>
  <c r="C45" i="10"/>
  <c r="E139" i="10"/>
  <c r="A103" i="10"/>
  <c r="F70" i="10"/>
  <c r="E95" i="10"/>
  <c r="F150" i="10"/>
  <c r="C144" i="10"/>
  <c r="F136" i="10"/>
  <c r="A93" i="10"/>
  <c r="E140" i="10"/>
  <c r="A115" i="10"/>
  <c r="F140" i="10"/>
  <c r="A126" i="10"/>
  <c r="E108" i="10"/>
  <c r="E79" i="10"/>
  <c r="D138" i="10"/>
  <c r="D111" i="10"/>
  <c r="D85" i="10"/>
  <c r="D60" i="10"/>
  <c r="C138" i="10"/>
  <c r="C111" i="10"/>
  <c r="C85" i="10"/>
  <c r="C60" i="10"/>
  <c r="F90" i="10"/>
  <c r="F68" i="10"/>
  <c r="D148" i="10"/>
  <c r="F92" i="10"/>
  <c r="E155" i="10"/>
  <c r="C141" i="10"/>
  <c r="C106" i="10"/>
  <c r="E149" i="10"/>
  <c r="D94" i="10"/>
  <c r="D155" i="10"/>
  <c r="F141" i="10"/>
  <c r="F113" i="10"/>
  <c r="F161" i="10"/>
  <c r="E148" i="10"/>
  <c r="C130" i="10"/>
  <c r="D89" i="10"/>
  <c r="D118" i="10"/>
  <c r="F99" i="10"/>
  <c r="E82" i="10"/>
  <c r="C61" i="10"/>
  <c r="D119" i="10"/>
  <c r="F101" i="10"/>
  <c r="E83" i="10"/>
  <c r="C65" i="10"/>
  <c r="A47" i="10"/>
  <c r="A81" i="10"/>
  <c r="D59" i="10"/>
  <c r="C3" i="10"/>
  <c r="E142" i="10"/>
  <c r="A110" i="10"/>
  <c r="A150" i="10"/>
  <c r="E159" i="10"/>
  <c r="C151" i="10"/>
  <c r="F139" i="10"/>
  <c r="A105" i="10"/>
  <c r="E143" i="10"/>
  <c r="A124" i="10"/>
  <c r="F143" i="10"/>
  <c r="A133" i="10"/>
  <c r="E107" i="10"/>
  <c r="E76" i="10"/>
  <c r="A86" i="10"/>
  <c r="D165" i="10"/>
  <c r="D136" i="10"/>
  <c r="D110" i="10"/>
  <c r="D84" i="10"/>
  <c r="C136" i="10"/>
  <c r="C110" i="10"/>
  <c r="C84" i="10"/>
  <c r="F88" i="10"/>
  <c r="F66" i="10"/>
  <c r="F145" i="10"/>
  <c r="D80" i="10"/>
  <c r="D153" i="10"/>
  <c r="F137" i="10"/>
  <c r="C104" i="10"/>
  <c r="C147" i="10"/>
  <c r="E91" i="10"/>
  <c r="C153" i="10"/>
  <c r="A141" i="10"/>
  <c r="A104" i="10"/>
  <c r="A161" i="10"/>
  <c r="D147" i="10"/>
  <c r="F125" i="10"/>
  <c r="C78" i="10"/>
  <c r="C117" i="10"/>
  <c r="A99" i="10"/>
  <c r="D81" i="10"/>
  <c r="C118" i="10"/>
  <c r="A101" i="10"/>
  <c r="D82" i="10"/>
  <c r="F61" i="10"/>
  <c r="E46" i="10"/>
  <c r="E80" i="10"/>
  <c r="C58" i="10"/>
  <c r="D16" i="10"/>
  <c r="F2" i="10"/>
  <c r="E146" i="10"/>
  <c r="A120" i="10"/>
  <c r="F97" i="10"/>
  <c r="A159" i="10"/>
  <c r="E96" i="10"/>
  <c r="D114" i="10"/>
  <c r="F142" i="10"/>
  <c r="A111" i="10"/>
  <c r="E154" i="10"/>
  <c r="A129" i="10"/>
  <c r="F154" i="10"/>
  <c r="A140" i="10"/>
  <c r="E105" i="10"/>
  <c r="E75" i="10"/>
  <c r="A76" i="10"/>
  <c r="D163" i="10"/>
  <c r="D133" i="10"/>
  <c r="D108" i="10"/>
  <c r="D79" i="10"/>
  <c r="C133" i="10"/>
  <c r="C108" i="10"/>
  <c r="C79" i="10"/>
  <c r="F87" i="10"/>
  <c r="F63" i="10"/>
  <c r="E144" i="10"/>
  <c r="C69" i="10"/>
  <c r="C152" i="10"/>
  <c r="A137" i="10"/>
  <c r="F102" i="10"/>
  <c r="A145" i="10"/>
  <c r="A67" i="10"/>
  <c r="F152" i="10"/>
  <c r="E137" i="10"/>
  <c r="E102" i="10"/>
  <c r="E160" i="10"/>
  <c r="C145" i="10"/>
  <c r="A118" i="10"/>
  <c r="A77" i="10"/>
  <c r="F114" i="10"/>
  <c r="E98" i="10"/>
  <c r="C80" i="10"/>
  <c r="E99" i="10"/>
  <c r="C81" i="10"/>
  <c r="A61" i="10"/>
  <c r="D45" i="10"/>
  <c r="D78" i="10"/>
  <c r="F57" i="10"/>
  <c r="A2" i="10"/>
  <c r="E156" i="10"/>
  <c r="D144" i="10"/>
  <c r="F146" i="10"/>
  <c r="A123" i="10"/>
  <c r="E157" i="10"/>
  <c r="A139" i="10"/>
  <c r="F157" i="10"/>
  <c r="A154" i="10"/>
  <c r="E103" i="10"/>
  <c r="E74" i="10"/>
  <c r="E29" i="10"/>
  <c r="A70" i="10"/>
  <c r="D158" i="10"/>
  <c r="D129" i="10"/>
  <c r="D107" i="10"/>
  <c r="D76" i="10"/>
  <c r="A85" i="10"/>
  <c r="C158" i="10"/>
  <c r="C129" i="10"/>
  <c r="C107" i="10"/>
  <c r="C76" i="10"/>
  <c r="F115" i="10"/>
  <c r="F86" i="10"/>
  <c r="F62" i="10"/>
  <c r="C137" i="10"/>
  <c r="F151" i="10"/>
  <c r="E135" i="10"/>
  <c r="A96" i="10"/>
  <c r="D141" i="10"/>
  <c r="A152" i="10"/>
  <c r="D135" i="10"/>
  <c r="E101" i="10"/>
  <c r="D159" i="10"/>
  <c r="F144" i="10"/>
  <c r="D117" i="10"/>
  <c r="F67" i="10"/>
  <c r="C132" i="10"/>
  <c r="A114" i="10"/>
  <c r="D96" i="10"/>
  <c r="F78" i="10"/>
  <c r="A117" i="10"/>
  <c r="D98" i="10"/>
  <c r="C77" i="10"/>
  <c r="A57" i="10"/>
  <c r="F198" i="10"/>
  <c r="E158" i="10"/>
  <c r="C166" i="10"/>
  <c r="F93" i="10"/>
  <c r="E170" i="10"/>
  <c r="C192" i="10"/>
  <c r="F165" i="10"/>
  <c r="E163" i="10"/>
  <c r="C163" i="10"/>
  <c r="E162" i="10"/>
  <c r="E173" i="10"/>
  <c r="A64" i="10"/>
  <c r="E171" i="10"/>
  <c r="D167" i="10"/>
  <c r="D164" i="10"/>
  <c r="A174" i="10"/>
  <c r="C165" i="10"/>
  <c r="A162" i="10"/>
  <c r="C162" i="10"/>
  <c r="F163" i="10"/>
  <c r="E178" i="10"/>
  <c r="A164" i="10"/>
  <c r="F190" i="10"/>
  <c r="F171" i="10"/>
  <c r="D196" i="10"/>
  <c r="E164" i="10"/>
  <c r="D182" i="10"/>
  <c r="E93" i="10"/>
  <c r="A194" i="10"/>
  <c r="A163" i="10"/>
  <c r="D174" i="10"/>
  <c r="D162" i="10"/>
  <c r="F183" i="10"/>
  <c r="F164" i="10"/>
  <c r="D93" i="10"/>
  <c r="A187" i="10"/>
  <c r="A195" i="10"/>
  <c r="C93" i="10"/>
  <c r="F175" i="10"/>
  <c r="D185" i="10"/>
  <c r="A183" i="10"/>
  <c r="D168" i="10"/>
  <c r="D177" i="10"/>
  <c r="C183" i="10"/>
  <c r="A190" i="10"/>
  <c r="D172" i="10"/>
  <c r="A192" i="10"/>
  <c r="A193" i="10"/>
  <c r="F174" i="10"/>
  <c r="E184" i="10"/>
  <c r="F184" i="10"/>
  <c r="D194" i="10"/>
  <c r="D64" i="10"/>
  <c r="C188" i="10"/>
  <c r="F182" i="10"/>
  <c r="E182" i="10"/>
  <c r="C167" i="10"/>
  <c r="E197" i="10"/>
  <c r="C176" i="10"/>
  <c r="E181" i="10"/>
  <c r="E185" i="10"/>
  <c r="C170" i="10"/>
  <c r="E174" i="10"/>
  <c r="A196" i="10"/>
  <c r="E175" i="10"/>
  <c r="C13" i="10"/>
  <c r="F180" i="10"/>
  <c r="E187" i="10"/>
  <c r="F187" i="10"/>
  <c r="D193" i="10"/>
  <c r="D166" i="10"/>
  <c r="C187" i="10"/>
  <c r="D179" i="10"/>
  <c r="D181" i="10"/>
  <c r="D191" i="10"/>
  <c r="F173" i="10"/>
  <c r="F177" i="10"/>
  <c r="D183" i="10"/>
  <c r="F168" i="10"/>
  <c r="E180" i="10"/>
  <c r="D171" i="10"/>
  <c r="F186" i="10"/>
  <c r="E189" i="10"/>
  <c r="F189" i="10"/>
  <c r="D192" i="10"/>
  <c r="C186" i="10"/>
  <c r="A177" i="10"/>
  <c r="C179" i="10"/>
  <c r="C190" i="10"/>
  <c r="A173" i="10"/>
  <c r="D173" i="10"/>
  <c r="C182" i="10"/>
  <c r="A168" i="10"/>
  <c r="E186" i="10"/>
  <c r="D13" i="10"/>
  <c r="C184" i="10"/>
  <c r="F64" i="10"/>
  <c r="C172" i="10"/>
  <c r="F178" i="10"/>
  <c r="F185" i="10"/>
  <c r="E172" i="10"/>
  <c r="A170" i="10"/>
  <c r="F181" i="10"/>
  <c r="E167" i="10"/>
  <c r="E188" i="10"/>
  <c r="D189" i="10"/>
  <c r="C180" i="10"/>
  <c r="E168" i="10"/>
  <c r="A178" i="10"/>
  <c r="C197" i="10"/>
  <c r="A185" i="10"/>
  <c r="D170" i="10"/>
  <c r="A181" i="10"/>
  <c r="E192" i="10"/>
  <c r="C189" i="10"/>
  <c r="E195" i="10"/>
  <c r="A13" i="10"/>
  <c r="D187" i="10"/>
  <c r="C175" i="10"/>
  <c r="F197" i="10"/>
  <c r="E177" i="10"/>
  <c r="E190" i="10"/>
  <c r="E183" i="10"/>
  <c r="C168" i="10"/>
  <c r="E179" i="10"/>
  <c r="E194" i="10"/>
  <c r="F192" i="10"/>
  <c r="D188" i="10"/>
  <c r="F194" i="10"/>
  <c r="D186" i="10"/>
  <c r="C196" i="10"/>
  <c r="C174" i="10"/>
  <c r="F13" i="10"/>
  <c r="A197" i="10"/>
  <c r="D176" i="10"/>
  <c r="A182" i="10"/>
  <c r="F167" i="10"/>
  <c r="D178" i="10"/>
  <c r="E196" i="10"/>
  <c r="F196" i="10"/>
  <c r="E191" i="10"/>
  <c r="C173" i="10"/>
  <c r="C178" i="10"/>
  <c r="C181" i="10"/>
  <c r="A167" i="10"/>
  <c r="C177" i="10"/>
  <c r="C195" i="10"/>
  <c r="A166" i="10"/>
  <c r="D190" i="10"/>
  <c r="E176" i="10"/>
  <c r="F179" i="10"/>
  <c r="D197" i="10"/>
  <c r="F176" i="10"/>
  <c r="A165" i="10"/>
  <c r="A186" i="10"/>
  <c r="D195" i="10"/>
  <c r="F188" i="10"/>
  <c r="E193" i="10"/>
  <c r="F193" i="10"/>
  <c r="F195" i="10"/>
  <c r="E64" i="10"/>
  <c r="A171" i="10"/>
  <c r="E13" i="10"/>
  <c r="D184" i="10"/>
  <c r="C171" i="10"/>
  <c r="A180" i="10"/>
  <c r="A184" i="10"/>
  <c r="D180" i="10"/>
  <c r="C194" i="10"/>
  <c r="C64" i="10"/>
  <c r="F172" i="10"/>
  <c r="A175" i="10"/>
  <c r="E166" i="10"/>
  <c r="A188" i="10"/>
  <c r="F166" i="10"/>
  <c r="A189" i="10"/>
  <c r="D175" i="10"/>
  <c r="C193" i="10"/>
  <c r="C185" i="10"/>
  <c r="A172" i="10"/>
  <c r="F170" i="10"/>
  <c r="A179" i="10"/>
  <c r="C191" i="10"/>
  <c r="A176" i="10"/>
  <c r="I8" i="10" l="1"/>
  <c r="I15" i="10"/>
  <c r="I31" i="10"/>
  <c r="I59" i="10"/>
  <c r="I50" i="10"/>
  <c r="I10" i="10"/>
  <c r="I25" i="10"/>
  <c r="I5" i="10"/>
  <c r="I47" i="10"/>
  <c r="I16" i="10"/>
  <c r="I147" i="10"/>
  <c r="I125" i="10"/>
  <c r="I111" i="10"/>
  <c r="I52" i="10"/>
  <c r="I26" i="10"/>
  <c r="I39" i="10"/>
  <c r="I69" i="10"/>
  <c r="I72" i="10"/>
  <c r="I38" i="10"/>
  <c r="I11" i="10"/>
  <c r="I75" i="10"/>
  <c r="I19" i="10"/>
  <c r="I23" i="10"/>
  <c r="I44" i="10"/>
  <c r="I9" i="10"/>
  <c r="I42" i="10"/>
  <c r="I85" i="10"/>
  <c r="I95" i="10"/>
  <c r="I54" i="10"/>
  <c r="I7" i="10"/>
  <c r="I151" i="10"/>
  <c r="I14" i="10"/>
  <c r="I56" i="10"/>
  <c r="I123" i="10"/>
  <c r="I138" i="10"/>
  <c r="I117" i="10"/>
  <c r="I58" i="10"/>
  <c r="I158" i="10"/>
  <c r="I40" i="10"/>
  <c r="I136" i="10"/>
  <c r="I92" i="10"/>
  <c r="I70" i="10"/>
  <c r="I34" i="10"/>
  <c r="I169" i="10"/>
  <c r="I12" i="10"/>
  <c r="I37" i="10"/>
  <c r="I35" i="10"/>
  <c r="I24" i="10"/>
  <c r="I53" i="10"/>
  <c r="I18" i="10"/>
  <c r="I73" i="10"/>
  <c r="I82" i="10"/>
  <c r="I105" i="10"/>
  <c r="I153" i="10"/>
  <c r="I71" i="10"/>
  <c r="I121" i="10"/>
  <c r="I83" i="10"/>
  <c r="I126" i="10"/>
  <c r="I84" i="10"/>
  <c r="I41" i="10"/>
  <c r="I30" i="10"/>
  <c r="I43" i="10"/>
  <c r="I36" i="10"/>
  <c r="I51" i="10"/>
  <c r="I32" i="10"/>
  <c r="I67" i="10"/>
  <c r="I145" i="10"/>
  <c r="I2" i="10"/>
  <c r="I101" i="10"/>
  <c r="I100" i="10"/>
  <c r="I99" i="10"/>
  <c r="I156" i="10"/>
  <c r="I148" i="10"/>
  <c r="I146" i="10"/>
  <c r="I131" i="10"/>
  <c r="I113" i="10"/>
  <c r="I22" i="10"/>
  <c r="I128" i="10"/>
  <c r="I55" i="10"/>
  <c r="I28" i="10"/>
  <c r="I132" i="10"/>
  <c r="I27" i="10"/>
  <c r="I86" i="10"/>
  <c r="I20" i="10"/>
  <c r="I152" i="10"/>
  <c r="I57" i="10"/>
  <c r="I107" i="10"/>
  <c r="I3" i="10"/>
  <c r="I89" i="10"/>
  <c r="I120" i="10"/>
  <c r="I161" i="10"/>
  <c r="I97" i="10"/>
  <c r="I66" i="10"/>
  <c r="I29" i="10"/>
  <c r="I130" i="10"/>
  <c r="I139" i="10"/>
  <c r="I150" i="10"/>
  <c r="I144" i="10"/>
  <c r="I103" i="10"/>
  <c r="I17" i="10"/>
  <c r="I134" i="10"/>
  <c r="I114" i="10"/>
  <c r="I94" i="10"/>
  <c r="I110" i="10"/>
  <c r="I46" i="10"/>
  <c r="I140" i="10"/>
  <c r="I48" i="10"/>
  <c r="I78" i="10"/>
  <c r="I33" i="10"/>
  <c r="I124" i="10"/>
  <c r="I149" i="10"/>
  <c r="I77" i="10"/>
  <c r="I159" i="10"/>
  <c r="I137" i="10"/>
  <c r="I108" i="10"/>
  <c r="I154" i="10"/>
  <c r="I68" i="10"/>
  <c r="I45" i="10"/>
  <c r="I116" i="10"/>
  <c r="I133" i="10"/>
  <c r="I49" i="10"/>
  <c r="I160" i="10"/>
  <c r="I155" i="10"/>
  <c r="I62" i="10"/>
  <c r="I127" i="10"/>
  <c r="I122" i="10"/>
  <c r="I119" i="10"/>
  <c r="I90" i="10"/>
  <c r="I88" i="10"/>
  <c r="I112" i="10"/>
  <c r="I6" i="10"/>
  <c r="I106" i="10"/>
  <c r="I135" i="10"/>
  <c r="I129" i="10"/>
  <c r="I157" i="10"/>
  <c r="I79" i="10"/>
  <c r="I142" i="10"/>
  <c r="I65" i="10"/>
  <c r="I60" i="10"/>
  <c r="I63" i="10"/>
  <c r="I91" i="10"/>
  <c r="I118" i="10"/>
  <c r="I74" i="10"/>
  <c r="I115" i="10"/>
  <c r="I198" i="10"/>
  <c r="I98" i="10"/>
  <c r="I141" i="10"/>
  <c r="I80" i="10"/>
  <c r="I102" i="10"/>
  <c r="I87" i="10"/>
  <c r="I21" i="10"/>
  <c r="I4" i="10"/>
  <c r="I96" i="10"/>
  <c r="I182" i="10"/>
  <c r="I76" i="10"/>
  <c r="I104" i="10"/>
  <c r="I61" i="10"/>
  <c r="I109" i="10"/>
  <c r="I143" i="10"/>
  <c r="I81" i="10"/>
  <c r="I178" i="10"/>
  <c r="I171" i="10"/>
  <c r="I162" i="10"/>
  <c r="I93" i="10"/>
  <c r="I164" i="10"/>
  <c r="I163" i="10"/>
  <c r="I176" i="10"/>
  <c r="I13" i="10"/>
  <c r="I191" i="10"/>
  <c r="I186" i="10"/>
  <c r="I173" i="10"/>
  <c r="I188" i="10"/>
  <c r="I167" i="10"/>
  <c r="I190" i="10"/>
  <c r="I165" i="10"/>
  <c r="I168" i="10"/>
  <c r="I189" i="10"/>
  <c r="I166" i="10"/>
  <c r="I196" i="10"/>
  <c r="I174" i="10"/>
  <c r="I192" i="10"/>
  <c r="I180" i="10"/>
  <c r="I170" i="10"/>
  <c r="I64" i="10"/>
  <c r="I194" i="10"/>
  <c r="I183" i="10"/>
  <c r="I179" i="10"/>
  <c r="I184" i="10"/>
  <c r="I177" i="10"/>
  <c r="I181" i="10"/>
  <c r="I185" i="10"/>
  <c r="I195" i="10"/>
  <c r="I175" i="10"/>
  <c r="I187" i="10"/>
  <c r="I197" i="10"/>
  <c r="I193" i="10"/>
  <c r="I17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AE4DEC-349F-4804-91AE-57C93A991A28}" keepAlive="1" name="Query - ISO_3166-2" description="Connection to the 'ISO_3166-2' query in the workbook." type="5" refreshedVersion="8" background="1" saveData="1">
    <dbPr connection="Provider=Microsoft.Mashup.OleDb.1;Data Source=$Workbook$;Location=ISO_3166-2;Extended Properties=&quot;&quot;" command="SELECT * FROM [ISO_3166-2]"/>
  </connection>
</connections>
</file>

<file path=xl/sharedStrings.xml><?xml version="1.0" encoding="utf-8"?>
<sst xmlns="http://schemas.openxmlformats.org/spreadsheetml/2006/main" count="56315" uniqueCount="18857">
  <si>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</si>
  <si>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</si>
  <si>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</si>
  <si>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</si>
  <si>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</si>
  <si>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</si>
  <si>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</si>
  <si>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</si>
  <si>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</si>
  <si>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</si>
  <si>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</si>
  <si>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The 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</si>
  <si>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</si>
  <si>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</si>
  <si>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</si>
  <si>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</si>
  <si>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</si>
  <si>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</si>
  <si>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</si>
  <si>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</si>
  <si>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</si>
  <si>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</si>
  <si>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</si>
  <si>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</si>
  <si>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</si>
  <si>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</si>
  <si>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</si>
  <si>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</si>
  <si>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</si>
  <si>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</si>
  <si>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</si>
  <si>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</si>
  <si>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Chad</t>
  </si>
  <si>
    <t>Chile</t>
  </si>
  <si>
    <t xml:space="preserve">China </t>
  </si>
  <si>
    <t>Colombia</t>
  </si>
  <si>
    <t>Comoros</t>
  </si>
  <si>
    <t>Congo (Brazzaville)</t>
  </si>
  <si>
    <t>Congo (Kinshasa)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</si>
  <si>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</si>
  <si>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</si>
  <si>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</si>
  <si>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</si>
  <si>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</si>
  <si>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</si>
  <si>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</si>
  <si>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</si>
  <si>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</si>
  <si>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</si>
  <si>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</si>
  <si>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</si>
  <si>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</si>
  <si>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</si>
  <si>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</si>
  <si>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</si>
  <si>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</si>
  <si>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</si>
  <si>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</si>
  <si>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</si>
  <si>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</si>
  <si>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The 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</si>
  <si>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</si>
  <si>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</si>
  <si>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</si>
  <si>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</si>
  <si>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</si>
  <si>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</si>
  <si>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</si>
  <si>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</si>
  <si>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</si>
  <si>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</si>
  <si>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</si>
  <si>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</si>
  <si>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</si>
  <si>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</si>
  <si>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</si>
  <si>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</si>
  <si>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</si>
  <si>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</si>
  <si>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</si>
  <si>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</si>
  <si>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</si>
  <si>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</si>
  <si>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</si>
  <si>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</si>
  <si>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</si>
  <si>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</si>
  <si>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</si>
  <si>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North Korea</t>
  </si>
  <si>
    <t>South Korea</t>
  </si>
  <si>
    <t xml:space="preserve">Kosovo 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</si>
  <si>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</si>
  <si>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</si>
  <si>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</si>
  <si>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</si>
  <si>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</si>
  <si>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</si>
  <si>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</si>
  <si>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</si>
  <si>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</si>
  <si>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</si>
  <si>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</si>
  <si>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</si>
  <si>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</si>
  <si>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</si>
  <si>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</si>
  <si>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</si>
  <si>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</si>
  <si>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</si>
  <si>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</si>
  <si>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</si>
  <si>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</si>
  <si>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</si>
  <si>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Federated States of 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</si>
  <si>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</si>
  <si>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</si>
  <si>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</si>
  <si>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</si>
  <si>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</si>
  <si>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</si>
  <si>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</si>
  <si>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</si>
  <si>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</si>
  <si>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</si>
  <si>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</si>
  <si>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</si>
  <si>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</si>
  <si>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</si>
  <si>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</si>
  <si>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</si>
  <si>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</si>
  <si>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</si>
  <si>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</si>
  <si>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</si>
  <si>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</si>
  <si>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</si>
  <si>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</si>
  <si>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</si>
  <si>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</si>
  <si>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</si>
  <si>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</si>
  <si>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</si>
  <si>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</si>
  <si>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</si>
  <si>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</si>
  <si>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</si>
  <si>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</si>
  <si>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</si>
  <si>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</si>
  <si>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</si>
  <si>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</si>
  <si>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</si>
  <si>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</si>
  <si>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</si>
  <si>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</si>
  <si>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</si>
  <si>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</si>
  <si>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</si>
  <si>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</si>
  <si>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</si>
  <si>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</si>
  <si>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</si>
  <si>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</si>
  <si>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</si>
  <si>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</si>
  <si>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</si>
  <si>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</si>
  <si>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</si>
  <si>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</si>
  <si>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</si>
  <si>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</si>
  <si>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</si>
  <si>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</si>
  <si>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</si>
  <si>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</si>
  <si>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</si>
  <si>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</si>
  <si>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</si>
  <si>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</si>
  <si>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</si>
  <si>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</si>
  <si>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</si>
  <si>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</si>
  <si>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</si>
  <si>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</si>
  <si>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</si>
  <si>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</si>
  <si>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</si>
  <si>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</si>
  <si>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</si>
  <si>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</si>
  <si>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</si>
  <si>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Taiwan</t>
  </si>
  <si>
    <t>Chris</t>
  </si>
  <si>
    <t>Maggie</t>
  </si>
  <si>
    <t>Y</t>
  </si>
  <si>
    <t xml:space="preserve">  </t>
  </si>
  <si>
    <t>Central African Republic</t>
  </si>
  <si>
    <t>TOTALS:</t>
  </si>
  <si>
    <t>Allyson</t>
  </si>
  <si>
    <t>Edward</t>
  </si>
  <si>
    <t>Country or Territory</t>
  </si>
  <si>
    <t>Special municipality of the Netherlands</t>
  </si>
  <si>
    <t>Status</t>
  </si>
  <si>
    <t>Dependent territory of New Zealand</t>
  </si>
  <si>
    <t>Overseas collectivity of France</t>
  </si>
  <si>
    <t>Sovereign State</t>
  </si>
  <si>
    <t>Political Status</t>
  </si>
  <si>
    <t>East Jerusalem (claimed capital)</t>
  </si>
  <si>
    <t>Overseas department of France</t>
  </si>
  <si>
    <t>El Aaiún (official)</t>
  </si>
  <si>
    <t>Overseas territory of the United Kingdom</t>
  </si>
  <si>
    <t>External territory of Australia</t>
  </si>
  <si>
    <t>Special administrative region of China</t>
  </si>
  <si>
    <t>Autonomous region of Finland (recognized by international treaty)</t>
  </si>
  <si>
    <t>Self-governing territory of the Danish Realm</t>
  </si>
  <si>
    <t>Crown dependency of the United Kingdom</t>
  </si>
  <si>
    <t>Special territory of Norway</t>
  </si>
  <si>
    <t>Special territory of Norway (recognized by international treaty)</t>
  </si>
  <si>
    <t>Constituent country of the Kingdom of the Netherlands</t>
  </si>
  <si>
    <t>Overseas territory of France</t>
  </si>
  <si>
    <t>Plymouth (official)</t>
  </si>
  <si>
    <t>Insular area of the United States of America</t>
  </si>
  <si>
    <t>Sucre (official)</t>
  </si>
  <si>
    <t>Self-governing parliamentary democracy in free association with New Zealand. It shares a head of state with New Zealand as well as having shared citizenship, but is independent in its international affairs.</t>
  </si>
  <si>
    <t>Self-governing territory of Australia</t>
  </si>
  <si>
    <t>Dependent territory of Norway</t>
  </si>
  <si>
    <t>Classification according to United Nations Statistics Division geoscheme, for statistical purposes</t>
  </si>
  <si>
    <t xml:space="preserve">Name </t>
  </si>
  <si>
    <t xml:space="preserve">Capital </t>
  </si>
  <si>
    <t xml:space="preserve">Algeria </t>
  </si>
  <si>
    <t xml:space="preserve">Algiers </t>
  </si>
  <si>
    <t xml:space="preserve">Angola </t>
  </si>
  <si>
    <t xml:space="preserve">Luanda </t>
  </si>
  <si>
    <t xml:space="preserve">Benin </t>
  </si>
  <si>
    <t xml:space="preserve">Botswana </t>
  </si>
  <si>
    <t xml:space="preserve">Gaborone </t>
  </si>
  <si>
    <t xml:space="preserve">Burkina Faso </t>
  </si>
  <si>
    <t xml:space="preserve">Ouagadougou </t>
  </si>
  <si>
    <t xml:space="preserve">Burundi </t>
  </si>
  <si>
    <t xml:space="preserve">Bujumbura </t>
  </si>
  <si>
    <t xml:space="preserve">Cameroon </t>
  </si>
  <si>
    <t xml:space="preserve">Yaoundé </t>
  </si>
  <si>
    <t xml:space="preserve">Cape Verde (Cabo Verde) </t>
  </si>
  <si>
    <t xml:space="preserve">Praia </t>
  </si>
  <si>
    <t xml:space="preserve">Central African Republic </t>
  </si>
  <si>
    <t xml:space="preserve">Bangui </t>
  </si>
  <si>
    <t xml:space="preserve">Chad </t>
  </si>
  <si>
    <t xml:space="preserve">N'Djamena </t>
  </si>
  <si>
    <t xml:space="preserve">Comoros </t>
  </si>
  <si>
    <t xml:space="preserve">Moroni </t>
  </si>
  <si>
    <t xml:space="preserve">Congo (Congo-Brazzaville) </t>
  </si>
  <si>
    <t xml:space="preserve">Brazzaville </t>
  </si>
  <si>
    <t xml:space="preserve">Democratic Republic of the Congo (Congo-Kinshasa) </t>
  </si>
  <si>
    <t xml:space="preserve">Kinshasa </t>
  </si>
  <si>
    <t xml:space="preserve">Djibouti </t>
  </si>
  <si>
    <t xml:space="preserve">Djibouti City </t>
  </si>
  <si>
    <t xml:space="preserve">Egypt </t>
  </si>
  <si>
    <t xml:space="preserve">Cairo </t>
  </si>
  <si>
    <t xml:space="preserve">Equatorial Guinea </t>
  </si>
  <si>
    <t xml:space="preserve">Malabo </t>
  </si>
  <si>
    <t xml:space="preserve">Eritrea </t>
  </si>
  <si>
    <t xml:space="preserve">Asmara </t>
  </si>
  <si>
    <t xml:space="preserve">Ethiopia </t>
  </si>
  <si>
    <t xml:space="preserve">Addis Ababa </t>
  </si>
  <si>
    <t xml:space="preserve">Gabon </t>
  </si>
  <si>
    <t xml:space="preserve">Libreville </t>
  </si>
  <si>
    <t xml:space="preserve">Gambia </t>
  </si>
  <si>
    <t xml:space="preserve">Banjul </t>
  </si>
  <si>
    <t xml:space="preserve">Ghana </t>
  </si>
  <si>
    <t xml:space="preserve">Accra </t>
  </si>
  <si>
    <t xml:space="preserve">Guinea </t>
  </si>
  <si>
    <t xml:space="preserve">Conakry </t>
  </si>
  <si>
    <t xml:space="preserve">Guinea-Bissau </t>
  </si>
  <si>
    <t xml:space="preserve">Bissau </t>
  </si>
  <si>
    <t xml:space="preserve">Ivory Coast (Côte d'Ivoire) </t>
  </si>
  <si>
    <t xml:space="preserve">Kenya </t>
  </si>
  <si>
    <t xml:space="preserve">Nairobi </t>
  </si>
  <si>
    <t xml:space="preserve">Lesotho </t>
  </si>
  <si>
    <t xml:space="preserve">Maseru </t>
  </si>
  <si>
    <t xml:space="preserve">Liberia </t>
  </si>
  <si>
    <t xml:space="preserve">Monrovia </t>
  </si>
  <si>
    <t xml:space="preserve">Libya </t>
  </si>
  <si>
    <t xml:space="preserve">Tripoli </t>
  </si>
  <si>
    <t xml:space="preserve">Madagascar </t>
  </si>
  <si>
    <t xml:space="preserve">Antananarivo </t>
  </si>
  <si>
    <t xml:space="preserve">Malawi </t>
  </si>
  <si>
    <t xml:space="preserve">Lilongwe </t>
  </si>
  <si>
    <t xml:space="preserve">Mali </t>
  </si>
  <si>
    <t xml:space="preserve">Bamako </t>
  </si>
  <si>
    <t xml:space="preserve">Mauritania </t>
  </si>
  <si>
    <t xml:space="preserve">Nouakchott </t>
  </si>
  <si>
    <t xml:space="preserve">Mauritius </t>
  </si>
  <si>
    <t xml:space="preserve">Port Louis </t>
  </si>
  <si>
    <t xml:space="preserve">Mayotte </t>
  </si>
  <si>
    <t xml:space="preserve">Mamoudzou </t>
  </si>
  <si>
    <t xml:space="preserve">Morocco </t>
  </si>
  <si>
    <t xml:space="preserve">Rabat </t>
  </si>
  <si>
    <t xml:space="preserve">Mozambique </t>
  </si>
  <si>
    <t xml:space="preserve">Maputo </t>
  </si>
  <si>
    <t xml:space="preserve">Namibia </t>
  </si>
  <si>
    <t xml:space="preserve">Windhoek </t>
  </si>
  <si>
    <t xml:space="preserve">Niger </t>
  </si>
  <si>
    <t xml:space="preserve">Niamey </t>
  </si>
  <si>
    <t xml:space="preserve">Nigeria </t>
  </si>
  <si>
    <t xml:space="preserve">Abuja </t>
  </si>
  <si>
    <t xml:space="preserve">Réunion </t>
  </si>
  <si>
    <t xml:space="preserve">Saint-Denis </t>
  </si>
  <si>
    <t xml:space="preserve">Rwanda </t>
  </si>
  <si>
    <t xml:space="preserve">Kigali </t>
  </si>
  <si>
    <t xml:space="preserve">Sahrawi Arab Democratic Republic </t>
  </si>
  <si>
    <t xml:space="preserve">Saint Helena, Ascension and Tristan da Cunha </t>
  </si>
  <si>
    <t xml:space="preserve">São Tomé and Príncipe </t>
  </si>
  <si>
    <t xml:space="preserve">São Tomé </t>
  </si>
  <si>
    <t xml:space="preserve">Senegal </t>
  </si>
  <si>
    <t xml:space="preserve">Dakar </t>
  </si>
  <si>
    <t xml:space="preserve">Seychelles </t>
  </si>
  <si>
    <t xml:space="preserve">Victoria </t>
  </si>
  <si>
    <t xml:space="preserve">Sierra Leone </t>
  </si>
  <si>
    <t xml:space="preserve">Freetown </t>
  </si>
  <si>
    <t xml:space="preserve">Somalia </t>
  </si>
  <si>
    <t xml:space="preserve">Mogadishu </t>
  </si>
  <si>
    <t xml:space="preserve">Somaliland </t>
  </si>
  <si>
    <t xml:space="preserve">Hargeisa </t>
  </si>
  <si>
    <t xml:space="preserve">South Africa </t>
  </si>
  <si>
    <t xml:space="preserve">South Sudan </t>
  </si>
  <si>
    <t xml:space="preserve">Juba </t>
  </si>
  <si>
    <t xml:space="preserve">Sudan </t>
  </si>
  <si>
    <t xml:space="preserve">Khartoum </t>
  </si>
  <si>
    <t xml:space="preserve">Tanzania </t>
  </si>
  <si>
    <t xml:space="preserve">Togo </t>
  </si>
  <si>
    <t xml:space="preserve">Lomé </t>
  </si>
  <si>
    <t xml:space="preserve">Tunisia </t>
  </si>
  <si>
    <t xml:space="preserve">Tunis </t>
  </si>
  <si>
    <t xml:space="preserve">Uganda </t>
  </si>
  <si>
    <t xml:space="preserve">Kampala </t>
  </si>
  <si>
    <t xml:space="preserve">Zambia </t>
  </si>
  <si>
    <t xml:space="preserve">Lusaka </t>
  </si>
  <si>
    <t xml:space="preserve">Zimbabwe </t>
  </si>
  <si>
    <t xml:space="preserve">Harare </t>
  </si>
  <si>
    <t xml:space="preserve">Abkhazia </t>
  </si>
  <si>
    <t xml:space="preserve">Sukhumi </t>
  </si>
  <si>
    <t xml:space="preserve">Afghanistan </t>
  </si>
  <si>
    <t xml:space="preserve">Kabul </t>
  </si>
  <si>
    <t xml:space="preserve">Akrotiri and Dhekelia </t>
  </si>
  <si>
    <t xml:space="preserve">Episkopi Cantonment </t>
  </si>
  <si>
    <t xml:space="preserve">Armenia [Europe] </t>
  </si>
  <si>
    <t xml:space="preserve">Yerevan </t>
  </si>
  <si>
    <t xml:space="preserve">Azerbaijan [Europe] </t>
  </si>
  <si>
    <t xml:space="preserve">Baku </t>
  </si>
  <si>
    <t xml:space="preserve">Bahrain </t>
  </si>
  <si>
    <t xml:space="preserve">Manama </t>
  </si>
  <si>
    <t xml:space="preserve">Bangladesh </t>
  </si>
  <si>
    <t xml:space="preserve">Dhaka </t>
  </si>
  <si>
    <t xml:space="preserve">Bhutan </t>
  </si>
  <si>
    <t xml:space="preserve">Thimphu </t>
  </si>
  <si>
    <t xml:space="preserve">British Indian Ocean Territory </t>
  </si>
  <si>
    <t xml:space="preserve">Diego Garcia </t>
  </si>
  <si>
    <t xml:space="preserve">Brunei </t>
  </si>
  <si>
    <t xml:space="preserve">Bandar Seri Begawan </t>
  </si>
  <si>
    <t xml:space="preserve">Cambodia </t>
  </si>
  <si>
    <t xml:space="preserve">Phnom Penh </t>
  </si>
  <si>
    <t xml:space="preserve">Beijing </t>
  </si>
  <si>
    <t xml:space="preserve">Christmas Island </t>
  </si>
  <si>
    <t xml:space="preserve">Flying Fish Cove </t>
  </si>
  <si>
    <t xml:space="preserve">Cocos (Keeling) Islands </t>
  </si>
  <si>
    <t xml:space="preserve">West Island </t>
  </si>
  <si>
    <t xml:space="preserve">Cyprus [Europe] </t>
  </si>
  <si>
    <t xml:space="preserve">Nicosia </t>
  </si>
  <si>
    <t xml:space="preserve">East Timor (Timor-Leste) </t>
  </si>
  <si>
    <t xml:space="preserve">Dili </t>
  </si>
  <si>
    <t xml:space="preserve">Georgia [Europe] </t>
  </si>
  <si>
    <t xml:space="preserve">Tbilisi </t>
  </si>
  <si>
    <t xml:space="preserve">Hong Kong </t>
  </si>
  <si>
    <t xml:space="preserve">India </t>
  </si>
  <si>
    <t xml:space="preserve">New Delhi </t>
  </si>
  <si>
    <t xml:space="preserve">Indonesia </t>
  </si>
  <si>
    <t xml:space="preserve">Jakarta </t>
  </si>
  <si>
    <t xml:space="preserve">Iran </t>
  </si>
  <si>
    <t xml:space="preserve">Tehran </t>
  </si>
  <si>
    <t xml:space="preserve">Iraq </t>
  </si>
  <si>
    <t xml:space="preserve">Baghdad </t>
  </si>
  <si>
    <t xml:space="preserve">Israel </t>
  </si>
  <si>
    <t xml:space="preserve">Tel-Aviv </t>
  </si>
  <si>
    <t xml:space="preserve">Japan </t>
  </si>
  <si>
    <t xml:space="preserve">Tokyo </t>
  </si>
  <si>
    <t xml:space="preserve">Jordan </t>
  </si>
  <si>
    <t xml:space="preserve">Amman </t>
  </si>
  <si>
    <t xml:space="preserve">Kazakhstan </t>
  </si>
  <si>
    <t xml:space="preserve">Astana </t>
  </si>
  <si>
    <t xml:space="preserve">Kuwait </t>
  </si>
  <si>
    <t xml:space="preserve">Kuwait City </t>
  </si>
  <si>
    <t xml:space="preserve">Kyrgyzstan </t>
  </si>
  <si>
    <t xml:space="preserve">Bishkek </t>
  </si>
  <si>
    <t xml:space="preserve">Laos </t>
  </si>
  <si>
    <t xml:space="preserve">Vientiane </t>
  </si>
  <si>
    <t xml:space="preserve">Lebanon </t>
  </si>
  <si>
    <t xml:space="preserve">Beirut </t>
  </si>
  <si>
    <t xml:space="preserve">Macau </t>
  </si>
  <si>
    <t xml:space="preserve">— </t>
  </si>
  <si>
    <t xml:space="preserve">Malaysia </t>
  </si>
  <si>
    <t xml:space="preserve">Maldives </t>
  </si>
  <si>
    <t xml:space="preserve">Malé </t>
  </si>
  <si>
    <t xml:space="preserve">Mongolia </t>
  </si>
  <si>
    <t xml:space="preserve">Ulaanbaatar </t>
  </si>
  <si>
    <t xml:space="preserve">Myanmar (Burma) </t>
  </si>
  <si>
    <t xml:space="preserve">Naypyidaw </t>
  </si>
  <si>
    <t xml:space="preserve">Nagorno-Karabakh </t>
  </si>
  <si>
    <t xml:space="preserve">Stepanakert </t>
  </si>
  <si>
    <t xml:space="preserve">Nepal </t>
  </si>
  <si>
    <t xml:space="preserve">Kathmandu </t>
  </si>
  <si>
    <t xml:space="preserve">Northern Cyprus </t>
  </si>
  <si>
    <t xml:space="preserve">North Korea </t>
  </si>
  <si>
    <t xml:space="preserve">Pyongyang </t>
  </si>
  <si>
    <t xml:space="preserve">Oman </t>
  </si>
  <si>
    <t xml:space="preserve">Muscat </t>
  </si>
  <si>
    <t xml:space="preserve">Pakistan </t>
  </si>
  <si>
    <t xml:space="preserve">Islamabad </t>
  </si>
  <si>
    <t xml:space="preserve">Palestine </t>
  </si>
  <si>
    <t xml:space="preserve">Philippines </t>
  </si>
  <si>
    <t xml:space="preserve">Manila </t>
  </si>
  <si>
    <t xml:space="preserve">Qatar </t>
  </si>
  <si>
    <t xml:space="preserve">Doha </t>
  </si>
  <si>
    <t xml:space="preserve">Saudi Arabia </t>
  </si>
  <si>
    <t xml:space="preserve">Riyadh </t>
  </si>
  <si>
    <t xml:space="preserve">Singapore </t>
  </si>
  <si>
    <t xml:space="preserve">South Korea </t>
  </si>
  <si>
    <t xml:space="preserve">Seoul </t>
  </si>
  <si>
    <t xml:space="preserve">South Ossetia </t>
  </si>
  <si>
    <t xml:space="preserve">Tskhinvali </t>
  </si>
  <si>
    <t xml:space="preserve">Sri Lanka </t>
  </si>
  <si>
    <t xml:space="preserve">Sri Jayawardenapura Kotte </t>
  </si>
  <si>
    <t xml:space="preserve">Syria </t>
  </si>
  <si>
    <t xml:space="preserve">Damascus </t>
  </si>
  <si>
    <t xml:space="preserve">Taiwan </t>
  </si>
  <si>
    <t xml:space="preserve">Taipei </t>
  </si>
  <si>
    <t xml:space="preserve">Tajikistan </t>
  </si>
  <si>
    <t xml:space="preserve">Dushanbe </t>
  </si>
  <si>
    <t xml:space="preserve">Thailand </t>
  </si>
  <si>
    <t xml:space="preserve">Bangkok </t>
  </si>
  <si>
    <t xml:space="preserve">Turkey [Europe] </t>
  </si>
  <si>
    <t xml:space="preserve">Ankara </t>
  </si>
  <si>
    <t xml:space="preserve">Turkmenistan </t>
  </si>
  <si>
    <t xml:space="preserve">Ashgabat </t>
  </si>
  <si>
    <t xml:space="preserve">United Arab Emirates </t>
  </si>
  <si>
    <t xml:space="preserve">Abu Dhabi </t>
  </si>
  <si>
    <t xml:space="preserve">Uzbekistan </t>
  </si>
  <si>
    <t xml:space="preserve">Tashkent </t>
  </si>
  <si>
    <t xml:space="preserve">Vietnam </t>
  </si>
  <si>
    <t xml:space="preserve">Hanoi </t>
  </si>
  <si>
    <t xml:space="preserve">Yemen </t>
  </si>
  <si>
    <t xml:space="preserve">Sana'a </t>
  </si>
  <si>
    <t xml:space="preserve">Åland Islands </t>
  </si>
  <si>
    <t xml:space="preserve">Mariehamn </t>
  </si>
  <si>
    <t xml:space="preserve">Albania </t>
  </si>
  <si>
    <t xml:space="preserve">Tirana </t>
  </si>
  <si>
    <t xml:space="preserve">Andorra </t>
  </si>
  <si>
    <t xml:space="preserve">Andorra la Vella </t>
  </si>
  <si>
    <t xml:space="preserve">Austria </t>
  </si>
  <si>
    <t xml:space="preserve">Vienna </t>
  </si>
  <si>
    <t xml:space="preserve">Belarus </t>
  </si>
  <si>
    <t xml:space="preserve">Minsk </t>
  </si>
  <si>
    <t xml:space="preserve">Belgium </t>
  </si>
  <si>
    <t xml:space="preserve">Brussels </t>
  </si>
  <si>
    <t xml:space="preserve">Bosnia and Herzegovina </t>
  </si>
  <si>
    <t xml:space="preserve">Sarajevo </t>
  </si>
  <si>
    <t xml:space="preserve">Bulgaria </t>
  </si>
  <si>
    <t xml:space="preserve">Sofia </t>
  </si>
  <si>
    <t xml:space="preserve">Croatia </t>
  </si>
  <si>
    <t xml:space="preserve">Zagreb </t>
  </si>
  <si>
    <t xml:space="preserve">Czech Republic </t>
  </si>
  <si>
    <t xml:space="preserve">Prague </t>
  </si>
  <si>
    <t xml:space="preserve">Denmark </t>
  </si>
  <si>
    <t xml:space="preserve">Copenhagen </t>
  </si>
  <si>
    <t xml:space="preserve">Estonia </t>
  </si>
  <si>
    <t xml:space="preserve">Tallinn </t>
  </si>
  <si>
    <t xml:space="preserve">Faroe Islands </t>
  </si>
  <si>
    <t xml:space="preserve">Tórshavn </t>
  </si>
  <si>
    <t xml:space="preserve">Finland </t>
  </si>
  <si>
    <t xml:space="preserve">Helsinki </t>
  </si>
  <si>
    <t xml:space="preserve">France </t>
  </si>
  <si>
    <t xml:space="preserve">Paris </t>
  </si>
  <si>
    <t xml:space="preserve">Germany </t>
  </si>
  <si>
    <t xml:space="preserve">Berlin </t>
  </si>
  <si>
    <t xml:space="preserve">Gibraltar </t>
  </si>
  <si>
    <t xml:space="preserve">Greece </t>
  </si>
  <si>
    <t xml:space="preserve">Athens </t>
  </si>
  <si>
    <t xml:space="preserve">Guernsey </t>
  </si>
  <si>
    <t xml:space="preserve">Saint Peter Port </t>
  </si>
  <si>
    <t xml:space="preserve">Hungary </t>
  </si>
  <si>
    <t xml:space="preserve">Budapest </t>
  </si>
  <si>
    <t xml:space="preserve">Iceland </t>
  </si>
  <si>
    <t xml:space="preserve">Reykjavík </t>
  </si>
  <si>
    <t xml:space="preserve">Ireland </t>
  </si>
  <si>
    <t xml:space="preserve">Dublin </t>
  </si>
  <si>
    <t xml:space="preserve">Isle of Man </t>
  </si>
  <si>
    <t xml:space="preserve">Douglas </t>
  </si>
  <si>
    <t xml:space="preserve">Italy </t>
  </si>
  <si>
    <t xml:space="preserve">Rome </t>
  </si>
  <si>
    <t xml:space="preserve">Norway </t>
  </si>
  <si>
    <t xml:space="preserve">Jan Mayen </t>
  </si>
  <si>
    <t xml:space="preserve">Jersey </t>
  </si>
  <si>
    <t xml:space="preserve">Saint Helier </t>
  </si>
  <si>
    <t xml:space="preserve">Pristina </t>
  </si>
  <si>
    <t>De facto sovereign state recognized by 108 UN member states</t>
  </si>
  <si>
    <t xml:space="preserve">Latvia </t>
  </si>
  <si>
    <t xml:space="preserve">Riga </t>
  </si>
  <si>
    <t xml:space="preserve">Liechtenstein </t>
  </si>
  <si>
    <t xml:space="preserve">Vaduz </t>
  </si>
  <si>
    <t xml:space="preserve">Lithuania </t>
  </si>
  <si>
    <t xml:space="preserve">Vilnius </t>
  </si>
  <si>
    <t xml:space="preserve">Luxembourg </t>
  </si>
  <si>
    <t xml:space="preserve">Macedonia </t>
  </si>
  <si>
    <t xml:space="preserve">Skopje </t>
  </si>
  <si>
    <t xml:space="preserve">Malta </t>
  </si>
  <si>
    <t xml:space="preserve">Valletta </t>
  </si>
  <si>
    <t xml:space="preserve">Moldova </t>
  </si>
  <si>
    <t xml:space="preserve">Chisinau </t>
  </si>
  <si>
    <t xml:space="preserve">Monaco </t>
  </si>
  <si>
    <t xml:space="preserve">Montenegro </t>
  </si>
  <si>
    <t xml:space="preserve">Podgorica </t>
  </si>
  <si>
    <t xml:space="preserve">Netherlands </t>
  </si>
  <si>
    <t xml:space="preserve">Amsterdam </t>
  </si>
  <si>
    <t xml:space="preserve">Oslo </t>
  </si>
  <si>
    <t xml:space="preserve">Poland </t>
  </si>
  <si>
    <t xml:space="preserve">Warsaw </t>
  </si>
  <si>
    <t xml:space="preserve">Portugal </t>
  </si>
  <si>
    <t xml:space="preserve">Lisbon </t>
  </si>
  <si>
    <t xml:space="preserve">Romania </t>
  </si>
  <si>
    <t xml:space="preserve">Bucharest </t>
  </si>
  <si>
    <t xml:space="preserve">Russia </t>
  </si>
  <si>
    <t xml:space="preserve">Moscow </t>
  </si>
  <si>
    <t xml:space="preserve">San Marino </t>
  </si>
  <si>
    <t xml:space="preserve">Serbia </t>
  </si>
  <si>
    <t xml:space="preserve">Belgrade </t>
  </si>
  <si>
    <t xml:space="preserve">Slovakia </t>
  </si>
  <si>
    <t xml:space="preserve">Bratislava </t>
  </si>
  <si>
    <t xml:space="preserve">Slovenia </t>
  </si>
  <si>
    <t xml:space="preserve">Ljubljana </t>
  </si>
  <si>
    <t xml:space="preserve">Spain </t>
  </si>
  <si>
    <t xml:space="preserve">Madrid </t>
  </si>
  <si>
    <t xml:space="preserve">Svalbard </t>
  </si>
  <si>
    <t xml:space="preserve">Longyearbyen </t>
  </si>
  <si>
    <t xml:space="preserve">Sweden </t>
  </si>
  <si>
    <t xml:space="preserve">Stockholm </t>
  </si>
  <si>
    <t xml:space="preserve">Switzerland </t>
  </si>
  <si>
    <t xml:space="preserve">Bern </t>
  </si>
  <si>
    <t xml:space="preserve">Transnistria </t>
  </si>
  <si>
    <t xml:space="preserve">Tiraspol </t>
  </si>
  <si>
    <t xml:space="preserve">Ukraine </t>
  </si>
  <si>
    <t xml:space="preserve">Kyiv </t>
  </si>
  <si>
    <t xml:space="preserve">United Kingdom </t>
  </si>
  <si>
    <t xml:space="preserve">London </t>
  </si>
  <si>
    <t xml:space="preserve">Vatican City </t>
  </si>
  <si>
    <t xml:space="preserve">Vatican City/Holy See </t>
  </si>
  <si>
    <t xml:space="preserve">Anguilla </t>
  </si>
  <si>
    <t xml:space="preserve">The Valley </t>
  </si>
  <si>
    <t xml:space="preserve">Antigua and Barbuda </t>
  </si>
  <si>
    <t xml:space="preserve">St. John's </t>
  </si>
  <si>
    <t xml:space="preserve">Aruba </t>
  </si>
  <si>
    <t xml:space="preserve">Oranjestad </t>
  </si>
  <si>
    <t xml:space="preserve">Bahamas </t>
  </si>
  <si>
    <t xml:space="preserve">Nassau </t>
  </si>
  <si>
    <t xml:space="preserve">Barbados </t>
  </si>
  <si>
    <t xml:space="preserve">Bridgetown </t>
  </si>
  <si>
    <t xml:space="preserve">Belize </t>
  </si>
  <si>
    <t xml:space="preserve">Belmopan </t>
  </si>
  <si>
    <t xml:space="preserve">Bermuda </t>
  </si>
  <si>
    <t xml:space="preserve">Hamilton </t>
  </si>
  <si>
    <t xml:space="preserve">Bonaire </t>
  </si>
  <si>
    <t xml:space="preserve">Kralendijk </t>
  </si>
  <si>
    <t xml:space="preserve">British Virgin Islands </t>
  </si>
  <si>
    <t xml:space="preserve">Road Town </t>
  </si>
  <si>
    <t xml:space="preserve">Canada </t>
  </si>
  <si>
    <t xml:space="preserve">Ottawa </t>
  </si>
  <si>
    <t xml:space="preserve">Cayman Islands </t>
  </si>
  <si>
    <t xml:space="preserve">George Town </t>
  </si>
  <si>
    <t xml:space="preserve">Clipperton Island </t>
  </si>
  <si>
    <t xml:space="preserve">Costa Rica </t>
  </si>
  <si>
    <t xml:space="preserve">San José </t>
  </si>
  <si>
    <t xml:space="preserve">Cuba </t>
  </si>
  <si>
    <t xml:space="preserve">Havana </t>
  </si>
  <si>
    <t xml:space="preserve">Curaçao </t>
  </si>
  <si>
    <t xml:space="preserve">Willemstad </t>
  </si>
  <si>
    <t xml:space="preserve">Dominica </t>
  </si>
  <si>
    <t xml:space="preserve">Roseau </t>
  </si>
  <si>
    <t xml:space="preserve">Dominican Republic </t>
  </si>
  <si>
    <t xml:space="preserve">Santo Domingo </t>
  </si>
  <si>
    <t xml:space="preserve">El Salvador </t>
  </si>
  <si>
    <t xml:space="preserve">San Salvador </t>
  </si>
  <si>
    <t xml:space="preserve">Greenland </t>
  </si>
  <si>
    <t xml:space="preserve">Nuuk </t>
  </si>
  <si>
    <t xml:space="preserve">Grenada </t>
  </si>
  <si>
    <t xml:space="preserve">St. George's </t>
  </si>
  <si>
    <t xml:space="preserve">Guadeloupe </t>
  </si>
  <si>
    <t xml:space="preserve">Basse-Terre </t>
  </si>
  <si>
    <t xml:space="preserve">Guatemala </t>
  </si>
  <si>
    <t xml:space="preserve">Guatemala City </t>
  </si>
  <si>
    <t xml:space="preserve">Haiti </t>
  </si>
  <si>
    <t xml:space="preserve">Port-au-Prince </t>
  </si>
  <si>
    <t xml:space="preserve">Honduras </t>
  </si>
  <si>
    <t xml:space="preserve">Tegucigalpa </t>
  </si>
  <si>
    <t xml:space="preserve">Jamaica </t>
  </si>
  <si>
    <t xml:space="preserve">Kingston </t>
  </si>
  <si>
    <t xml:space="preserve">Martinique </t>
  </si>
  <si>
    <t xml:space="preserve">Fort-de-France </t>
  </si>
  <si>
    <t xml:space="preserve">Mexico </t>
  </si>
  <si>
    <t xml:space="preserve">Mexico City </t>
  </si>
  <si>
    <t xml:space="preserve">Montserrat </t>
  </si>
  <si>
    <t xml:space="preserve">Navassa Island </t>
  </si>
  <si>
    <t xml:space="preserve">Lulu Town </t>
  </si>
  <si>
    <t xml:space="preserve">Nicaragua </t>
  </si>
  <si>
    <t xml:space="preserve">Managua </t>
  </si>
  <si>
    <t xml:space="preserve">Panama </t>
  </si>
  <si>
    <t xml:space="preserve">Panama City </t>
  </si>
  <si>
    <t xml:space="preserve">Puerto Rico </t>
  </si>
  <si>
    <t xml:space="preserve">San Juan </t>
  </si>
  <si>
    <t xml:space="preserve">Saba </t>
  </si>
  <si>
    <t xml:space="preserve">The Bottom </t>
  </si>
  <si>
    <t xml:space="preserve">Saint Barthélemy </t>
  </si>
  <si>
    <t xml:space="preserve">Gustavia </t>
  </si>
  <si>
    <t xml:space="preserve">Saint Kitts and Nevis </t>
  </si>
  <si>
    <t xml:space="preserve">Basseterre </t>
  </si>
  <si>
    <t xml:space="preserve">Saint Lucia </t>
  </si>
  <si>
    <t xml:space="preserve">Castries </t>
  </si>
  <si>
    <t xml:space="preserve">Saint Martin </t>
  </si>
  <si>
    <t xml:space="preserve">Marigot </t>
  </si>
  <si>
    <t xml:space="preserve">Saint Pierre and Miquelon </t>
  </si>
  <si>
    <t xml:space="preserve">Saint-Pierre </t>
  </si>
  <si>
    <t xml:space="preserve">Saint Vincent and the Grenadines </t>
  </si>
  <si>
    <t xml:space="preserve">Kingstown </t>
  </si>
  <si>
    <t xml:space="preserve">Sint Eustatius </t>
  </si>
  <si>
    <t xml:space="preserve">Sint Maarten </t>
  </si>
  <si>
    <t xml:space="preserve">Philipsburg </t>
  </si>
  <si>
    <t xml:space="preserve">Trinidad and Tobago </t>
  </si>
  <si>
    <t xml:space="preserve">Port of Spain </t>
  </si>
  <si>
    <t xml:space="preserve">Turks and Caicos Islands </t>
  </si>
  <si>
    <t xml:space="preserve">Cockburn Town </t>
  </si>
  <si>
    <t xml:space="preserve">United States of America </t>
  </si>
  <si>
    <t xml:space="preserve">Washington, D.C. </t>
  </si>
  <si>
    <t xml:space="preserve">United States Virgin Islands </t>
  </si>
  <si>
    <t xml:space="preserve">Charlotte Amalie </t>
  </si>
  <si>
    <t xml:space="preserve">Argentina </t>
  </si>
  <si>
    <t xml:space="preserve">Buenos Aires </t>
  </si>
  <si>
    <t xml:space="preserve">Bolivia </t>
  </si>
  <si>
    <t xml:space="preserve">Brazil </t>
  </si>
  <si>
    <t xml:space="preserve">Brasília </t>
  </si>
  <si>
    <t xml:space="preserve">Chile </t>
  </si>
  <si>
    <t xml:space="preserve">Santiago </t>
  </si>
  <si>
    <t xml:space="preserve">Colombia </t>
  </si>
  <si>
    <t xml:space="preserve">Bogotá </t>
  </si>
  <si>
    <t xml:space="preserve">Ecuador </t>
  </si>
  <si>
    <t xml:space="preserve">Quito </t>
  </si>
  <si>
    <t xml:space="preserve">Falkland Islands </t>
  </si>
  <si>
    <t xml:space="preserve">Stanley </t>
  </si>
  <si>
    <t xml:space="preserve">French Guiana </t>
  </si>
  <si>
    <t xml:space="preserve">Cayenne </t>
  </si>
  <si>
    <t xml:space="preserve">Guyana </t>
  </si>
  <si>
    <t xml:space="preserve">Georgetown </t>
  </si>
  <si>
    <t xml:space="preserve">Paraguay </t>
  </si>
  <si>
    <t xml:space="preserve">Asunción </t>
  </si>
  <si>
    <t xml:space="preserve">Peru </t>
  </si>
  <si>
    <t xml:space="preserve">Lima </t>
  </si>
  <si>
    <t xml:space="preserve">South Georgia and the South Sandwich Islands </t>
  </si>
  <si>
    <t xml:space="preserve">King Edward Point </t>
  </si>
  <si>
    <t xml:space="preserve">Suriname </t>
  </si>
  <si>
    <t xml:space="preserve">Paramaribo </t>
  </si>
  <si>
    <t xml:space="preserve">Uruguay </t>
  </si>
  <si>
    <t xml:space="preserve">Montevideo </t>
  </si>
  <si>
    <t xml:space="preserve">Venezuela </t>
  </si>
  <si>
    <t xml:space="preserve">Caracas </t>
  </si>
  <si>
    <t xml:space="preserve">American Samoa </t>
  </si>
  <si>
    <t xml:space="preserve">Pago Pago </t>
  </si>
  <si>
    <t xml:space="preserve">Ashmore and Cartier Islands </t>
  </si>
  <si>
    <t xml:space="preserve">Australia </t>
  </si>
  <si>
    <t xml:space="preserve">Canberra </t>
  </si>
  <si>
    <t xml:space="preserve">Baker Island </t>
  </si>
  <si>
    <t xml:space="preserve">Cook Islands </t>
  </si>
  <si>
    <t xml:space="preserve">Avarua </t>
  </si>
  <si>
    <t xml:space="preserve">Coral Sea Islands </t>
  </si>
  <si>
    <t xml:space="preserve">Fiji </t>
  </si>
  <si>
    <t xml:space="preserve">Suva </t>
  </si>
  <si>
    <t xml:space="preserve">French Polynesia </t>
  </si>
  <si>
    <t xml:space="preserve">Papeete </t>
  </si>
  <si>
    <t xml:space="preserve">Guam </t>
  </si>
  <si>
    <t xml:space="preserve">Hagåtña </t>
  </si>
  <si>
    <t xml:space="preserve">Howland Island </t>
  </si>
  <si>
    <t xml:space="preserve">Jarvis Island </t>
  </si>
  <si>
    <t xml:space="preserve">Johnston Atoll </t>
  </si>
  <si>
    <t xml:space="preserve">Kingman Reef </t>
  </si>
  <si>
    <t xml:space="preserve">Kiribati </t>
  </si>
  <si>
    <t xml:space="preserve">South Tarawa </t>
  </si>
  <si>
    <t xml:space="preserve">Marshall Islands </t>
  </si>
  <si>
    <t xml:space="preserve">Majuro </t>
  </si>
  <si>
    <t xml:space="preserve">Micronesia </t>
  </si>
  <si>
    <t xml:space="preserve">Palikir </t>
  </si>
  <si>
    <t xml:space="preserve">Midway Atoll </t>
  </si>
  <si>
    <t xml:space="preserve">Nauru </t>
  </si>
  <si>
    <t xml:space="preserve">Yaren (seat of government) </t>
  </si>
  <si>
    <t xml:space="preserve">New Caledonia </t>
  </si>
  <si>
    <t xml:space="preserve">Nouméa </t>
  </si>
  <si>
    <t>Sui generis collectivity (special collectivity) of France</t>
  </si>
  <si>
    <t xml:space="preserve">New Zealand </t>
  </si>
  <si>
    <t xml:space="preserve">Wellington </t>
  </si>
  <si>
    <t xml:space="preserve">Niue </t>
  </si>
  <si>
    <t xml:space="preserve">Alofi </t>
  </si>
  <si>
    <t xml:space="preserve">Norfolk Island </t>
  </si>
  <si>
    <t xml:space="preserve">Northern Mariana Islands </t>
  </si>
  <si>
    <t xml:space="preserve">Saipan </t>
  </si>
  <si>
    <t xml:space="preserve">Palau </t>
  </si>
  <si>
    <t xml:space="preserve">Ngerulmud </t>
  </si>
  <si>
    <t xml:space="preserve">Palmyra Atoll </t>
  </si>
  <si>
    <t xml:space="preserve">Papua New Guinea </t>
  </si>
  <si>
    <t xml:space="preserve">Port Moresby </t>
  </si>
  <si>
    <t xml:space="preserve">Pitcairn Islands </t>
  </si>
  <si>
    <t xml:space="preserve">Adamstown </t>
  </si>
  <si>
    <t xml:space="preserve">Samoa </t>
  </si>
  <si>
    <t xml:space="preserve">Apia </t>
  </si>
  <si>
    <t xml:space="preserve">Solomon Islands </t>
  </si>
  <si>
    <t xml:space="preserve">Honiara </t>
  </si>
  <si>
    <t xml:space="preserve">Tokelau </t>
  </si>
  <si>
    <t xml:space="preserve">Tonga </t>
  </si>
  <si>
    <t xml:space="preserve">Tuvalu </t>
  </si>
  <si>
    <t xml:space="preserve">Funafuti </t>
  </si>
  <si>
    <t xml:space="preserve">Vanuatu </t>
  </si>
  <si>
    <t xml:space="preserve">Port Vila </t>
  </si>
  <si>
    <t xml:space="preserve">Wake Island </t>
  </si>
  <si>
    <t xml:space="preserve">Wallis and Futuna </t>
  </si>
  <si>
    <t xml:space="preserve">Mata-Utu </t>
  </si>
  <si>
    <t xml:space="preserve">Bouvet Island </t>
  </si>
  <si>
    <t xml:space="preserve">French Southern and Antarctic Lands </t>
  </si>
  <si>
    <t xml:space="preserve">Heard Island and McDonald Islands </t>
  </si>
  <si>
    <t xml:space="preserve">Jamestown (Saint Helena); Georgetown (Ascension Island); Edinburgh of the Seven Seas (Tristan da Cunha) </t>
  </si>
  <si>
    <t>De facto sovereign state lacking general international recognition. Recognized by the United Nations as part of Somalia.</t>
  </si>
  <si>
    <t xml:space="preserve">Pretoria (administrative/executive); Cape Town (legislative); Bloemfontein (judicial) </t>
  </si>
  <si>
    <t xml:space="preserve">Mbabane (administrative); Lobamba (royal and legislative) </t>
  </si>
  <si>
    <t xml:space="preserve">Dodoma (official); Dar es Salaam (seat of government) </t>
  </si>
  <si>
    <t>De facto sovereign state lacking general international recognition. Recognized by the United Nations as part of Georgia</t>
  </si>
  <si>
    <t>Kuala Lumpur (official). Putrajaya (seat of government) .</t>
  </si>
  <si>
    <t>De facto sovereign state lacking general international recognition. Recognized by the United Nations as part of Azerbaijan.</t>
  </si>
  <si>
    <t>De facto sovereign state lacking general international recognition. Recognized by the United Nations as part of Cyprus.</t>
  </si>
  <si>
    <t>De facto sovereign state lacking general international recognition. Recognized by the United Nations as part of Georgia.</t>
  </si>
  <si>
    <t>De facto sovereign state lacking general international recognition. Recognized by the United Nations as part of China.</t>
  </si>
  <si>
    <t xml:space="preserve">De facto sovereign state lacking general international recognition. Recognized by the United Nations as part of Moldova. </t>
  </si>
  <si>
    <t>Self-governing parliamentary democracy in free association with New Zealand.</t>
  </si>
  <si>
    <t>Nukunonu (main settlement)</t>
  </si>
  <si>
    <t xml:space="preserve">Nuku'alofa </t>
  </si>
  <si>
    <t xml:space="preserve">Alfred Faure (Crozet Islands); Port-aux-Français (Kerguelen Islands); Martin-de-Viviès (Saint Paul and Amsterdam Islands) </t>
  </si>
  <si>
    <t xml:space="preserve">Porto-Novo (official); Cotonou (seat of government) </t>
  </si>
  <si>
    <t xml:space="preserve">Yamoussoukro (official); Abidjan (seat of government) </t>
  </si>
  <si>
    <t>De facto sovereign state lacking general international recognition. Claims territory of Western Sahara, most of which is controlled by Morocco.</t>
  </si>
  <si>
    <t>https://en.wikipedia.org/wiki/List_of_sovereign_states_and_dependent_territories_by_continent</t>
  </si>
  <si>
    <t>Non-sovereign or dependent territories are:</t>
  </si>
  <si>
    <t>2. Dependent territories of sovereign states.</t>
  </si>
  <si>
    <t>1. Integral parts of sovereign states located outside these states' mainland.</t>
  </si>
  <si>
    <t>3. Special territories recognized by international treaty (such as the special administrative regions of China)</t>
  </si>
  <si>
    <t>4. Other territories often regarded as separate geographical territories even though they are integral parts of their mother countries (such as the overseas departments of France)</t>
  </si>
  <si>
    <t>Sovereign states and dependent territories</t>
  </si>
  <si>
    <t>excluding minor dependent territories that are not travel/tourism destinations</t>
  </si>
  <si>
    <t xml:space="preserve">AF </t>
  </si>
  <si>
    <t xml:space="preserve">AFG </t>
  </si>
  <si>
    <t xml:space="preserve">AL </t>
  </si>
  <si>
    <t xml:space="preserve">ALB </t>
  </si>
  <si>
    <t xml:space="preserve">DZ </t>
  </si>
  <si>
    <t xml:space="preserve">DZA </t>
  </si>
  <si>
    <t xml:space="preserve">ASM </t>
  </si>
  <si>
    <t xml:space="preserve">AD </t>
  </si>
  <si>
    <t xml:space="preserve">AND </t>
  </si>
  <si>
    <t xml:space="preserve">AO </t>
  </si>
  <si>
    <t xml:space="preserve">AGO </t>
  </si>
  <si>
    <t xml:space="preserve">AIA </t>
  </si>
  <si>
    <t xml:space="preserve">ATA </t>
  </si>
  <si>
    <t xml:space="preserve">AG </t>
  </si>
  <si>
    <t xml:space="preserve">ATG </t>
  </si>
  <si>
    <t xml:space="preserve">AR </t>
  </si>
  <si>
    <t xml:space="preserve">ARG </t>
  </si>
  <si>
    <t xml:space="preserve">AM </t>
  </si>
  <si>
    <t xml:space="preserve">ARM </t>
  </si>
  <si>
    <t xml:space="preserve">ABW </t>
  </si>
  <si>
    <t xml:space="preserve">AU </t>
  </si>
  <si>
    <t xml:space="preserve">AUS </t>
  </si>
  <si>
    <t xml:space="preserve">AT </t>
  </si>
  <si>
    <t xml:space="preserve">AUT </t>
  </si>
  <si>
    <t xml:space="preserve">AZ </t>
  </si>
  <si>
    <t xml:space="preserve">AZE </t>
  </si>
  <si>
    <t xml:space="preserve">BS </t>
  </si>
  <si>
    <t xml:space="preserve">BHS </t>
  </si>
  <si>
    <t xml:space="preserve">BH </t>
  </si>
  <si>
    <t xml:space="preserve">BHR </t>
  </si>
  <si>
    <t xml:space="preserve">BD </t>
  </si>
  <si>
    <t xml:space="preserve">BGD </t>
  </si>
  <si>
    <t xml:space="preserve">BB </t>
  </si>
  <si>
    <t xml:space="preserve">BRB </t>
  </si>
  <si>
    <t xml:space="preserve">BY </t>
  </si>
  <si>
    <t xml:space="preserve">BLR </t>
  </si>
  <si>
    <t xml:space="preserve">BE </t>
  </si>
  <si>
    <t xml:space="preserve">BEL </t>
  </si>
  <si>
    <t xml:space="preserve">BZ </t>
  </si>
  <si>
    <t xml:space="preserve">BLZ </t>
  </si>
  <si>
    <t xml:space="preserve">BJ </t>
  </si>
  <si>
    <t xml:space="preserve">BEN </t>
  </si>
  <si>
    <t xml:space="preserve">BMU </t>
  </si>
  <si>
    <t xml:space="preserve">BT </t>
  </si>
  <si>
    <t xml:space="preserve">BTN </t>
  </si>
  <si>
    <t xml:space="preserve">BO </t>
  </si>
  <si>
    <t xml:space="preserve">BOL </t>
  </si>
  <si>
    <t xml:space="preserve">BES </t>
  </si>
  <si>
    <t xml:space="preserve">BA </t>
  </si>
  <si>
    <t xml:space="preserve">BIH </t>
  </si>
  <si>
    <t xml:space="preserve">BW </t>
  </si>
  <si>
    <t xml:space="preserve">BWA </t>
  </si>
  <si>
    <t xml:space="preserve">BR </t>
  </si>
  <si>
    <t xml:space="preserve">BRA </t>
  </si>
  <si>
    <t xml:space="preserve">BN </t>
  </si>
  <si>
    <t xml:space="preserve">BRN </t>
  </si>
  <si>
    <t xml:space="preserve">BG </t>
  </si>
  <si>
    <t xml:space="preserve">BGR </t>
  </si>
  <si>
    <t xml:space="preserve">BF </t>
  </si>
  <si>
    <t xml:space="preserve">BFA </t>
  </si>
  <si>
    <t xml:space="preserve">BI </t>
  </si>
  <si>
    <t xml:space="preserve">BDI </t>
  </si>
  <si>
    <t xml:space="preserve">KH </t>
  </si>
  <si>
    <t xml:space="preserve">KHM </t>
  </si>
  <si>
    <t xml:space="preserve">CM </t>
  </si>
  <si>
    <t xml:space="preserve">CMR </t>
  </si>
  <si>
    <t xml:space="preserve">CA </t>
  </si>
  <si>
    <t xml:space="preserve">CAN </t>
  </si>
  <si>
    <t xml:space="preserve">CV </t>
  </si>
  <si>
    <t xml:space="preserve">CPV </t>
  </si>
  <si>
    <t xml:space="preserve">CYM </t>
  </si>
  <si>
    <t xml:space="preserve">CF </t>
  </si>
  <si>
    <t xml:space="preserve">CAF </t>
  </si>
  <si>
    <t xml:space="preserve">TD </t>
  </si>
  <si>
    <t xml:space="preserve">TCD </t>
  </si>
  <si>
    <t xml:space="preserve">CL </t>
  </si>
  <si>
    <t xml:space="preserve">CHL </t>
  </si>
  <si>
    <t xml:space="preserve">CN </t>
  </si>
  <si>
    <t xml:space="preserve">CHN </t>
  </si>
  <si>
    <t xml:space="preserve">CO </t>
  </si>
  <si>
    <t xml:space="preserve">COL </t>
  </si>
  <si>
    <t xml:space="preserve">KM </t>
  </si>
  <si>
    <t xml:space="preserve">COM </t>
  </si>
  <si>
    <t xml:space="preserve">CG </t>
  </si>
  <si>
    <t xml:space="preserve">COG </t>
  </si>
  <si>
    <t xml:space="preserve">CD </t>
  </si>
  <si>
    <t xml:space="preserve">COD </t>
  </si>
  <si>
    <t xml:space="preserve">COK </t>
  </si>
  <si>
    <t xml:space="preserve">CR </t>
  </si>
  <si>
    <t xml:space="preserve">CRI </t>
  </si>
  <si>
    <t xml:space="preserve">HR </t>
  </si>
  <si>
    <t xml:space="preserve">HRV </t>
  </si>
  <si>
    <t xml:space="preserve">CU </t>
  </si>
  <si>
    <t xml:space="preserve">CUB </t>
  </si>
  <si>
    <t xml:space="preserve">CUW </t>
  </si>
  <si>
    <t xml:space="preserve">CY </t>
  </si>
  <si>
    <t xml:space="preserve">CYP </t>
  </si>
  <si>
    <t xml:space="preserve">CZ </t>
  </si>
  <si>
    <t xml:space="preserve">CZE </t>
  </si>
  <si>
    <t xml:space="preserve">CI </t>
  </si>
  <si>
    <t xml:space="preserve">CIV </t>
  </si>
  <si>
    <t xml:space="preserve">DK </t>
  </si>
  <si>
    <t xml:space="preserve">DNK </t>
  </si>
  <si>
    <t xml:space="preserve">DJ </t>
  </si>
  <si>
    <t xml:space="preserve">DJI </t>
  </si>
  <si>
    <t xml:space="preserve">DM </t>
  </si>
  <si>
    <t xml:space="preserve">DMA </t>
  </si>
  <si>
    <t xml:space="preserve">DO </t>
  </si>
  <si>
    <t xml:space="preserve">DOM </t>
  </si>
  <si>
    <t xml:space="preserve">EC </t>
  </si>
  <si>
    <t xml:space="preserve">ECU </t>
  </si>
  <si>
    <t xml:space="preserve">EG </t>
  </si>
  <si>
    <t xml:space="preserve">EGY </t>
  </si>
  <si>
    <t xml:space="preserve">SV </t>
  </si>
  <si>
    <t xml:space="preserve">SLV </t>
  </si>
  <si>
    <t xml:space="preserve">GQ </t>
  </si>
  <si>
    <t xml:space="preserve">GNQ </t>
  </si>
  <si>
    <t xml:space="preserve">ER </t>
  </si>
  <si>
    <t xml:space="preserve">ERI </t>
  </si>
  <si>
    <t xml:space="preserve">EE </t>
  </si>
  <si>
    <t xml:space="preserve">EST </t>
  </si>
  <si>
    <t xml:space="preserve">ET </t>
  </si>
  <si>
    <t xml:space="preserve">ETH </t>
  </si>
  <si>
    <t xml:space="preserve">FLK </t>
  </si>
  <si>
    <t xml:space="preserve">FRO </t>
  </si>
  <si>
    <t xml:space="preserve">FJ </t>
  </si>
  <si>
    <t xml:space="preserve">FJI </t>
  </si>
  <si>
    <t xml:space="preserve">FI </t>
  </si>
  <si>
    <t xml:space="preserve">FIN </t>
  </si>
  <si>
    <t xml:space="preserve">FR </t>
  </si>
  <si>
    <t xml:space="preserve">FRA </t>
  </si>
  <si>
    <t xml:space="preserve">GUF </t>
  </si>
  <si>
    <t xml:space="preserve">PYF </t>
  </si>
  <si>
    <t xml:space="preserve">ATF </t>
  </si>
  <si>
    <t xml:space="preserve">GA </t>
  </si>
  <si>
    <t xml:space="preserve">GAB </t>
  </si>
  <si>
    <t xml:space="preserve">GM </t>
  </si>
  <si>
    <t xml:space="preserve">GMB </t>
  </si>
  <si>
    <t xml:space="preserve">GE </t>
  </si>
  <si>
    <t xml:space="preserve">GEO </t>
  </si>
  <si>
    <t xml:space="preserve">DE </t>
  </si>
  <si>
    <t xml:space="preserve">DEU </t>
  </si>
  <si>
    <t xml:space="preserve">GH </t>
  </si>
  <si>
    <t xml:space="preserve">GHA </t>
  </si>
  <si>
    <t xml:space="preserve">GIB </t>
  </si>
  <si>
    <t xml:space="preserve">GR </t>
  </si>
  <si>
    <t xml:space="preserve">GRC </t>
  </si>
  <si>
    <t xml:space="preserve">GRL </t>
  </si>
  <si>
    <t xml:space="preserve">GD </t>
  </si>
  <si>
    <t xml:space="preserve">GRD </t>
  </si>
  <si>
    <t xml:space="preserve">GLP </t>
  </si>
  <si>
    <t xml:space="preserve">GUM </t>
  </si>
  <si>
    <t xml:space="preserve">GT </t>
  </si>
  <si>
    <t xml:space="preserve">GTM </t>
  </si>
  <si>
    <t xml:space="preserve">GGY </t>
  </si>
  <si>
    <t xml:space="preserve">GN </t>
  </si>
  <si>
    <t xml:space="preserve">GIN </t>
  </si>
  <si>
    <t xml:space="preserve">GW </t>
  </si>
  <si>
    <t xml:space="preserve">GNB </t>
  </si>
  <si>
    <t xml:space="preserve">GY </t>
  </si>
  <si>
    <t xml:space="preserve">GUY </t>
  </si>
  <si>
    <t xml:space="preserve">HT </t>
  </si>
  <si>
    <t xml:space="preserve">HTI </t>
  </si>
  <si>
    <t xml:space="preserve">HMD </t>
  </si>
  <si>
    <t xml:space="preserve">VA </t>
  </si>
  <si>
    <t xml:space="preserve">VAT </t>
  </si>
  <si>
    <t xml:space="preserve">HN </t>
  </si>
  <si>
    <t xml:space="preserve">HND </t>
  </si>
  <si>
    <t xml:space="preserve">HKG </t>
  </si>
  <si>
    <t xml:space="preserve">HU </t>
  </si>
  <si>
    <t xml:space="preserve">HUN </t>
  </si>
  <si>
    <t xml:space="preserve">IS </t>
  </si>
  <si>
    <t xml:space="preserve">ISL </t>
  </si>
  <si>
    <t xml:space="preserve">IN </t>
  </si>
  <si>
    <t xml:space="preserve">IND </t>
  </si>
  <si>
    <t xml:space="preserve">ID </t>
  </si>
  <si>
    <t xml:space="preserve">IDN </t>
  </si>
  <si>
    <t xml:space="preserve">IR </t>
  </si>
  <si>
    <t xml:space="preserve">IRN </t>
  </si>
  <si>
    <t xml:space="preserve">IQ </t>
  </si>
  <si>
    <t xml:space="preserve">IRQ </t>
  </si>
  <si>
    <t xml:space="preserve">IE </t>
  </si>
  <si>
    <t xml:space="preserve">IRL </t>
  </si>
  <si>
    <t xml:space="preserve">IMN </t>
  </si>
  <si>
    <t xml:space="preserve">IL </t>
  </si>
  <si>
    <t xml:space="preserve">ISR </t>
  </si>
  <si>
    <t xml:space="preserve">IT </t>
  </si>
  <si>
    <t xml:space="preserve">ITA </t>
  </si>
  <si>
    <t xml:space="preserve">JM </t>
  </si>
  <si>
    <t xml:space="preserve">JAM </t>
  </si>
  <si>
    <t xml:space="preserve">JP </t>
  </si>
  <si>
    <t xml:space="preserve">JPN </t>
  </si>
  <si>
    <t xml:space="preserve">JEY </t>
  </si>
  <si>
    <t xml:space="preserve">JO </t>
  </si>
  <si>
    <t xml:space="preserve">JOR </t>
  </si>
  <si>
    <t xml:space="preserve">KZ </t>
  </si>
  <si>
    <t xml:space="preserve">KAZ </t>
  </si>
  <si>
    <t xml:space="preserve">KE </t>
  </si>
  <si>
    <t xml:space="preserve">KEN </t>
  </si>
  <si>
    <t xml:space="preserve">KI </t>
  </si>
  <si>
    <t xml:space="preserve">KIR </t>
  </si>
  <si>
    <t xml:space="preserve">KP </t>
  </si>
  <si>
    <t xml:space="preserve">PRK </t>
  </si>
  <si>
    <t xml:space="preserve">KR </t>
  </si>
  <si>
    <t xml:space="preserve">KOR </t>
  </si>
  <si>
    <t xml:space="preserve">KW </t>
  </si>
  <si>
    <t xml:space="preserve">KWT </t>
  </si>
  <si>
    <t xml:space="preserve">KG </t>
  </si>
  <si>
    <t xml:space="preserve">KGZ </t>
  </si>
  <si>
    <t xml:space="preserve">LA </t>
  </si>
  <si>
    <t xml:space="preserve">LAO </t>
  </si>
  <si>
    <t xml:space="preserve">LV </t>
  </si>
  <si>
    <t xml:space="preserve">LVA </t>
  </si>
  <si>
    <t xml:space="preserve">LB </t>
  </si>
  <si>
    <t xml:space="preserve">LBN </t>
  </si>
  <si>
    <t xml:space="preserve">LS </t>
  </si>
  <si>
    <t xml:space="preserve">LSO </t>
  </si>
  <si>
    <t xml:space="preserve">LR </t>
  </si>
  <si>
    <t xml:space="preserve">LBR </t>
  </si>
  <si>
    <t xml:space="preserve">LY </t>
  </si>
  <si>
    <t xml:space="preserve">LBY </t>
  </si>
  <si>
    <t xml:space="preserve">LI </t>
  </si>
  <si>
    <t xml:space="preserve">LIE </t>
  </si>
  <si>
    <t xml:space="preserve">LT </t>
  </si>
  <si>
    <t xml:space="preserve">LTU </t>
  </si>
  <si>
    <t xml:space="preserve">LU </t>
  </si>
  <si>
    <t xml:space="preserve">LUX </t>
  </si>
  <si>
    <t xml:space="preserve">MAC </t>
  </si>
  <si>
    <t xml:space="preserve">MK </t>
  </si>
  <si>
    <t xml:space="preserve">MKD </t>
  </si>
  <si>
    <t xml:space="preserve">MG </t>
  </si>
  <si>
    <t xml:space="preserve">MDG </t>
  </si>
  <si>
    <t xml:space="preserve">MW </t>
  </si>
  <si>
    <t xml:space="preserve">MWI </t>
  </si>
  <si>
    <t xml:space="preserve">MY </t>
  </si>
  <si>
    <t xml:space="preserve">MYS </t>
  </si>
  <si>
    <t xml:space="preserve">MV </t>
  </si>
  <si>
    <t xml:space="preserve">MDV </t>
  </si>
  <si>
    <t xml:space="preserve">ML </t>
  </si>
  <si>
    <t xml:space="preserve">MLI </t>
  </si>
  <si>
    <t xml:space="preserve">MT </t>
  </si>
  <si>
    <t xml:space="preserve">MLT </t>
  </si>
  <si>
    <t xml:space="preserve">MH </t>
  </si>
  <si>
    <t xml:space="preserve">MHL </t>
  </si>
  <si>
    <t xml:space="preserve">MTQ </t>
  </si>
  <si>
    <t xml:space="preserve">MR </t>
  </si>
  <si>
    <t xml:space="preserve">MRT </t>
  </si>
  <si>
    <t xml:space="preserve">MU </t>
  </si>
  <si>
    <t xml:space="preserve">MUS </t>
  </si>
  <si>
    <t xml:space="preserve">MYT </t>
  </si>
  <si>
    <t xml:space="preserve">MX </t>
  </si>
  <si>
    <t xml:space="preserve">MEX </t>
  </si>
  <si>
    <t xml:space="preserve">FM </t>
  </si>
  <si>
    <t xml:space="preserve">FSM </t>
  </si>
  <si>
    <t xml:space="preserve">MD </t>
  </si>
  <si>
    <t xml:space="preserve">MDA </t>
  </si>
  <si>
    <t xml:space="preserve">MC </t>
  </si>
  <si>
    <t xml:space="preserve">MCO </t>
  </si>
  <si>
    <t xml:space="preserve">MN </t>
  </si>
  <si>
    <t xml:space="preserve">MNG </t>
  </si>
  <si>
    <t xml:space="preserve">ME </t>
  </si>
  <si>
    <t xml:space="preserve">MNE </t>
  </si>
  <si>
    <t xml:space="preserve">MSR </t>
  </si>
  <si>
    <t xml:space="preserve">MA </t>
  </si>
  <si>
    <t xml:space="preserve">MAR </t>
  </si>
  <si>
    <t xml:space="preserve">MZ </t>
  </si>
  <si>
    <t xml:space="preserve">MOZ </t>
  </si>
  <si>
    <t xml:space="preserve">MM </t>
  </si>
  <si>
    <t xml:space="preserve">MMR </t>
  </si>
  <si>
    <t xml:space="preserve">NA </t>
  </si>
  <si>
    <t xml:space="preserve">NAM </t>
  </si>
  <si>
    <t xml:space="preserve">NR </t>
  </si>
  <si>
    <t xml:space="preserve">NRU </t>
  </si>
  <si>
    <t xml:space="preserve">NP </t>
  </si>
  <si>
    <t xml:space="preserve">NPL </t>
  </si>
  <si>
    <t xml:space="preserve">NL </t>
  </si>
  <si>
    <t xml:space="preserve">NLD </t>
  </si>
  <si>
    <t xml:space="preserve">NCL </t>
  </si>
  <si>
    <t xml:space="preserve">NZ </t>
  </si>
  <si>
    <t xml:space="preserve">NZL </t>
  </si>
  <si>
    <t xml:space="preserve">NI </t>
  </si>
  <si>
    <t xml:space="preserve">NIC </t>
  </si>
  <si>
    <t xml:space="preserve">NE </t>
  </si>
  <si>
    <t xml:space="preserve">NER </t>
  </si>
  <si>
    <t xml:space="preserve">NG </t>
  </si>
  <si>
    <t xml:space="preserve">NGA </t>
  </si>
  <si>
    <t xml:space="preserve">NIU </t>
  </si>
  <si>
    <t xml:space="preserve">NFK </t>
  </si>
  <si>
    <t xml:space="preserve">MNP </t>
  </si>
  <si>
    <t xml:space="preserve">NO </t>
  </si>
  <si>
    <t xml:space="preserve">NOR </t>
  </si>
  <si>
    <t xml:space="preserve">OM </t>
  </si>
  <si>
    <t xml:space="preserve">OMN </t>
  </si>
  <si>
    <t xml:space="preserve">PK </t>
  </si>
  <si>
    <t xml:space="preserve">PAK </t>
  </si>
  <si>
    <t xml:space="preserve">PW </t>
  </si>
  <si>
    <t xml:space="preserve">PLW </t>
  </si>
  <si>
    <t xml:space="preserve">PSE </t>
  </si>
  <si>
    <t xml:space="preserve">PA </t>
  </si>
  <si>
    <t xml:space="preserve">PAN </t>
  </si>
  <si>
    <t xml:space="preserve">PG </t>
  </si>
  <si>
    <t xml:space="preserve">PNG </t>
  </si>
  <si>
    <t xml:space="preserve">PY </t>
  </si>
  <si>
    <t xml:space="preserve">PRY </t>
  </si>
  <si>
    <t xml:space="preserve">PE </t>
  </si>
  <si>
    <t xml:space="preserve">PER </t>
  </si>
  <si>
    <t xml:space="preserve">PH </t>
  </si>
  <si>
    <t xml:space="preserve">PHL </t>
  </si>
  <si>
    <t xml:space="preserve">PCN </t>
  </si>
  <si>
    <t xml:space="preserve">PL </t>
  </si>
  <si>
    <t xml:space="preserve">POL </t>
  </si>
  <si>
    <t xml:space="preserve">PT </t>
  </si>
  <si>
    <t xml:space="preserve">PRT </t>
  </si>
  <si>
    <t xml:space="preserve">PRI </t>
  </si>
  <si>
    <t xml:space="preserve">QA </t>
  </si>
  <si>
    <t xml:space="preserve">QAT </t>
  </si>
  <si>
    <t xml:space="preserve">RO </t>
  </si>
  <si>
    <t xml:space="preserve">ROU </t>
  </si>
  <si>
    <t xml:space="preserve">RU </t>
  </si>
  <si>
    <t xml:space="preserve">RUS </t>
  </si>
  <si>
    <t xml:space="preserve">RW </t>
  </si>
  <si>
    <t xml:space="preserve">RWA </t>
  </si>
  <si>
    <t xml:space="preserve">REU </t>
  </si>
  <si>
    <t xml:space="preserve">BLM </t>
  </si>
  <si>
    <t xml:space="preserve">SHN </t>
  </si>
  <si>
    <t xml:space="preserve">KN </t>
  </si>
  <si>
    <t xml:space="preserve">KNA </t>
  </si>
  <si>
    <t xml:space="preserve">LC </t>
  </si>
  <si>
    <t xml:space="preserve">LCA </t>
  </si>
  <si>
    <t xml:space="preserve">MAF </t>
  </si>
  <si>
    <t xml:space="preserve">SPM </t>
  </si>
  <si>
    <t xml:space="preserve">VC </t>
  </si>
  <si>
    <t xml:space="preserve">VCT </t>
  </si>
  <si>
    <t xml:space="preserve">WS </t>
  </si>
  <si>
    <t xml:space="preserve">WSM </t>
  </si>
  <si>
    <t xml:space="preserve">SM </t>
  </si>
  <si>
    <t xml:space="preserve">SMR </t>
  </si>
  <si>
    <t xml:space="preserve">ST </t>
  </si>
  <si>
    <t xml:space="preserve">STP </t>
  </si>
  <si>
    <t xml:space="preserve">SA </t>
  </si>
  <si>
    <t xml:space="preserve">SAU </t>
  </si>
  <si>
    <t xml:space="preserve">SN </t>
  </si>
  <si>
    <t xml:space="preserve">SEN </t>
  </si>
  <si>
    <t xml:space="preserve">RS </t>
  </si>
  <si>
    <t xml:space="preserve">SRB </t>
  </si>
  <si>
    <t xml:space="preserve">SC </t>
  </si>
  <si>
    <t xml:space="preserve">SYC </t>
  </si>
  <si>
    <t xml:space="preserve">SL </t>
  </si>
  <si>
    <t xml:space="preserve">SLE </t>
  </si>
  <si>
    <t xml:space="preserve">SG </t>
  </si>
  <si>
    <t xml:space="preserve">SGP </t>
  </si>
  <si>
    <t xml:space="preserve">SXM </t>
  </si>
  <si>
    <t xml:space="preserve">SK </t>
  </si>
  <si>
    <t xml:space="preserve">SVK </t>
  </si>
  <si>
    <t xml:space="preserve">SI </t>
  </si>
  <si>
    <t xml:space="preserve">SVN </t>
  </si>
  <si>
    <t xml:space="preserve">SB </t>
  </si>
  <si>
    <t xml:space="preserve">SLB </t>
  </si>
  <si>
    <t xml:space="preserve">SO </t>
  </si>
  <si>
    <t xml:space="preserve">SOM </t>
  </si>
  <si>
    <t xml:space="preserve">ZA </t>
  </si>
  <si>
    <t xml:space="preserve">ZAF </t>
  </si>
  <si>
    <t xml:space="preserve">SGS </t>
  </si>
  <si>
    <t xml:space="preserve">SS </t>
  </si>
  <si>
    <t xml:space="preserve">SSD </t>
  </si>
  <si>
    <t xml:space="preserve">ES </t>
  </si>
  <si>
    <t xml:space="preserve">ESP </t>
  </si>
  <si>
    <t xml:space="preserve">LK </t>
  </si>
  <si>
    <t xml:space="preserve">LKA </t>
  </si>
  <si>
    <t xml:space="preserve">SD </t>
  </si>
  <si>
    <t xml:space="preserve">SDN </t>
  </si>
  <si>
    <t xml:space="preserve">SR </t>
  </si>
  <si>
    <t xml:space="preserve">SUR </t>
  </si>
  <si>
    <t xml:space="preserve">SZ </t>
  </si>
  <si>
    <t xml:space="preserve">SWZ </t>
  </si>
  <si>
    <t xml:space="preserve">SE </t>
  </si>
  <si>
    <t xml:space="preserve">SWE </t>
  </si>
  <si>
    <t xml:space="preserve">CH </t>
  </si>
  <si>
    <t xml:space="preserve">CHE </t>
  </si>
  <si>
    <t xml:space="preserve">SY </t>
  </si>
  <si>
    <t xml:space="preserve">SYR </t>
  </si>
  <si>
    <t xml:space="preserve">TW </t>
  </si>
  <si>
    <t xml:space="preserve">TWN </t>
  </si>
  <si>
    <t xml:space="preserve">TJ </t>
  </si>
  <si>
    <t xml:space="preserve">TJK </t>
  </si>
  <si>
    <t xml:space="preserve">TZ </t>
  </si>
  <si>
    <t xml:space="preserve">TZA </t>
  </si>
  <si>
    <t xml:space="preserve">TH </t>
  </si>
  <si>
    <t xml:space="preserve">THA </t>
  </si>
  <si>
    <t xml:space="preserve">TL </t>
  </si>
  <si>
    <t xml:space="preserve">TLS </t>
  </si>
  <si>
    <t xml:space="preserve">TG </t>
  </si>
  <si>
    <t xml:space="preserve">TGO </t>
  </si>
  <si>
    <t xml:space="preserve">TO </t>
  </si>
  <si>
    <t xml:space="preserve">TON </t>
  </si>
  <si>
    <t xml:space="preserve">TT </t>
  </si>
  <si>
    <t xml:space="preserve">TTO </t>
  </si>
  <si>
    <t xml:space="preserve">TN </t>
  </si>
  <si>
    <t xml:space="preserve">TUN </t>
  </si>
  <si>
    <t xml:space="preserve">TR </t>
  </si>
  <si>
    <t xml:space="preserve">TUR </t>
  </si>
  <si>
    <t xml:space="preserve">TM </t>
  </si>
  <si>
    <t xml:space="preserve">TKM </t>
  </si>
  <si>
    <t xml:space="preserve">TCA </t>
  </si>
  <si>
    <t xml:space="preserve">TV </t>
  </si>
  <si>
    <t xml:space="preserve">TUV </t>
  </si>
  <si>
    <t xml:space="preserve">UG </t>
  </si>
  <si>
    <t xml:space="preserve">UGA </t>
  </si>
  <si>
    <t xml:space="preserve">UA </t>
  </si>
  <si>
    <t xml:space="preserve">UKR </t>
  </si>
  <si>
    <t xml:space="preserve">AE </t>
  </si>
  <si>
    <t xml:space="preserve">ARE </t>
  </si>
  <si>
    <t xml:space="preserve">GB </t>
  </si>
  <si>
    <t xml:space="preserve">GBR </t>
  </si>
  <si>
    <t xml:space="preserve">US </t>
  </si>
  <si>
    <t xml:space="preserve">USA </t>
  </si>
  <si>
    <t xml:space="preserve">UMI </t>
  </si>
  <si>
    <t xml:space="preserve">UY </t>
  </si>
  <si>
    <t xml:space="preserve">URY </t>
  </si>
  <si>
    <t xml:space="preserve">UZ </t>
  </si>
  <si>
    <t xml:space="preserve">UZB </t>
  </si>
  <si>
    <t xml:space="preserve">VU </t>
  </si>
  <si>
    <t xml:space="preserve">VUT </t>
  </si>
  <si>
    <t xml:space="preserve">VE </t>
  </si>
  <si>
    <t xml:space="preserve">VEN </t>
  </si>
  <si>
    <t xml:space="preserve">VN </t>
  </si>
  <si>
    <t xml:space="preserve">VNM </t>
  </si>
  <si>
    <t xml:space="preserve">VGB </t>
  </si>
  <si>
    <t xml:space="preserve">VIR </t>
  </si>
  <si>
    <t xml:space="preserve">WLF </t>
  </si>
  <si>
    <t xml:space="preserve">ESH </t>
  </si>
  <si>
    <t xml:space="preserve">YE </t>
  </si>
  <si>
    <t xml:space="preserve">YEM </t>
  </si>
  <si>
    <t xml:space="preserve">ZM </t>
  </si>
  <si>
    <t xml:space="preserve">ZMB </t>
  </si>
  <si>
    <t xml:space="preserve">ZW </t>
  </si>
  <si>
    <t xml:space="preserve">ZWE </t>
  </si>
  <si>
    <t xml:space="preserve">ALA </t>
  </si>
  <si>
    <t>American Samoa</t>
  </si>
  <si>
    <t>Anguilla</t>
  </si>
  <si>
    <t>Antarctica</t>
  </si>
  <si>
    <t>Aruba</t>
  </si>
  <si>
    <t>Bermuda</t>
  </si>
  <si>
    <t>Bonaire</t>
  </si>
  <si>
    <t>British Indian Ocean Territory</t>
  </si>
  <si>
    <t>Cayman Islands</t>
  </si>
  <si>
    <t>China</t>
  </si>
  <si>
    <t>Cook Islands</t>
  </si>
  <si>
    <t>Faroe Islands</t>
  </si>
  <si>
    <t>French Guiana</t>
  </si>
  <si>
    <t>French Polynesia</t>
  </si>
  <si>
    <t>French Southern Territories</t>
  </si>
  <si>
    <t>Gibraltar</t>
  </si>
  <si>
    <t>Greenland</t>
  </si>
  <si>
    <t>Guadeloupe</t>
  </si>
  <si>
    <t>Guam</t>
  </si>
  <si>
    <t>Guernsey</t>
  </si>
  <si>
    <t>Hong Kong</t>
  </si>
  <si>
    <t>Isle of Man</t>
  </si>
  <si>
    <t>Jersey</t>
  </si>
  <si>
    <t>Macao</t>
  </si>
  <si>
    <t>Martinique</t>
  </si>
  <si>
    <t>Mayotte</t>
  </si>
  <si>
    <t>Montserrat</t>
  </si>
  <si>
    <t>Myanmar</t>
  </si>
  <si>
    <t>New Caledonia</t>
  </si>
  <si>
    <t>Niue</t>
  </si>
  <si>
    <t>Norfolk Island</t>
  </si>
  <si>
    <t>Northern Mariana Islands</t>
  </si>
  <si>
    <t>Pitcairn</t>
  </si>
  <si>
    <t>Puerto Rico</t>
  </si>
  <si>
    <t>Saint Barthelemy</t>
  </si>
  <si>
    <t>Saint Helena</t>
  </si>
  <si>
    <t>Saint Pierre and Miquelon</t>
  </si>
  <si>
    <t>Sint Maarten (Dutch part)</t>
  </si>
  <si>
    <t>South Georgia and the South Sandwich Islands</t>
  </si>
  <si>
    <t>Turks and Caicos Islands</t>
  </si>
  <si>
    <t>United States Minor Outlying Islands</t>
  </si>
  <si>
    <t>British Virgin Islands</t>
  </si>
  <si>
    <t>Wallis and Futuna</t>
  </si>
  <si>
    <t>Western Sahara</t>
  </si>
  <si>
    <t>XK</t>
  </si>
  <si>
    <t>Code</t>
  </si>
  <si>
    <t>Andorra la Vella</t>
  </si>
  <si>
    <t>P</t>
  </si>
  <si>
    <t>PPLC</t>
  </si>
  <si>
    <t>AD</t>
  </si>
  <si>
    <t>Europe/Andorra</t>
  </si>
  <si>
    <t>Dubai</t>
  </si>
  <si>
    <t>PPLA</t>
  </si>
  <si>
    <t>AE</t>
  </si>
  <si>
    <t>Asia/Dubai</t>
  </si>
  <si>
    <t>Kabul</t>
  </si>
  <si>
    <t>AF</t>
  </si>
  <si>
    <t>Asia/Kabul</t>
  </si>
  <si>
    <t>Saint John’s</t>
  </si>
  <si>
    <t>AG</t>
  </si>
  <si>
    <t>America/Antigua</t>
  </si>
  <si>
    <t>The Valley</t>
  </si>
  <si>
    <t>AI</t>
  </si>
  <si>
    <t>America/Anguilla</t>
  </si>
  <si>
    <t>Tirana</t>
  </si>
  <si>
    <t>AL</t>
  </si>
  <si>
    <t>Europe/Tirane</t>
  </si>
  <si>
    <t>Yerevan</t>
  </si>
  <si>
    <t>AM</t>
  </si>
  <si>
    <t>Asia/Yerevan</t>
  </si>
  <si>
    <t>Luanda</t>
  </si>
  <si>
    <t>AO</t>
  </si>
  <si>
    <t>Africa/Luanda</t>
  </si>
  <si>
    <t>Buenos Aires</t>
  </si>
  <si>
    <t>AR</t>
  </si>
  <si>
    <t>America/Argentina/Buenos_Aires</t>
  </si>
  <si>
    <t>Pago Pago</t>
  </si>
  <si>
    <t>AS</t>
  </si>
  <si>
    <t>Pacific/Pago_Pago</t>
  </si>
  <si>
    <t>Vienna</t>
  </si>
  <si>
    <t>AT</t>
  </si>
  <si>
    <t>Europe/Vienna</t>
  </si>
  <si>
    <t>Sydney</t>
  </si>
  <si>
    <t>AU</t>
  </si>
  <si>
    <t>Australia/Sydney</t>
  </si>
  <si>
    <t>Babijn</t>
  </si>
  <si>
    <t>PPLL</t>
  </si>
  <si>
    <t>AW</t>
  </si>
  <si>
    <t>America/Aruba</t>
  </si>
  <si>
    <t>Mariehamn</t>
  </si>
  <si>
    <t>AX</t>
  </si>
  <si>
    <t>FI</t>
  </si>
  <si>
    <t>Europe/Mariehamn</t>
  </si>
  <si>
    <t>Baku</t>
  </si>
  <si>
    <t>AZ</t>
  </si>
  <si>
    <t>Asia/Baku</t>
  </si>
  <si>
    <t>Sarajevo</t>
  </si>
  <si>
    <t>BA</t>
  </si>
  <si>
    <t>Europe/Sarajevo</t>
  </si>
  <si>
    <t>Bridgetown</t>
  </si>
  <si>
    <t>BB</t>
  </si>
  <si>
    <t>America/Barbados</t>
  </si>
  <si>
    <t>Dhaka</t>
  </si>
  <si>
    <t>BD</t>
  </si>
  <si>
    <t>Asia/Dhaka</t>
  </si>
  <si>
    <t>Brussels</t>
  </si>
  <si>
    <t>BE</t>
  </si>
  <si>
    <t>BRU</t>
  </si>
  <si>
    <t>Europe/Brussels</t>
  </si>
  <si>
    <t>Ouagadougou</t>
  </si>
  <si>
    <t>BF</t>
  </si>
  <si>
    <t>Africa/Ouagadougou</t>
  </si>
  <si>
    <t>Sofia</t>
  </si>
  <si>
    <t>BG</t>
  </si>
  <si>
    <t>SOF46</t>
  </si>
  <si>
    <t>Europe/Sofia</t>
  </si>
  <si>
    <t>Manama</t>
  </si>
  <si>
    <t>BH</t>
  </si>
  <si>
    <t>Asia/Bahrain</t>
  </si>
  <si>
    <t>Bujumbura</t>
  </si>
  <si>
    <t>BI</t>
  </si>
  <si>
    <t>Africa/Bujumbura</t>
  </si>
  <si>
    <t>Cotonou</t>
  </si>
  <si>
    <t>PPLG</t>
  </si>
  <si>
    <t>BJ</t>
  </si>
  <si>
    <t>Africa/Porto-Novo</t>
  </si>
  <si>
    <t>Gustavia</t>
  </si>
  <si>
    <t>BL</t>
  </si>
  <si>
    <t>America/St_Barthelemy</t>
  </si>
  <si>
    <t>Hamilton</t>
  </si>
  <si>
    <t>BM</t>
  </si>
  <si>
    <t>Atlantic/Bermuda</t>
  </si>
  <si>
    <t>Bandar Seri Begawan</t>
  </si>
  <si>
    <t>BN</t>
  </si>
  <si>
    <t>Asia/Brunei</t>
  </si>
  <si>
    <t>Santa Cruz de la Sierra</t>
  </si>
  <si>
    <t>BO</t>
  </si>
  <si>
    <t>America/La_Paz</t>
  </si>
  <si>
    <t>Kralendijk</t>
  </si>
  <si>
    <t>BQ</t>
  </si>
  <si>
    <t>America/Kralendijk</t>
  </si>
  <si>
    <t>São Paulo</t>
  </si>
  <si>
    <t>BR</t>
  </si>
  <si>
    <t>America/Sao_Paulo</t>
  </si>
  <si>
    <t>Nassau</t>
  </si>
  <si>
    <t>BS</t>
  </si>
  <si>
    <t>America/Nassau</t>
  </si>
  <si>
    <t>Thimphu</t>
  </si>
  <si>
    <t>BT</t>
  </si>
  <si>
    <t>Asia/Thimphu</t>
  </si>
  <si>
    <t>Gaborone</t>
  </si>
  <si>
    <t>BW</t>
  </si>
  <si>
    <t>Africa/Gaborone</t>
  </si>
  <si>
    <t>Minsk</t>
  </si>
  <si>
    <t>BY</t>
  </si>
  <si>
    <t>Europe/Minsk</t>
  </si>
  <si>
    <t>Belize City</t>
  </si>
  <si>
    <t>BZ</t>
  </si>
  <si>
    <t>America/Belize</t>
  </si>
  <si>
    <t>Toronto</t>
  </si>
  <si>
    <t>CA</t>
  </si>
  <si>
    <t>America/Toronto</t>
  </si>
  <si>
    <t>West Island</t>
  </si>
  <si>
    <t>CC</t>
  </si>
  <si>
    <t>Indian/Cocos</t>
  </si>
  <si>
    <t>Kinshasa</t>
  </si>
  <si>
    <t>CD</t>
  </si>
  <si>
    <t>Africa/Kinshasa</t>
  </si>
  <si>
    <t>Bangui</t>
  </si>
  <si>
    <t>CF</t>
  </si>
  <si>
    <t>Africa/Bangui</t>
  </si>
  <si>
    <t>Brazzaville</t>
  </si>
  <si>
    <t>CG</t>
  </si>
  <si>
    <t>Africa/Brazzaville</t>
  </si>
  <si>
    <t>Zürich</t>
  </si>
  <si>
    <t>CH</t>
  </si>
  <si>
    <t>ZH</t>
  </si>
  <si>
    <t>Europe/Zurich</t>
  </si>
  <si>
    <t>Abidjan</t>
  </si>
  <si>
    <t>CI</t>
  </si>
  <si>
    <t>Africa/Abidjan</t>
  </si>
  <si>
    <t>Avarua</t>
  </si>
  <si>
    <t>CK</t>
  </si>
  <si>
    <t>Pacific/Rarotonga</t>
  </si>
  <si>
    <t>Santiago</t>
  </si>
  <si>
    <t>CL</t>
  </si>
  <si>
    <t>America/Santiago</t>
  </si>
  <si>
    <t>Douala</t>
  </si>
  <si>
    <t>CM</t>
  </si>
  <si>
    <t>Africa/Douala</t>
  </si>
  <si>
    <t>Shanghai</t>
  </si>
  <si>
    <t>CN</t>
  </si>
  <si>
    <t>Asia/Shanghai</t>
  </si>
  <si>
    <t>Bogotá</t>
  </si>
  <si>
    <t>CO</t>
  </si>
  <si>
    <t>America/Bogota</t>
  </si>
  <si>
    <t>San José</t>
  </si>
  <si>
    <t>CR</t>
  </si>
  <si>
    <t>America/Costa_Rica</t>
  </si>
  <si>
    <t>Havana</t>
  </si>
  <si>
    <t>CU</t>
  </si>
  <si>
    <t>America/Havana</t>
  </si>
  <si>
    <t>Praia</t>
  </si>
  <si>
    <t>CV</t>
  </si>
  <si>
    <t>Atlantic/Cape_Verde</t>
  </si>
  <si>
    <t>Willemstad</t>
  </si>
  <si>
    <t>CW</t>
  </si>
  <si>
    <t>America/Curacao</t>
  </si>
  <si>
    <t>Flying Fish Cove</t>
  </si>
  <si>
    <t>CX</t>
  </si>
  <si>
    <t>Indian/Christmas</t>
  </si>
  <si>
    <t>Nicosia</t>
  </si>
  <si>
    <t>CY</t>
  </si>
  <si>
    <t>Asia/Nicosia</t>
  </si>
  <si>
    <t>Prague</t>
  </si>
  <si>
    <t>CZ</t>
  </si>
  <si>
    <t>Europe/Prague</t>
  </si>
  <si>
    <t>Berlin</t>
  </si>
  <si>
    <t>DE</t>
  </si>
  <si>
    <t>Europe/Berlin</t>
  </si>
  <si>
    <t>DJ</t>
  </si>
  <si>
    <t>Africa/Djibouti</t>
  </si>
  <si>
    <t>Copenhagen</t>
  </si>
  <si>
    <t>DK</t>
  </si>
  <si>
    <t>Europe/Copenhagen</t>
  </si>
  <si>
    <t>Roseau</t>
  </si>
  <si>
    <t>DM</t>
  </si>
  <si>
    <t>America/Dominica</t>
  </si>
  <si>
    <t>Santo Domingo</t>
  </si>
  <si>
    <t>DO</t>
  </si>
  <si>
    <t>America/Santo_Domingo</t>
  </si>
  <si>
    <t>Algiers</t>
  </si>
  <si>
    <t>DZ</t>
  </si>
  <si>
    <t>Africa/Algiers</t>
  </si>
  <si>
    <t>Guayaquil</t>
  </si>
  <si>
    <t>EC</t>
  </si>
  <si>
    <t>America/Guayaquil</t>
  </si>
  <si>
    <t>Tallinn</t>
  </si>
  <si>
    <t>EE</t>
  </si>
  <si>
    <t>Europe/Tallinn</t>
  </si>
  <si>
    <t>Cairo</t>
  </si>
  <si>
    <t>EG</t>
  </si>
  <si>
    <t>Africa/Cairo</t>
  </si>
  <si>
    <t>Laâyoune / El Aaiún</t>
  </si>
  <si>
    <t>EH</t>
  </si>
  <si>
    <t>MA</t>
  </si>
  <si>
    <t>CE</t>
  </si>
  <si>
    <t>Africa/Casablanca</t>
  </si>
  <si>
    <t>Asmara</t>
  </si>
  <si>
    <t>ER</t>
  </si>
  <si>
    <t>Africa/Asmara</t>
  </si>
  <si>
    <t>Madrid</t>
  </si>
  <si>
    <t>ES</t>
  </si>
  <si>
    <t>M</t>
  </si>
  <si>
    <t>Europe/Madrid</t>
  </si>
  <si>
    <t>Addis Ababa</t>
  </si>
  <si>
    <t>ET</t>
  </si>
  <si>
    <t>Africa/Addis_Ababa</t>
  </si>
  <si>
    <t>Helsinki</t>
  </si>
  <si>
    <t>Europe/Helsinki</t>
  </si>
  <si>
    <t>Suva</t>
  </si>
  <si>
    <t>FJ</t>
  </si>
  <si>
    <t>Pacific/Fiji</t>
  </si>
  <si>
    <t>Stanley</t>
  </si>
  <si>
    <t>FK</t>
  </si>
  <si>
    <t>Atlantic/Stanley</t>
  </si>
  <si>
    <t>Palikir - National Government Center</t>
  </si>
  <si>
    <t>FM</t>
  </si>
  <si>
    <t>SO</t>
  </si>
  <si>
    <t>Pacific/Pohnpei</t>
  </si>
  <si>
    <t>Tórshavn</t>
  </si>
  <si>
    <t>FO</t>
  </si>
  <si>
    <t>ST</t>
  </si>
  <si>
    <t>Atlantic/Faroe</t>
  </si>
  <si>
    <t>Paris</t>
  </si>
  <si>
    <t>FR</t>
  </si>
  <si>
    <t>Europe/Paris</t>
  </si>
  <si>
    <t>Libreville</t>
  </si>
  <si>
    <t>GA</t>
  </si>
  <si>
    <t>Africa/Libreville</t>
  </si>
  <si>
    <t>City of London</t>
  </si>
  <si>
    <t>PPLA3</t>
  </si>
  <si>
    <t>GB</t>
  </si>
  <si>
    <t>ENG</t>
  </si>
  <si>
    <t>GLA</t>
  </si>
  <si>
    <t>H9</t>
  </si>
  <si>
    <t>Europe/London</t>
  </si>
  <si>
    <t>Saint George's</t>
  </si>
  <si>
    <t>GD</t>
  </si>
  <si>
    <t>America/Grenada</t>
  </si>
  <si>
    <t>Tbilisi</t>
  </si>
  <si>
    <t>GE</t>
  </si>
  <si>
    <t>Asia/Tbilisi</t>
  </si>
  <si>
    <t>Cayenne</t>
  </si>
  <si>
    <t>GF</t>
  </si>
  <si>
    <t>America/Cayenne</t>
  </si>
  <si>
    <t>Saint Peter Port</t>
  </si>
  <si>
    <t>GG</t>
  </si>
  <si>
    <t>Europe/Guernsey</t>
  </si>
  <si>
    <t>Accra</t>
  </si>
  <si>
    <t>GH</t>
  </si>
  <si>
    <t>Africa/Accra</t>
  </si>
  <si>
    <t>GI</t>
  </si>
  <si>
    <t>Europe/Gibraltar</t>
  </si>
  <si>
    <t>Nuuk</t>
  </si>
  <si>
    <t>GL</t>
  </si>
  <si>
    <t>America/Godthab</t>
  </si>
  <si>
    <t>Brikama</t>
  </si>
  <si>
    <t>GM</t>
  </si>
  <si>
    <t>Africa/Banjul</t>
  </si>
  <si>
    <t>Camayenne</t>
  </si>
  <si>
    <t>PPL</t>
  </si>
  <si>
    <t>GN</t>
  </si>
  <si>
    <t>Africa/Conakry</t>
  </si>
  <si>
    <t>Les Abymes</t>
  </si>
  <si>
    <t>GP</t>
  </si>
  <si>
    <t>America/Guadeloupe</t>
  </si>
  <si>
    <t>Bata</t>
  </si>
  <si>
    <t>GQ</t>
  </si>
  <si>
    <t>Africa/Malabo</t>
  </si>
  <si>
    <t>Athens</t>
  </si>
  <si>
    <t>GR</t>
  </si>
  <si>
    <t>ESYE31</t>
  </si>
  <si>
    <t>Europe/Athens</t>
  </si>
  <si>
    <t>Grytviken</t>
  </si>
  <si>
    <t>GS</t>
  </si>
  <si>
    <t>Atlantic/South_Georgia</t>
  </si>
  <si>
    <t>Guatemala City</t>
  </si>
  <si>
    <t>GT</t>
  </si>
  <si>
    <t>America/Guatemala</t>
  </si>
  <si>
    <t>Dededo Village</t>
  </si>
  <si>
    <t>GU</t>
  </si>
  <si>
    <t>DD</t>
  </si>
  <si>
    <t>Pacific/Guam</t>
  </si>
  <si>
    <t>Bissau</t>
  </si>
  <si>
    <t>GW</t>
  </si>
  <si>
    <t>Africa/Bissau</t>
  </si>
  <si>
    <t>Georgetown</t>
  </si>
  <si>
    <t>GY</t>
  </si>
  <si>
    <t>America/Guyana</t>
  </si>
  <si>
    <t>HK</t>
  </si>
  <si>
    <t>HCW</t>
  </si>
  <si>
    <t>Asia/Hong_Kong</t>
  </si>
  <si>
    <t>Tegucigalpa</t>
  </si>
  <si>
    <t>HN</t>
  </si>
  <si>
    <t>America/Tegucigalpa</t>
  </si>
  <si>
    <t>Zagreb - Centar</t>
  </si>
  <si>
    <t>PPLX</t>
  </si>
  <si>
    <t>HR</t>
  </si>
  <si>
    <t>Europe/Zagreb</t>
  </si>
  <si>
    <t>Port-au-Prince</t>
  </si>
  <si>
    <t>HT</t>
  </si>
  <si>
    <t>America/Port-au-Prince</t>
  </si>
  <si>
    <t>Budapest</t>
  </si>
  <si>
    <t>HU</t>
  </si>
  <si>
    <t>Europe/Budapest</t>
  </si>
  <si>
    <t>Jakarta</t>
  </si>
  <si>
    <t>ID</t>
  </si>
  <si>
    <t>Asia/Jakarta</t>
  </si>
  <si>
    <t>Dublin</t>
  </si>
  <si>
    <t>IE</t>
  </si>
  <si>
    <t>L</t>
  </si>
  <si>
    <t>Europe/Dublin</t>
  </si>
  <si>
    <t>Jerusalem</t>
  </si>
  <si>
    <t>IL</t>
  </si>
  <si>
    <t>Asia/Jerusalem</t>
  </si>
  <si>
    <t>Douglas</t>
  </si>
  <si>
    <t>IM</t>
  </si>
  <si>
    <t>Europe/Isle_of_Man</t>
  </si>
  <si>
    <t>Mumbai</t>
  </si>
  <si>
    <t>IN</t>
  </si>
  <si>
    <t>Asia/Kolkata</t>
  </si>
  <si>
    <t>Baghdad</t>
  </si>
  <si>
    <t>IQ</t>
  </si>
  <si>
    <t>Asia/Baghdad</t>
  </si>
  <si>
    <t>Tehran</t>
  </si>
  <si>
    <t>IR</t>
  </si>
  <si>
    <t>Asia/Tehran</t>
  </si>
  <si>
    <t>Reykjavík</t>
  </si>
  <si>
    <t>IS</t>
  </si>
  <si>
    <t>Atlantic/Reykjavik</t>
  </si>
  <si>
    <t>Rome</t>
  </si>
  <si>
    <t>IT</t>
  </si>
  <si>
    <t>RM</t>
  </si>
  <si>
    <t>Europe/Rome</t>
  </si>
  <si>
    <t>Saint Helier</t>
  </si>
  <si>
    <t>JE</t>
  </si>
  <si>
    <t>Europe/Jersey</t>
  </si>
  <si>
    <t>Kingston</t>
  </si>
  <si>
    <t>JM</t>
  </si>
  <si>
    <t>America/Jamaica</t>
  </si>
  <si>
    <t>Amman</t>
  </si>
  <si>
    <t>JO</t>
  </si>
  <si>
    <t>Asia/Amman</t>
  </si>
  <si>
    <t>Tokyo</t>
  </si>
  <si>
    <t>JP</t>
  </si>
  <si>
    <t>Asia/Tokyo</t>
  </si>
  <si>
    <t>Nairobi</t>
  </si>
  <si>
    <t>KE</t>
  </si>
  <si>
    <t>Africa/Nairobi</t>
  </si>
  <si>
    <t>Bishkek</t>
  </si>
  <si>
    <t>KG</t>
  </si>
  <si>
    <t>Asia/Bishkek</t>
  </si>
  <si>
    <t>Phnom Penh</t>
  </si>
  <si>
    <t>KH</t>
  </si>
  <si>
    <t>Asia/Phnom_Penh</t>
  </si>
  <si>
    <t>Tarawa</t>
  </si>
  <si>
    <t>KI</t>
  </si>
  <si>
    <t>TW</t>
  </si>
  <si>
    <t>Pacific/Tarawa</t>
  </si>
  <si>
    <t>Moroni</t>
  </si>
  <si>
    <t>KM</t>
  </si>
  <si>
    <t>Indian/Comoro</t>
  </si>
  <si>
    <t>Basseterre</t>
  </si>
  <si>
    <t>KN</t>
  </si>
  <si>
    <t>America/St_Kitts</t>
  </si>
  <si>
    <t>Pyongyang</t>
  </si>
  <si>
    <t>KP</t>
  </si>
  <si>
    <t>Asia/Pyongyang</t>
  </si>
  <si>
    <t>Seoul</t>
  </si>
  <si>
    <t>KR</t>
  </si>
  <si>
    <t>Asia/Seoul</t>
  </si>
  <si>
    <t>Al Aḩmadī</t>
  </si>
  <si>
    <t>KW</t>
  </si>
  <si>
    <t>Asia/Kuwait</t>
  </si>
  <si>
    <t>George Town</t>
  </si>
  <si>
    <t>KY</t>
  </si>
  <si>
    <t>America/Cayman</t>
  </si>
  <si>
    <t>Almaty</t>
  </si>
  <si>
    <t>KZ</t>
  </si>
  <si>
    <t>Asia/Almaty</t>
  </si>
  <si>
    <t>Vientiane</t>
  </si>
  <si>
    <t>LA</t>
  </si>
  <si>
    <t>Asia/Vientiane</t>
  </si>
  <si>
    <t>Beirut</t>
  </si>
  <si>
    <t>LB</t>
  </si>
  <si>
    <t>Asia/Beirut</t>
  </si>
  <si>
    <t>Castries</t>
  </si>
  <si>
    <t>LC</t>
  </si>
  <si>
    <t>America/St_Lucia</t>
  </si>
  <si>
    <t>Vaduz</t>
  </si>
  <si>
    <t>LI</t>
  </si>
  <si>
    <t>Europe/Vaduz</t>
  </si>
  <si>
    <t>Colombo</t>
  </si>
  <si>
    <t>LK</t>
  </si>
  <si>
    <t>Asia/Colombo</t>
  </si>
  <si>
    <t>Monrovia</t>
  </si>
  <si>
    <t>LR</t>
  </si>
  <si>
    <t>Africa/Monrovia</t>
  </si>
  <si>
    <t>Maseru</t>
  </si>
  <si>
    <t>LS</t>
  </si>
  <si>
    <t>Africa/Maseru</t>
  </si>
  <si>
    <t>Vilnius</t>
  </si>
  <si>
    <t>LT</t>
  </si>
  <si>
    <t>Europe/Vilnius</t>
  </si>
  <si>
    <t>LU</t>
  </si>
  <si>
    <t>Europe/Luxembourg</t>
  </si>
  <si>
    <t>Riga</t>
  </si>
  <si>
    <t>LV</t>
  </si>
  <si>
    <t>Europe/Riga</t>
  </si>
  <si>
    <t>Tripoli</t>
  </si>
  <si>
    <t>LY</t>
  </si>
  <si>
    <t>Africa/Tripoli</t>
  </si>
  <si>
    <t>Casablanca</t>
  </si>
  <si>
    <t>MC</t>
  </si>
  <si>
    <t>Europe/Monaco</t>
  </si>
  <si>
    <t>Chişinău</t>
  </si>
  <si>
    <t>MD</t>
  </si>
  <si>
    <t>Europe/Chisinau</t>
  </si>
  <si>
    <t>Podgorica</t>
  </si>
  <si>
    <t>ME</t>
  </si>
  <si>
    <t>Europe/Podgorica</t>
  </si>
  <si>
    <t>Marigot</t>
  </si>
  <si>
    <t>MF</t>
  </si>
  <si>
    <t>America/Marigot</t>
  </si>
  <si>
    <t>Antananarivo</t>
  </si>
  <si>
    <t>MG</t>
  </si>
  <si>
    <t>Indian/Antananarivo</t>
  </si>
  <si>
    <t>Majuro</t>
  </si>
  <si>
    <t>MH</t>
  </si>
  <si>
    <t>Pacific/Majuro</t>
  </si>
  <si>
    <t>Skopje</t>
  </si>
  <si>
    <t>MK</t>
  </si>
  <si>
    <t>Europe/Skopje</t>
  </si>
  <si>
    <t>Bamako</t>
  </si>
  <si>
    <t>ML</t>
  </si>
  <si>
    <t>Africa/Bamako</t>
  </si>
  <si>
    <t>Yangon</t>
  </si>
  <si>
    <t>MM</t>
  </si>
  <si>
    <t>MMR013D004</t>
  </si>
  <si>
    <t>MMR013044</t>
  </si>
  <si>
    <t>Asia/Rangoon</t>
  </si>
  <si>
    <t>Ulan Bator</t>
  </si>
  <si>
    <t>MN</t>
  </si>
  <si>
    <t>Asia/Ulaanbaatar</t>
  </si>
  <si>
    <t>Macau</t>
  </si>
  <si>
    <t>MO</t>
  </si>
  <si>
    <t>Asia/Macau</t>
  </si>
  <si>
    <t>Saipan</t>
  </si>
  <si>
    <t>MP</t>
  </si>
  <si>
    <t>Pacific/Saipan</t>
  </si>
  <si>
    <t>Fort-de-France</t>
  </si>
  <si>
    <t>MQ</t>
  </si>
  <si>
    <t>America/Martinique</t>
  </si>
  <si>
    <t>Nouakchott</t>
  </si>
  <si>
    <t>MR</t>
  </si>
  <si>
    <t>NKC</t>
  </si>
  <si>
    <t>Africa/Nouakchott</t>
  </si>
  <si>
    <t>Brades</t>
  </si>
  <si>
    <t>MS</t>
  </si>
  <si>
    <t>America/Montserrat</t>
  </si>
  <si>
    <t>Birkirkara</t>
  </si>
  <si>
    <t>MT</t>
  </si>
  <si>
    <t>Europe/Malta</t>
  </si>
  <si>
    <t>Port Louis</t>
  </si>
  <si>
    <t>MU</t>
  </si>
  <si>
    <t>Indian/Mauritius</t>
  </si>
  <si>
    <t>Male</t>
  </si>
  <si>
    <t>MV</t>
  </si>
  <si>
    <t>Indian/Maldives</t>
  </si>
  <si>
    <t>Lilongwe</t>
  </si>
  <si>
    <t>MW</t>
  </si>
  <si>
    <t>C</t>
  </si>
  <si>
    <t>Africa/Blantyre</t>
  </si>
  <si>
    <t>Mexico City</t>
  </si>
  <si>
    <t>MX</t>
  </si>
  <si>
    <t>America/Mexico_City</t>
  </si>
  <si>
    <t>Kota Bharu</t>
  </si>
  <si>
    <t>MY</t>
  </si>
  <si>
    <t>Asia/Kuala_Lumpur</t>
  </si>
  <si>
    <t>Maputo</t>
  </si>
  <si>
    <t>MZ</t>
  </si>
  <si>
    <t>Africa/Maputo</t>
  </si>
  <si>
    <t>Windhoek</t>
  </si>
  <si>
    <t>NA</t>
  </si>
  <si>
    <t>Africa/Windhoek</t>
  </si>
  <si>
    <t>Nouméa</t>
  </si>
  <si>
    <t>NC</t>
  </si>
  <si>
    <t>Pacific/Noumea</t>
  </si>
  <si>
    <t>Niamey</t>
  </si>
  <si>
    <t>NE</t>
  </si>
  <si>
    <t>Africa/Niamey</t>
  </si>
  <si>
    <t>NF</t>
  </si>
  <si>
    <t>Pacific/Norfolk</t>
  </si>
  <si>
    <t>Lagos</t>
  </si>
  <si>
    <t>PPLA2</t>
  </si>
  <si>
    <t>NG</t>
  </si>
  <si>
    <t>Africa/Lagos</t>
  </si>
  <si>
    <t>Managua</t>
  </si>
  <si>
    <t>NI</t>
  </si>
  <si>
    <t>America/Managua</t>
  </si>
  <si>
    <t>Amsterdam</t>
  </si>
  <si>
    <t>NL</t>
  </si>
  <si>
    <t>Europe/Amsterdam</t>
  </si>
  <si>
    <t>Oslo</t>
  </si>
  <si>
    <t>NO</t>
  </si>
  <si>
    <t>Europe/Oslo</t>
  </si>
  <si>
    <t>Kathmandu</t>
  </si>
  <si>
    <t>NP</t>
  </si>
  <si>
    <t>Asia/Kathmandu</t>
  </si>
  <si>
    <t>Yaren</t>
  </si>
  <si>
    <t>NR</t>
  </si>
  <si>
    <t>Pacific/Nauru</t>
  </si>
  <si>
    <t>Alofi</t>
  </si>
  <si>
    <t>NU</t>
  </si>
  <si>
    <t>Pacific/Niue</t>
  </si>
  <si>
    <t>Auckland</t>
  </si>
  <si>
    <t>NZ</t>
  </si>
  <si>
    <t>E7</t>
  </si>
  <si>
    <t>Pacific/Auckland</t>
  </si>
  <si>
    <t>Muscat</t>
  </si>
  <si>
    <t>OM</t>
  </si>
  <si>
    <t>Asia/Muscat</t>
  </si>
  <si>
    <t>Panamá</t>
  </si>
  <si>
    <t>PA</t>
  </si>
  <si>
    <t>America/Panama</t>
  </si>
  <si>
    <t>Lima</t>
  </si>
  <si>
    <t>PE</t>
  </si>
  <si>
    <t>LMA</t>
  </si>
  <si>
    <t>America/Lima</t>
  </si>
  <si>
    <t>Faaa</t>
  </si>
  <si>
    <t>PF</t>
  </si>
  <si>
    <t>Pacific/Tahiti</t>
  </si>
  <si>
    <t>Port Moresby</t>
  </si>
  <si>
    <t>PG</t>
  </si>
  <si>
    <t>Pacific/Port_Moresby</t>
  </si>
  <si>
    <t>Quezon City</t>
  </si>
  <si>
    <t>PH</t>
  </si>
  <si>
    <t>NCR</t>
  </si>
  <si>
    <t>F2</t>
  </si>
  <si>
    <t>Asia/Manila</t>
  </si>
  <si>
    <t>Karachi</t>
  </si>
  <si>
    <t>PK</t>
  </si>
  <si>
    <t>Asia/Karachi</t>
  </si>
  <si>
    <t>Warsaw</t>
  </si>
  <si>
    <t>PL</t>
  </si>
  <si>
    <t>Europe/Warsaw</t>
  </si>
  <si>
    <t>Saint-Pierre</t>
  </si>
  <si>
    <t>PM</t>
  </si>
  <si>
    <t>America/Miquelon</t>
  </si>
  <si>
    <t>Adamstown</t>
  </si>
  <si>
    <t>PN</t>
  </si>
  <si>
    <t>Pacific/Pitcairn</t>
  </si>
  <si>
    <t>San Juan</t>
  </si>
  <si>
    <t>PR</t>
  </si>
  <si>
    <t>America/Puerto_Rico</t>
  </si>
  <si>
    <t>East Jerusalem</t>
  </si>
  <si>
    <t>PS</t>
  </si>
  <si>
    <t>WE</t>
  </si>
  <si>
    <t>Asia/Hebron</t>
  </si>
  <si>
    <t>Lisbon</t>
  </si>
  <si>
    <t>PT</t>
  </si>
  <si>
    <t>Europe/Lisbon</t>
  </si>
  <si>
    <t>Melekeok</t>
  </si>
  <si>
    <t>PW</t>
  </si>
  <si>
    <t>Pacific/Palau</t>
  </si>
  <si>
    <t>Asunción</t>
  </si>
  <si>
    <t>PY</t>
  </si>
  <si>
    <t>America/Asuncion</t>
  </si>
  <si>
    <t>Doha</t>
  </si>
  <si>
    <t>QA</t>
  </si>
  <si>
    <t>Asia/Qatar</t>
  </si>
  <si>
    <t>Saint-Denis</t>
  </si>
  <si>
    <t>RE</t>
  </si>
  <si>
    <t>Indian/Reunion</t>
  </si>
  <si>
    <t>Bucharest</t>
  </si>
  <si>
    <t>RO</t>
  </si>
  <si>
    <t>Europe/Bucharest</t>
  </si>
  <si>
    <t>Belgrade</t>
  </si>
  <si>
    <t>RS</t>
  </si>
  <si>
    <t>SE</t>
  </si>
  <si>
    <t>Europe/Belgrade</t>
  </si>
  <si>
    <t>Moscow</t>
  </si>
  <si>
    <t>RU</t>
  </si>
  <si>
    <t>Europe/Moscow</t>
  </si>
  <si>
    <t>Kigali</t>
  </si>
  <si>
    <t>RW</t>
  </si>
  <si>
    <t>Africa/Kigali</t>
  </si>
  <si>
    <t>Riyadh</t>
  </si>
  <si>
    <t>SA</t>
  </si>
  <si>
    <t>Asia/Riyadh</t>
  </si>
  <si>
    <t>Honiara</t>
  </si>
  <si>
    <t>SB</t>
  </si>
  <si>
    <t>Pacific/Guadalcanal</t>
  </si>
  <si>
    <t>Victoria</t>
  </si>
  <si>
    <t>SC</t>
  </si>
  <si>
    <t>Indian/Mahe</t>
  </si>
  <si>
    <t>Khartoum</t>
  </si>
  <si>
    <t>SD</t>
  </si>
  <si>
    <t>Africa/Khartoum</t>
  </si>
  <si>
    <t>Stockholm</t>
  </si>
  <si>
    <t>Europe/Stockholm</t>
  </si>
  <si>
    <t>SG</t>
  </si>
  <si>
    <t>Asia/Singapore</t>
  </si>
  <si>
    <t>Jamestown</t>
  </si>
  <si>
    <t>SH</t>
  </si>
  <si>
    <t>Atlantic/St_Helena</t>
  </si>
  <si>
    <t>Ljubljana</t>
  </si>
  <si>
    <t>SI</t>
  </si>
  <si>
    <t>Europe/Ljubljana</t>
  </si>
  <si>
    <t>Longyearbyen</t>
  </si>
  <si>
    <t>SJ</t>
  </si>
  <si>
    <t>Arctic/Longyearbyen</t>
  </si>
  <si>
    <t>Bratislava</t>
  </si>
  <si>
    <t>SK</t>
  </si>
  <si>
    <t>Europe/Bratislava</t>
  </si>
  <si>
    <t>Freetown</t>
  </si>
  <si>
    <t>SL</t>
  </si>
  <si>
    <t>Africa/Freetown</t>
  </si>
  <si>
    <t>SM</t>
  </si>
  <si>
    <t>Europe/San_Marino</t>
  </si>
  <si>
    <t>Dakar</t>
  </si>
  <si>
    <t>SN</t>
  </si>
  <si>
    <t>Africa/Dakar</t>
  </si>
  <si>
    <t>Mogadishu</t>
  </si>
  <si>
    <t>Africa/Mogadishu</t>
  </si>
  <si>
    <t>Paramaribo</t>
  </si>
  <si>
    <t>SR</t>
  </si>
  <si>
    <t>America/Paramaribo</t>
  </si>
  <si>
    <t>Juba</t>
  </si>
  <si>
    <t>SS</t>
  </si>
  <si>
    <t>Africa/Juba</t>
  </si>
  <si>
    <t>São Tomé</t>
  </si>
  <si>
    <t>Africa/Sao_Tome</t>
  </si>
  <si>
    <t>San Salvador</t>
  </si>
  <si>
    <t>SV</t>
  </si>
  <si>
    <t>America/El_Salvador</t>
  </si>
  <si>
    <t>Philipsburg</t>
  </si>
  <si>
    <t>SX</t>
  </si>
  <si>
    <t>America/Lower_Princes</t>
  </si>
  <si>
    <t>Aleppo</t>
  </si>
  <si>
    <t>SY</t>
  </si>
  <si>
    <t>Asia/Damascus</t>
  </si>
  <si>
    <t>Manzini</t>
  </si>
  <si>
    <t>SZ</t>
  </si>
  <si>
    <t>Africa/Mbabane</t>
  </si>
  <si>
    <t>Cockburn Town</t>
  </si>
  <si>
    <t>TC</t>
  </si>
  <si>
    <t>America/Grand_Turk</t>
  </si>
  <si>
    <t>N'Djamena</t>
  </si>
  <si>
    <t>TD</t>
  </si>
  <si>
    <t>Africa/Ndjamena</t>
  </si>
  <si>
    <t>Port-aux-Français</t>
  </si>
  <si>
    <t>TF</t>
  </si>
  <si>
    <t>Indian/Kerguelen</t>
  </si>
  <si>
    <t>Lomé</t>
  </si>
  <si>
    <t>TG</t>
  </si>
  <si>
    <t>Africa/Lome</t>
  </si>
  <si>
    <t>Bangkok</t>
  </si>
  <si>
    <t>TH</t>
  </si>
  <si>
    <t>Asia/Bangkok</t>
  </si>
  <si>
    <t>Dushanbe</t>
  </si>
  <si>
    <t>TJ</t>
  </si>
  <si>
    <t>Asia/Dushanbe</t>
  </si>
  <si>
    <t>Dili</t>
  </si>
  <si>
    <t>TL</t>
  </si>
  <si>
    <t>DI</t>
  </si>
  <si>
    <t>Asia/Dili</t>
  </si>
  <si>
    <t>Ashgabat</t>
  </si>
  <si>
    <t>TM</t>
  </si>
  <si>
    <t>Asia/Ashgabat</t>
  </si>
  <si>
    <t>Tunis</t>
  </si>
  <si>
    <t>TN</t>
  </si>
  <si>
    <t>Africa/Tunis</t>
  </si>
  <si>
    <t>Nuku‘alofa</t>
  </si>
  <si>
    <t>TO</t>
  </si>
  <si>
    <t>Pacific/Tongatapu</t>
  </si>
  <si>
    <t>İstanbul</t>
  </si>
  <si>
    <t>TR</t>
  </si>
  <si>
    <t>Europe/Istanbul</t>
  </si>
  <si>
    <t>Laventille</t>
  </si>
  <si>
    <t>TT</t>
  </si>
  <si>
    <t>SJL</t>
  </si>
  <si>
    <t>America/Port_of_Spain</t>
  </si>
  <si>
    <t>Funafuti</t>
  </si>
  <si>
    <t>TV</t>
  </si>
  <si>
    <t>FUN</t>
  </si>
  <si>
    <t>Pacific/Funafuti</t>
  </si>
  <si>
    <t>Taipei</t>
  </si>
  <si>
    <t>TPE</t>
  </si>
  <si>
    <t>Asia/Taipei</t>
  </si>
  <si>
    <t>Dar es Salaam</t>
  </si>
  <si>
    <t>TZ</t>
  </si>
  <si>
    <t>Africa/Dar_es_Salaam</t>
  </si>
  <si>
    <t>Kiev</t>
  </si>
  <si>
    <t>UA</t>
  </si>
  <si>
    <t>Europe/Kiev</t>
  </si>
  <si>
    <t>Kampala</t>
  </si>
  <si>
    <t>UG</t>
  </si>
  <si>
    <t>Africa/Kampala</t>
  </si>
  <si>
    <t>New York City</t>
  </si>
  <si>
    <t>US</t>
  </si>
  <si>
    <t>NY</t>
  </si>
  <si>
    <t>America/New_York</t>
  </si>
  <si>
    <t>Montevideo</t>
  </si>
  <si>
    <t>UY</t>
  </si>
  <si>
    <t>America/Montevideo</t>
  </si>
  <si>
    <t>Tashkent</t>
  </si>
  <si>
    <t>UZ</t>
  </si>
  <si>
    <t>Asia/Tashkent</t>
  </si>
  <si>
    <t>Vatican City</t>
  </si>
  <si>
    <t>VA</t>
  </si>
  <si>
    <t>Europe/Vatican</t>
  </si>
  <si>
    <t>Kingstown</t>
  </si>
  <si>
    <t>VC</t>
  </si>
  <si>
    <t>America/St_Vincent</t>
  </si>
  <si>
    <t>Caracas</t>
  </si>
  <si>
    <t>VE</t>
  </si>
  <si>
    <t>America/Caracas</t>
  </si>
  <si>
    <t>Tortola</t>
  </si>
  <si>
    <t>VG</t>
  </si>
  <si>
    <t>America/Tortola</t>
  </si>
  <si>
    <t>Saint Croix</t>
  </si>
  <si>
    <t>VI</t>
  </si>
  <si>
    <t>America/St_Thomas</t>
  </si>
  <si>
    <t>Ho Chi Minh City</t>
  </si>
  <si>
    <t>VN</t>
  </si>
  <si>
    <t>Asia/Ho_Chi_Minh</t>
  </si>
  <si>
    <t>Port-Vila</t>
  </si>
  <si>
    <t>VU</t>
  </si>
  <si>
    <t>Pacific/Efate</t>
  </si>
  <si>
    <t>Mata-Utu</t>
  </si>
  <si>
    <t>WF</t>
  </si>
  <si>
    <t>Pacific/Wallis</t>
  </si>
  <si>
    <t>Apia</t>
  </si>
  <si>
    <t>WS</t>
  </si>
  <si>
    <t>Pacific/Apia</t>
  </si>
  <si>
    <t>Pristina</t>
  </si>
  <si>
    <t>Sanaa</t>
  </si>
  <si>
    <t>YE</t>
  </si>
  <si>
    <t>Asia/Aden</t>
  </si>
  <si>
    <t>Mamoudzou</t>
  </si>
  <si>
    <t>YT</t>
  </si>
  <si>
    <t>Indian/Mayotte</t>
  </si>
  <si>
    <t>Cape Town</t>
  </si>
  <si>
    <t>ZA</t>
  </si>
  <si>
    <t>CPT</t>
  </si>
  <si>
    <t>Africa/Johannesburg</t>
  </si>
  <si>
    <t>Lusaka</t>
  </si>
  <si>
    <t>ZM</t>
  </si>
  <si>
    <t>Africa/Lusaka</t>
  </si>
  <si>
    <t>Harare</t>
  </si>
  <si>
    <t>ZW</t>
  </si>
  <si>
    <t>Africa/Harare</t>
  </si>
  <si>
    <t>Uckfield</t>
  </si>
  <si>
    <t xml:space="preserve">modification date </t>
  </si>
  <si>
    <t>latitude</t>
  </si>
  <si>
    <t>longitude</t>
  </si>
  <si>
    <t>code</t>
  </si>
  <si>
    <t>cc2</t>
  </si>
  <si>
    <t>geoid</t>
  </si>
  <si>
    <t>name</t>
  </si>
  <si>
    <t>Ally</t>
  </si>
  <si>
    <t>Eddy</t>
  </si>
  <si>
    <t>icon</t>
  </si>
  <si>
    <t>Special Administrative Region of China</t>
  </si>
  <si>
    <t>Réunion</t>
  </si>
  <si>
    <t>https://en.wikipedia.org/wiki/ISO_3166-1</t>
  </si>
  <si>
    <t>ISO 3166 standard defining codes for the names of countries, dependent territories, and special areas of geographical interest.</t>
  </si>
  <si>
    <t>Insular area of the United States</t>
  </si>
  <si>
    <t>Includes sovereign states and dependent territories</t>
  </si>
  <si>
    <t>Includes all countries entered, i.e., left the airport or seaport and went into town</t>
  </si>
  <si>
    <t>U.S. Virgin Islands</t>
  </si>
  <si>
    <t>Xinjiang SAR</t>
  </si>
  <si>
    <t>**Note:  there are a lot more dependent territories, only included those we've visited. Full list is on next sheet.</t>
  </si>
  <si>
    <t>Madeira</t>
  </si>
  <si>
    <t>Autonomous Region of Portugal</t>
  </si>
  <si>
    <t>Canary Islands</t>
  </si>
  <si>
    <t>Autonomous Community of Spain</t>
  </si>
  <si>
    <t>US State</t>
  </si>
  <si>
    <t>State Capital</t>
  </si>
  <si>
    <t>Alabama</t>
  </si>
  <si>
    <t>Montgomery</t>
  </si>
  <si>
    <t>Montana</t>
  </si>
  <si>
    <t>Helena</t>
  </si>
  <si>
    <t>Alaska</t>
  </si>
  <si>
    <t>Juneau</t>
  </si>
  <si>
    <t>Nebraska</t>
  </si>
  <si>
    <t>Lincoln</t>
  </si>
  <si>
    <t>Arizona</t>
  </si>
  <si>
    <t>Phoenix</t>
  </si>
  <si>
    <t>Nevada</t>
  </si>
  <si>
    <t>Carson City</t>
  </si>
  <si>
    <t>Arkansas</t>
  </si>
  <si>
    <t>Little Rock</t>
  </si>
  <si>
    <t>New Hampshire</t>
  </si>
  <si>
    <t>Concord</t>
  </si>
  <si>
    <t>California</t>
  </si>
  <si>
    <t>Sacramento</t>
  </si>
  <si>
    <t>New Jersey</t>
  </si>
  <si>
    <t>Trenton</t>
  </si>
  <si>
    <t>Colorado</t>
  </si>
  <si>
    <t>Denver</t>
  </si>
  <si>
    <t>New Mexico</t>
  </si>
  <si>
    <t>Santa Fe</t>
  </si>
  <si>
    <t>Connecticut</t>
  </si>
  <si>
    <t>Hartford</t>
  </si>
  <si>
    <t>New York</t>
  </si>
  <si>
    <t>Albany</t>
  </si>
  <si>
    <t>Delaware</t>
  </si>
  <si>
    <t>Dover</t>
  </si>
  <si>
    <t>North Carolina</t>
  </si>
  <si>
    <t>Raleigh</t>
  </si>
  <si>
    <t>Florida</t>
  </si>
  <si>
    <t>Tallahassee</t>
  </si>
  <si>
    <t>North Dakota</t>
  </si>
  <si>
    <t>Bismarck</t>
  </si>
  <si>
    <t>Atlanta</t>
  </si>
  <si>
    <t>Ohio</t>
  </si>
  <si>
    <t>Columbus</t>
  </si>
  <si>
    <t>Hawaii</t>
  </si>
  <si>
    <t>Honolulu</t>
  </si>
  <si>
    <t>Oklahoma</t>
  </si>
  <si>
    <t>Oklahoma City</t>
  </si>
  <si>
    <t>Idaho</t>
  </si>
  <si>
    <t>Boise</t>
  </si>
  <si>
    <t>Oregon</t>
  </si>
  <si>
    <t>Salem</t>
  </si>
  <si>
    <t>Illinois</t>
  </si>
  <si>
    <t>Springfield</t>
  </si>
  <si>
    <t>Pennsylvania</t>
  </si>
  <si>
    <t>Harrisburg</t>
  </si>
  <si>
    <t>Indiana</t>
  </si>
  <si>
    <t>Indianapolis</t>
  </si>
  <si>
    <t>Rhode Island</t>
  </si>
  <si>
    <t>Providence</t>
  </si>
  <si>
    <t>Iowa</t>
  </si>
  <si>
    <t>Des Moines</t>
  </si>
  <si>
    <t>South Carolina</t>
  </si>
  <si>
    <t>Columbia</t>
  </si>
  <si>
    <t>Kansas</t>
  </si>
  <si>
    <t>Topeka</t>
  </si>
  <si>
    <t>South Dakota</t>
  </si>
  <si>
    <t>Pierre</t>
  </si>
  <si>
    <t>Kentucky</t>
  </si>
  <si>
    <t>Frankfort</t>
  </si>
  <si>
    <t>Tennessee</t>
  </si>
  <si>
    <t>Nashville</t>
  </si>
  <si>
    <t>Louisiana</t>
  </si>
  <si>
    <t>Baton Rouge</t>
  </si>
  <si>
    <t>Texas</t>
  </si>
  <si>
    <t>Austin</t>
  </si>
  <si>
    <t>Maine</t>
  </si>
  <si>
    <t>Augusta</t>
  </si>
  <si>
    <t>Utah</t>
  </si>
  <si>
    <t>Salt Lake City</t>
  </si>
  <si>
    <t>Maryland</t>
  </si>
  <si>
    <t>Annapolis</t>
  </si>
  <si>
    <t>Vermont</t>
  </si>
  <si>
    <t>Montpelier</t>
  </si>
  <si>
    <t>Massachusetts</t>
  </si>
  <si>
    <t>Boston</t>
  </si>
  <si>
    <t>Virginia</t>
  </si>
  <si>
    <t>Richmond</t>
  </si>
  <si>
    <t>Michigan</t>
  </si>
  <si>
    <t>Lansing</t>
  </si>
  <si>
    <t>Washington</t>
  </si>
  <si>
    <t>Olympia</t>
  </si>
  <si>
    <t>Minnesota</t>
  </si>
  <si>
    <t>St. Paul</t>
  </si>
  <si>
    <t>West Virginia</t>
  </si>
  <si>
    <t>Charleston</t>
  </si>
  <si>
    <t>Mississippi</t>
  </si>
  <si>
    <t>Jackson</t>
  </si>
  <si>
    <t>Wisconsin</t>
  </si>
  <si>
    <t>Madison</t>
  </si>
  <si>
    <t>Missouri</t>
  </si>
  <si>
    <t>Jefferson City</t>
  </si>
  <si>
    <t>Wyoming</t>
  </si>
  <si>
    <t>Cheyenne</t>
  </si>
  <si>
    <t>La Serenissima Republica de San Marino</t>
  </si>
  <si>
    <t>Eswatini (Swaziland)</t>
  </si>
  <si>
    <t>Eswatini (Swaziland )</t>
  </si>
  <si>
    <t>Excludes airport-only or port-only transit</t>
  </si>
  <si>
    <t>also visited Scotland and Northern Ireland, but did not add them here separately</t>
  </si>
  <si>
    <t>The Alaska cruise would give us AK and WA (and the Canadian Rockies!)</t>
  </si>
  <si>
    <t xml:space="preserve">The Mississippi cruises hit Minnesota, Wisconsin, Iowa, Missouri, Tennessee, Mississippi, and Louisiana (they also pass Illinois and Arkansas, but those are not listed as stops). </t>
  </si>
  <si>
    <t>So, we’ll have to do a road trip to the Heartland of America!</t>
  </si>
  <si>
    <t xml:space="preserve">East of the Mississippi River for IL, IN, and KY. </t>
  </si>
  <si>
    <t xml:space="preserve">New England to hit VT, ME, and NH. </t>
  </si>
  <si>
    <t>Visiting the State capitals will probably be more interesting than visiting the large cities.</t>
  </si>
  <si>
    <t xml:space="preserve">West of Mississippi River for ND, NE, KS, OK, and AR. </t>
  </si>
  <si>
    <t>And that would leave NM and OR. Could try to do OR in conjunction w/ Alaska Cruise.</t>
  </si>
  <si>
    <t>Commonwealth/Insular Area of the United States</t>
  </si>
  <si>
    <t>https://mtp.travel/users/me/checklists/locations/geographic/visited_remaining</t>
  </si>
  <si>
    <t>Row Labels</t>
  </si>
  <si>
    <t>Grand Total</t>
  </si>
  <si>
    <t>Count of Political Status</t>
  </si>
  <si>
    <t>Column1</t>
  </si>
  <si>
    <t>Column2</t>
  </si>
  <si>
    <t>Czechia</t>
  </si>
  <si>
    <t>Eswatini</t>
  </si>
  <si>
    <t>NOT Sovereign State</t>
  </si>
  <si>
    <t>Expanded list:</t>
  </si>
  <si>
    <t>UN Member States only:</t>
  </si>
  <si>
    <t>AQ</t>
  </si>
  <si>
    <t>IO</t>
  </si>
  <si>
    <t>HM</t>
  </si>
  <si>
    <t>TK</t>
  </si>
  <si>
    <t>UM</t>
  </si>
  <si>
    <t>IC</t>
  </si>
  <si>
    <t>code problem, should be Moldova</t>
  </si>
  <si>
    <t>alpha 2</t>
  </si>
  <si>
    <t>alpha 3</t>
  </si>
  <si>
    <t>ISO 3166-2</t>
  </si>
  <si>
    <t>AT-2</t>
  </si>
  <si>
    <t>Column3</t>
  </si>
  <si>
    <t>Column4</t>
  </si>
  <si>
    <t>Column5</t>
  </si>
  <si>
    <t>country</t>
  </si>
  <si>
    <t>type</t>
  </si>
  <si>
    <t>parent</t>
  </si>
  <si>
    <t>AD-07</t>
  </si>
  <si>
    <t>parish</t>
  </si>
  <si>
    <t/>
  </si>
  <si>
    <t>AD-02</t>
  </si>
  <si>
    <t>Canillo</t>
  </si>
  <si>
    <t>AD-03</t>
  </si>
  <si>
    <t>Encamp</t>
  </si>
  <si>
    <t>AD-08</t>
  </si>
  <si>
    <t>Escaldes-Engordany</t>
  </si>
  <si>
    <t>AD-04</t>
  </si>
  <si>
    <t>La Massana</t>
  </si>
  <si>
    <t>AD-05</t>
  </si>
  <si>
    <t>Ordino</t>
  </si>
  <si>
    <t>AD-06</t>
  </si>
  <si>
    <t>Sant Julià de Lòria</t>
  </si>
  <si>
    <t>AE-AJ</t>
  </si>
  <si>
    <t>‘Ajmān</t>
  </si>
  <si>
    <t>emirate</t>
  </si>
  <si>
    <t>AE-AZ</t>
  </si>
  <si>
    <t>Abū Z̧aby</t>
  </si>
  <si>
    <t>AE-FU</t>
  </si>
  <si>
    <t>Al Fujayrah</t>
  </si>
  <si>
    <t>AE-SH</t>
  </si>
  <si>
    <t>Ash Shāriqah</t>
  </si>
  <si>
    <t>AE-DU</t>
  </si>
  <si>
    <t>Dubayy</t>
  </si>
  <si>
    <t>AE-RK</t>
  </si>
  <si>
    <t>Ra’s al Khaymah</t>
  </si>
  <si>
    <t>AE-UQ</t>
  </si>
  <si>
    <t>Umm al Qaywayn</t>
  </si>
  <si>
    <t>AF-BDS</t>
  </si>
  <si>
    <t>Badakhshān</t>
  </si>
  <si>
    <t>province</t>
  </si>
  <si>
    <t>AF-BDG</t>
  </si>
  <si>
    <t>Bādghīs</t>
  </si>
  <si>
    <t>AF-BGL</t>
  </si>
  <si>
    <t>Baghlān</t>
  </si>
  <si>
    <t>AF-BAL</t>
  </si>
  <si>
    <t>Balkh</t>
  </si>
  <si>
    <t>AF-BAM</t>
  </si>
  <si>
    <t>Bāmyān</t>
  </si>
  <si>
    <t>AF-DAY</t>
  </si>
  <si>
    <t>Dāykundī</t>
  </si>
  <si>
    <t>AF-FRA</t>
  </si>
  <si>
    <t>Farāh</t>
  </si>
  <si>
    <t>AF-FYB</t>
  </si>
  <si>
    <t>Fāryāb</t>
  </si>
  <si>
    <t>AF-GHA</t>
  </si>
  <si>
    <t>Ghaznī</t>
  </si>
  <si>
    <t>AF-GHO</t>
  </si>
  <si>
    <t>Ghōr</t>
  </si>
  <si>
    <t>AF-HEL</t>
  </si>
  <si>
    <t>Helmand</t>
  </si>
  <si>
    <t>AF-HER</t>
  </si>
  <si>
    <t>Herāt</t>
  </si>
  <si>
    <t>AF-JOW</t>
  </si>
  <si>
    <t>Jowzjān</t>
  </si>
  <si>
    <t>AF-KAB</t>
  </si>
  <si>
    <t>Kābul</t>
  </si>
  <si>
    <t>AF-KAN</t>
  </si>
  <si>
    <t>Kandahār</t>
  </si>
  <si>
    <t>AF-KAP</t>
  </si>
  <si>
    <t>Kāpīsā</t>
  </si>
  <si>
    <t>AF-KHO</t>
  </si>
  <si>
    <t>Khōst</t>
  </si>
  <si>
    <t>AF-KNR</t>
  </si>
  <si>
    <t>Kunaṟ</t>
  </si>
  <si>
    <t>AF-KDZ</t>
  </si>
  <si>
    <t>Kunduz</t>
  </si>
  <si>
    <t>AF-LAG</t>
  </si>
  <si>
    <t>Laghmān</t>
  </si>
  <si>
    <t>AF-LOG</t>
  </si>
  <si>
    <t>Lōgar</t>
  </si>
  <si>
    <t>AF-NAN</t>
  </si>
  <si>
    <t>Nangarhār</t>
  </si>
  <si>
    <t>AF-NIM</t>
  </si>
  <si>
    <t>Nīmrōz</t>
  </si>
  <si>
    <t>AF-NUR</t>
  </si>
  <si>
    <t>Nūristān</t>
  </si>
  <si>
    <t>AF-PKA</t>
  </si>
  <si>
    <t>Paktīkā</t>
  </si>
  <si>
    <t>AF-PIA</t>
  </si>
  <si>
    <t>Paktiyā</t>
  </si>
  <si>
    <t>AF-PAN</t>
  </si>
  <si>
    <t>Panjshayr</t>
  </si>
  <si>
    <t>AF-PAR</t>
  </si>
  <si>
    <t>Parwān</t>
  </si>
  <si>
    <t>AF-SAM</t>
  </si>
  <si>
    <t>Samangān</t>
  </si>
  <si>
    <t>AF-SAR</t>
  </si>
  <si>
    <t>Sar-e Pul</t>
  </si>
  <si>
    <t>AF-TAK</t>
  </si>
  <si>
    <t>Takhār</t>
  </si>
  <si>
    <t>AF-URU</t>
  </si>
  <si>
    <t>Uruzgān</t>
  </si>
  <si>
    <t>AF-WAR</t>
  </si>
  <si>
    <t>Wardak</t>
  </si>
  <si>
    <t>AF-ZAB</t>
  </si>
  <si>
    <t>Zābul</t>
  </si>
  <si>
    <t>AG-03</t>
  </si>
  <si>
    <t>Saint George</t>
  </si>
  <si>
    <t>AG-04</t>
  </si>
  <si>
    <t>Saint John</t>
  </si>
  <si>
    <t>AG-05</t>
  </si>
  <si>
    <t>Saint Mary</t>
  </si>
  <si>
    <t>AG-06</t>
  </si>
  <si>
    <t>Saint Paul</t>
  </si>
  <si>
    <t>AG-07</t>
  </si>
  <si>
    <t>Saint Peter</t>
  </si>
  <si>
    <t>AG-08</t>
  </si>
  <si>
    <t>Saint Philip</t>
  </si>
  <si>
    <t>AG-10</t>
  </si>
  <si>
    <t>Barbuda</t>
  </si>
  <si>
    <t>dependency</t>
  </si>
  <si>
    <t>AG-11</t>
  </si>
  <si>
    <t>Redonda</t>
  </si>
  <si>
    <t>AL-01</t>
  </si>
  <si>
    <t>Berat</t>
  </si>
  <si>
    <t>county</t>
  </si>
  <si>
    <t>AL-09</t>
  </si>
  <si>
    <t>Dibër</t>
  </si>
  <si>
    <t>AL-02</t>
  </si>
  <si>
    <t>Durrës</t>
  </si>
  <si>
    <t>AL-03</t>
  </si>
  <si>
    <t>Elbasan</t>
  </si>
  <si>
    <t>AL-04</t>
  </si>
  <si>
    <t>Fier</t>
  </si>
  <si>
    <t>AL-05</t>
  </si>
  <si>
    <t>Gjirokastër</t>
  </si>
  <si>
    <t>AL-06</t>
  </si>
  <si>
    <t>Korçë</t>
  </si>
  <si>
    <t>AL-07</t>
  </si>
  <si>
    <t>Kukës</t>
  </si>
  <si>
    <t>AL-08</t>
  </si>
  <si>
    <t>Lezhë</t>
  </si>
  <si>
    <t>AL-10</t>
  </si>
  <si>
    <t>Shkodër</t>
  </si>
  <si>
    <t>AL-11</t>
  </si>
  <si>
    <t>Tiranë</t>
  </si>
  <si>
    <t>AL-12</t>
  </si>
  <si>
    <t>Vlorë</t>
  </si>
  <si>
    <t>AM-AG</t>
  </si>
  <si>
    <t>Aragac̣otn</t>
  </si>
  <si>
    <t>region</t>
  </si>
  <si>
    <t>AM-AR</t>
  </si>
  <si>
    <t>Ararat</t>
  </si>
  <si>
    <t>AM-AV</t>
  </si>
  <si>
    <t>Armavir</t>
  </si>
  <si>
    <t>AM-ER</t>
  </si>
  <si>
    <t>Erevan</t>
  </si>
  <si>
    <t>city</t>
  </si>
  <si>
    <t>AM-GR</t>
  </si>
  <si>
    <t>Geġark'unik'</t>
  </si>
  <si>
    <t>AM-KT</t>
  </si>
  <si>
    <t>Kotayk'</t>
  </si>
  <si>
    <t>AM-LO</t>
  </si>
  <si>
    <t>Loṙi</t>
  </si>
  <si>
    <t>AM-SH</t>
  </si>
  <si>
    <t>Širak</t>
  </si>
  <si>
    <t>AM-SU</t>
  </si>
  <si>
    <t>Syunik'</t>
  </si>
  <si>
    <t>AM-TV</t>
  </si>
  <si>
    <t>Tavuš</t>
  </si>
  <si>
    <t>AM-VD</t>
  </si>
  <si>
    <t>Vayoć Jor</t>
  </si>
  <si>
    <t>AO-BGO</t>
  </si>
  <si>
    <t>Bengo</t>
  </si>
  <si>
    <t>AO-BGU</t>
  </si>
  <si>
    <t>Benguela</t>
  </si>
  <si>
    <t>AO-BIE</t>
  </si>
  <si>
    <t>Bié</t>
  </si>
  <si>
    <t>AO-CAB</t>
  </si>
  <si>
    <t>Cabinda</t>
  </si>
  <si>
    <t>AO-CCU</t>
  </si>
  <si>
    <t>Cuando Cubango</t>
  </si>
  <si>
    <t>AO-CNO</t>
  </si>
  <si>
    <t>Cuanza-Norte</t>
  </si>
  <si>
    <t>AO-CUS</t>
  </si>
  <si>
    <t>Cuanza-Sul</t>
  </si>
  <si>
    <t>AO-CNN</t>
  </si>
  <si>
    <t>Cunene</t>
  </si>
  <si>
    <t>AO-HUA</t>
  </si>
  <si>
    <t>Huambo</t>
  </si>
  <si>
    <t>AO-HUI</t>
  </si>
  <si>
    <t>Huíla</t>
  </si>
  <si>
    <t>AO-LUA</t>
  </si>
  <si>
    <t>AO-LNO</t>
  </si>
  <si>
    <t>Lunda-Norte</t>
  </si>
  <si>
    <t>AO-LSU</t>
  </si>
  <si>
    <t>Lunda-Sul</t>
  </si>
  <si>
    <t>AO-MAL</t>
  </si>
  <si>
    <t>Malange</t>
  </si>
  <si>
    <t>AO-MOX</t>
  </si>
  <si>
    <t>Moxico</t>
  </si>
  <si>
    <t>AO-NAM</t>
  </si>
  <si>
    <t>Namibe</t>
  </si>
  <si>
    <t>AO-UIG</t>
  </si>
  <si>
    <t>Uíge</t>
  </si>
  <si>
    <t>AO-ZAI</t>
  </si>
  <si>
    <t>Zaire</t>
  </si>
  <si>
    <t>AR-B</t>
  </si>
  <si>
    <t>AR-K</t>
  </si>
  <si>
    <t>Catamarca</t>
  </si>
  <si>
    <t>AR-H</t>
  </si>
  <si>
    <t>Chaco</t>
  </si>
  <si>
    <t>AR-U</t>
  </si>
  <si>
    <t>Chubut</t>
  </si>
  <si>
    <t>AR-C</t>
  </si>
  <si>
    <t>Ciudad Autónoma de Buenos Aires</t>
  </si>
  <si>
    <t>AR-X</t>
  </si>
  <si>
    <t>Córdoba</t>
  </si>
  <si>
    <t>AR-W</t>
  </si>
  <si>
    <t>Corrientes</t>
  </si>
  <si>
    <t>AR-E</t>
  </si>
  <si>
    <t>Entre Ríos</t>
  </si>
  <si>
    <t>AR-P</t>
  </si>
  <si>
    <t>Formosa</t>
  </si>
  <si>
    <t>AR-Y</t>
  </si>
  <si>
    <t>Jujuy</t>
  </si>
  <si>
    <t>AR-L</t>
  </si>
  <si>
    <t>La Pampa</t>
  </si>
  <si>
    <t>AR-F</t>
  </si>
  <si>
    <t>La Rioja</t>
  </si>
  <si>
    <t>AR-M</t>
  </si>
  <si>
    <t>Mendoza</t>
  </si>
  <si>
    <t>AR-N</t>
  </si>
  <si>
    <t>Misiones</t>
  </si>
  <si>
    <t>AR-Q</t>
  </si>
  <si>
    <t>Neuquén</t>
  </si>
  <si>
    <t>AR-R</t>
  </si>
  <si>
    <t>Río Negro</t>
  </si>
  <si>
    <t>AR-A</t>
  </si>
  <si>
    <t>Salta</t>
  </si>
  <si>
    <t>AR-J</t>
  </si>
  <si>
    <t>AR-D</t>
  </si>
  <si>
    <t>San Luis</t>
  </si>
  <si>
    <t>AR-Z</t>
  </si>
  <si>
    <t>Santa Cruz</t>
  </si>
  <si>
    <t>AR-S</t>
  </si>
  <si>
    <t>AR-G</t>
  </si>
  <si>
    <t>Santiago del Estero</t>
  </si>
  <si>
    <t>AR-V</t>
  </si>
  <si>
    <t>Tierra del Fuego</t>
  </si>
  <si>
    <t>AR-T</t>
  </si>
  <si>
    <t>Tucumán</t>
  </si>
  <si>
    <t>AT-1</t>
  </si>
  <si>
    <t>Burgenland</t>
  </si>
  <si>
    <t>state</t>
  </si>
  <si>
    <t>Kärnten</t>
  </si>
  <si>
    <t>AT-3</t>
  </si>
  <si>
    <t>Niederösterreich</t>
  </si>
  <si>
    <t>AT-4</t>
  </si>
  <si>
    <t>Oberösterreich</t>
  </si>
  <si>
    <t>AT-5</t>
  </si>
  <si>
    <t>Salzburg</t>
  </si>
  <si>
    <t>AT-6</t>
  </si>
  <si>
    <t>Steiermark</t>
  </si>
  <si>
    <t>AT-7</t>
  </si>
  <si>
    <t>Tirol</t>
  </si>
  <si>
    <t>AT-8</t>
  </si>
  <si>
    <t>Vorarlberg</t>
  </si>
  <si>
    <t>AT-9</t>
  </si>
  <si>
    <t>Wien</t>
  </si>
  <si>
    <t>AU-NSW</t>
  </si>
  <si>
    <t>New South Wales</t>
  </si>
  <si>
    <t>AU-QLD</t>
  </si>
  <si>
    <t>Queensland</t>
  </si>
  <si>
    <t>AU-SA</t>
  </si>
  <si>
    <t>South Australia</t>
  </si>
  <si>
    <t>AU-TAS</t>
  </si>
  <si>
    <t>Tasmania</t>
  </si>
  <si>
    <t>AU-VIC</t>
  </si>
  <si>
    <t>AU-WA</t>
  </si>
  <si>
    <t>Western Australia</t>
  </si>
  <si>
    <t>AU-ACT</t>
  </si>
  <si>
    <t>Australian Capital Territory</t>
  </si>
  <si>
    <t>territory</t>
  </si>
  <si>
    <t>AU-NT</t>
  </si>
  <si>
    <t>Northern Territory</t>
  </si>
  <si>
    <t>AZ-NX</t>
  </si>
  <si>
    <t>Naxçıvan</t>
  </si>
  <si>
    <t>autonomous republic</t>
  </si>
  <si>
    <t>AZ-ABS</t>
  </si>
  <si>
    <t>Abşeron</t>
  </si>
  <si>
    <t>rayon</t>
  </si>
  <si>
    <t>AZ-AGC</t>
  </si>
  <si>
    <t>Ağcabədi</t>
  </si>
  <si>
    <t>AZ-AGM</t>
  </si>
  <si>
    <t>Ağdam</t>
  </si>
  <si>
    <t>AZ-AGS</t>
  </si>
  <si>
    <t>Ağdaş</t>
  </si>
  <si>
    <t>AZ-AGA</t>
  </si>
  <si>
    <t>Ağstafa</t>
  </si>
  <si>
    <t>AZ-AGU</t>
  </si>
  <si>
    <t>Ağsu</t>
  </si>
  <si>
    <t>AZ-AST</t>
  </si>
  <si>
    <t>Astara</t>
  </si>
  <si>
    <t>AZ-BAB</t>
  </si>
  <si>
    <t>Babək</t>
  </si>
  <si>
    <t>AZ-BA</t>
  </si>
  <si>
    <t>Bakı</t>
  </si>
  <si>
    <t>municipality</t>
  </si>
  <si>
    <t>AZ-BAL</t>
  </si>
  <si>
    <t>Balakən</t>
  </si>
  <si>
    <t>AZ-BAR</t>
  </si>
  <si>
    <t>Bərdə</t>
  </si>
  <si>
    <t>AZ-BEY</t>
  </si>
  <si>
    <t>Beyləqan</t>
  </si>
  <si>
    <t>AZ-BIL</t>
  </si>
  <si>
    <t>Biləsuvar</t>
  </si>
  <si>
    <t>AZ-CAB</t>
  </si>
  <si>
    <t>Cəbrayıl</t>
  </si>
  <si>
    <t>AZ-CAL</t>
  </si>
  <si>
    <t>Cəlilabad</t>
  </si>
  <si>
    <t>AZ-CUL</t>
  </si>
  <si>
    <t>Culfa</t>
  </si>
  <si>
    <t>AZ-DAS</t>
  </si>
  <si>
    <t>Daşkəsən</t>
  </si>
  <si>
    <t>AZ-FUZ</t>
  </si>
  <si>
    <t>Füzuli</t>
  </si>
  <si>
    <t>AZ-GAD</t>
  </si>
  <si>
    <t>Gədəbəy</t>
  </si>
  <si>
    <t>AZ-GA</t>
  </si>
  <si>
    <t>Gəncə</t>
  </si>
  <si>
    <t>AZ-GOR</t>
  </si>
  <si>
    <t>Goranboy</t>
  </si>
  <si>
    <t>AZ-GOY</t>
  </si>
  <si>
    <t>Göyçay</t>
  </si>
  <si>
    <t>AZ-GYG</t>
  </si>
  <si>
    <t>Göygöl</t>
  </si>
  <si>
    <t>AZ-HAC</t>
  </si>
  <si>
    <t>Hacıqabul</t>
  </si>
  <si>
    <t>AZ-IMI</t>
  </si>
  <si>
    <t>İmişli</t>
  </si>
  <si>
    <t>AZ-ISM</t>
  </si>
  <si>
    <t>İsmayıllı</t>
  </si>
  <si>
    <t>AZ-KAL</t>
  </si>
  <si>
    <t>Kəlbəcər</t>
  </si>
  <si>
    <t>AZ-KAN</t>
  </si>
  <si>
    <t>Kǝngǝrli</t>
  </si>
  <si>
    <t>AZ-KUR</t>
  </si>
  <si>
    <t>Kürdəmir</t>
  </si>
  <si>
    <t>AZ-LAC</t>
  </si>
  <si>
    <t>Laçın</t>
  </si>
  <si>
    <t>AZ-LA</t>
  </si>
  <si>
    <t>Lənkəran</t>
  </si>
  <si>
    <t>AZ-LAN</t>
  </si>
  <si>
    <t>AZ-LER</t>
  </si>
  <si>
    <t>Lerik</t>
  </si>
  <si>
    <t>AZ-MAS</t>
  </si>
  <si>
    <t>Masallı</t>
  </si>
  <si>
    <t>AZ-MI</t>
  </si>
  <si>
    <t>Mingəçevir</t>
  </si>
  <si>
    <t>AZ-NA</t>
  </si>
  <si>
    <t>Naftalan</t>
  </si>
  <si>
    <t>AZ-NV</t>
  </si>
  <si>
    <t>AZ-NEF</t>
  </si>
  <si>
    <t>Neftçala</t>
  </si>
  <si>
    <t>AZ-OGU</t>
  </si>
  <si>
    <t>Oğuz</t>
  </si>
  <si>
    <t>AZ-ORD</t>
  </si>
  <si>
    <t>Ordubad</t>
  </si>
  <si>
    <t>AZ-QAX</t>
  </si>
  <si>
    <t>Qax</t>
  </si>
  <si>
    <t>AZ-QAZ</t>
  </si>
  <si>
    <t>Qazax</t>
  </si>
  <si>
    <t>AZ-QAB</t>
  </si>
  <si>
    <t>Qəbələ</t>
  </si>
  <si>
    <t>AZ-QOB</t>
  </si>
  <si>
    <t>Qobustan</t>
  </si>
  <si>
    <t>AZ-QBA</t>
  </si>
  <si>
    <t>Quba</t>
  </si>
  <si>
    <t>AZ-QBI</t>
  </si>
  <si>
    <t>Qubadlı</t>
  </si>
  <si>
    <t>AZ-QUS</t>
  </si>
  <si>
    <t>Qusar</t>
  </si>
  <si>
    <t>AZ-SAT</t>
  </si>
  <si>
    <t>Saatlı</t>
  </si>
  <si>
    <t>AZ-SAB</t>
  </si>
  <si>
    <t>Sabirabad</t>
  </si>
  <si>
    <t>AZ-SBN</t>
  </si>
  <si>
    <t>Şabran</t>
  </si>
  <si>
    <t>AZ-SAH</t>
  </si>
  <si>
    <t>Şahbuz</t>
  </si>
  <si>
    <t>AZ-SAL</t>
  </si>
  <si>
    <t>Salyan</t>
  </si>
  <si>
    <t>AZ-SMI</t>
  </si>
  <si>
    <t>Şamaxı</t>
  </si>
  <si>
    <t>AZ-SMX</t>
  </si>
  <si>
    <t>Samux</t>
  </si>
  <si>
    <t>AZ-SAD</t>
  </si>
  <si>
    <t>Sədərək</t>
  </si>
  <si>
    <t>AZ-SA</t>
  </si>
  <si>
    <t>Şəki</t>
  </si>
  <si>
    <t>AZ-SAK</t>
  </si>
  <si>
    <t>AZ-SKR</t>
  </si>
  <si>
    <t>Şəmkir</t>
  </si>
  <si>
    <t>AZ-SAR</t>
  </si>
  <si>
    <t>Şərur</t>
  </si>
  <si>
    <t>AZ-SR</t>
  </si>
  <si>
    <t>Şirvan</t>
  </si>
  <si>
    <t>AZ-SIY</t>
  </si>
  <si>
    <t>Siyəzən</t>
  </si>
  <si>
    <t>AZ-SM</t>
  </si>
  <si>
    <t>Sumqayıt</t>
  </si>
  <si>
    <t>AZ-SUS</t>
  </si>
  <si>
    <t>Şuşa</t>
  </si>
  <si>
    <t>AZ-TAR</t>
  </si>
  <si>
    <t>Tərtər</t>
  </si>
  <si>
    <t>AZ-TOV</t>
  </si>
  <si>
    <t>Tovuz</t>
  </si>
  <si>
    <t>AZ-UCA</t>
  </si>
  <si>
    <t>Ucar</t>
  </si>
  <si>
    <t>AZ-XAC</t>
  </si>
  <si>
    <t>Xaçmaz</t>
  </si>
  <si>
    <t>AZ-XA</t>
  </si>
  <si>
    <t>Xankəndi</t>
  </si>
  <si>
    <t>AZ-XIZ</t>
  </si>
  <si>
    <t>Xızı</t>
  </si>
  <si>
    <t>AZ-XCI</t>
  </si>
  <si>
    <t>Xocalı</t>
  </si>
  <si>
    <t>AZ-XVD</t>
  </si>
  <si>
    <t>Xocavənd</t>
  </si>
  <si>
    <t>AZ-YAR</t>
  </si>
  <si>
    <t>Yardımlı</t>
  </si>
  <si>
    <t>AZ-YE</t>
  </si>
  <si>
    <t>Yevlax</t>
  </si>
  <si>
    <t>AZ-YEV</t>
  </si>
  <si>
    <t>AZ-ZAQ</t>
  </si>
  <si>
    <t>Zaqatala</t>
  </si>
  <si>
    <t>AZ-ZAN</t>
  </si>
  <si>
    <t>Zəngilan</t>
  </si>
  <si>
    <t>AZ-ZAR</t>
  </si>
  <si>
    <t>Zərdab</t>
  </si>
  <si>
    <t>BA-BIH</t>
  </si>
  <si>
    <t>Federacija Bosne i Hercegovine</t>
  </si>
  <si>
    <t>entity</t>
  </si>
  <si>
    <t>BA-SRP</t>
  </si>
  <si>
    <t>Republika Srpska</t>
  </si>
  <si>
    <t>BA-BRC</t>
  </si>
  <si>
    <t>Brčko Distrikt</t>
  </si>
  <si>
    <t>district with special status</t>
  </si>
  <si>
    <t>BB-01</t>
  </si>
  <si>
    <t>Christ Church</t>
  </si>
  <si>
    <t>BB-02</t>
  </si>
  <si>
    <t>Saint Andrew</t>
  </si>
  <si>
    <t>BB-03</t>
  </si>
  <si>
    <t>BB-04</t>
  </si>
  <si>
    <t>Saint James</t>
  </si>
  <si>
    <t>BB-05</t>
  </si>
  <si>
    <t>BB-06</t>
  </si>
  <si>
    <t>Saint Joseph</t>
  </si>
  <si>
    <t>BB-07</t>
  </si>
  <si>
    <t>Saint Lucy</t>
  </si>
  <si>
    <t>BB-08</t>
  </si>
  <si>
    <t>Saint Michael</t>
  </si>
  <si>
    <t>BB-09</t>
  </si>
  <si>
    <t>BB-10</t>
  </si>
  <si>
    <t>BB-11</t>
  </si>
  <si>
    <t>Saint Thomas</t>
  </si>
  <si>
    <t>BD-A</t>
  </si>
  <si>
    <t>Barishal</t>
  </si>
  <si>
    <t>division</t>
  </si>
  <si>
    <t>BD-B</t>
  </si>
  <si>
    <t>Chattogram</t>
  </si>
  <si>
    <t>BD-C</t>
  </si>
  <si>
    <t>BD-D</t>
  </si>
  <si>
    <t>Khulna</t>
  </si>
  <si>
    <t>BD-H</t>
  </si>
  <si>
    <t>Mymensingh</t>
  </si>
  <si>
    <t>BD-E</t>
  </si>
  <si>
    <t>Rajshahi</t>
  </si>
  <si>
    <t>BD-F</t>
  </si>
  <si>
    <t>Rangpur</t>
  </si>
  <si>
    <t>BD-G</t>
  </si>
  <si>
    <t>Sylhet</t>
  </si>
  <si>
    <t>BD-05</t>
  </si>
  <si>
    <t>Bagerhat</t>
  </si>
  <si>
    <t>district</t>
  </si>
  <si>
    <t>BD-01</t>
  </si>
  <si>
    <t>Bandarban</t>
  </si>
  <si>
    <t>BD-02</t>
  </si>
  <si>
    <t>Barguna</t>
  </si>
  <si>
    <t>BD-06</t>
  </si>
  <si>
    <t>BD-07</t>
  </si>
  <si>
    <t>Bhola</t>
  </si>
  <si>
    <t>BD-03</t>
  </si>
  <si>
    <t>Bogura</t>
  </si>
  <si>
    <t>BD-04</t>
  </si>
  <si>
    <t>Brahmanbaria</t>
  </si>
  <si>
    <t>BD-09</t>
  </si>
  <si>
    <t>Chandpur</t>
  </si>
  <si>
    <t>BD-45</t>
  </si>
  <si>
    <t>Chapai Nawabganj</t>
  </si>
  <si>
    <t>BD-10</t>
  </si>
  <si>
    <t>BD-12</t>
  </si>
  <si>
    <t>Chuadanga</t>
  </si>
  <si>
    <t>BD-11</t>
  </si>
  <si>
    <t>Cox's Bazar</t>
  </si>
  <si>
    <t>BD-08</t>
  </si>
  <si>
    <t>Cumilla</t>
  </si>
  <si>
    <t>BD-13</t>
  </si>
  <si>
    <t>BD-14</t>
  </si>
  <si>
    <t>Dinajpur</t>
  </si>
  <si>
    <t>BD-15</t>
  </si>
  <si>
    <t>Faridpur</t>
  </si>
  <si>
    <t>BD-16</t>
  </si>
  <si>
    <t>Feni</t>
  </si>
  <si>
    <t>BD-19</t>
  </si>
  <si>
    <t>Gaibandha</t>
  </si>
  <si>
    <t>BD-18</t>
  </si>
  <si>
    <t>Gazipur</t>
  </si>
  <si>
    <t>BD-17</t>
  </si>
  <si>
    <t>Gopalganj</t>
  </si>
  <si>
    <t>BD-20</t>
  </si>
  <si>
    <t>Habiganj</t>
  </si>
  <si>
    <t>BD-21</t>
  </si>
  <si>
    <t>Jamalpur</t>
  </si>
  <si>
    <t>BD-22</t>
  </si>
  <si>
    <t>Jashore</t>
  </si>
  <si>
    <t>BD-25</t>
  </si>
  <si>
    <t>Jhalakathi</t>
  </si>
  <si>
    <t>BD-23</t>
  </si>
  <si>
    <t>Jhenaidah</t>
  </si>
  <si>
    <t>BD-24</t>
  </si>
  <si>
    <t>Joypurhat</t>
  </si>
  <si>
    <t>BD-29</t>
  </si>
  <si>
    <t>Khagrachhari</t>
  </si>
  <si>
    <t>BD-27</t>
  </si>
  <si>
    <t>BD-26</t>
  </si>
  <si>
    <t>Kishoreganj</t>
  </si>
  <si>
    <t>BD-28</t>
  </si>
  <si>
    <t>Kurigram</t>
  </si>
  <si>
    <t>BD-30</t>
  </si>
  <si>
    <t>Kushtia</t>
  </si>
  <si>
    <t>BD-31</t>
  </si>
  <si>
    <t>Lakshmipur</t>
  </si>
  <si>
    <t>BD-32</t>
  </si>
  <si>
    <t>Lalmonirhat</t>
  </si>
  <si>
    <t>BD-36</t>
  </si>
  <si>
    <t>Madaripur</t>
  </si>
  <si>
    <t>BD-37</t>
  </si>
  <si>
    <t>Magura</t>
  </si>
  <si>
    <t>BD-33</t>
  </si>
  <si>
    <t>Manikganj</t>
  </si>
  <si>
    <t>BD-39</t>
  </si>
  <si>
    <t>Meherpur</t>
  </si>
  <si>
    <t>BD-38</t>
  </si>
  <si>
    <t>Moulvibazar</t>
  </si>
  <si>
    <t>BD-35</t>
  </si>
  <si>
    <t>Munshiganj</t>
  </si>
  <si>
    <t>BD-34</t>
  </si>
  <si>
    <t>BD-48</t>
  </si>
  <si>
    <t>Naogaon</t>
  </si>
  <si>
    <t>BD-43</t>
  </si>
  <si>
    <t>Narail</t>
  </si>
  <si>
    <t>BD-40</t>
  </si>
  <si>
    <t>Narayanganj</t>
  </si>
  <si>
    <t>BD-42</t>
  </si>
  <si>
    <t>Narsingdi</t>
  </si>
  <si>
    <t>BD-44</t>
  </si>
  <si>
    <t>Natore</t>
  </si>
  <si>
    <t>BD-41</t>
  </si>
  <si>
    <t>Netrakona</t>
  </si>
  <si>
    <t>BD-46</t>
  </si>
  <si>
    <t>Nilphamari</t>
  </si>
  <si>
    <t>BD-47</t>
  </si>
  <si>
    <t>Noakhali</t>
  </si>
  <si>
    <t>BD-49</t>
  </si>
  <si>
    <t>Pabna</t>
  </si>
  <si>
    <t>BD-52</t>
  </si>
  <si>
    <t>Panchagarh</t>
  </si>
  <si>
    <t>BD-51</t>
  </si>
  <si>
    <t>Patuakhali</t>
  </si>
  <si>
    <t>BD-50</t>
  </si>
  <si>
    <t>Pirojpur</t>
  </si>
  <si>
    <t>BD-53</t>
  </si>
  <si>
    <t>Rajbari</t>
  </si>
  <si>
    <t>BD-54</t>
  </si>
  <si>
    <t>BD-56</t>
  </si>
  <si>
    <t>Rangamati</t>
  </si>
  <si>
    <t>BD-55</t>
  </si>
  <si>
    <t>BD-58</t>
  </si>
  <si>
    <t>Satkhira</t>
  </si>
  <si>
    <t>BD-62</t>
  </si>
  <si>
    <t>Shariatpur</t>
  </si>
  <si>
    <t>BD-57</t>
  </si>
  <si>
    <t>Sherpur</t>
  </si>
  <si>
    <t>BD-59</t>
  </si>
  <si>
    <t>Sirajganj</t>
  </si>
  <si>
    <t>BD-61</t>
  </si>
  <si>
    <t>Sunamganj</t>
  </si>
  <si>
    <t>BD-60</t>
  </si>
  <si>
    <t>BD-63</t>
  </si>
  <si>
    <t>Tangail</t>
  </si>
  <si>
    <t>BD-64</t>
  </si>
  <si>
    <t>Thakurgaon</t>
  </si>
  <si>
    <t>BE-BRU</t>
  </si>
  <si>
    <t>Brussels Hoofdstedelijk Gewest</t>
  </si>
  <si>
    <t>BE-VLG</t>
  </si>
  <si>
    <t>Vlaams Gewest</t>
  </si>
  <si>
    <t>BE-WAL</t>
  </si>
  <si>
    <t>Waals Gewest</t>
  </si>
  <si>
    <t>BE-VAN</t>
  </si>
  <si>
    <t>Antwerpen</t>
  </si>
  <si>
    <t>provice</t>
  </si>
  <si>
    <t>BE-WBR</t>
  </si>
  <si>
    <t>Brabant wallon</t>
  </si>
  <si>
    <t>BE-WHT</t>
  </si>
  <si>
    <t>Hainaut</t>
  </si>
  <si>
    <t>BE-WLG</t>
  </si>
  <si>
    <t>Liège</t>
  </si>
  <si>
    <t>BE-VLI</t>
  </si>
  <si>
    <t>Limburg</t>
  </si>
  <si>
    <t>BE-WLX</t>
  </si>
  <si>
    <t>BE-WNA</t>
  </si>
  <si>
    <t>Namur</t>
  </si>
  <si>
    <t>BE-VOV</t>
  </si>
  <si>
    <t>Oost-Vlaanderen</t>
  </si>
  <si>
    <t>BE-VBR</t>
  </si>
  <si>
    <t>Vlaams-Brabant</t>
  </si>
  <si>
    <t>BE-VWV</t>
  </si>
  <si>
    <t>West-Vlaanderen</t>
  </si>
  <si>
    <t>BF-01</t>
  </si>
  <si>
    <t>Boucle du Mouhoun</t>
  </si>
  <si>
    <t>BF-02</t>
  </si>
  <si>
    <t>Cascades</t>
  </si>
  <si>
    <t>BF-03</t>
  </si>
  <si>
    <t>Centre</t>
  </si>
  <si>
    <t>BF-04</t>
  </si>
  <si>
    <t>Centre-Est</t>
  </si>
  <si>
    <t>BF-05</t>
  </si>
  <si>
    <t>Centre-Nord</t>
  </si>
  <si>
    <t>BF-06</t>
  </si>
  <si>
    <t>Centre-Ouest</t>
  </si>
  <si>
    <t>BF-07</t>
  </si>
  <si>
    <t>Centre-Sud</t>
  </si>
  <si>
    <t>BF-08</t>
  </si>
  <si>
    <t>Est</t>
  </si>
  <si>
    <t>BF-09</t>
  </si>
  <si>
    <t>Hauts-Bassins</t>
  </si>
  <si>
    <t>BF-10</t>
  </si>
  <si>
    <t>Nord</t>
  </si>
  <si>
    <t>BF-11</t>
  </si>
  <si>
    <t>Plateau-Central</t>
  </si>
  <si>
    <t>BF-12</t>
  </si>
  <si>
    <t>Sahel</t>
  </si>
  <si>
    <t>BF-13</t>
  </si>
  <si>
    <t>Sud-Ouest</t>
  </si>
  <si>
    <t>BF-BAL</t>
  </si>
  <si>
    <t>Balé</t>
  </si>
  <si>
    <t>BF-BAM</t>
  </si>
  <si>
    <t>Bam</t>
  </si>
  <si>
    <t>BF-BAN</t>
  </si>
  <si>
    <t>Banwa</t>
  </si>
  <si>
    <t>BF-BAZ</t>
  </si>
  <si>
    <t>Bazèga</t>
  </si>
  <si>
    <t>BF-BGR</t>
  </si>
  <si>
    <t>Bougouriba</t>
  </si>
  <si>
    <t>BF-BLG</t>
  </si>
  <si>
    <t>Boulgou</t>
  </si>
  <si>
    <t>BF-BLK</t>
  </si>
  <si>
    <t>Boulkiemdé</t>
  </si>
  <si>
    <t>BF-COM</t>
  </si>
  <si>
    <t>Comoé</t>
  </si>
  <si>
    <t>BF-GAN</t>
  </si>
  <si>
    <t>Ganzourgou</t>
  </si>
  <si>
    <t>BF-GNA</t>
  </si>
  <si>
    <t>Gnagna</t>
  </si>
  <si>
    <t>BF-GOU</t>
  </si>
  <si>
    <t>Gourma</t>
  </si>
  <si>
    <t>BF-HOU</t>
  </si>
  <si>
    <t>Houet</t>
  </si>
  <si>
    <t>BF-IOB</t>
  </si>
  <si>
    <t>Ioba</t>
  </si>
  <si>
    <t>BF-KAD</t>
  </si>
  <si>
    <t>Kadiogo</t>
  </si>
  <si>
    <t>BF-KEN</t>
  </si>
  <si>
    <t>Kénédougou</t>
  </si>
  <si>
    <t>BF-KMD</t>
  </si>
  <si>
    <t>Komondjari</t>
  </si>
  <si>
    <t>BF-KMP</t>
  </si>
  <si>
    <t>Kompienga</t>
  </si>
  <si>
    <t>BF-KOS</t>
  </si>
  <si>
    <t>Kossi</t>
  </si>
  <si>
    <t>BF-KOP</t>
  </si>
  <si>
    <t>Koulpélogo</t>
  </si>
  <si>
    <t>BF-KOT</t>
  </si>
  <si>
    <t>Kouritenga</t>
  </si>
  <si>
    <t>BF-KOW</t>
  </si>
  <si>
    <t>Kourwéogo</t>
  </si>
  <si>
    <t>BF-LER</t>
  </si>
  <si>
    <t>Léraba</t>
  </si>
  <si>
    <t>BF-LOR</t>
  </si>
  <si>
    <t>Loroum</t>
  </si>
  <si>
    <t>BF-MOU</t>
  </si>
  <si>
    <t>Mouhoun</t>
  </si>
  <si>
    <t>BF-NAO</t>
  </si>
  <si>
    <t>Nahouri</t>
  </si>
  <si>
    <t>BF-NAM</t>
  </si>
  <si>
    <t>Namentenga</t>
  </si>
  <si>
    <t>BF-NAY</t>
  </si>
  <si>
    <t>Nayala</t>
  </si>
  <si>
    <t>BF-NOU</t>
  </si>
  <si>
    <t>Noumbiel</t>
  </si>
  <si>
    <t>BF-OUB</t>
  </si>
  <si>
    <t>Oubritenga</t>
  </si>
  <si>
    <t>BF-OUD</t>
  </si>
  <si>
    <t>Oudalan</t>
  </si>
  <si>
    <t>BF-PAS</t>
  </si>
  <si>
    <t>Passoré</t>
  </si>
  <si>
    <t>BF-PON</t>
  </si>
  <si>
    <t>Poni</t>
  </si>
  <si>
    <t>BF-SNG</t>
  </si>
  <si>
    <t>Sanguié</t>
  </si>
  <si>
    <t>BF-SMT</t>
  </si>
  <si>
    <t>Sanmatenga</t>
  </si>
  <si>
    <t>BF-SEN</t>
  </si>
  <si>
    <t>Séno</t>
  </si>
  <si>
    <t>BF-SIS</t>
  </si>
  <si>
    <t>Sissili</t>
  </si>
  <si>
    <t>BF-SOM</t>
  </si>
  <si>
    <t>Soum</t>
  </si>
  <si>
    <t>BF-SOR</t>
  </si>
  <si>
    <t>Sourou</t>
  </si>
  <si>
    <t>BF-TAP</t>
  </si>
  <si>
    <t>Tapoa</t>
  </si>
  <si>
    <t>BF-TUI</t>
  </si>
  <si>
    <t>Tuy</t>
  </si>
  <si>
    <t>BF-YAG</t>
  </si>
  <si>
    <t>Yagha</t>
  </si>
  <si>
    <t>BF-YAT</t>
  </si>
  <si>
    <t>Yatenga</t>
  </si>
  <si>
    <t>BF-ZIR</t>
  </si>
  <si>
    <t>Ziro</t>
  </si>
  <si>
    <t>BF-ZON</t>
  </si>
  <si>
    <t>Zondoma</t>
  </si>
  <si>
    <t>BF-ZOU</t>
  </si>
  <si>
    <t>Zoundwéogo</t>
  </si>
  <si>
    <t>BG-01</t>
  </si>
  <si>
    <t>Blagoevgrad</t>
  </si>
  <si>
    <t>BG-02</t>
  </si>
  <si>
    <t>Burgas</t>
  </si>
  <si>
    <t>BG-08</t>
  </si>
  <si>
    <t>Dobrich</t>
  </si>
  <si>
    <t>BG-07</t>
  </si>
  <si>
    <t>Gabrovo</t>
  </si>
  <si>
    <t>BG-26</t>
  </si>
  <si>
    <t>Haskovo</t>
  </si>
  <si>
    <t>BG-09</t>
  </si>
  <si>
    <t>Kardzhali</t>
  </si>
  <si>
    <t>BG-10</t>
  </si>
  <si>
    <t>Kyustendil</t>
  </si>
  <si>
    <t>BG-11</t>
  </si>
  <si>
    <t>Lovech</t>
  </si>
  <si>
    <t>BG-12</t>
  </si>
  <si>
    <t>BG-13</t>
  </si>
  <si>
    <t>Pazardzhik</t>
  </si>
  <si>
    <t>BG-14</t>
  </si>
  <si>
    <t>Pernik</t>
  </si>
  <si>
    <t>BG-15</t>
  </si>
  <si>
    <t>Pleven</t>
  </si>
  <si>
    <t>BG-16</t>
  </si>
  <si>
    <t>Plovdiv</t>
  </si>
  <si>
    <t>BG-17</t>
  </si>
  <si>
    <t>Razgrad</t>
  </si>
  <si>
    <t>BG-18</t>
  </si>
  <si>
    <t>Ruse</t>
  </si>
  <si>
    <t>BG-27</t>
  </si>
  <si>
    <t>Shumen</t>
  </si>
  <si>
    <t>BG-19</t>
  </si>
  <si>
    <t>Silistra</t>
  </si>
  <si>
    <t>BG-20</t>
  </si>
  <si>
    <t>Sliven</t>
  </si>
  <si>
    <t>BG-21</t>
  </si>
  <si>
    <t>Smolyan</t>
  </si>
  <si>
    <t>BG-23</t>
  </si>
  <si>
    <t>BG-22</t>
  </si>
  <si>
    <t>Sofia (stolitsa)</t>
  </si>
  <si>
    <t>BG-24</t>
  </si>
  <si>
    <t>Stara Zagora</t>
  </si>
  <si>
    <t>BG-25</t>
  </si>
  <si>
    <t>Targovishte</t>
  </si>
  <si>
    <t>BG-03</t>
  </si>
  <si>
    <t>Varna</t>
  </si>
  <si>
    <t>BG-04</t>
  </si>
  <si>
    <t>Veliko Tarnovo</t>
  </si>
  <si>
    <t>BG-05</t>
  </si>
  <si>
    <t>Vidin</t>
  </si>
  <si>
    <t>BG-06</t>
  </si>
  <si>
    <t>Vratsa</t>
  </si>
  <si>
    <t>BG-28</t>
  </si>
  <si>
    <t>Yambol</t>
  </si>
  <si>
    <t>BH-13</t>
  </si>
  <si>
    <t>Al ‘Āşimah</t>
  </si>
  <si>
    <t>governorate</t>
  </si>
  <si>
    <t>BH-14</t>
  </si>
  <si>
    <t>Al Janūbīyah</t>
  </si>
  <si>
    <t>BH-15</t>
  </si>
  <si>
    <t>Al Muḩarraq</t>
  </si>
  <si>
    <t>BH-17</t>
  </si>
  <si>
    <t>Ash Shamālīyah</t>
  </si>
  <si>
    <t>BI-BB</t>
  </si>
  <si>
    <t>Bubanza</t>
  </si>
  <si>
    <t>BI-BM</t>
  </si>
  <si>
    <t>Bujumbura Mairie</t>
  </si>
  <si>
    <t>BI-BL</t>
  </si>
  <si>
    <t>Bujumbura Rural</t>
  </si>
  <si>
    <t>BI-BR</t>
  </si>
  <si>
    <t>Bururi</t>
  </si>
  <si>
    <t>BI-CA</t>
  </si>
  <si>
    <t>Cankuzo</t>
  </si>
  <si>
    <t>BI-CI</t>
  </si>
  <si>
    <t>Cibitoke</t>
  </si>
  <si>
    <t>BI-GI</t>
  </si>
  <si>
    <t>Gitega</t>
  </si>
  <si>
    <t>BI-KR</t>
  </si>
  <si>
    <t>Karuzi</t>
  </si>
  <si>
    <t>BI-KY</t>
  </si>
  <si>
    <t>Kayanza</t>
  </si>
  <si>
    <t>BI-KI</t>
  </si>
  <si>
    <t>Kirundo</t>
  </si>
  <si>
    <t>BI-MA</t>
  </si>
  <si>
    <t>Makamba</t>
  </si>
  <si>
    <t>BI-MU</t>
  </si>
  <si>
    <t>Muramvya</t>
  </si>
  <si>
    <t>BI-MY</t>
  </si>
  <si>
    <t>Muyinga</t>
  </si>
  <si>
    <t>BI-MW</t>
  </si>
  <si>
    <t>Mwaro</t>
  </si>
  <si>
    <t>BI-NG</t>
  </si>
  <si>
    <t>Ngozi</t>
  </si>
  <si>
    <t>BI-RM</t>
  </si>
  <si>
    <t>Rumonge</t>
  </si>
  <si>
    <t>BI-RT</t>
  </si>
  <si>
    <t>Rutana</t>
  </si>
  <si>
    <t>BI-RY</t>
  </si>
  <si>
    <t>Ruyigi</t>
  </si>
  <si>
    <t>BJ-AL</t>
  </si>
  <si>
    <t>Alibori</t>
  </si>
  <si>
    <t>department</t>
  </si>
  <si>
    <t>BJ-AK</t>
  </si>
  <si>
    <t>Atacora</t>
  </si>
  <si>
    <t>BJ-AQ</t>
  </si>
  <si>
    <t>Atlantique</t>
  </si>
  <si>
    <t>BJ-BO</t>
  </si>
  <si>
    <t>Borgou</t>
  </si>
  <si>
    <t>BJ-CO</t>
  </si>
  <si>
    <t>Collines</t>
  </si>
  <si>
    <t>BJ-KO</t>
  </si>
  <si>
    <t>Couffo</t>
  </si>
  <si>
    <t>BJ-DO</t>
  </si>
  <si>
    <t>Donga</t>
  </si>
  <si>
    <t>BJ-LI</t>
  </si>
  <si>
    <t>Littoral</t>
  </si>
  <si>
    <t>BJ-MO</t>
  </si>
  <si>
    <t>Mono</t>
  </si>
  <si>
    <t>BJ-OU</t>
  </si>
  <si>
    <t>Ouémé</t>
  </si>
  <si>
    <t>BJ-PL</t>
  </si>
  <si>
    <t>Plateau</t>
  </si>
  <si>
    <t>BJ-ZO</t>
  </si>
  <si>
    <t>Zou</t>
  </si>
  <si>
    <t>BN-BE</t>
  </si>
  <si>
    <t>Belait</t>
  </si>
  <si>
    <t>BN-BM</t>
  </si>
  <si>
    <t>Brunei-Muara</t>
  </si>
  <si>
    <t>BN-TE</t>
  </si>
  <si>
    <t>Temburong</t>
  </si>
  <si>
    <t>BN-TU</t>
  </si>
  <si>
    <t>Tutong</t>
  </si>
  <si>
    <t>BO-C</t>
  </si>
  <si>
    <t>Cochabamba</t>
  </si>
  <si>
    <t>BO-H</t>
  </si>
  <si>
    <t>Chuquisaca</t>
  </si>
  <si>
    <t>BO-B</t>
  </si>
  <si>
    <t>El Beni</t>
  </si>
  <si>
    <t>BO-L</t>
  </si>
  <si>
    <t>La Paz</t>
  </si>
  <si>
    <t>BO-O</t>
  </si>
  <si>
    <t>Oruro</t>
  </si>
  <si>
    <t>BO-N</t>
  </si>
  <si>
    <t>Pando</t>
  </si>
  <si>
    <t>BO-P</t>
  </si>
  <si>
    <t>Potosí</t>
  </si>
  <si>
    <t>BO-S</t>
  </si>
  <si>
    <t>BO-T</t>
  </si>
  <si>
    <t>Tarija</t>
  </si>
  <si>
    <t>BQ-BO</t>
  </si>
  <si>
    <t>special municipality</t>
  </si>
  <si>
    <t>BQ-SA</t>
  </si>
  <si>
    <t>Saba</t>
  </si>
  <si>
    <t>BQ-SE</t>
  </si>
  <si>
    <t>Sint Eustatius</t>
  </si>
  <si>
    <t>BR-AC</t>
  </si>
  <si>
    <t>Acre</t>
  </si>
  <si>
    <t>BR-AL</t>
  </si>
  <si>
    <t>Alagoas</t>
  </si>
  <si>
    <t>BR-AP</t>
  </si>
  <si>
    <t>Amapá</t>
  </si>
  <si>
    <t>BR-AM</t>
  </si>
  <si>
    <t>Amazonas</t>
  </si>
  <si>
    <t>BR-BA</t>
  </si>
  <si>
    <t>Bahia</t>
  </si>
  <si>
    <t>BR-CE</t>
  </si>
  <si>
    <t>Ceará</t>
  </si>
  <si>
    <t>BR-DF</t>
  </si>
  <si>
    <t>Distrito Federal</t>
  </si>
  <si>
    <t>federal district</t>
  </si>
  <si>
    <t>BR-ES</t>
  </si>
  <si>
    <t>Espírito Santo</t>
  </si>
  <si>
    <t>BR-GO</t>
  </si>
  <si>
    <t>Goiás</t>
  </si>
  <si>
    <t>BR-MA</t>
  </si>
  <si>
    <t>Maranhão</t>
  </si>
  <si>
    <t>BR-MT</t>
  </si>
  <si>
    <t>Mato Grosso</t>
  </si>
  <si>
    <t>BR-MS</t>
  </si>
  <si>
    <t>Mato Grosso do Sul</t>
  </si>
  <si>
    <t>BR-MG</t>
  </si>
  <si>
    <t>Minas Gerais</t>
  </si>
  <si>
    <t>BR-PA</t>
  </si>
  <si>
    <t>Pará</t>
  </si>
  <si>
    <t>BR-PB</t>
  </si>
  <si>
    <t>Paraíba</t>
  </si>
  <si>
    <t>BR-PR</t>
  </si>
  <si>
    <t>Paraná</t>
  </si>
  <si>
    <t>BR-PE</t>
  </si>
  <si>
    <t>Pernambuco</t>
  </si>
  <si>
    <t>BR-PI</t>
  </si>
  <si>
    <t>Piauí</t>
  </si>
  <si>
    <t>BR-RJ</t>
  </si>
  <si>
    <t>Rio de Janeiro</t>
  </si>
  <si>
    <t>BR-RN</t>
  </si>
  <si>
    <t>Rio Grande do Norte</t>
  </si>
  <si>
    <t>BR-RS</t>
  </si>
  <si>
    <t>Rio Grande do Sul</t>
  </si>
  <si>
    <t>BR-RO</t>
  </si>
  <si>
    <t>Rondônia</t>
  </si>
  <si>
    <t>BR-RR</t>
  </si>
  <si>
    <t>Roraima</t>
  </si>
  <si>
    <t>BR-SC</t>
  </si>
  <si>
    <t>Santa Catarina</t>
  </si>
  <si>
    <t>BR-SP</t>
  </si>
  <si>
    <t>BR-SE</t>
  </si>
  <si>
    <t>Sergipe</t>
  </si>
  <si>
    <t>BR-TO</t>
  </si>
  <si>
    <t>Tocantins</t>
  </si>
  <si>
    <t>BS-AK</t>
  </si>
  <si>
    <t>Acklins</t>
  </si>
  <si>
    <t>BS-BY</t>
  </si>
  <si>
    <t>Berry Islands</t>
  </si>
  <si>
    <t>BS-BI</t>
  </si>
  <si>
    <t>Bimini</t>
  </si>
  <si>
    <t>BS-BP</t>
  </si>
  <si>
    <t>Black Point</t>
  </si>
  <si>
    <t>BS-CI</t>
  </si>
  <si>
    <t>Cat Island</t>
  </si>
  <si>
    <t>BS-CO</t>
  </si>
  <si>
    <t>Central Abaco</t>
  </si>
  <si>
    <t>BS-CS</t>
  </si>
  <si>
    <t>Central Andros</t>
  </si>
  <si>
    <t>BS-CE</t>
  </si>
  <si>
    <t>Central Eleuthera</t>
  </si>
  <si>
    <t>BS-FP</t>
  </si>
  <si>
    <t>City of Freeport</t>
  </si>
  <si>
    <t>BS-CK</t>
  </si>
  <si>
    <t>Crooked Island and Long Cay</t>
  </si>
  <si>
    <t>BS-EG</t>
  </si>
  <si>
    <t>East Grand Bahama</t>
  </si>
  <si>
    <t>BS-EX</t>
  </si>
  <si>
    <t>Exuma</t>
  </si>
  <si>
    <t>BS-GC</t>
  </si>
  <si>
    <t>Grand Cay</t>
  </si>
  <si>
    <t>BS-HI</t>
  </si>
  <si>
    <t>Harbour Island</t>
  </si>
  <si>
    <t>BS-HT</t>
  </si>
  <si>
    <t>Hope Town</t>
  </si>
  <si>
    <t>BS-IN</t>
  </si>
  <si>
    <t>Inagua</t>
  </si>
  <si>
    <t>BS-LI</t>
  </si>
  <si>
    <t>Long Island</t>
  </si>
  <si>
    <t>BS-MC</t>
  </si>
  <si>
    <t>Mangrove Cay</t>
  </si>
  <si>
    <t>BS-MG</t>
  </si>
  <si>
    <t>Mayaguana</t>
  </si>
  <si>
    <t>BS-MI</t>
  </si>
  <si>
    <t>Moore's Island</t>
  </si>
  <si>
    <t>BS-NP</t>
  </si>
  <si>
    <t>New Providence</t>
  </si>
  <si>
    <t>island</t>
  </si>
  <si>
    <t>BS-NO</t>
  </si>
  <si>
    <t>North Abaco</t>
  </si>
  <si>
    <t>BS-NS</t>
  </si>
  <si>
    <t>North Andros</t>
  </si>
  <si>
    <t>BS-NE</t>
  </si>
  <si>
    <t>North Eleuthera</t>
  </si>
  <si>
    <t>BS-RI</t>
  </si>
  <si>
    <t>Ragged Island</t>
  </si>
  <si>
    <t>BS-RC</t>
  </si>
  <si>
    <t>Rum Cay</t>
  </si>
  <si>
    <t>BS-SS</t>
  </si>
  <si>
    <t>BS-SO</t>
  </si>
  <si>
    <t>South Abaco</t>
  </si>
  <si>
    <t>BS-SA</t>
  </si>
  <si>
    <t>South Andros</t>
  </si>
  <si>
    <t>BS-SE</t>
  </si>
  <si>
    <t>South Eleuthera</t>
  </si>
  <si>
    <t>BS-SW</t>
  </si>
  <si>
    <t>Spanish Wells</t>
  </si>
  <si>
    <t>BS-WG</t>
  </si>
  <si>
    <t>West Grand Bahama</t>
  </si>
  <si>
    <t>BT-33</t>
  </si>
  <si>
    <t>Bumthang</t>
  </si>
  <si>
    <t>BT-12</t>
  </si>
  <si>
    <t>Chhukha</t>
  </si>
  <si>
    <t>BT-22</t>
  </si>
  <si>
    <t>Dagana</t>
  </si>
  <si>
    <t>BT-GA</t>
  </si>
  <si>
    <t>Gasa</t>
  </si>
  <si>
    <t>BT-13</t>
  </si>
  <si>
    <t>Haa</t>
  </si>
  <si>
    <t>BT-44</t>
  </si>
  <si>
    <t>Lhuentse</t>
  </si>
  <si>
    <t>BT-42</t>
  </si>
  <si>
    <t>Monggar</t>
  </si>
  <si>
    <t>BT-11</t>
  </si>
  <si>
    <t>Paro</t>
  </si>
  <si>
    <t>BT-43</t>
  </si>
  <si>
    <t>Pema Gatshel</t>
  </si>
  <si>
    <t>BT-23</t>
  </si>
  <si>
    <t>Punakha</t>
  </si>
  <si>
    <t>BT-45</t>
  </si>
  <si>
    <t>Samdrup Jongkhar</t>
  </si>
  <si>
    <t>BT-14</t>
  </si>
  <si>
    <t>Samtse</t>
  </si>
  <si>
    <t>BT-31</t>
  </si>
  <si>
    <t>Sarpang</t>
  </si>
  <si>
    <t>BT-15</t>
  </si>
  <si>
    <t>BT-41</t>
  </si>
  <si>
    <t>Trashigang</t>
  </si>
  <si>
    <t>BT-TY</t>
  </si>
  <si>
    <t>Trashi Yangtse</t>
  </si>
  <si>
    <t>BT-32</t>
  </si>
  <si>
    <t>Trongsa</t>
  </si>
  <si>
    <t>BT-21</t>
  </si>
  <si>
    <t>Tsirang</t>
  </si>
  <si>
    <t>BT-24</t>
  </si>
  <si>
    <t>Wangdue Phodrang</t>
  </si>
  <si>
    <t>BT-34</t>
  </si>
  <si>
    <t>Zhemgang</t>
  </si>
  <si>
    <t>BW-CE</t>
  </si>
  <si>
    <t>Central</t>
  </si>
  <si>
    <t>BW-CH</t>
  </si>
  <si>
    <t>Chobe</t>
  </si>
  <si>
    <t>BW-FR</t>
  </si>
  <si>
    <t>Francistown</t>
  </si>
  <si>
    <t>BW-GA</t>
  </si>
  <si>
    <t>BW-GH</t>
  </si>
  <si>
    <t>Ghanzi</t>
  </si>
  <si>
    <t>BW-JW</t>
  </si>
  <si>
    <t>Jwaneng</t>
  </si>
  <si>
    <t>town</t>
  </si>
  <si>
    <t>BW-KG</t>
  </si>
  <si>
    <t>Kgalagadi</t>
  </si>
  <si>
    <t>BW-KL</t>
  </si>
  <si>
    <t>Kgatleng</t>
  </si>
  <si>
    <t>BW-KW</t>
  </si>
  <si>
    <t>Kweneng</t>
  </si>
  <si>
    <t>BW-LO</t>
  </si>
  <si>
    <t>Lobatse</t>
  </si>
  <si>
    <t>BW-NE</t>
  </si>
  <si>
    <t>North East</t>
  </si>
  <si>
    <t>BW-NW</t>
  </si>
  <si>
    <t>North West</t>
  </si>
  <si>
    <t>BW-SP</t>
  </si>
  <si>
    <t>Selibe Phikwe</t>
  </si>
  <si>
    <t>BW-SE</t>
  </si>
  <si>
    <t>South East</t>
  </si>
  <si>
    <t>BW-SO</t>
  </si>
  <si>
    <t>Southern</t>
  </si>
  <si>
    <t>BW-ST</t>
  </si>
  <si>
    <t>Sowa Town</t>
  </si>
  <si>
    <t>BY-BR</t>
  </si>
  <si>
    <t>Brestskaya voblasts'</t>
  </si>
  <si>
    <t>oblast</t>
  </si>
  <si>
    <t>BY-HO</t>
  </si>
  <si>
    <t>Homyel'skaya voblasts'</t>
  </si>
  <si>
    <t>BY-HM</t>
  </si>
  <si>
    <t>Horad Minsk</t>
  </si>
  <si>
    <t>BY-HR</t>
  </si>
  <si>
    <t>Hrodzyenskaya voblasts'</t>
  </si>
  <si>
    <t>BY-MA</t>
  </si>
  <si>
    <t>Mahilyowskaya voblasts'</t>
  </si>
  <si>
    <t>BY-MI</t>
  </si>
  <si>
    <t>Minskaya voblasts'</t>
  </si>
  <si>
    <t>BY-VI</t>
  </si>
  <si>
    <t>Vitsyebskaya voblasts'</t>
  </si>
  <si>
    <t>BZ-BZ</t>
  </si>
  <si>
    <t>BZ-CY</t>
  </si>
  <si>
    <t>Cayo</t>
  </si>
  <si>
    <t>BZ-CZL</t>
  </si>
  <si>
    <t>Corozal</t>
  </si>
  <si>
    <t>BZ-OW</t>
  </si>
  <si>
    <t>Orange Walk</t>
  </si>
  <si>
    <t>BZ-SC</t>
  </si>
  <si>
    <t>Stann Creek</t>
  </si>
  <si>
    <t>BZ-TOL</t>
  </si>
  <si>
    <t>Toledo</t>
  </si>
  <si>
    <t>CA-AB</t>
  </si>
  <si>
    <t>Alberta</t>
  </si>
  <si>
    <t>CA-BC</t>
  </si>
  <si>
    <t>British Columbia</t>
  </si>
  <si>
    <t>CA-MB</t>
  </si>
  <si>
    <t>Manitoba</t>
  </si>
  <si>
    <t>CA-NB</t>
  </si>
  <si>
    <t>New Brunswick</t>
  </si>
  <si>
    <t>CA-NL</t>
  </si>
  <si>
    <t>Newfoundland and Labrador</t>
  </si>
  <si>
    <t>CA-NT</t>
  </si>
  <si>
    <t>Northwest Territories</t>
  </si>
  <si>
    <t>CA-NS</t>
  </si>
  <si>
    <t>Nova Scotia</t>
  </si>
  <si>
    <t>CA-NU</t>
  </si>
  <si>
    <t>Nunavut</t>
  </si>
  <si>
    <t>CA-ON</t>
  </si>
  <si>
    <t>Ontario</t>
  </si>
  <si>
    <t>CA-PE</t>
  </si>
  <si>
    <t>Prince Edward Island</t>
  </si>
  <si>
    <t>CA-QC</t>
  </si>
  <si>
    <t>Quebec</t>
  </si>
  <si>
    <t>CA-SK</t>
  </si>
  <si>
    <t>Saskatchewan</t>
  </si>
  <si>
    <t>CA-YT</t>
  </si>
  <si>
    <t>Yukon</t>
  </si>
  <si>
    <t>CD-BU</t>
  </si>
  <si>
    <t>Bas-Uélé</t>
  </si>
  <si>
    <t>CD-EQ</t>
  </si>
  <si>
    <t>Équateur</t>
  </si>
  <si>
    <t>CD-HK</t>
  </si>
  <si>
    <t>Haut-Katanga</t>
  </si>
  <si>
    <t>CD-HL</t>
  </si>
  <si>
    <t>Haut-Lomami</t>
  </si>
  <si>
    <t>CD-HU</t>
  </si>
  <si>
    <t>Haut-Uélé</t>
  </si>
  <si>
    <t>CD-IT</t>
  </si>
  <si>
    <t>Ituri</t>
  </si>
  <si>
    <t>CD-KS</t>
  </si>
  <si>
    <t>Kasaï</t>
  </si>
  <si>
    <t>CD-KC</t>
  </si>
  <si>
    <t>Kasaï Central</t>
  </si>
  <si>
    <t>CD-KE</t>
  </si>
  <si>
    <t>Kasaï Oriental</t>
  </si>
  <si>
    <t>CD-KN</t>
  </si>
  <si>
    <t>CD-BC</t>
  </si>
  <si>
    <t>Kongo Central</t>
  </si>
  <si>
    <t>CD-KG</t>
  </si>
  <si>
    <t>Kwango</t>
  </si>
  <si>
    <t>CD-KL</t>
  </si>
  <si>
    <t>Kwilu</t>
  </si>
  <si>
    <t>CD-LO</t>
  </si>
  <si>
    <t>Lomami</t>
  </si>
  <si>
    <t>CD-LU</t>
  </si>
  <si>
    <t>Lualaba</t>
  </si>
  <si>
    <t>CD-MN</t>
  </si>
  <si>
    <t>Mai-Ndombe</t>
  </si>
  <si>
    <t>CD-MA</t>
  </si>
  <si>
    <t>Maniema</t>
  </si>
  <si>
    <t>CD-MO</t>
  </si>
  <si>
    <t>Mongala</t>
  </si>
  <si>
    <t>CD-NK</t>
  </si>
  <si>
    <t>Nord-Kivu</t>
  </si>
  <si>
    <t>CD-NU</t>
  </si>
  <si>
    <t>Nord-Ubangi</t>
  </si>
  <si>
    <t>CD-SA</t>
  </si>
  <si>
    <t>Sankuru</t>
  </si>
  <si>
    <t>CD-SK</t>
  </si>
  <si>
    <t>Sud-Kivu</t>
  </si>
  <si>
    <t>CD-SU</t>
  </si>
  <si>
    <t>Sud-Ubangi</t>
  </si>
  <si>
    <t>CD-TA</t>
  </si>
  <si>
    <t>Tanganyika</t>
  </si>
  <si>
    <t>CD-TO</t>
  </si>
  <si>
    <t>Tshopo</t>
  </si>
  <si>
    <t>CD-TU</t>
  </si>
  <si>
    <t>Tshuapa</t>
  </si>
  <si>
    <t>CF-BB</t>
  </si>
  <si>
    <t>Bamingui-Bangoran</t>
  </si>
  <si>
    <t>prefecture</t>
  </si>
  <si>
    <t>CF-BGF</t>
  </si>
  <si>
    <t>commune</t>
  </si>
  <si>
    <t>CF-BK</t>
  </si>
  <si>
    <t>Basse-Kotto</t>
  </si>
  <si>
    <t>CF-KB</t>
  </si>
  <si>
    <t>Gribingui</t>
  </si>
  <si>
    <t>economic prefecture</t>
  </si>
  <si>
    <t>CF-HM</t>
  </si>
  <si>
    <t>Haut-Mbomou</t>
  </si>
  <si>
    <t>CF-HK</t>
  </si>
  <si>
    <t>Haute-Kotto</t>
  </si>
  <si>
    <t>CF-HS</t>
  </si>
  <si>
    <t>Haute-Sangha / Mambéré-Kadéï</t>
  </si>
  <si>
    <t>CF-KG</t>
  </si>
  <si>
    <t>Kémo-Gribingui</t>
  </si>
  <si>
    <t>CF-LB</t>
  </si>
  <si>
    <t>Lobaye</t>
  </si>
  <si>
    <t>CF-MB</t>
  </si>
  <si>
    <t>Mbomou</t>
  </si>
  <si>
    <t>CF-NM</t>
  </si>
  <si>
    <t>Nana-Mambéré</t>
  </si>
  <si>
    <t>CF-MP</t>
  </si>
  <si>
    <t>Ombella-Mpoko</t>
  </si>
  <si>
    <t>CF-UK</t>
  </si>
  <si>
    <t>Ouaka</t>
  </si>
  <si>
    <t>CF-AC</t>
  </si>
  <si>
    <t>Ouham</t>
  </si>
  <si>
    <t>CF-OP</t>
  </si>
  <si>
    <t>Ouham-Pendé</t>
  </si>
  <si>
    <t>CF-SE</t>
  </si>
  <si>
    <t>Sangha</t>
  </si>
  <si>
    <t>CF-VK</t>
  </si>
  <si>
    <t>Vakaga</t>
  </si>
  <si>
    <t>CG-11</t>
  </si>
  <si>
    <t>Bouenza</t>
  </si>
  <si>
    <t>CG-BZV</t>
  </si>
  <si>
    <t>CG-8</t>
  </si>
  <si>
    <t>Cuvette</t>
  </si>
  <si>
    <t>CG-15</t>
  </si>
  <si>
    <t>Cuvette-Ouest</t>
  </si>
  <si>
    <t>CG-5</t>
  </si>
  <si>
    <t>Kouilou</t>
  </si>
  <si>
    <t>CG-2</t>
  </si>
  <si>
    <t>Lékoumou</t>
  </si>
  <si>
    <t>CG-7</t>
  </si>
  <si>
    <t>Likouala</t>
  </si>
  <si>
    <t>CG-9</t>
  </si>
  <si>
    <t>Niari</t>
  </si>
  <si>
    <t>CG-14</t>
  </si>
  <si>
    <t>Plateaux</t>
  </si>
  <si>
    <t>CG-16</t>
  </si>
  <si>
    <t>Pointe-Noire</t>
  </si>
  <si>
    <t>CG-12</t>
  </si>
  <si>
    <t>Pool</t>
  </si>
  <si>
    <t>CG-13</t>
  </si>
  <si>
    <t>CH-AG</t>
  </si>
  <si>
    <t>Aargau</t>
  </si>
  <si>
    <t>canton</t>
  </si>
  <si>
    <t>CH-AR</t>
  </si>
  <si>
    <t>Appenzell Ausserrhoden</t>
  </si>
  <si>
    <t>CH-AI</t>
  </si>
  <si>
    <t>Appenzell Innerrhoden</t>
  </si>
  <si>
    <t>CH-BL</t>
  </si>
  <si>
    <t>Basel-Landschaft</t>
  </si>
  <si>
    <t>CH-BS</t>
  </si>
  <si>
    <t>Basel-Stadt</t>
  </si>
  <si>
    <t>CH-BE</t>
  </si>
  <si>
    <t>Bern</t>
  </si>
  <si>
    <t>CH-FR</t>
  </si>
  <si>
    <t>Fribourg</t>
  </si>
  <si>
    <t>CH-GE</t>
  </si>
  <si>
    <t>Genève</t>
  </si>
  <si>
    <t>CH-GL</t>
  </si>
  <si>
    <t>Glarus</t>
  </si>
  <si>
    <t>CH-GR</t>
  </si>
  <si>
    <t>Graubünden</t>
  </si>
  <si>
    <t>CH-JU</t>
  </si>
  <si>
    <t>Jura</t>
  </si>
  <si>
    <t>CH-LU</t>
  </si>
  <si>
    <t>Luzern</t>
  </si>
  <si>
    <t>CH-NE</t>
  </si>
  <si>
    <t>Neuchâtel</t>
  </si>
  <si>
    <t>CH-NW</t>
  </si>
  <si>
    <t>Nidwalden</t>
  </si>
  <si>
    <t>CH-OW</t>
  </si>
  <si>
    <t>Obwalden</t>
  </si>
  <si>
    <t>CH-SG</t>
  </si>
  <si>
    <t>Sankt Gallen</t>
  </si>
  <si>
    <t>CH-SH</t>
  </si>
  <si>
    <t>Schaffhausen</t>
  </si>
  <si>
    <t>CH-SZ</t>
  </si>
  <si>
    <t>Schwyz</t>
  </si>
  <si>
    <t>CH-SO</t>
  </si>
  <si>
    <t>Solothurn</t>
  </si>
  <si>
    <t>CH-TG</t>
  </si>
  <si>
    <t>Thurgau</t>
  </si>
  <si>
    <t>CH-TI</t>
  </si>
  <si>
    <t>Ticino</t>
  </si>
  <si>
    <t>CH-UR</t>
  </si>
  <si>
    <t>Uri</t>
  </si>
  <si>
    <t>CH-VS</t>
  </si>
  <si>
    <t>Valais</t>
  </si>
  <si>
    <t>CH-VD</t>
  </si>
  <si>
    <t>Vaud</t>
  </si>
  <si>
    <t>CH-ZG</t>
  </si>
  <si>
    <t>Zug</t>
  </si>
  <si>
    <t>CH-ZH</t>
  </si>
  <si>
    <t>CI-AB</t>
  </si>
  <si>
    <t>autonomous district</t>
  </si>
  <si>
    <t>CI-BS</t>
  </si>
  <si>
    <t>Bas-Sassandra</t>
  </si>
  <si>
    <t>CI-CM</t>
  </si>
  <si>
    <t>CI-DN</t>
  </si>
  <si>
    <t>Denguélé</t>
  </si>
  <si>
    <t>CI-GD</t>
  </si>
  <si>
    <t>Gôh-Djiboua</t>
  </si>
  <si>
    <t>CI-LC</t>
  </si>
  <si>
    <t>Lacs</t>
  </si>
  <si>
    <t>CI-LG</t>
  </si>
  <si>
    <t>Lagunes</t>
  </si>
  <si>
    <t>CI-MG</t>
  </si>
  <si>
    <t>Montagnes</t>
  </si>
  <si>
    <t>CI-SM</t>
  </si>
  <si>
    <t>Sassandra-Marahoué</t>
  </si>
  <si>
    <t>CI-SV</t>
  </si>
  <si>
    <t>Savanes</t>
  </si>
  <si>
    <t>CI-VB</t>
  </si>
  <si>
    <t>Vallée du Bandama</t>
  </si>
  <si>
    <t>CI-WR</t>
  </si>
  <si>
    <t>Woroba</t>
  </si>
  <si>
    <t>CI-YM</t>
  </si>
  <si>
    <t>Yamoussoukro</t>
  </si>
  <si>
    <t>CI-ZZ</t>
  </si>
  <si>
    <t>Zanzan</t>
  </si>
  <si>
    <t>CL-AI</t>
  </si>
  <si>
    <t>Aisén del General Carlos Ibañez del Campo</t>
  </si>
  <si>
    <t>CL-AN</t>
  </si>
  <si>
    <t>Antofagasta</t>
  </si>
  <si>
    <t>CL-AP</t>
  </si>
  <si>
    <t>Arica y Parinacota</t>
  </si>
  <si>
    <t>CL-AT</t>
  </si>
  <si>
    <t>Atacama</t>
  </si>
  <si>
    <t>CL-BI</t>
  </si>
  <si>
    <t>Biobío</t>
  </si>
  <si>
    <t>CL-CO</t>
  </si>
  <si>
    <t>Coquimbo</t>
  </si>
  <si>
    <t>CL-AR</t>
  </si>
  <si>
    <t>La Araucanía</t>
  </si>
  <si>
    <t>CL-LI</t>
  </si>
  <si>
    <t>Libertador General Bernardo O'Higgins</t>
  </si>
  <si>
    <t>CL-LL</t>
  </si>
  <si>
    <t>Los Lagos</t>
  </si>
  <si>
    <t>CL-LR</t>
  </si>
  <si>
    <t>Los Ríos</t>
  </si>
  <si>
    <t>CL-MA</t>
  </si>
  <si>
    <t>Magallanes</t>
  </si>
  <si>
    <t>CL-ML</t>
  </si>
  <si>
    <t>Maule</t>
  </si>
  <si>
    <t>CL-NB</t>
  </si>
  <si>
    <t>Ñuble</t>
  </si>
  <si>
    <t>CL-RM</t>
  </si>
  <si>
    <t>Región Metropolitana de Santiago</t>
  </si>
  <si>
    <t>CL-TA</t>
  </si>
  <si>
    <t>Tarapacá</t>
  </si>
  <si>
    <t>CL-VS</t>
  </si>
  <si>
    <t>Valparaíso</t>
  </si>
  <si>
    <t>CM-AD</t>
  </si>
  <si>
    <t>Adamaoua</t>
  </si>
  <si>
    <t>CM-CE</t>
  </si>
  <si>
    <t>CM-ES</t>
  </si>
  <si>
    <t>East</t>
  </si>
  <si>
    <t>CM-EN</t>
  </si>
  <si>
    <t>Far North</t>
  </si>
  <si>
    <t>CM-LT</t>
  </si>
  <si>
    <t>CM-NO</t>
  </si>
  <si>
    <t>North</t>
  </si>
  <si>
    <t>CM-NW</t>
  </si>
  <si>
    <t>North-West</t>
  </si>
  <si>
    <t>CM-SU</t>
  </si>
  <si>
    <t>South</t>
  </si>
  <si>
    <t>CM-SW</t>
  </si>
  <si>
    <t>South-West</t>
  </si>
  <si>
    <t>CM-OU</t>
  </si>
  <si>
    <t>West</t>
  </si>
  <si>
    <t>CN-AH</t>
  </si>
  <si>
    <t>Anhui Sheng</t>
  </si>
  <si>
    <t>CN-BJ</t>
  </si>
  <si>
    <t>Beijing Shi</t>
  </si>
  <si>
    <t>CN-CQ</t>
  </si>
  <si>
    <t>Chongqing Shi</t>
  </si>
  <si>
    <t>CN-FJ</t>
  </si>
  <si>
    <t>Fujian Sheng</t>
  </si>
  <si>
    <t>CN-GS</t>
  </si>
  <si>
    <t>Gansu Sheng</t>
  </si>
  <si>
    <t>CN-GD</t>
  </si>
  <si>
    <t>Guangdong Sheng</t>
  </si>
  <si>
    <t>CN-GX</t>
  </si>
  <si>
    <t>Guangxi Zhuangzu Zizhiqu</t>
  </si>
  <si>
    <t>autonomous region</t>
  </si>
  <si>
    <t>CN-GZ</t>
  </si>
  <si>
    <t>Guizhou Sheng</t>
  </si>
  <si>
    <t>CN-HI</t>
  </si>
  <si>
    <t>Hainan Sheng</t>
  </si>
  <si>
    <t>CN-HE</t>
  </si>
  <si>
    <t>Hebei Sheng</t>
  </si>
  <si>
    <t>CN-HL</t>
  </si>
  <si>
    <t>Heilongjiang Sheng</t>
  </si>
  <si>
    <t>CN-HA</t>
  </si>
  <si>
    <t>Henan Sheng</t>
  </si>
  <si>
    <t>CN-HK</t>
  </si>
  <si>
    <t>Hong Kong SAR</t>
  </si>
  <si>
    <t>special administrative region</t>
  </si>
  <si>
    <t>CN-HB</t>
  </si>
  <si>
    <t>Hubei Sheng</t>
  </si>
  <si>
    <t>CN-HN</t>
  </si>
  <si>
    <t>Hunan Sheng</t>
  </si>
  <si>
    <t>CN-JS</t>
  </si>
  <si>
    <t>Jiangsu Sheng</t>
  </si>
  <si>
    <t>CN-JX</t>
  </si>
  <si>
    <t>Jiangxi Sheng</t>
  </si>
  <si>
    <t>CN-JL</t>
  </si>
  <si>
    <t>Jilin Sheng</t>
  </si>
  <si>
    <t>CN-LN</t>
  </si>
  <si>
    <t>Liaoning Sheng</t>
  </si>
  <si>
    <t>CN-MO</t>
  </si>
  <si>
    <t>Macao SAR</t>
  </si>
  <si>
    <t>CN-NM</t>
  </si>
  <si>
    <t>Nei Mongol Zizhiqu</t>
  </si>
  <si>
    <t>CN-NX</t>
  </si>
  <si>
    <t>Ningxia Huizu Zizhiqu</t>
  </si>
  <si>
    <t>CN-QH</t>
  </si>
  <si>
    <t>Qinghai Sheng</t>
  </si>
  <si>
    <t>CN-SN</t>
  </si>
  <si>
    <t>Shaanxi Sheng</t>
  </si>
  <si>
    <t>CN-SD</t>
  </si>
  <si>
    <t>Shandong Sheng</t>
  </si>
  <si>
    <t>CN-SH</t>
  </si>
  <si>
    <t>Shanghai Shi</t>
  </si>
  <si>
    <t>CN-SX</t>
  </si>
  <si>
    <t>Shanxi Sheng</t>
  </si>
  <si>
    <t>CN-SC</t>
  </si>
  <si>
    <t>Sichuan Sheng</t>
  </si>
  <si>
    <t>CN-TW</t>
  </si>
  <si>
    <t>Taiwan Sheng</t>
  </si>
  <si>
    <t>CN-TJ</t>
  </si>
  <si>
    <t>Tianjin Shi</t>
  </si>
  <si>
    <t>CN-XJ</t>
  </si>
  <si>
    <t>Xinjiang Uygur Zizhiqu</t>
  </si>
  <si>
    <t>CN-XZ</t>
  </si>
  <si>
    <t>Xizang Zizhiqu</t>
  </si>
  <si>
    <t>CN-YN</t>
  </si>
  <si>
    <t>Yunnan Sheng</t>
  </si>
  <si>
    <t>CN-ZJ</t>
  </si>
  <si>
    <t>Zhejiang Sheng</t>
  </si>
  <si>
    <t>CO-AMA</t>
  </si>
  <si>
    <t>CO-ANT</t>
  </si>
  <si>
    <t>Antioquia</t>
  </si>
  <si>
    <t>CO-ARA</t>
  </si>
  <si>
    <t>Arauca</t>
  </si>
  <si>
    <t>CO-ATL</t>
  </si>
  <si>
    <t>Atlántico</t>
  </si>
  <si>
    <t>CO-BOL</t>
  </si>
  <si>
    <t>Bolívar</t>
  </si>
  <si>
    <t>CO-BOY</t>
  </si>
  <si>
    <t>Boyacá</t>
  </si>
  <si>
    <t>CO-CAL</t>
  </si>
  <si>
    <t>Caldas</t>
  </si>
  <si>
    <t>CO-CAQ</t>
  </si>
  <si>
    <t>Caquetá</t>
  </si>
  <si>
    <t>CO-CAS</t>
  </si>
  <si>
    <t>Casanare</t>
  </si>
  <si>
    <t>CO-CAU</t>
  </si>
  <si>
    <t>Cauca</t>
  </si>
  <si>
    <t>CO-CES</t>
  </si>
  <si>
    <t>Cesar</t>
  </si>
  <si>
    <t>CO-COR</t>
  </si>
  <si>
    <t>CO-CUN</t>
  </si>
  <si>
    <t>Cundinamarca</t>
  </si>
  <si>
    <t>CO-CHO</t>
  </si>
  <si>
    <t>Chocó</t>
  </si>
  <si>
    <t>CO-DC</t>
  </si>
  <si>
    <t>Distrito Capital de Bogotá</t>
  </si>
  <si>
    <t>capital district</t>
  </si>
  <si>
    <t>CO-GUA</t>
  </si>
  <si>
    <t>Guainía</t>
  </si>
  <si>
    <t>CO-GUV</t>
  </si>
  <si>
    <t>Guaviare</t>
  </si>
  <si>
    <t>CO-HUI</t>
  </si>
  <si>
    <t>Huila</t>
  </si>
  <si>
    <t>CO-LAG</t>
  </si>
  <si>
    <t>La Guajira</t>
  </si>
  <si>
    <t>CO-MAG</t>
  </si>
  <si>
    <t>Magdalena</t>
  </si>
  <si>
    <t>CO-MET</t>
  </si>
  <si>
    <t>Meta</t>
  </si>
  <si>
    <t>CO-NAR</t>
  </si>
  <si>
    <t>Nariño</t>
  </si>
  <si>
    <t>CO-NSA</t>
  </si>
  <si>
    <t>Norte de Santander</t>
  </si>
  <si>
    <t>CO-PUT</t>
  </si>
  <si>
    <t>Putumayo</t>
  </si>
  <si>
    <t>CO-QUI</t>
  </si>
  <si>
    <t>Quindío</t>
  </si>
  <si>
    <t>CO-RIS</t>
  </si>
  <si>
    <t>Risaralda</t>
  </si>
  <si>
    <t>CO-SAP</t>
  </si>
  <si>
    <t>San Andrés,_x000D_
Providencia y Santa Catalina</t>
  </si>
  <si>
    <t>CO-SAN</t>
  </si>
  <si>
    <t>Santander</t>
  </si>
  <si>
    <t>CO-SUC</t>
  </si>
  <si>
    <t>Sucre</t>
  </si>
  <si>
    <t>CO-TOL</t>
  </si>
  <si>
    <t>Tolima</t>
  </si>
  <si>
    <t>CO-VAC</t>
  </si>
  <si>
    <t>Valle del Cauca</t>
  </si>
  <si>
    <t>CO-VAU</t>
  </si>
  <si>
    <t>Vaupés</t>
  </si>
  <si>
    <t>CO-VID</t>
  </si>
  <si>
    <t>Vichada</t>
  </si>
  <si>
    <t>CR-A</t>
  </si>
  <si>
    <t>Alajuela</t>
  </si>
  <si>
    <t>CR-C</t>
  </si>
  <si>
    <t>Cartago</t>
  </si>
  <si>
    <t>CR-G</t>
  </si>
  <si>
    <t>Guanacaste</t>
  </si>
  <si>
    <t>CR-H</t>
  </si>
  <si>
    <t>Heredia</t>
  </si>
  <si>
    <t>CR-L</t>
  </si>
  <si>
    <t>Limón</t>
  </si>
  <si>
    <t>CR-P</t>
  </si>
  <si>
    <t>Puntarenas</t>
  </si>
  <si>
    <t>CR-SJ</t>
  </si>
  <si>
    <t>CU-15</t>
  </si>
  <si>
    <t>Artemisa</t>
  </si>
  <si>
    <t>CU-09</t>
  </si>
  <si>
    <t>Camagüey</t>
  </si>
  <si>
    <t>CU-08</t>
  </si>
  <si>
    <t>Ciego de Ávila</t>
  </si>
  <si>
    <t>CU-06</t>
  </si>
  <si>
    <t>Cienfuegos</t>
  </si>
  <si>
    <t>CU-12</t>
  </si>
  <si>
    <t>Granma</t>
  </si>
  <si>
    <t>CU-14</t>
  </si>
  <si>
    <t>Guantánamo</t>
  </si>
  <si>
    <t>CU-11</t>
  </si>
  <si>
    <t>Holguín</t>
  </si>
  <si>
    <t>CU-03</t>
  </si>
  <si>
    <t>La Habana</t>
  </si>
  <si>
    <t>CU-10</t>
  </si>
  <si>
    <t>Las Tunas</t>
  </si>
  <si>
    <t>CU-04</t>
  </si>
  <si>
    <t>Matanzas</t>
  </si>
  <si>
    <t>CU-16</t>
  </si>
  <si>
    <t>Mayabeque</t>
  </si>
  <si>
    <t>CU-01</t>
  </si>
  <si>
    <t>Pinar del Río</t>
  </si>
  <si>
    <t>CU-07</t>
  </si>
  <si>
    <t>Sancti Spíritus</t>
  </si>
  <si>
    <t>CU-13</t>
  </si>
  <si>
    <t>Santiago de Cuba</t>
  </si>
  <si>
    <t>CU-05</t>
  </si>
  <si>
    <t>Villa Clara</t>
  </si>
  <si>
    <t>CU-99</t>
  </si>
  <si>
    <t>Isla de la Juventud</t>
  </si>
  <si>
    <t>CV-B</t>
  </si>
  <si>
    <t>Ilhas de Barlavento</t>
  </si>
  <si>
    <t>geographical region</t>
  </si>
  <si>
    <t>CV-S</t>
  </si>
  <si>
    <t>Ilhas de Sotavento</t>
  </si>
  <si>
    <t>CV-BV</t>
  </si>
  <si>
    <t>Boa Vista</t>
  </si>
  <si>
    <t>CV-BR</t>
  </si>
  <si>
    <t>Brava</t>
  </si>
  <si>
    <t>CV-MA</t>
  </si>
  <si>
    <t>Maio</t>
  </si>
  <si>
    <t>CV-MO</t>
  </si>
  <si>
    <t>Mosteiros</t>
  </si>
  <si>
    <t>CV-PA</t>
  </si>
  <si>
    <t>Paul</t>
  </si>
  <si>
    <t>CV-PN</t>
  </si>
  <si>
    <t>Porto Novo</t>
  </si>
  <si>
    <t>CV-PR</t>
  </si>
  <si>
    <t>CV-RB</t>
  </si>
  <si>
    <t>Ribeira Brava</t>
  </si>
  <si>
    <t>CV-RG</t>
  </si>
  <si>
    <t>Ribeira Grande</t>
  </si>
  <si>
    <t>CV-RS</t>
  </si>
  <si>
    <t>Ribeira Grande de Santiago</t>
  </si>
  <si>
    <t>CV-SL</t>
  </si>
  <si>
    <t>Sal</t>
  </si>
  <si>
    <t>CV-CA</t>
  </si>
  <si>
    <t>CV-CF</t>
  </si>
  <si>
    <t>Santa Catarina do Fogo</t>
  </si>
  <si>
    <t>CV-CR</t>
  </si>
  <si>
    <t>CV-SD</t>
  </si>
  <si>
    <t>São Domingos</t>
  </si>
  <si>
    <t>CV-SF</t>
  </si>
  <si>
    <t>São Filipe</t>
  </si>
  <si>
    <t>CV-SO</t>
  </si>
  <si>
    <t>São Lourenço dos Órgãos</t>
  </si>
  <si>
    <t>CV-SM</t>
  </si>
  <si>
    <t>São Miguel</t>
  </si>
  <si>
    <t>CV-SS</t>
  </si>
  <si>
    <t>São Salvador do Mundo</t>
  </si>
  <si>
    <t>CV-SV</t>
  </si>
  <si>
    <t>São Vicente</t>
  </si>
  <si>
    <t>CV-TA</t>
  </si>
  <si>
    <t>Tarrafal</t>
  </si>
  <si>
    <t>CV-TS</t>
  </si>
  <si>
    <t>Tarrafal de São Nicolau</t>
  </si>
  <si>
    <t>CY-04</t>
  </si>
  <si>
    <t>Ammochostos</t>
  </si>
  <si>
    <t>CY-06</t>
  </si>
  <si>
    <t>Keryneia</t>
  </si>
  <si>
    <t>CY-03</t>
  </si>
  <si>
    <t>Larnaka</t>
  </si>
  <si>
    <t>CY-01</t>
  </si>
  <si>
    <t>Lefkosia</t>
  </si>
  <si>
    <t>CY-02</t>
  </si>
  <si>
    <t>Lemesos</t>
  </si>
  <si>
    <t>CY-05</t>
  </si>
  <si>
    <t>Pafos</t>
  </si>
  <si>
    <t>CZ-31</t>
  </si>
  <si>
    <t>Jihočeský kraj</t>
  </si>
  <si>
    <t>CZ-64</t>
  </si>
  <si>
    <t>Jihomoravský kraj</t>
  </si>
  <si>
    <t>CZ-41</t>
  </si>
  <si>
    <t>Karlovarský kraj</t>
  </si>
  <si>
    <t>CZ-52</t>
  </si>
  <si>
    <t>Královéhradecký kraj</t>
  </si>
  <si>
    <t>CZ-51</t>
  </si>
  <si>
    <t>Liberecký kraj</t>
  </si>
  <si>
    <t>CZ-80</t>
  </si>
  <si>
    <t>Moravskoslezský kraj</t>
  </si>
  <si>
    <t>CZ-71</t>
  </si>
  <si>
    <t>Olomoucký kraj</t>
  </si>
  <si>
    <t>CZ-53</t>
  </si>
  <si>
    <t>Pardubický kraj</t>
  </si>
  <si>
    <t>CZ-32</t>
  </si>
  <si>
    <t>Plzeňský kraj</t>
  </si>
  <si>
    <t>CZ-10</t>
  </si>
  <si>
    <t>Praha, Hlavní město</t>
  </si>
  <si>
    <t>capital city</t>
  </si>
  <si>
    <t>CZ-20</t>
  </si>
  <si>
    <t>Středočeský kraj</t>
  </si>
  <si>
    <t>CZ-42</t>
  </si>
  <si>
    <t>Ústecký kraj</t>
  </si>
  <si>
    <t>CZ-63</t>
  </si>
  <si>
    <t>Kraj Vysočina</t>
  </si>
  <si>
    <t>CZ-72</t>
  </si>
  <si>
    <t>Zlínský kraj</t>
  </si>
  <si>
    <t>CZ-201</t>
  </si>
  <si>
    <t>Benešov</t>
  </si>
  <si>
    <t>CZ-202</t>
  </si>
  <si>
    <t>Beroun</t>
  </si>
  <si>
    <t>CZ-641</t>
  </si>
  <si>
    <t>Blansko</t>
  </si>
  <si>
    <t>CZ-642</t>
  </si>
  <si>
    <t>Brno-město</t>
  </si>
  <si>
    <t>CZ-643</t>
  </si>
  <si>
    <t>Brno-venkov</t>
  </si>
  <si>
    <t>CZ-801</t>
  </si>
  <si>
    <t>Bruntál</t>
  </si>
  <si>
    <t>CZ-644</t>
  </si>
  <si>
    <t>Břeclav</t>
  </si>
  <si>
    <t>CZ-511</t>
  </si>
  <si>
    <t>Česká Lípa</t>
  </si>
  <si>
    <t>CZ-311</t>
  </si>
  <si>
    <t>České Budějovice</t>
  </si>
  <si>
    <t>CZ-312</t>
  </si>
  <si>
    <t>Český Krumlov</t>
  </si>
  <si>
    <t>CZ-421</t>
  </si>
  <si>
    <t>Děčín</t>
  </si>
  <si>
    <t>CZ-321</t>
  </si>
  <si>
    <t>Domažlice</t>
  </si>
  <si>
    <t>CZ-802</t>
  </si>
  <si>
    <t>Frýdek-Místek</t>
  </si>
  <si>
    <t>CZ-631</t>
  </si>
  <si>
    <t>Havlíčkův Brod</t>
  </si>
  <si>
    <t>CZ-645</t>
  </si>
  <si>
    <t>Hodonín</t>
  </si>
  <si>
    <t>CZ-521</t>
  </si>
  <si>
    <t>Hradec Králové</t>
  </si>
  <si>
    <t>CZ-411</t>
  </si>
  <si>
    <t>Cheb</t>
  </si>
  <si>
    <t>CZ-422</t>
  </si>
  <si>
    <t>Chomutov</t>
  </si>
  <si>
    <t>CZ-531</t>
  </si>
  <si>
    <t>Chrudim</t>
  </si>
  <si>
    <t>CZ-512</t>
  </si>
  <si>
    <t>Jablonec nad Nisou</t>
  </si>
  <si>
    <t>CZ-711</t>
  </si>
  <si>
    <t>Jeseník</t>
  </si>
  <si>
    <t>CZ-522</t>
  </si>
  <si>
    <t>Jičín</t>
  </si>
  <si>
    <t>CZ-632</t>
  </si>
  <si>
    <t>Jihlava</t>
  </si>
  <si>
    <t>CZ-313</t>
  </si>
  <si>
    <t>Jindřichův Hradec</t>
  </si>
  <si>
    <t>CZ-412</t>
  </si>
  <si>
    <t>Karlovy Vary</t>
  </si>
  <si>
    <t>CZ-803</t>
  </si>
  <si>
    <t>Karviná</t>
  </si>
  <si>
    <t>CZ-203</t>
  </si>
  <si>
    <t>Kladno</t>
  </si>
  <si>
    <t>CZ-322</t>
  </si>
  <si>
    <t>Klatovy</t>
  </si>
  <si>
    <t>CZ-204</t>
  </si>
  <si>
    <t>Kolín</t>
  </si>
  <si>
    <t>CZ-721</t>
  </si>
  <si>
    <t>Kroměříž</t>
  </si>
  <si>
    <t>CZ-205</t>
  </si>
  <si>
    <t>Kutná Hora</t>
  </si>
  <si>
    <t>CZ-513</t>
  </si>
  <si>
    <t>Liberec</t>
  </si>
  <si>
    <t>CZ-423</t>
  </si>
  <si>
    <t>Litoměřice</t>
  </si>
  <si>
    <t>CZ-424</t>
  </si>
  <si>
    <t>Louny</t>
  </si>
  <si>
    <t>CZ-206</t>
  </si>
  <si>
    <t>Mělník</t>
  </si>
  <si>
    <t>CZ-207</t>
  </si>
  <si>
    <t>Mladá Boleslav</t>
  </si>
  <si>
    <t>CZ-425</t>
  </si>
  <si>
    <t>Most</t>
  </si>
  <si>
    <t>CZ-523</t>
  </si>
  <si>
    <t>Náchod</t>
  </si>
  <si>
    <t>CZ-804</t>
  </si>
  <si>
    <t>Nový Jičín</t>
  </si>
  <si>
    <t>CZ-208</t>
  </si>
  <si>
    <t>Nymburk</t>
  </si>
  <si>
    <t>CZ-712</t>
  </si>
  <si>
    <t>Olomouc</t>
  </si>
  <si>
    <t>CZ-805</t>
  </si>
  <si>
    <t>Opava</t>
  </si>
  <si>
    <t>CZ-806</t>
  </si>
  <si>
    <t>Ostrava-město</t>
  </si>
  <si>
    <t>CZ-532</t>
  </si>
  <si>
    <t>Pardubice</t>
  </si>
  <si>
    <t>CZ-633</t>
  </si>
  <si>
    <t>Pelhřimov</t>
  </si>
  <si>
    <t>CZ-314</t>
  </si>
  <si>
    <t>Písek</t>
  </si>
  <si>
    <t>CZ-324</t>
  </si>
  <si>
    <t>Plzeň-jih</t>
  </si>
  <si>
    <t>CZ-323</t>
  </si>
  <si>
    <t>Plzeň-město</t>
  </si>
  <si>
    <t>CZ-325</t>
  </si>
  <si>
    <t>Plzeň-sever</t>
  </si>
  <si>
    <t>CZ-209</t>
  </si>
  <si>
    <t>Praha-východ</t>
  </si>
  <si>
    <t>CZ-20A</t>
  </si>
  <si>
    <t>Praha-západ</t>
  </si>
  <si>
    <t>CZ-315</t>
  </si>
  <si>
    <t>Prachatice</t>
  </si>
  <si>
    <t>CZ-713</t>
  </si>
  <si>
    <t>Prostějov</t>
  </si>
  <si>
    <t>CZ-714</t>
  </si>
  <si>
    <t>Přerov</t>
  </si>
  <si>
    <t>CZ-20B</t>
  </si>
  <si>
    <t>Příbram</t>
  </si>
  <si>
    <t>CZ-20C</t>
  </si>
  <si>
    <t>Rakovník</t>
  </si>
  <si>
    <t>CZ-326</t>
  </si>
  <si>
    <t>Rokycany</t>
  </si>
  <si>
    <t>CZ-524</t>
  </si>
  <si>
    <t>Rychnov nad Kněžnou</t>
  </si>
  <si>
    <t>CZ-514</t>
  </si>
  <si>
    <t>Semily</t>
  </si>
  <si>
    <t>CZ-413</t>
  </si>
  <si>
    <t>Sokolov</t>
  </si>
  <si>
    <t>CZ-316</t>
  </si>
  <si>
    <t>Strakonice</t>
  </si>
  <si>
    <t>CZ-533</t>
  </si>
  <si>
    <t>Svitavy</t>
  </si>
  <si>
    <t>CZ-715</t>
  </si>
  <si>
    <t>Šumperk</t>
  </si>
  <si>
    <t>CZ-317</t>
  </si>
  <si>
    <t>Tábor</t>
  </si>
  <si>
    <t>CZ-327</t>
  </si>
  <si>
    <t>Tachov</t>
  </si>
  <si>
    <t>CZ-426</t>
  </si>
  <si>
    <t>Teplice</t>
  </si>
  <si>
    <t>CZ-525</t>
  </si>
  <si>
    <t>Trutnov</t>
  </si>
  <si>
    <t>CZ-634</t>
  </si>
  <si>
    <t>Třebíč</t>
  </si>
  <si>
    <t>CZ-722</t>
  </si>
  <si>
    <t>Uherské Hradiště</t>
  </si>
  <si>
    <t>CZ-427</t>
  </si>
  <si>
    <t>Ústí nad Labem</t>
  </si>
  <si>
    <t>CZ-534</t>
  </si>
  <si>
    <t>Ústí nad Orlicí</t>
  </si>
  <si>
    <t>CZ-723</t>
  </si>
  <si>
    <t>Vsetín</t>
  </si>
  <si>
    <t>CZ-646</t>
  </si>
  <si>
    <t>Vyškov</t>
  </si>
  <si>
    <t>CZ-724</t>
  </si>
  <si>
    <t>Zlín</t>
  </si>
  <si>
    <t>CZ-647</t>
  </si>
  <si>
    <t>Znojmo</t>
  </si>
  <si>
    <t>CZ-635</t>
  </si>
  <si>
    <t>Žďár nad Sázavou</t>
  </si>
  <si>
    <t>DE-BW</t>
  </si>
  <si>
    <t>Baden-Württemberg</t>
  </si>
  <si>
    <t>DE-BY</t>
  </si>
  <si>
    <t>Bayern</t>
  </si>
  <si>
    <t>DE-BE</t>
  </si>
  <si>
    <t>DE-BB</t>
  </si>
  <si>
    <t>Brandenburg</t>
  </si>
  <si>
    <t>DE-HB</t>
  </si>
  <si>
    <t>Bremen</t>
  </si>
  <si>
    <t>DE-HH</t>
  </si>
  <si>
    <t>Hamburg</t>
  </si>
  <si>
    <t>DE-HE</t>
  </si>
  <si>
    <t>Hessen</t>
  </si>
  <si>
    <t>DE-MV</t>
  </si>
  <si>
    <t>Mecklenburg-Vorpommern</t>
  </si>
  <si>
    <t>DE-NI</t>
  </si>
  <si>
    <t>Niedersachsen</t>
  </si>
  <si>
    <t>DE-NW</t>
  </si>
  <si>
    <t>Nordrhein-Westfalen</t>
  </si>
  <si>
    <t>DE-RP</t>
  </si>
  <si>
    <t>Rheinland-Pfalz</t>
  </si>
  <si>
    <t>DE-SL</t>
  </si>
  <si>
    <t>Saarland</t>
  </si>
  <si>
    <t>DE-SN</t>
  </si>
  <si>
    <t>Sachsen</t>
  </si>
  <si>
    <t>DE-ST</t>
  </si>
  <si>
    <t>Sachsen-Anhalt</t>
  </si>
  <si>
    <t>DE-SH</t>
  </si>
  <si>
    <t>Schleswig-Holstein</t>
  </si>
  <si>
    <t>DE-TH</t>
  </si>
  <si>
    <t>Thüringen</t>
  </si>
  <si>
    <t>DJ-AS</t>
  </si>
  <si>
    <t>Ali Sabieh</t>
  </si>
  <si>
    <t>DJ-AR</t>
  </si>
  <si>
    <t>Arta</t>
  </si>
  <si>
    <t>DJ-DI</t>
  </si>
  <si>
    <t>Dikhil</t>
  </si>
  <si>
    <t>DJ-DJ</t>
  </si>
  <si>
    <t>DJ-OB</t>
  </si>
  <si>
    <t>Obock</t>
  </si>
  <si>
    <t>DJ-TA</t>
  </si>
  <si>
    <t>Tadjourah</t>
  </si>
  <si>
    <t>DK-84</t>
  </si>
  <si>
    <t>Hovedstaden</t>
  </si>
  <si>
    <t>DK-82</t>
  </si>
  <si>
    <t>Midtjylland</t>
  </si>
  <si>
    <t>DK-81</t>
  </si>
  <si>
    <t>Nordjylland</t>
  </si>
  <si>
    <t>DK-85</t>
  </si>
  <si>
    <t>Sjælland</t>
  </si>
  <si>
    <t>DK-83</t>
  </si>
  <si>
    <t>Syddanmark</t>
  </si>
  <si>
    <t>DM-02</t>
  </si>
  <si>
    <t>DM-03</t>
  </si>
  <si>
    <t>Saint David</t>
  </si>
  <si>
    <t>DM-04</t>
  </si>
  <si>
    <t>DM-05</t>
  </si>
  <si>
    <t>DM-06</t>
  </si>
  <si>
    <t>DM-07</t>
  </si>
  <si>
    <t>Saint Luke</t>
  </si>
  <si>
    <t>DM-08</t>
  </si>
  <si>
    <t>Saint Mark</t>
  </si>
  <si>
    <t>DM-09</t>
  </si>
  <si>
    <t>Saint Patrick</t>
  </si>
  <si>
    <t>DM-10</t>
  </si>
  <si>
    <t>DM-11</t>
  </si>
  <si>
    <t>DO-33</t>
  </si>
  <si>
    <t>Cibao Nordeste</t>
  </si>
  <si>
    <t>DO-34</t>
  </si>
  <si>
    <t>Cibao Noroeste</t>
  </si>
  <si>
    <t>DO-35</t>
  </si>
  <si>
    <t>Cibao Norte</t>
  </si>
  <si>
    <t>DO-36</t>
  </si>
  <si>
    <t>Cibao Sur</t>
  </si>
  <si>
    <t>DO-37</t>
  </si>
  <si>
    <t>El Valle</t>
  </si>
  <si>
    <t>DO-38</t>
  </si>
  <si>
    <t>Enriquillo</t>
  </si>
  <si>
    <t>DO-39</t>
  </si>
  <si>
    <t>Higuamo</t>
  </si>
  <si>
    <t>DO-40</t>
  </si>
  <si>
    <t>Ozama</t>
  </si>
  <si>
    <t>DO-41</t>
  </si>
  <si>
    <t>Valdesia</t>
  </si>
  <si>
    <t>DO-42</t>
  </si>
  <si>
    <t>Yuma</t>
  </si>
  <si>
    <t>DO-02</t>
  </si>
  <si>
    <t>Azua</t>
  </si>
  <si>
    <t>DO-03</t>
  </si>
  <si>
    <t>Baoruco</t>
  </si>
  <si>
    <t>DO-04</t>
  </si>
  <si>
    <t>Barahona</t>
  </si>
  <si>
    <t>DO-05</t>
  </si>
  <si>
    <t>Dajabón</t>
  </si>
  <si>
    <t>DO-01</t>
  </si>
  <si>
    <t>Distrito Nacional</t>
  </si>
  <si>
    <t>DO-06</t>
  </si>
  <si>
    <t>Duarte</t>
  </si>
  <si>
    <t>DO-08</t>
  </si>
  <si>
    <t>El Seibo</t>
  </si>
  <si>
    <t>DO-07</t>
  </si>
  <si>
    <t>Elías Piña</t>
  </si>
  <si>
    <t>DO-09</t>
  </si>
  <si>
    <t>Espaillat</t>
  </si>
  <si>
    <t>DO-30</t>
  </si>
  <si>
    <t>Hato Mayor</t>
  </si>
  <si>
    <t>DO-19</t>
  </si>
  <si>
    <t>Hermanas Mirabal</t>
  </si>
  <si>
    <t>DO-10</t>
  </si>
  <si>
    <t>Independencia</t>
  </si>
  <si>
    <t>DO-11</t>
  </si>
  <si>
    <t>La Altagracia</t>
  </si>
  <si>
    <t>DO-12</t>
  </si>
  <si>
    <t>La Romana</t>
  </si>
  <si>
    <t>DO-13</t>
  </si>
  <si>
    <t>La Vega</t>
  </si>
  <si>
    <t>DO-14</t>
  </si>
  <si>
    <t>María Trinidad Sánchez</t>
  </si>
  <si>
    <t>DO-28</t>
  </si>
  <si>
    <t>Monseñor Nouel</t>
  </si>
  <si>
    <t>DO-15</t>
  </si>
  <si>
    <t>Monte Cristi</t>
  </si>
  <si>
    <t>DO-29</t>
  </si>
  <si>
    <t>Monte Plata</t>
  </si>
  <si>
    <t>DO-16</t>
  </si>
  <si>
    <t>Pedernales</t>
  </si>
  <si>
    <t>DO-17</t>
  </si>
  <si>
    <t>Peravia</t>
  </si>
  <si>
    <t>DO-18</t>
  </si>
  <si>
    <t>Puerto Plata</t>
  </si>
  <si>
    <t>DO-20</t>
  </si>
  <si>
    <t>Samaná</t>
  </si>
  <si>
    <t>DO-21</t>
  </si>
  <si>
    <t>San Cristóbal</t>
  </si>
  <si>
    <t>DO-31</t>
  </si>
  <si>
    <t>San José de Ocoa</t>
  </si>
  <si>
    <t>DO-22</t>
  </si>
  <si>
    <t>DO-23</t>
  </si>
  <si>
    <t>San Pedro de Macorís</t>
  </si>
  <si>
    <t>DO-24</t>
  </si>
  <si>
    <t>Sánchez Ramírez</t>
  </si>
  <si>
    <t>DO-25</t>
  </si>
  <si>
    <t>DO-26</t>
  </si>
  <si>
    <t>Santiago Rodríguez</t>
  </si>
  <si>
    <t>DO-32</t>
  </si>
  <si>
    <t>DO-27</t>
  </si>
  <si>
    <t>Valverde</t>
  </si>
  <si>
    <t>DZ-01</t>
  </si>
  <si>
    <t>Adrar</t>
  </si>
  <si>
    <t>DZ-44</t>
  </si>
  <si>
    <t>Aïn Defla</t>
  </si>
  <si>
    <t>DZ-46</t>
  </si>
  <si>
    <t>Aïn Témouchent</t>
  </si>
  <si>
    <t>DZ-16</t>
  </si>
  <si>
    <t>Alger</t>
  </si>
  <si>
    <t>DZ-23</t>
  </si>
  <si>
    <t>Annaba</t>
  </si>
  <si>
    <t>DZ-05</t>
  </si>
  <si>
    <t>Batna</t>
  </si>
  <si>
    <t>DZ-08</t>
  </si>
  <si>
    <t>Béchar</t>
  </si>
  <si>
    <t>DZ-06</t>
  </si>
  <si>
    <t>Béjaïa</t>
  </si>
  <si>
    <t>DZ-52</t>
  </si>
  <si>
    <t>Béni Abbès</t>
  </si>
  <si>
    <t>DZ-07</t>
  </si>
  <si>
    <t>Biskra</t>
  </si>
  <si>
    <t>DZ-09</t>
  </si>
  <si>
    <t>Blida</t>
  </si>
  <si>
    <t>DZ-50</t>
  </si>
  <si>
    <t>Bordj Badji Mokhtar</t>
  </si>
  <si>
    <t>DZ-34</t>
  </si>
  <si>
    <t>Bordj Bou Arréridj</t>
  </si>
  <si>
    <t>DZ-10</t>
  </si>
  <si>
    <t>Bouira</t>
  </si>
  <si>
    <t>DZ-35</t>
  </si>
  <si>
    <t>Boumerdès</t>
  </si>
  <si>
    <t>DZ-02</t>
  </si>
  <si>
    <t>Chlef</t>
  </si>
  <si>
    <t>DZ-25</t>
  </si>
  <si>
    <t>Constantine</t>
  </si>
  <si>
    <t>DZ-56</t>
  </si>
  <si>
    <t>Djanet</t>
  </si>
  <si>
    <t>DZ-17</t>
  </si>
  <si>
    <t>Djelfa</t>
  </si>
  <si>
    <t>DZ-32</t>
  </si>
  <si>
    <t>El Bayadh</t>
  </si>
  <si>
    <t>DZ-57</t>
  </si>
  <si>
    <t>El Meghaier</t>
  </si>
  <si>
    <t>DZ-58</t>
  </si>
  <si>
    <t>El Meniaa</t>
  </si>
  <si>
    <t>DZ-39</t>
  </si>
  <si>
    <t>El Oued</t>
  </si>
  <si>
    <t>DZ-36</t>
  </si>
  <si>
    <t>El Tarf</t>
  </si>
  <si>
    <t>DZ-47</t>
  </si>
  <si>
    <t>Ghardaïa</t>
  </si>
  <si>
    <t>DZ-24</t>
  </si>
  <si>
    <t>Guelma</t>
  </si>
  <si>
    <t>DZ-33</t>
  </si>
  <si>
    <t>Illizi</t>
  </si>
  <si>
    <t>DZ-54</t>
  </si>
  <si>
    <t>In Guezzam</t>
  </si>
  <si>
    <t>DZ-53</t>
  </si>
  <si>
    <t>In Salah</t>
  </si>
  <si>
    <t>DZ-18</t>
  </si>
  <si>
    <t>Jijel</t>
  </si>
  <si>
    <t>DZ-40</t>
  </si>
  <si>
    <t>Khenchela</t>
  </si>
  <si>
    <t>DZ-03</t>
  </si>
  <si>
    <t>Laghouat</t>
  </si>
  <si>
    <t>DZ-28</t>
  </si>
  <si>
    <t>M'sila</t>
  </si>
  <si>
    <t>DZ-29</t>
  </si>
  <si>
    <t>Mascara</t>
  </si>
  <si>
    <t>DZ-26</t>
  </si>
  <si>
    <t>Médéa</t>
  </si>
  <si>
    <t>DZ-43</t>
  </si>
  <si>
    <t>Mila</t>
  </si>
  <si>
    <t>DZ-27</t>
  </si>
  <si>
    <t>Mostaganem</t>
  </si>
  <si>
    <t>DZ-45</t>
  </si>
  <si>
    <t>Naama</t>
  </si>
  <si>
    <t>DZ-31</t>
  </si>
  <si>
    <t>Oran</t>
  </si>
  <si>
    <t>DZ-30</t>
  </si>
  <si>
    <t>Ouargla</t>
  </si>
  <si>
    <t>DZ-51</t>
  </si>
  <si>
    <t>Ouled Djellal</t>
  </si>
  <si>
    <t>DZ-04</t>
  </si>
  <si>
    <t>Oum el Bouaghi</t>
  </si>
  <si>
    <t>DZ-48</t>
  </si>
  <si>
    <t>Relizane</t>
  </si>
  <si>
    <t>DZ-20</t>
  </si>
  <si>
    <t>Saïda</t>
  </si>
  <si>
    <t>DZ-19</t>
  </si>
  <si>
    <t>Sétif</t>
  </si>
  <si>
    <t>DZ-22</t>
  </si>
  <si>
    <t>Sidi Bel Abbès</t>
  </si>
  <si>
    <t>DZ-21</t>
  </si>
  <si>
    <t>Skikda</t>
  </si>
  <si>
    <t>DZ-41</t>
  </si>
  <si>
    <t>Souk Ahras</t>
  </si>
  <si>
    <t>DZ-11</t>
  </si>
  <si>
    <t>Tamanrasset</t>
  </si>
  <si>
    <t>DZ-12</t>
  </si>
  <si>
    <t>Tébessa</t>
  </si>
  <si>
    <t>DZ-14</t>
  </si>
  <si>
    <t>Tiaret</t>
  </si>
  <si>
    <t>DZ-49</t>
  </si>
  <si>
    <t>Timimoun</t>
  </si>
  <si>
    <t>DZ-37</t>
  </si>
  <si>
    <t>Tindouf</t>
  </si>
  <si>
    <t>DZ-42</t>
  </si>
  <si>
    <t>Tipaza</t>
  </si>
  <si>
    <t>DZ-38</t>
  </si>
  <si>
    <t>Tissemsilt</t>
  </si>
  <si>
    <t>DZ-15</t>
  </si>
  <si>
    <t>Tizi Ouzou</t>
  </si>
  <si>
    <t>DZ-13</t>
  </si>
  <si>
    <t>Tlemcen</t>
  </si>
  <si>
    <t>DZ-55</t>
  </si>
  <si>
    <t>Touggourt</t>
  </si>
  <si>
    <t>EC-A</t>
  </si>
  <si>
    <t>Azuay</t>
  </si>
  <si>
    <t>EC-B</t>
  </si>
  <si>
    <t>EC-F</t>
  </si>
  <si>
    <t>Cañar</t>
  </si>
  <si>
    <t>EC-C</t>
  </si>
  <si>
    <t>Carchi</t>
  </si>
  <si>
    <t>EC-H</t>
  </si>
  <si>
    <t>Chimborazo</t>
  </si>
  <si>
    <t>EC-X</t>
  </si>
  <si>
    <t>Cotopaxi</t>
  </si>
  <si>
    <t>EC-O</t>
  </si>
  <si>
    <t>El Oro</t>
  </si>
  <si>
    <t>EC-E</t>
  </si>
  <si>
    <t>Esmeraldas</t>
  </si>
  <si>
    <t>EC-W</t>
  </si>
  <si>
    <t>Galápagos</t>
  </si>
  <si>
    <t>EC-G</t>
  </si>
  <si>
    <t>Guayas</t>
  </si>
  <si>
    <t>EC-I</t>
  </si>
  <si>
    <t>Imbabura</t>
  </si>
  <si>
    <t>EC-L</t>
  </si>
  <si>
    <t>Loja</t>
  </si>
  <si>
    <t>EC-R</t>
  </si>
  <si>
    <t>EC-M</t>
  </si>
  <si>
    <t>Manabí</t>
  </si>
  <si>
    <t>EC-S</t>
  </si>
  <si>
    <t>Morona Santiago</t>
  </si>
  <si>
    <t>EC-N</t>
  </si>
  <si>
    <t>Napo</t>
  </si>
  <si>
    <t>EC-D</t>
  </si>
  <si>
    <t>Orellana</t>
  </si>
  <si>
    <t>EC-Y</t>
  </si>
  <si>
    <t>Pastaza</t>
  </si>
  <si>
    <t>EC-P</t>
  </si>
  <si>
    <t>Pichincha</t>
  </si>
  <si>
    <t>EC-SE</t>
  </si>
  <si>
    <t>Santa Elena</t>
  </si>
  <si>
    <t>EC-SD</t>
  </si>
  <si>
    <t>Santo Domingo de los Tsáchilas</t>
  </si>
  <si>
    <t>EC-U</t>
  </si>
  <si>
    <t>Sucumbíos</t>
  </si>
  <si>
    <t>EC-T</t>
  </si>
  <si>
    <t>Tungurahua</t>
  </si>
  <si>
    <t>EC-Z</t>
  </si>
  <si>
    <t>Zamora Chinchipe</t>
  </si>
  <si>
    <t>EE-37</t>
  </si>
  <si>
    <t>Harjumaa</t>
  </si>
  <si>
    <t>EE-39</t>
  </si>
  <si>
    <t>Hiiumaa</t>
  </si>
  <si>
    <t>EE-45</t>
  </si>
  <si>
    <t>Ida-Virumaa</t>
  </si>
  <si>
    <t>EE-50</t>
  </si>
  <si>
    <t>Jõgevamaa</t>
  </si>
  <si>
    <t>EE-52</t>
  </si>
  <si>
    <t>Järvamaa</t>
  </si>
  <si>
    <t>EE-60</t>
  </si>
  <si>
    <t>Lääne-Virumaa</t>
  </si>
  <si>
    <t>EE-56</t>
  </si>
  <si>
    <t>Läänemaa</t>
  </si>
  <si>
    <t>EE-64</t>
  </si>
  <si>
    <t>Põlvamaa</t>
  </si>
  <si>
    <t>EE-68</t>
  </si>
  <si>
    <t>Pärnumaa</t>
  </si>
  <si>
    <t>EE-71</t>
  </si>
  <si>
    <t>Raplamaa</t>
  </si>
  <si>
    <t>EE-74</t>
  </si>
  <si>
    <t>Saaremaa</t>
  </si>
  <si>
    <t>EE-79</t>
  </si>
  <si>
    <t>Tartumaa</t>
  </si>
  <si>
    <t>EE-81</t>
  </si>
  <si>
    <t>Valgamaa</t>
  </si>
  <si>
    <t>EE-84</t>
  </si>
  <si>
    <t>Viljandimaa</t>
  </si>
  <si>
    <t>EE-87</t>
  </si>
  <si>
    <t>Võrumaa</t>
  </si>
  <si>
    <t>EE-130</t>
  </si>
  <si>
    <t>Alutaguse</t>
  </si>
  <si>
    <t>rural municipality</t>
  </si>
  <si>
    <t>EE-141</t>
  </si>
  <si>
    <t>Anija</t>
  </si>
  <si>
    <t>EE-142</t>
  </si>
  <si>
    <t>Antsla</t>
  </si>
  <si>
    <t>EE-171</t>
  </si>
  <si>
    <t>Elva</t>
  </si>
  <si>
    <t>EE-184</t>
  </si>
  <si>
    <t>Haapsalu</t>
  </si>
  <si>
    <t>urban municipality</t>
  </si>
  <si>
    <t>EE-191</t>
  </si>
  <si>
    <t>Haljala</t>
  </si>
  <si>
    <t>EE-198</t>
  </si>
  <si>
    <t>Harku</t>
  </si>
  <si>
    <t>EE-205</t>
  </si>
  <si>
    <t>EE-214</t>
  </si>
  <si>
    <t>Häädemeeste</t>
  </si>
  <si>
    <t>EE-245</t>
  </si>
  <si>
    <t>Jõelähtme</t>
  </si>
  <si>
    <t>EE-247</t>
  </si>
  <si>
    <t>Jõgeva</t>
  </si>
  <si>
    <t>EE-251</t>
  </si>
  <si>
    <t>Jõhvi</t>
  </si>
  <si>
    <t>EE-255</t>
  </si>
  <si>
    <t>Järva</t>
  </si>
  <si>
    <t>EE-272</t>
  </si>
  <si>
    <t>Kadrina</t>
  </si>
  <si>
    <t>EE-283</t>
  </si>
  <si>
    <t>Kambja</t>
  </si>
  <si>
    <t>EE-284</t>
  </si>
  <si>
    <t>Kanepi</t>
  </si>
  <si>
    <t>EE-291</t>
  </si>
  <si>
    <t>Kastre</t>
  </si>
  <si>
    <t>EE-293</t>
  </si>
  <si>
    <t>Kehtna</t>
  </si>
  <si>
    <t>EE-296</t>
  </si>
  <si>
    <t>Keila</t>
  </si>
  <si>
    <t>EE-303</t>
  </si>
  <si>
    <t>Kihnu</t>
  </si>
  <si>
    <t>EE-305</t>
  </si>
  <si>
    <t>Kiili</t>
  </si>
  <si>
    <t>EE-317</t>
  </si>
  <si>
    <t>Kohila</t>
  </si>
  <si>
    <t>EE-321</t>
  </si>
  <si>
    <t>Kohtla-Järve</t>
  </si>
  <si>
    <t>EE-338</t>
  </si>
  <si>
    <t>Kose</t>
  </si>
  <si>
    <t>EE-353</t>
  </si>
  <si>
    <t>Kuusalu</t>
  </si>
  <si>
    <t>EE-424</t>
  </si>
  <si>
    <t>Loksa</t>
  </si>
  <si>
    <t>EE-432</t>
  </si>
  <si>
    <t>Luunja</t>
  </si>
  <si>
    <t>EE-431</t>
  </si>
  <si>
    <t>Lääne-Harju</t>
  </si>
  <si>
    <t>EE-441</t>
  </si>
  <si>
    <t>Lääne-Nigula</t>
  </si>
  <si>
    <t>EE-430</t>
  </si>
  <si>
    <t>Lääneranna</t>
  </si>
  <si>
    <t>EE-442</t>
  </si>
  <si>
    <t>Lüganuse</t>
  </si>
  <si>
    <t>EE-446</t>
  </si>
  <si>
    <t>Maardu</t>
  </si>
  <si>
    <t>EE-478</t>
  </si>
  <si>
    <t>Muhu</t>
  </si>
  <si>
    <t>EE-480</t>
  </si>
  <si>
    <t>Mulgi</t>
  </si>
  <si>
    <t>EE-486</t>
  </si>
  <si>
    <t>Mustvee</t>
  </si>
  <si>
    <t>EE-503</t>
  </si>
  <si>
    <t>Märjamaa</t>
  </si>
  <si>
    <t>EE-511</t>
  </si>
  <si>
    <t>Narva</t>
  </si>
  <si>
    <t>EE-514</t>
  </si>
  <si>
    <t>Narva-Jõesuu</t>
  </si>
  <si>
    <t>EE-528</t>
  </si>
  <si>
    <t>Nõo</t>
  </si>
  <si>
    <t>EE-557</t>
  </si>
  <si>
    <t>Otepää</t>
  </si>
  <si>
    <t>EE-567</t>
  </si>
  <si>
    <t>Paide</t>
  </si>
  <si>
    <t>EE-586</t>
  </si>
  <si>
    <t>Peipsiääre</t>
  </si>
  <si>
    <t>EE-638</t>
  </si>
  <si>
    <t>Põhja-Pärnumaa</t>
  </si>
  <si>
    <t>EE-615</t>
  </si>
  <si>
    <t>Põhja-Sakala</t>
  </si>
  <si>
    <t>EE-618</t>
  </si>
  <si>
    <t>Põltsamaa</t>
  </si>
  <si>
    <t>EE-622</t>
  </si>
  <si>
    <t>Põlva</t>
  </si>
  <si>
    <t>EE-624</t>
  </si>
  <si>
    <t>Pärnu</t>
  </si>
  <si>
    <t>EE-651</t>
  </si>
  <si>
    <t>Raasiku</t>
  </si>
  <si>
    <t>EE-653</t>
  </si>
  <si>
    <t>Rae</t>
  </si>
  <si>
    <t>EE-661</t>
  </si>
  <si>
    <t>Rakvere</t>
  </si>
  <si>
    <t>EE-663</t>
  </si>
  <si>
    <t>EE-668</t>
  </si>
  <si>
    <t>Rapla</t>
  </si>
  <si>
    <t>EE-689</t>
  </si>
  <si>
    <t>Ruhnu</t>
  </si>
  <si>
    <t>EE-698</t>
  </si>
  <si>
    <t>Rõuge</t>
  </si>
  <si>
    <t>EE-708</t>
  </si>
  <si>
    <t>Räpina</t>
  </si>
  <si>
    <t>EE-712</t>
  </si>
  <si>
    <t>Saarde</t>
  </si>
  <si>
    <t>EE-714</t>
  </si>
  <si>
    <t>EE-719</t>
  </si>
  <si>
    <t>Saku</t>
  </si>
  <si>
    <t>EE-726</t>
  </si>
  <si>
    <t>Saue</t>
  </si>
  <si>
    <t>EE-732</t>
  </si>
  <si>
    <t>Setomaa</t>
  </si>
  <si>
    <t>EE-735</t>
  </si>
  <si>
    <t>Sillamäe</t>
  </si>
  <si>
    <t>EE-784</t>
  </si>
  <si>
    <t>EE-792</t>
  </si>
  <si>
    <t>Tapa</t>
  </si>
  <si>
    <t>EE-796</t>
  </si>
  <si>
    <t>Tartu</t>
  </si>
  <si>
    <t>EE-793</t>
  </si>
  <si>
    <t>EE-803</t>
  </si>
  <si>
    <t>Toila</t>
  </si>
  <si>
    <t>EE-809</t>
  </si>
  <si>
    <t>Tori</t>
  </si>
  <si>
    <t>EE-824</t>
  </si>
  <si>
    <t>Tõrva</t>
  </si>
  <si>
    <t>EE-834</t>
  </si>
  <si>
    <t>Türi</t>
  </si>
  <si>
    <t>EE-855</t>
  </si>
  <si>
    <t>Valga</t>
  </si>
  <si>
    <t>EE-890</t>
  </si>
  <si>
    <t>Viimsi</t>
  </si>
  <si>
    <t>EE-899</t>
  </si>
  <si>
    <t>Viljandi</t>
  </si>
  <si>
    <t>EE-897</t>
  </si>
  <si>
    <t>EE-901</t>
  </si>
  <si>
    <t>Vinni</t>
  </si>
  <si>
    <t>EE-903</t>
  </si>
  <si>
    <t>Viru-Nigula</t>
  </si>
  <si>
    <t>EE-907</t>
  </si>
  <si>
    <t>Vormsi</t>
  </si>
  <si>
    <t>EE-917</t>
  </si>
  <si>
    <t>Võru</t>
  </si>
  <si>
    <t>EE-919</t>
  </si>
  <si>
    <t>EE-928</t>
  </si>
  <si>
    <t>Väike-Maarja</t>
  </si>
  <si>
    <t>EG-DK</t>
  </si>
  <si>
    <t>Ad Daqahlīyah</t>
  </si>
  <si>
    <t>EG-BA</t>
  </si>
  <si>
    <t>Al Baḩr al Aḩmar</t>
  </si>
  <si>
    <t>EG-BH</t>
  </si>
  <si>
    <t>Al Buḩayrah</t>
  </si>
  <si>
    <t>EG-FYM</t>
  </si>
  <si>
    <t>Al Fayyūm</t>
  </si>
  <si>
    <t>EG-GH</t>
  </si>
  <si>
    <t>Al Gharbīyah</t>
  </si>
  <si>
    <t>EG-ALX</t>
  </si>
  <si>
    <t>Al Iskandarīyah</t>
  </si>
  <si>
    <t>EG-IS</t>
  </si>
  <si>
    <t>Al Ismā'īlīyah</t>
  </si>
  <si>
    <t>EG-GZ</t>
  </si>
  <si>
    <t>Al Jīzah</t>
  </si>
  <si>
    <t>EG-MNF</t>
  </si>
  <si>
    <t>Al Minūfīyah</t>
  </si>
  <si>
    <t>EG-MN</t>
  </si>
  <si>
    <t>Al Minyā</t>
  </si>
  <si>
    <t>EG-C</t>
  </si>
  <si>
    <t>Al Qāhirah</t>
  </si>
  <si>
    <t>EG-KB</t>
  </si>
  <si>
    <t>Al Qalyūbīyah</t>
  </si>
  <si>
    <t>EG-LX</t>
  </si>
  <si>
    <t>Al Uqşur</t>
  </si>
  <si>
    <t>EG-WAD</t>
  </si>
  <si>
    <t>Al Wādī al Jadīd</t>
  </si>
  <si>
    <t>EG-SUZ</t>
  </si>
  <si>
    <t>As Suways</t>
  </si>
  <si>
    <t>EG-SHR</t>
  </si>
  <si>
    <t>Ash Sharqīyah</t>
  </si>
  <si>
    <t>EG-ASN</t>
  </si>
  <si>
    <t>Aswān</t>
  </si>
  <si>
    <t>EG-AST</t>
  </si>
  <si>
    <t>Asyūţ</t>
  </si>
  <si>
    <t>EG-BNS</t>
  </si>
  <si>
    <t>Banī Suwayf</t>
  </si>
  <si>
    <t>EG-PTS</t>
  </si>
  <si>
    <t>Būr Sa‘īd</t>
  </si>
  <si>
    <t>EG-DT</t>
  </si>
  <si>
    <t>Dumyāţ</t>
  </si>
  <si>
    <t>EG-JS</t>
  </si>
  <si>
    <t>Janūb Sīnā'</t>
  </si>
  <si>
    <t>EG-KFS</t>
  </si>
  <si>
    <t>Kafr ash Shaykh</t>
  </si>
  <si>
    <t>EG-MT</t>
  </si>
  <si>
    <t>Maţrūḩ</t>
  </si>
  <si>
    <t>EG-KN</t>
  </si>
  <si>
    <t>Qinā</t>
  </si>
  <si>
    <t>EG-SIN</t>
  </si>
  <si>
    <t>Shamāl Sīnā'</t>
  </si>
  <si>
    <t>EG-SHG</t>
  </si>
  <si>
    <t>Sūhāj</t>
  </si>
  <si>
    <t>ER-MA</t>
  </si>
  <si>
    <t>Al Awsaţ</t>
  </si>
  <si>
    <t>ER-DU</t>
  </si>
  <si>
    <t>Al Janūbī</t>
  </si>
  <si>
    <t>ER-AN</t>
  </si>
  <si>
    <t>Ansabā</t>
  </si>
  <si>
    <t>ER-DK</t>
  </si>
  <si>
    <t>Janūbī al Baḩrī al Aḩmar</t>
  </si>
  <si>
    <t>ER-GB</t>
  </si>
  <si>
    <t>Qāsh-Barkah</t>
  </si>
  <si>
    <t>ER-SK</t>
  </si>
  <si>
    <t>Shimālī al Baḩrī al Aḩmar</t>
  </si>
  <si>
    <t>ES-AN</t>
  </si>
  <si>
    <t>Andalucía</t>
  </si>
  <si>
    <t>autonomous community</t>
  </si>
  <si>
    <t>ES-AR</t>
  </si>
  <si>
    <t>Aragón</t>
  </si>
  <si>
    <t>ES-AS</t>
  </si>
  <si>
    <t>Asturias, Principado de</t>
  </si>
  <si>
    <t>ES-CN</t>
  </si>
  <si>
    <t>ES-CB</t>
  </si>
  <si>
    <t>Cantabria</t>
  </si>
  <si>
    <t>ES-CL</t>
  </si>
  <si>
    <t>Castilla y León</t>
  </si>
  <si>
    <t>ES-CM</t>
  </si>
  <si>
    <t>Castilla-La Mancha</t>
  </si>
  <si>
    <t>ES-CT</t>
  </si>
  <si>
    <t>Catalunya</t>
  </si>
  <si>
    <t>ES-CE</t>
  </si>
  <si>
    <t>Ceuta</t>
  </si>
  <si>
    <t>autonomous city in north africa</t>
  </si>
  <si>
    <t>ES-EX</t>
  </si>
  <si>
    <t>Extremadura</t>
  </si>
  <si>
    <t>ES-GA</t>
  </si>
  <si>
    <t>Galicia</t>
  </si>
  <si>
    <t>ES-IB</t>
  </si>
  <si>
    <t>Illes Balears</t>
  </si>
  <si>
    <t>ES-RI</t>
  </si>
  <si>
    <t>ES-MD</t>
  </si>
  <si>
    <t>Madrid, Comunidad de</t>
  </si>
  <si>
    <t>ES-ML</t>
  </si>
  <si>
    <t>Melilla</t>
  </si>
  <si>
    <t>ES-MC</t>
  </si>
  <si>
    <t>Murcia, Región de</t>
  </si>
  <si>
    <t>ES-NC</t>
  </si>
  <si>
    <t>Navarra, Comunidad Foral de</t>
  </si>
  <si>
    <t>ES-PV</t>
  </si>
  <si>
    <t>País Vasco</t>
  </si>
  <si>
    <t>ES-VC</t>
  </si>
  <si>
    <t>Valenciana, Comunidad</t>
  </si>
  <si>
    <t>ES-C</t>
  </si>
  <si>
    <t>A Coruña</t>
  </si>
  <si>
    <t>ES-VI</t>
  </si>
  <si>
    <t>Álava</t>
  </si>
  <si>
    <t>ES-AB</t>
  </si>
  <si>
    <t>Albacete</t>
  </si>
  <si>
    <t>ES-A</t>
  </si>
  <si>
    <t>Alicante</t>
  </si>
  <si>
    <t>ES-AL</t>
  </si>
  <si>
    <t>Almería</t>
  </si>
  <si>
    <t>ES-O</t>
  </si>
  <si>
    <t>Asturias</t>
  </si>
  <si>
    <t>ES-AV</t>
  </si>
  <si>
    <t>Ávila</t>
  </si>
  <si>
    <t>ES-BA</t>
  </si>
  <si>
    <t>Badajoz</t>
  </si>
  <si>
    <t>ES-B</t>
  </si>
  <si>
    <t>Barcelona</t>
  </si>
  <si>
    <t>ES-BI</t>
  </si>
  <si>
    <t>Bizkaia</t>
  </si>
  <si>
    <t>ES-BU</t>
  </si>
  <si>
    <t>Burgos</t>
  </si>
  <si>
    <t>ES-CC</t>
  </si>
  <si>
    <t>Cáceres</t>
  </si>
  <si>
    <t>ES-CA</t>
  </si>
  <si>
    <t>Cádiz</t>
  </si>
  <si>
    <t>ES-S</t>
  </si>
  <si>
    <t>ES-CS</t>
  </si>
  <si>
    <t>Castellón</t>
  </si>
  <si>
    <t>ES-CR</t>
  </si>
  <si>
    <t>Ciudad Real</t>
  </si>
  <si>
    <t>ES-CO</t>
  </si>
  <si>
    <t>ES-CU</t>
  </si>
  <si>
    <t>Cuenca</t>
  </si>
  <si>
    <t>ES-SS</t>
  </si>
  <si>
    <t>Gipuzkoa</t>
  </si>
  <si>
    <t>ES-GI</t>
  </si>
  <si>
    <t>Girona</t>
  </si>
  <si>
    <t>ES-GR</t>
  </si>
  <si>
    <t>Granada</t>
  </si>
  <si>
    <t>ES-GU</t>
  </si>
  <si>
    <t>Guadalajara</t>
  </si>
  <si>
    <t>ES-H</t>
  </si>
  <si>
    <t>Huelva</t>
  </si>
  <si>
    <t>ES-HU</t>
  </si>
  <si>
    <t>Huesca</t>
  </si>
  <si>
    <t>ES-PM</t>
  </si>
  <si>
    <t>ES-J</t>
  </si>
  <si>
    <t>Jaén</t>
  </si>
  <si>
    <t>ES-LO</t>
  </si>
  <si>
    <t>ES-GC</t>
  </si>
  <si>
    <t>Las Palmas</t>
  </si>
  <si>
    <t>ES-LE</t>
  </si>
  <si>
    <t>León</t>
  </si>
  <si>
    <t>ES-L</t>
  </si>
  <si>
    <t>Lleida</t>
  </si>
  <si>
    <t>ES-LU</t>
  </si>
  <si>
    <t>Lugo</t>
  </si>
  <si>
    <t>ES-M</t>
  </si>
  <si>
    <t>ES-MA</t>
  </si>
  <si>
    <t>Málaga</t>
  </si>
  <si>
    <t>ES-MU</t>
  </si>
  <si>
    <t>Murcia</t>
  </si>
  <si>
    <t>ES-NA</t>
  </si>
  <si>
    <t>Navarra</t>
  </si>
  <si>
    <t>ES-OR</t>
  </si>
  <si>
    <t>Ourense</t>
  </si>
  <si>
    <t>ES-P</t>
  </si>
  <si>
    <t>Palencia</t>
  </si>
  <si>
    <t>ES-PO</t>
  </si>
  <si>
    <t>Pontevedra</t>
  </si>
  <si>
    <t>ES-SA</t>
  </si>
  <si>
    <t>Salamanca</t>
  </si>
  <si>
    <t>ES-TF</t>
  </si>
  <si>
    <t>Santa Cruz de Tenerife</t>
  </si>
  <si>
    <t>ES-SG</t>
  </si>
  <si>
    <t>Segovia</t>
  </si>
  <si>
    <t>ES-SE</t>
  </si>
  <si>
    <t>Sevilla</t>
  </si>
  <si>
    <t>ES-SO</t>
  </si>
  <si>
    <t>Soria</t>
  </si>
  <si>
    <t>ES-T</t>
  </si>
  <si>
    <t>Tarragona</t>
  </si>
  <si>
    <t>ES-TE</t>
  </si>
  <si>
    <t>Teruel</t>
  </si>
  <si>
    <t>ES-TO</t>
  </si>
  <si>
    <t>ES-V</t>
  </si>
  <si>
    <t>Valencia</t>
  </si>
  <si>
    <t>ES-VA</t>
  </si>
  <si>
    <t>Valladolid</t>
  </si>
  <si>
    <t>ES-ZA</t>
  </si>
  <si>
    <t>Zamora</t>
  </si>
  <si>
    <t>ES-Z</t>
  </si>
  <si>
    <t>Zaragoza</t>
  </si>
  <si>
    <t>ET-AA</t>
  </si>
  <si>
    <t>Ādīs Ābeba</t>
  </si>
  <si>
    <t>administration</t>
  </si>
  <si>
    <t>ET-AF</t>
  </si>
  <si>
    <t>Āfar</t>
  </si>
  <si>
    <t>regional state</t>
  </si>
  <si>
    <t>ET-AM</t>
  </si>
  <si>
    <t>Āmara</t>
  </si>
  <si>
    <t>ET-BE</t>
  </si>
  <si>
    <t>Bīnshangul Gumuz</t>
  </si>
  <si>
    <t>ET-DD</t>
  </si>
  <si>
    <t>Dirē Dawa</t>
  </si>
  <si>
    <t>ET-GA</t>
  </si>
  <si>
    <t>Gambēla Hizboch</t>
  </si>
  <si>
    <t>ET-HA</t>
  </si>
  <si>
    <t>Hārerī Hizb</t>
  </si>
  <si>
    <t>ET-OR</t>
  </si>
  <si>
    <t>Oromīya</t>
  </si>
  <si>
    <t>ET-SI</t>
  </si>
  <si>
    <t>Sīdama</t>
  </si>
  <si>
    <t>ET-SO</t>
  </si>
  <si>
    <t>Sumalē</t>
  </si>
  <si>
    <t>ET-TI</t>
  </si>
  <si>
    <t>Tigray</t>
  </si>
  <si>
    <t>ET-SN</t>
  </si>
  <si>
    <t>YeDebub Bihēroch Bihēreseboch na Hizboch</t>
  </si>
  <si>
    <t>ET-SW</t>
  </si>
  <si>
    <t>YeDebub M‘irab Ītyop’iya Hizboch</t>
  </si>
  <si>
    <t>FI-01</t>
  </si>
  <si>
    <t>Ahvenanmaan maakunta</t>
  </si>
  <si>
    <t>FI-02</t>
  </si>
  <si>
    <t>Etelä-Karjala</t>
  </si>
  <si>
    <t>FI-03</t>
  </si>
  <si>
    <t>Etelä-Pohjanmaa</t>
  </si>
  <si>
    <t>FI-04</t>
  </si>
  <si>
    <t>Etelä-Savo</t>
  </si>
  <si>
    <t>FI-05</t>
  </si>
  <si>
    <t>Kainuu</t>
  </si>
  <si>
    <t>FI-06</t>
  </si>
  <si>
    <t>Kanta-Häme</t>
  </si>
  <si>
    <t>FI-07</t>
  </si>
  <si>
    <t>Keski-Pohjanmaa</t>
  </si>
  <si>
    <t>FI-08</t>
  </si>
  <si>
    <t>Keski-Suomi</t>
  </si>
  <si>
    <t>FI-09</t>
  </si>
  <si>
    <t>Kymenlaakso</t>
  </si>
  <si>
    <t>FI-10</t>
  </si>
  <si>
    <t>Lappi</t>
  </si>
  <si>
    <t>FI-11</t>
  </si>
  <si>
    <t>Pirkanmaa</t>
  </si>
  <si>
    <t>FI-12</t>
  </si>
  <si>
    <t>Pohjanmaa</t>
  </si>
  <si>
    <t>FI-13</t>
  </si>
  <si>
    <t>Pohjois-Karjala</t>
  </si>
  <si>
    <t>FI-14</t>
  </si>
  <si>
    <t>Pohjois-Pohjanmaa</t>
  </si>
  <si>
    <t>FI-15</t>
  </si>
  <si>
    <t>Pohjois-Savo</t>
  </si>
  <si>
    <t>FI-16</t>
  </si>
  <si>
    <t>Päijät-Häme</t>
  </si>
  <si>
    <t>FI-17</t>
  </si>
  <si>
    <t>Satakunta</t>
  </si>
  <si>
    <t>FI-18</t>
  </si>
  <si>
    <t>Uusimaa</t>
  </si>
  <si>
    <t>FI-19</t>
  </si>
  <si>
    <t>Varsinais-Suomi</t>
  </si>
  <si>
    <t>FJ-C</t>
  </si>
  <si>
    <t>FJ-E</t>
  </si>
  <si>
    <t>Eastern</t>
  </si>
  <si>
    <t>FJ-N</t>
  </si>
  <si>
    <t>Northern</t>
  </si>
  <si>
    <t>FJ-W</t>
  </si>
  <si>
    <t>Western</t>
  </si>
  <si>
    <t>FJ-R</t>
  </si>
  <si>
    <t>Rotuma</t>
  </si>
  <si>
    <t>FJ-01</t>
  </si>
  <si>
    <t>Ba</t>
  </si>
  <si>
    <t>FJ-02</t>
  </si>
  <si>
    <t>Bua</t>
  </si>
  <si>
    <t>FJ-03</t>
  </si>
  <si>
    <t>Cakaudrove</t>
  </si>
  <si>
    <t>FJ-04</t>
  </si>
  <si>
    <t>Kadavu</t>
  </si>
  <si>
    <t>FJ-05</t>
  </si>
  <si>
    <t>Lau</t>
  </si>
  <si>
    <t>FJ-06</t>
  </si>
  <si>
    <t>Lomaiviti</t>
  </si>
  <si>
    <t>FJ-07</t>
  </si>
  <si>
    <t>Macuata</t>
  </si>
  <si>
    <t>FJ-08</t>
  </si>
  <si>
    <t>Nadroga and Navosa</t>
  </si>
  <si>
    <t>FJ-09</t>
  </si>
  <si>
    <t>Naitasiri</t>
  </si>
  <si>
    <t>FJ-10</t>
  </si>
  <si>
    <t>Namosi</t>
  </si>
  <si>
    <t>FJ-11</t>
  </si>
  <si>
    <t>Ra</t>
  </si>
  <si>
    <t>FJ-12</t>
  </si>
  <si>
    <t>Rewa</t>
  </si>
  <si>
    <t>FJ-13</t>
  </si>
  <si>
    <t>Serua</t>
  </si>
  <si>
    <t>FJ-14</t>
  </si>
  <si>
    <t>Tailevu</t>
  </si>
  <si>
    <t>FM-TRK</t>
  </si>
  <si>
    <t>Chuuk</t>
  </si>
  <si>
    <t>FM-KSA</t>
  </si>
  <si>
    <t>Kosrae</t>
  </si>
  <si>
    <t>FM-PNI</t>
  </si>
  <si>
    <t>Pohnpei</t>
  </si>
  <si>
    <t>FM-YAP</t>
  </si>
  <si>
    <t>Yap</t>
  </si>
  <si>
    <t>FR-ARA</t>
  </si>
  <si>
    <t>Auvergne-Rhône-Alpes</t>
  </si>
  <si>
    <t>metropolitan region</t>
  </si>
  <si>
    <t>FR-BFC</t>
  </si>
  <si>
    <t>Bourgogne-Franche-Comté</t>
  </si>
  <si>
    <t>FR-BRE</t>
  </si>
  <si>
    <t>Bretagne</t>
  </si>
  <si>
    <t>FR-CVL</t>
  </si>
  <si>
    <t>Centre-Val de Loire</t>
  </si>
  <si>
    <t>FR-20R</t>
  </si>
  <si>
    <t>Corse</t>
  </si>
  <si>
    <t>metropolitan collectivity with special status</t>
  </si>
  <si>
    <t>FR-GES</t>
  </si>
  <si>
    <t>Grand Est</t>
  </si>
  <si>
    <t>FR-HDF</t>
  </si>
  <si>
    <t>Hauts-de-France</t>
  </si>
  <si>
    <t>FR-IDF</t>
  </si>
  <si>
    <t>Île-de-France</t>
  </si>
  <si>
    <t>FR-NOR</t>
  </si>
  <si>
    <t>Normandie</t>
  </si>
  <si>
    <t>FR-NAQ</t>
  </si>
  <si>
    <t>Nouvelle-Aquitaine</t>
  </si>
  <si>
    <t>FR-OCC</t>
  </si>
  <si>
    <t>Occitanie</t>
  </si>
  <si>
    <t>FR-PDL</t>
  </si>
  <si>
    <t>Pays-de-la-Loire</t>
  </si>
  <si>
    <t>FR-PAC</t>
  </si>
  <si>
    <t>Provence-Alpes-Côte-d’Azur</t>
  </si>
  <si>
    <t>FR-01</t>
  </si>
  <si>
    <t>Ain</t>
  </si>
  <si>
    <t>metropolitan department</t>
  </si>
  <si>
    <t>FR-02</t>
  </si>
  <si>
    <t>Aisne</t>
  </si>
  <si>
    <t>FR-03</t>
  </si>
  <si>
    <t>Allier</t>
  </si>
  <si>
    <t>FR-04</t>
  </si>
  <si>
    <t>Alpes-de-Haute-Provence</t>
  </si>
  <si>
    <t>FR-06</t>
  </si>
  <si>
    <t>Alpes-Maritimes</t>
  </si>
  <si>
    <t>FR-6AE</t>
  </si>
  <si>
    <t>Alsace</t>
  </si>
  <si>
    <t>european collectivity</t>
  </si>
  <si>
    <t>FR-07</t>
  </si>
  <si>
    <t>Ardèche</t>
  </si>
  <si>
    <t>FR-08</t>
  </si>
  <si>
    <t>Ardennes</t>
  </si>
  <si>
    <t>FR-09</t>
  </si>
  <si>
    <t>Ariège</t>
  </si>
  <si>
    <t>FR-10</t>
  </si>
  <si>
    <t>Aube</t>
  </si>
  <si>
    <t>FR-11</t>
  </si>
  <si>
    <t>Aude</t>
  </si>
  <si>
    <t>FR-12</t>
  </si>
  <si>
    <t>Aveyron</t>
  </si>
  <si>
    <t>FR-13</t>
  </si>
  <si>
    <t>Bouches-du-Rhône</t>
  </si>
  <si>
    <t>FR-14</t>
  </si>
  <si>
    <t>Calvados</t>
  </si>
  <si>
    <t>FR-15</t>
  </si>
  <si>
    <t>Cantal</t>
  </si>
  <si>
    <t>FR-16</t>
  </si>
  <si>
    <t>Charente</t>
  </si>
  <si>
    <t>FR-17</t>
  </si>
  <si>
    <t>Charente-Maritime</t>
  </si>
  <si>
    <t>FR-18</t>
  </si>
  <si>
    <t>Cher</t>
  </si>
  <si>
    <t>FR-19</t>
  </si>
  <si>
    <t>Corrèze</t>
  </si>
  <si>
    <t>FR-2A</t>
  </si>
  <si>
    <t>Corse-du-Sud</t>
  </si>
  <si>
    <t>FR-21</t>
  </si>
  <si>
    <t>Côte-d'Or</t>
  </si>
  <si>
    <t>FR-22</t>
  </si>
  <si>
    <t>Côtes-d'Armor</t>
  </si>
  <si>
    <t>FR-23</t>
  </si>
  <si>
    <t>Creuse</t>
  </si>
  <si>
    <t>FR-79</t>
  </si>
  <si>
    <t>Deux-Sèvres</t>
  </si>
  <si>
    <t>FR-24</t>
  </si>
  <si>
    <t>Dordogne</t>
  </si>
  <si>
    <t>FR-25</t>
  </si>
  <si>
    <t>Doubs</t>
  </si>
  <si>
    <t>FR-26</t>
  </si>
  <si>
    <t>Drôme</t>
  </si>
  <si>
    <t>FR-91</t>
  </si>
  <si>
    <t>Essonne</t>
  </si>
  <si>
    <t>FR-27</t>
  </si>
  <si>
    <t>Eure</t>
  </si>
  <si>
    <t>FR-28</t>
  </si>
  <si>
    <t>Eure-et-Loir</t>
  </si>
  <si>
    <t>FR-29</t>
  </si>
  <si>
    <t>Finistère</t>
  </si>
  <si>
    <t>FR-30</t>
  </si>
  <si>
    <t>Gard</t>
  </si>
  <si>
    <t>FR-32</t>
  </si>
  <si>
    <t>Gers</t>
  </si>
  <si>
    <t>FR-33</t>
  </si>
  <si>
    <t>Gironde</t>
  </si>
  <si>
    <t>overseas departmental collectivity</t>
  </si>
  <si>
    <t>overseas unique territorial collectivity</t>
  </si>
  <si>
    <t>FR-2B</t>
  </si>
  <si>
    <t>Haute-Corse</t>
  </si>
  <si>
    <t>FR-31</t>
  </si>
  <si>
    <t>Haute-Garonne</t>
  </si>
  <si>
    <t>FR-43</t>
  </si>
  <si>
    <t>Haute-Loire</t>
  </si>
  <si>
    <t>FR-52</t>
  </si>
  <si>
    <t>Haute-Marne</t>
  </si>
  <si>
    <t>FR-70</t>
  </si>
  <si>
    <t>Haute-Saône</t>
  </si>
  <si>
    <t>FR-74</t>
  </si>
  <si>
    <t>Haute-Savoie</t>
  </si>
  <si>
    <t>FR-87</t>
  </si>
  <si>
    <t>Haute-Vienne</t>
  </si>
  <si>
    <t>FR-05</t>
  </si>
  <si>
    <t>Hautes-Alpes</t>
  </si>
  <si>
    <t>FR-65</t>
  </si>
  <si>
    <t>Hautes-Pyrénées</t>
  </si>
  <si>
    <t>FR-92</t>
  </si>
  <si>
    <t>Hauts-de-Seine</t>
  </si>
  <si>
    <t>FR-34</t>
  </si>
  <si>
    <t>Hérault</t>
  </si>
  <si>
    <t>FR-35</t>
  </si>
  <si>
    <t>Ille-et-Vilaine</t>
  </si>
  <si>
    <t>FR-36</t>
  </si>
  <si>
    <t>Indre</t>
  </si>
  <si>
    <t>FR-37</t>
  </si>
  <si>
    <t>Indre-et-Loire</t>
  </si>
  <si>
    <t>FR-38</t>
  </si>
  <si>
    <t>Isère</t>
  </si>
  <si>
    <t>FR-39</t>
  </si>
  <si>
    <t>La Réunion</t>
  </si>
  <si>
    <t>FR-40</t>
  </si>
  <si>
    <t>Landes</t>
  </si>
  <si>
    <t>FR-41</t>
  </si>
  <si>
    <t>Loir-et-Cher</t>
  </si>
  <si>
    <t>FR-42</t>
  </si>
  <si>
    <t>Loire</t>
  </si>
  <si>
    <t>FR-44</t>
  </si>
  <si>
    <t>Loire-Atlantique</t>
  </si>
  <si>
    <t>FR-45</t>
  </si>
  <si>
    <t>Loiret</t>
  </si>
  <si>
    <t>FR-46</t>
  </si>
  <si>
    <t>Lot</t>
  </si>
  <si>
    <t>FR-47</t>
  </si>
  <si>
    <t>Lot-et-Garonne</t>
  </si>
  <si>
    <t>FR-48</t>
  </si>
  <si>
    <t>Lozère</t>
  </si>
  <si>
    <t>FR-49</t>
  </si>
  <si>
    <t>Maine-et-Loire</t>
  </si>
  <si>
    <t>FR-50</t>
  </si>
  <si>
    <t>Manche</t>
  </si>
  <si>
    <t>FR-51</t>
  </si>
  <si>
    <t>Marne</t>
  </si>
  <si>
    <t>FR-53</t>
  </si>
  <si>
    <t>Mayenne</t>
  </si>
  <si>
    <t>FR-69M</t>
  </si>
  <si>
    <t>Métropole de Lyon</t>
  </si>
  <si>
    <t>FR-54</t>
  </si>
  <si>
    <t>Meurthe-et-Moselle</t>
  </si>
  <si>
    <t>FR-55</t>
  </si>
  <si>
    <t>Meuse</t>
  </si>
  <si>
    <t>FR-56</t>
  </si>
  <si>
    <t>Morbihan</t>
  </si>
  <si>
    <t>FR-57</t>
  </si>
  <si>
    <t>Moselle</t>
  </si>
  <si>
    <t>FR-58</t>
  </si>
  <si>
    <t>Nièvre</t>
  </si>
  <si>
    <t>FR-59</t>
  </si>
  <si>
    <t>FR-60</t>
  </si>
  <si>
    <t>Oise</t>
  </si>
  <si>
    <t>FR-61</t>
  </si>
  <si>
    <t>Orne</t>
  </si>
  <si>
    <t>FR-75C</t>
  </si>
  <si>
    <t>FR-62</t>
  </si>
  <si>
    <t>Pas-de-Calais</t>
  </si>
  <si>
    <t>FR-63</t>
  </si>
  <si>
    <t>Puy-de-Dôme</t>
  </si>
  <si>
    <t>FR-64</t>
  </si>
  <si>
    <t>Pyrénées-Atlantiques</t>
  </si>
  <si>
    <t>FR-66</t>
  </si>
  <si>
    <t>Pyrénées-Orientales</t>
  </si>
  <si>
    <t>FR-69</t>
  </si>
  <si>
    <t>Rhône</t>
  </si>
  <si>
    <t>FR-71</t>
  </si>
  <si>
    <t>Saône-et-Loire</t>
  </si>
  <si>
    <t>FR-72</t>
  </si>
  <si>
    <t>Sarthe</t>
  </si>
  <si>
    <t>FR-73</t>
  </si>
  <si>
    <t>Savoie</t>
  </si>
  <si>
    <t>FR-77</t>
  </si>
  <si>
    <t>Seine-et-Marne</t>
  </si>
  <si>
    <t>FR-76</t>
  </si>
  <si>
    <t>Seine-Maritime</t>
  </si>
  <si>
    <t>FR-93</t>
  </si>
  <si>
    <t>Seine-Saint-Denis</t>
  </si>
  <si>
    <t>FR-80</t>
  </si>
  <si>
    <t>Somme</t>
  </si>
  <si>
    <t>FR-81</t>
  </si>
  <si>
    <t>Tarn</t>
  </si>
  <si>
    <t>FR-82</t>
  </si>
  <si>
    <t>Tarn-et-Garonne</t>
  </si>
  <si>
    <t>FR-90</t>
  </si>
  <si>
    <t>Territoire de Belfort</t>
  </si>
  <si>
    <t>FR-95</t>
  </si>
  <si>
    <t>Val-d'Oise</t>
  </si>
  <si>
    <t>FR-94</t>
  </si>
  <si>
    <t>Val-de-Marne</t>
  </si>
  <si>
    <t>FR-83</t>
  </si>
  <si>
    <t>Var</t>
  </si>
  <si>
    <t>FR-84</t>
  </si>
  <si>
    <t>Vaucluse</t>
  </si>
  <si>
    <t>FR-85</t>
  </si>
  <si>
    <t>Vendée</t>
  </si>
  <si>
    <t>FR-86</t>
  </si>
  <si>
    <t>Vienne</t>
  </si>
  <si>
    <t>FR-88</t>
  </si>
  <si>
    <t>Vosges</t>
  </si>
  <si>
    <t>FR-89</t>
  </si>
  <si>
    <t>Yonne</t>
  </si>
  <si>
    <t>FR-78</t>
  </si>
  <si>
    <t>Yvelines</t>
  </si>
  <si>
    <t>FR-67</t>
  </si>
  <si>
    <t>Bas-Rhin</t>
  </si>
  <si>
    <t>FR-68</t>
  </si>
  <si>
    <t>Haut-Rhin</t>
  </si>
  <si>
    <t>FR-CP</t>
  </si>
  <si>
    <t>Clipperton</t>
  </si>
  <si>
    <t>FR-NC</t>
  </si>
  <si>
    <t>overseas collectivity with special status</t>
  </si>
  <si>
    <t>FR-PF</t>
  </si>
  <si>
    <t>overseas collectivity</t>
  </si>
  <si>
    <t>FR-BL</t>
  </si>
  <si>
    <t>FR-MF</t>
  </si>
  <si>
    <t>FR-PM</t>
  </si>
  <si>
    <t>Saint-Pierre-et-Miquelon</t>
  </si>
  <si>
    <t>FR-TF</t>
  </si>
  <si>
    <t>overseas territory</t>
  </si>
  <si>
    <t>FR-WF</t>
  </si>
  <si>
    <t>Wallis-et-Futuna</t>
  </si>
  <si>
    <t>GA-1</t>
  </si>
  <si>
    <t>Estuaire</t>
  </si>
  <si>
    <t>GA-2</t>
  </si>
  <si>
    <t>Haut-Ogooué</t>
  </si>
  <si>
    <t>GA-3</t>
  </si>
  <si>
    <t>Moyen-Ogooué</t>
  </si>
  <si>
    <t>GA-4</t>
  </si>
  <si>
    <t>Ngounié</t>
  </si>
  <si>
    <t>GA-5</t>
  </si>
  <si>
    <t>Nyanga</t>
  </si>
  <si>
    <t>GA-6</t>
  </si>
  <si>
    <t>Ogooué-Ivindo</t>
  </si>
  <si>
    <t>GA-7</t>
  </si>
  <si>
    <t>Ogooué-Lolo</t>
  </si>
  <si>
    <t>GA-8</t>
  </si>
  <si>
    <t>Ogooué-Maritime</t>
  </si>
  <si>
    <t>GA-9</t>
  </si>
  <si>
    <t>Woleu-Ntem</t>
  </si>
  <si>
    <t>GB-ENG</t>
  </si>
  <si>
    <t>England</t>
  </si>
  <si>
    <t>GB-NIR</t>
  </si>
  <si>
    <t>Northern Ireland</t>
  </si>
  <si>
    <t>GB-SCT</t>
  </si>
  <si>
    <t>Scotland</t>
  </si>
  <si>
    <t>GB-WLS</t>
  </si>
  <si>
    <t>Wales</t>
  </si>
  <si>
    <t>GB-CAM</t>
  </si>
  <si>
    <t>Cambridgeshire</t>
  </si>
  <si>
    <t>two-tier county</t>
  </si>
  <si>
    <t>GB-CMA</t>
  </si>
  <si>
    <t>Cumbria</t>
  </si>
  <si>
    <t>GB-DBY</t>
  </si>
  <si>
    <t>Derbyshire</t>
  </si>
  <si>
    <t>GB-DEV</t>
  </si>
  <si>
    <t>Devon</t>
  </si>
  <si>
    <t>GB-DOR</t>
  </si>
  <si>
    <t>Dorset</t>
  </si>
  <si>
    <t>GB-ESX</t>
  </si>
  <si>
    <t>East Sussex</t>
  </si>
  <si>
    <t>GB-ESS</t>
  </si>
  <si>
    <t>Essex</t>
  </si>
  <si>
    <t>GB-GLS</t>
  </si>
  <si>
    <t>Gloucestershire</t>
  </si>
  <si>
    <t>GB-HAM</t>
  </si>
  <si>
    <t>Hampshire</t>
  </si>
  <si>
    <t>GB-HRT</t>
  </si>
  <si>
    <t>Hertfordshire</t>
  </si>
  <si>
    <t>GB-KEN</t>
  </si>
  <si>
    <t>Kent</t>
  </si>
  <si>
    <t>GB-LAN</t>
  </si>
  <si>
    <t>Lancashire</t>
  </si>
  <si>
    <t>GB-LEC</t>
  </si>
  <si>
    <t>Leicestershire</t>
  </si>
  <si>
    <t>GB-LIN</t>
  </si>
  <si>
    <t>Lincolnshire</t>
  </si>
  <si>
    <t>GB-NFK</t>
  </si>
  <si>
    <t>Norfolk</t>
  </si>
  <si>
    <t>GB-NYK</t>
  </si>
  <si>
    <t>North Yorkshire</t>
  </si>
  <si>
    <t>GB-NTT</t>
  </si>
  <si>
    <t>Nottinghamshire</t>
  </si>
  <si>
    <t>GB-OXF</t>
  </si>
  <si>
    <t>Oxfordshire</t>
  </si>
  <si>
    <t>GB-SOM</t>
  </si>
  <si>
    <t>Somerset</t>
  </si>
  <si>
    <t>GB-STS</t>
  </si>
  <si>
    <t>Staffordshire</t>
  </si>
  <si>
    <t>GB-SFK</t>
  </si>
  <si>
    <t>Suffolk</t>
  </si>
  <si>
    <t>GB-SRY</t>
  </si>
  <si>
    <t>Surrey</t>
  </si>
  <si>
    <t>GB-WAR</t>
  </si>
  <si>
    <t>Warwickshire</t>
  </si>
  <si>
    <t>GB-WSX</t>
  </si>
  <si>
    <t>West Sussex</t>
  </si>
  <si>
    <t>GB-WOR</t>
  </si>
  <si>
    <t>Worcestershire</t>
  </si>
  <si>
    <t>GB-LND</t>
  </si>
  <si>
    <t>London, City of</t>
  </si>
  <si>
    <t>city corporation</t>
  </si>
  <si>
    <t>GB-BDG</t>
  </si>
  <si>
    <t>Barking and Dagenham</t>
  </si>
  <si>
    <t>london borough</t>
  </si>
  <si>
    <t>GB-BNE</t>
  </si>
  <si>
    <t>Barnet</t>
  </si>
  <si>
    <t>GB-BEX</t>
  </si>
  <si>
    <t>Bexley</t>
  </si>
  <si>
    <t>GB-BEN</t>
  </si>
  <si>
    <t>Brent</t>
  </si>
  <si>
    <t>GB-BRY</t>
  </si>
  <si>
    <t>Bromley</t>
  </si>
  <si>
    <t>GB-CMD</t>
  </si>
  <si>
    <t>Camden</t>
  </si>
  <si>
    <t>GB-CRY</t>
  </si>
  <si>
    <t>Croydon</t>
  </si>
  <si>
    <t>GB-EAL</t>
  </si>
  <si>
    <t>Ealing</t>
  </si>
  <si>
    <t>GB-ENF</t>
  </si>
  <si>
    <t>Enfield</t>
  </si>
  <si>
    <t>GB-GRE</t>
  </si>
  <si>
    <t>Greenwich</t>
  </si>
  <si>
    <t>GB-HCK</t>
  </si>
  <si>
    <t>Hackney</t>
  </si>
  <si>
    <t>GB-HMF</t>
  </si>
  <si>
    <t>Hammersmith and Fulham</t>
  </si>
  <si>
    <t>GB-HRY</t>
  </si>
  <si>
    <t>Haringey</t>
  </si>
  <si>
    <t>GB-HRW</t>
  </si>
  <si>
    <t>Harrow</t>
  </si>
  <si>
    <t>GB-HAV</t>
  </si>
  <si>
    <t>Havering</t>
  </si>
  <si>
    <t>GB-HIL</t>
  </si>
  <si>
    <t>Hillingdon</t>
  </si>
  <si>
    <t>GB-HNS</t>
  </si>
  <si>
    <t>Hounslow</t>
  </si>
  <si>
    <t>GB-ISL</t>
  </si>
  <si>
    <t>Islington</t>
  </si>
  <si>
    <t>GB-KEC</t>
  </si>
  <si>
    <t>Kensington and Chelsea</t>
  </si>
  <si>
    <t>GB-KTT</t>
  </si>
  <si>
    <t>Kingston upon Thames</t>
  </si>
  <si>
    <t>GB-LBH</t>
  </si>
  <si>
    <t>Lambeth</t>
  </si>
  <si>
    <t>GB-LEW</t>
  </si>
  <si>
    <t>Lewisham</t>
  </si>
  <si>
    <t>GB-MRT</t>
  </si>
  <si>
    <t>Merton</t>
  </si>
  <si>
    <t>GB-NWM</t>
  </si>
  <si>
    <t>Newham</t>
  </si>
  <si>
    <t>GB-RDB</t>
  </si>
  <si>
    <t>Redbridge</t>
  </si>
  <si>
    <t>GB-RIC</t>
  </si>
  <si>
    <t>Richmond upon Thames</t>
  </si>
  <si>
    <t>GB-SWK</t>
  </si>
  <si>
    <t>Southwark</t>
  </si>
  <si>
    <t>GB-STN</t>
  </si>
  <si>
    <t>Sutton</t>
  </si>
  <si>
    <t>GB-TWH</t>
  </si>
  <si>
    <t>Tower Hamlets</t>
  </si>
  <si>
    <t>GB-WFT</t>
  </si>
  <si>
    <t>Waltham Forest</t>
  </si>
  <si>
    <t>GB-WND</t>
  </si>
  <si>
    <t>Wandsworth</t>
  </si>
  <si>
    <t>GB-WSM</t>
  </si>
  <si>
    <t>Westminster</t>
  </si>
  <si>
    <t>GB-BNS</t>
  </si>
  <si>
    <t>Barnsley</t>
  </si>
  <si>
    <t>metropolitan district</t>
  </si>
  <si>
    <t>GB-BIR</t>
  </si>
  <si>
    <t>Birmingham</t>
  </si>
  <si>
    <t>GB-BOL</t>
  </si>
  <si>
    <t>Bolton</t>
  </si>
  <si>
    <t>GB-BRD</t>
  </si>
  <si>
    <t>Bradford</t>
  </si>
  <si>
    <t>GB-BUR</t>
  </si>
  <si>
    <t>Bury</t>
  </si>
  <si>
    <t>GB-CLD</t>
  </si>
  <si>
    <t>Calderdale</t>
  </si>
  <si>
    <t>GB-COV</t>
  </si>
  <si>
    <t>Coventry</t>
  </si>
  <si>
    <t>GB-DNC</t>
  </si>
  <si>
    <t>Doncaster</t>
  </si>
  <si>
    <t>GB-DUD</t>
  </si>
  <si>
    <t>Dudley</t>
  </si>
  <si>
    <t>GB-GAT</t>
  </si>
  <si>
    <t>Gateshead</t>
  </si>
  <si>
    <t>GB-KIR</t>
  </si>
  <si>
    <t>Kirklees</t>
  </si>
  <si>
    <t>GB-KWL</t>
  </si>
  <si>
    <t>Knowsley</t>
  </si>
  <si>
    <t>GB-LDS</t>
  </si>
  <si>
    <t>Leeds</t>
  </si>
  <si>
    <t>GB-LIV</t>
  </si>
  <si>
    <t>Liverpool</t>
  </si>
  <si>
    <t>GB-MAN</t>
  </si>
  <si>
    <t>Manchester</t>
  </si>
  <si>
    <t>GB-NET</t>
  </si>
  <si>
    <t>Newcastle upon Tyne</t>
  </si>
  <si>
    <t>GB-NTY</t>
  </si>
  <si>
    <t>North Tyneside</t>
  </si>
  <si>
    <t>GB-OLD</t>
  </si>
  <si>
    <t>Oldham</t>
  </si>
  <si>
    <t>GB-RCH</t>
  </si>
  <si>
    <t>Rochdale</t>
  </si>
  <si>
    <t>GB-ROT</t>
  </si>
  <si>
    <t>Rotherham</t>
  </si>
  <si>
    <t>GB-SHN</t>
  </si>
  <si>
    <t>St. Helens</t>
  </si>
  <si>
    <t>GB-SLF</t>
  </si>
  <si>
    <t>Salford</t>
  </si>
  <si>
    <t>GB-SAW</t>
  </si>
  <si>
    <t>Sandwell</t>
  </si>
  <si>
    <t>GB-SFT</t>
  </si>
  <si>
    <t>Sefton</t>
  </si>
  <si>
    <t>GB-SHF</t>
  </si>
  <si>
    <t>Sheffield</t>
  </si>
  <si>
    <t>GB-SOL</t>
  </si>
  <si>
    <t>Solihull</t>
  </si>
  <si>
    <t>GB-STY</t>
  </si>
  <si>
    <t>South Tyneside</t>
  </si>
  <si>
    <t>GB-SKP</t>
  </si>
  <si>
    <t>Stockport</t>
  </si>
  <si>
    <t>GB-SND</t>
  </si>
  <si>
    <t>Sunderland</t>
  </si>
  <si>
    <t>GB-TAM</t>
  </si>
  <si>
    <t>Tameside</t>
  </si>
  <si>
    <t>GB-TRF</t>
  </si>
  <si>
    <t>Trafford</t>
  </si>
  <si>
    <t>GB-WKF</t>
  </si>
  <si>
    <t>Wakefield</t>
  </si>
  <si>
    <t>GB-WLL</t>
  </si>
  <si>
    <t>Walsall</t>
  </si>
  <si>
    <t>GB-WGN</t>
  </si>
  <si>
    <t>Wigan</t>
  </si>
  <si>
    <t>GB-WRL</t>
  </si>
  <si>
    <t>Wirral</t>
  </si>
  <si>
    <t>GB-WLV</t>
  </si>
  <si>
    <t>Wolverhampton</t>
  </si>
  <si>
    <t>GB-BAS</t>
  </si>
  <si>
    <t>Bath and North East Somerset</t>
  </si>
  <si>
    <t>unitary authority</t>
  </si>
  <si>
    <t>GB-BDF</t>
  </si>
  <si>
    <t>Bedford</t>
  </si>
  <si>
    <t>GB-BBD</t>
  </si>
  <si>
    <t>Blackburn with Darwen</t>
  </si>
  <si>
    <t>GB-BPL</t>
  </si>
  <si>
    <t>Blackpool</t>
  </si>
  <si>
    <t>GB-BCP</t>
  </si>
  <si>
    <t>Bournemouth, Christchurch and Poole</t>
  </si>
  <si>
    <t>GB-BRC</t>
  </si>
  <si>
    <t>Bracknell Forest</t>
  </si>
  <si>
    <t>GB-BNH</t>
  </si>
  <si>
    <t>Brighton and Hove</t>
  </si>
  <si>
    <t>GB-BST</t>
  </si>
  <si>
    <t>Bristol, City of</t>
  </si>
  <si>
    <t>GB-BKM</t>
  </si>
  <si>
    <t>Buckinghamshire</t>
  </si>
  <si>
    <t>GB-CBF</t>
  </si>
  <si>
    <t>Central Bedfordshire</t>
  </si>
  <si>
    <t>GB-CHE</t>
  </si>
  <si>
    <t>Cheshire East</t>
  </si>
  <si>
    <t>GB-CHW</t>
  </si>
  <si>
    <t>Cheshire West and Chester</t>
  </si>
  <si>
    <t>GB-CON</t>
  </si>
  <si>
    <t>Cornwall</t>
  </si>
  <si>
    <t>GB-DAL</t>
  </si>
  <si>
    <t>Darlington</t>
  </si>
  <si>
    <t>GB-DER</t>
  </si>
  <si>
    <t>Derby</t>
  </si>
  <si>
    <t>GB-DUR</t>
  </si>
  <si>
    <t>Durham, County</t>
  </si>
  <si>
    <t>GB-ERY</t>
  </si>
  <si>
    <t>East Riding of Yorkshire</t>
  </si>
  <si>
    <t>GB-HAL</t>
  </si>
  <si>
    <t>Halton</t>
  </si>
  <si>
    <t>GB-HPL</t>
  </si>
  <si>
    <t>Hartlepool</t>
  </si>
  <si>
    <t>GB-HEF</t>
  </si>
  <si>
    <t>Herefordshire</t>
  </si>
  <si>
    <t>GB-IOW</t>
  </si>
  <si>
    <t>Isle of Wight</t>
  </si>
  <si>
    <t>GB-IOS</t>
  </si>
  <si>
    <t>Isles of Scilly</t>
  </si>
  <si>
    <t>GB-KHL</t>
  </si>
  <si>
    <t>Kingston upon Hull</t>
  </si>
  <si>
    <t>GB-LCE</t>
  </si>
  <si>
    <t>Leicester</t>
  </si>
  <si>
    <t>GB-LUT</t>
  </si>
  <si>
    <t>Luton</t>
  </si>
  <si>
    <t>GB-MDW</t>
  </si>
  <si>
    <t>Medway</t>
  </si>
  <si>
    <t>GB-MDB</t>
  </si>
  <si>
    <t>Middlesbrough</t>
  </si>
  <si>
    <t>GB-MIK</t>
  </si>
  <si>
    <t>Milton Keynes</t>
  </si>
  <si>
    <t>GB-NEL</t>
  </si>
  <si>
    <t>North East Lincolnshire</t>
  </si>
  <si>
    <t>GB-NLN</t>
  </si>
  <si>
    <t>North Lincolnshire</t>
  </si>
  <si>
    <t>GB-NNH</t>
  </si>
  <si>
    <t>North Northamptonshire</t>
  </si>
  <si>
    <t>GB-NSM</t>
  </si>
  <si>
    <t>North Somerset</t>
  </si>
  <si>
    <t>GB-NBL</t>
  </si>
  <si>
    <t>Northumberland</t>
  </si>
  <si>
    <t>GB-NGM</t>
  </si>
  <si>
    <t>Nottingham</t>
  </si>
  <si>
    <t>GB-PTE</t>
  </si>
  <si>
    <t>Peterborough</t>
  </si>
  <si>
    <t>GB-PLY</t>
  </si>
  <si>
    <t>Plymouth</t>
  </si>
  <si>
    <t>GB-POR</t>
  </si>
  <si>
    <t>Portsmouth</t>
  </si>
  <si>
    <t>GB-RDG</t>
  </si>
  <si>
    <t>Reading</t>
  </si>
  <si>
    <t>GB-RCC</t>
  </si>
  <si>
    <t>Redcar and Cleveland</t>
  </si>
  <si>
    <t>GB-RUT</t>
  </si>
  <si>
    <t>Rutland</t>
  </si>
  <si>
    <t>GB-SHR</t>
  </si>
  <si>
    <t>Shropshire</t>
  </si>
  <si>
    <t>GB-SLG</t>
  </si>
  <si>
    <t>Slough</t>
  </si>
  <si>
    <t>GB-SGC</t>
  </si>
  <si>
    <t>South Gloucestershire</t>
  </si>
  <si>
    <t>GB-STH</t>
  </si>
  <si>
    <t>Southampton</t>
  </si>
  <si>
    <t>GB-SOS</t>
  </si>
  <si>
    <t>Southend-on-Sea</t>
  </si>
  <si>
    <t>GB-STT</t>
  </si>
  <si>
    <t>Stockton-on-Tees</t>
  </si>
  <si>
    <t>GB-STE</t>
  </si>
  <si>
    <t>Stoke-on-Trent</t>
  </si>
  <si>
    <t>GB-SWD</t>
  </si>
  <si>
    <t>Swindon</t>
  </si>
  <si>
    <t>GB-TFW</t>
  </si>
  <si>
    <t>Telford and Wrekin</t>
  </si>
  <si>
    <t>GB-THR</t>
  </si>
  <si>
    <t>Thurrock</t>
  </si>
  <si>
    <t>GB-TOB</t>
  </si>
  <si>
    <t>Torbay</t>
  </si>
  <si>
    <t>GB-WRT</t>
  </si>
  <si>
    <t>Warrington</t>
  </si>
  <si>
    <t>GB-WBK</t>
  </si>
  <si>
    <t>West Berkshire</t>
  </si>
  <si>
    <t>GB-WNH</t>
  </si>
  <si>
    <t>West Northamptonshire</t>
  </si>
  <si>
    <t>GB-WIL</t>
  </si>
  <si>
    <t>Wiltshire</t>
  </si>
  <si>
    <t>GB-WNM</t>
  </si>
  <si>
    <t>Windsor and Maidenhead</t>
  </si>
  <si>
    <t>GB-WOK</t>
  </si>
  <si>
    <t>Wokingham</t>
  </si>
  <si>
    <t>GB-YOR</t>
  </si>
  <si>
    <t>York</t>
  </si>
  <si>
    <t>GB-ANN</t>
  </si>
  <si>
    <t>Antrim and Newtownabbey</t>
  </si>
  <si>
    <t>GB-AND</t>
  </si>
  <si>
    <t>Ards and North Down</t>
  </si>
  <si>
    <t>GB-ABC</t>
  </si>
  <si>
    <t>Armagh City, Banbridge and Craigavon</t>
  </si>
  <si>
    <t>GB-BFS</t>
  </si>
  <si>
    <t>Belfast City</t>
  </si>
  <si>
    <t>GB-CCG</t>
  </si>
  <si>
    <t>Causeway Coast and Glens</t>
  </si>
  <si>
    <t>GB-DRS</t>
  </si>
  <si>
    <t>Derry and Strabane</t>
  </si>
  <si>
    <t>GB-FMO</t>
  </si>
  <si>
    <t>Fermanagh and Omagh</t>
  </si>
  <si>
    <t>GB-LBC</t>
  </si>
  <si>
    <t>Lisburn and Castlereagh</t>
  </si>
  <si>
    <t>GB-MEA</t>
  </si>
  <si>
    <t>Mid and East Antrim</t>
  </si>
  <si>
    <t>GB-MUL</t>
  </si>
  <si>
    <t>Mid-Ulster</t>
  </si>
  <si>
    <t>GB-NMD</t>
  </si>
  <si>
    <t>Newry, Mourne and Down</t>
  </si>
  <si>
    <t>GB-ABE</t>
  </si>
  <si>
    <t>Aberdeen City</t>
  </si>
  <si>
    <t>council area</t>
  </si>
  <si>
    <t>GB-ABD</t>
  </si>
  <si>
    <t>Aberdeenshire</t>
  </si>
  <si>
    <t>GB-ANS</t>
  </si>
  <si>
    <t>Angus</t>
  </si>
  <si>
    <t>GB-AGB</t>
  </si>
  <si>
    <t>Argyll and Bute</t>
  </si>
  <si>
    <t>GB-CLK</t>
  </si>
  <si>
    <t>Clackmannanshire</t>
  </si>
  <si>
    <t>GB-DGY</t>
  </si>
  <si>
    <t>Dumfries and Galloway</t>
  </si>
  <si>
    <t>GB-DND</t>
  </si>
  <si>
    <t>Dundee City</t>
  </si>
  <si>
    <t>GB-EAY</t>
  </si>
  <si>
    <t>East Ayrshire</t>
  </si>
  <si>
    <t>GB-EDU</t>
  </si>
  <si>
    <t>East Dunbartonshire</t>
  </si>
  <si>
    <t>GB-ELN</t>
  </si>
  <si>
    <t>East Lothian</t>
  </si>
  <si>
    <t>GB-ERW</t>
  </si>
  <si>
    <t>East Renfrewshire</t>
  </si>
  <si>
    <t>GB-EDH</t>
  </si>
  <si>
    <t>Edinburgh, City of</t>
  </si>
  <si>
    <t>GB-ELS</t>
  </si>
  <si>
    <t>Eilean Siar</t>
  </si>
  <si>
    <t>GB-FAL</t>
  </si>
  <si>
    <t>Falkirk</t>
  </si>
  <si>
    <t>GB-FIF</t>
  </si>
  <si>
    <t>Fife</t>
  </si>
  <si>
    <t>GB-GLG</t>
  </si>
  <si>
    <t>Glasgow City</t>
  </si>
  <si>
    <t>GB-HLD</t>
  </si>
  <si>
    <t>Highland</t>
  </si>
  <si>
    <t>GB-IVC</t>
  </si>
  <si>
    <t>Inverclyde</t>
  </si>
  <si>
    <t>GB-MLN</t>
  </si>
  <si>
    <t>Midlothian</t>
  </si>
  <si>
    <t>GB-MRY</t>
  </si>
  <si>
    <t>Moray</t>
  </si>
  <si>
    <t>GB-NAY</t>
  </si>
  <si>
    <t>North Ayrshire</t>
  </si>
  <si>
    <t>GB-NLK</t>
  </si>
  <si>
    <t>North Lanarkshire</t>
  </si>
  <si>
    <t>GB-ORK</t>
  </si>
  <si>
    <t>Orkney Islands</t>
  </si>
  <si>
    <t>GB-PKN</t>
  </si>
  <si>
    <t>Perth and Kinross</t>
  </si>
  <si>
    <t>GB-RFW</t>
  </si>
  <si>
    <t>Renfrewshire</t>
  </si>
  <si>
    <t>GB-SCB</t>
  </si>
  <si>
    <t>Scottish Borders</t>
  </si>
  <si>
    <t>GB-ZET</t>
  </si>
  <si>
    <t>Shetland Islands</t>
  </si>
  <si>
    <t>GB-SAY</t>
  </si>
  <si>
    <t>South Ayrshire</t>
  </si>
  <si>
    <t>GB-SLK</t>
  </si>
  <si>
    <t>South Lanarkshire</t>
  </si>
  <si>
    <t>GB-STG</t>
  </si>
  <si>
    <t>Stirling</t>
  </si>
  <si>
    <t>GB-WDU</t>
  </si>
  <si>
    <t>West Dunbartonshire</t>
  </si>
  <si>
    <t>GB-WLN</t>
  </si>
  <si>
    <t>West Lothian</t>
  </si>
  <si>
    <t>GB-BGW</t>
  </si>
  <si>
    <t>Blaenau Gwent</t>
  </si>
  <si>
    <t>GB-BGE</t>
  </si>
  <si>
    <t>Bridgend</t>
  </si>
  <si>
    <t>GB-CAY</t>
  </si>
  <si>
    <t>Caerphilly</t>
  </si>
  <si>
    <t>GB-CRF</t>
  </si>
  <si>
    <t>Cardiff</t>
  </si>
  <si>
    <t>GB-CMN</t>
  </si>
  <si>
    <t>Carmarthenshire</t>
  </si>
  <si>
    <t>GB-CGN</t>
  </si>
  <si>
    <t>Ceredigion</t>
  </si>
  <si>
    <t>GB-CWY</t>
  </si>
  <si>
    <t>Conwy</t>
  </si>
  <si>
    <t>GB-DEN</t>
  </si>
  <si>
    <t>Denbighshire</t>
  </si>
  <si>
    <t>GB-FLN</t>
  </si>
  <si>
    <t>Flintshire</t>
  </si>
  <si>
    <t>GB-GWN</t>
  </si>
  <si>
    <t>Gwynedd</t>
  </si>
  <si>
    <t>GB-AGY</t>
  </si>
  <si>
    <t>Isle of Anglesey</t>
  </si>
  <si>
    <t>GB-MTY</t>
  </si>
  <si>
    <t>Merthyr Tydfil</t>
  </si>
  <si>
    <t>GB-MON</t>
  </si>
  <si>
    <t>Monmouthshire</t>
  </si>
  <si>
    <t>GB-NTL</t>
  </si>
  <si>
    <t>Neath Port Talbot</t>
  </si>
  <si>
    <t>GB-NWP</t>
  </si>
  <si>
    <t>Newport</t>
  </si>
  <si>
    <t>GB-PEM</t>
  </si>
  <si>
    <t>Pembrokeshire</t>
  </si>
  <si>
    <t>GB-POW</t>
  </si>
  <si>
    <t>Powys</t>
  </si>
  <si>
    <t>GB-RCT</t>
  </si>
  <si>
    <t>Rhondda Cynon Taff</t>
  </si>
  <si>
    <t>GB-SWA</t>
  </si>
  <si>
    <t>Swansea</t>
  </si>
  <si>
    <t>GB-TOF</t>
  </si>
  <si>
    <t>Torfaen</t>
  </si>
  <si>
    <t>GB-VGL</t>
  </si>
  <si>
    <t>Vale of Glamorgan, The</t>
  </si>
  <si>
    <t>GB-WRX</t>
  </si>
  <si>
    <t>Wrexham</t>
  </si>
  <si>
    <t>GD-01</t>
  </si>
  <si>
    <t>GD-02</t>
  </si>
  <si>
    <t>GD-03</t>
  </si>
  <si>
    <t>GD-04</t>
  </si>
  <si>
    <t>GD-05</t>
  </si>
  <si>
    <t>GD-06</t>
  </si>
  <si>
    <t>GD-10</t>
  </si>
  <si>
    <t>Southern Grenadine Islands</t>
  </si>
  <si>
    <t>GE-AB</t>
  </si>
  <si>
    <t>Abkhazia</t>
  </si>
  <si>
    <t>GE-AJ</t>
  </si>
  <si>
    <t>Adjara</t>
  </si>
  <si>
    <t>GE-GU</t>
  </si>
  <si>
    <t>Guria</t>
  </si>
  <si>
    <t>GE-IM</t>
  </si>
  <si>
    <t>Imereti</t>
  </si>
  <si>
    <t>GE-KA</t>
  </si>
  <si>
    <t>K'akheti</t>
  </si>
  <si>
    <t>GE-KK</t>
  </si>
  <si>
    <t>Kvemo Kartli</t>
  </si>
  <si>
    <t>GE-MM</t>
  </si>
  <si>
    <t>Mtskheta-Mtianeti</t>
  </si>
  <si>
    <t>GE-RL</t>
  </si>
  <si>
    <t>Rach'a-Lechkhumi-Kvemo Svaneti</t>
  </si>
  <si>
    <t>GE-SZ</t>
  </si>
  <si>
    <t>Samegrelo-Zemo Svaneti</t>
  </si>
  <si>
    <t>GE-SJ</t>
  </si>
  <si>
    <t>Samtskhe-Javakheti</t>
  </si>
  <si>
    <t>GE-SK</t>
  </si>
  <si>
    <t>Shida Kartli</t>
  </si>
  <si>
    <t>GE-TB</t>
  </si>
  <si>
    <t>GH-AF</t>
  </si>
  <si>
    <t>Ahafo</t>
  </si>
  <si>
    <t>GH-AH</t>
  </si>
  <si>
    <t>Ashanti</t>
  </si>
  <si>
    <t>GH-BO</t>
  </si>
  <si>
    <t>Bono</t>
  </si>
  <si>
    <t>GH-BE</t>
  </si>
  <si>
    <t>Bono East</t>
  </si>
  <si>
    <t>GH-CP</t>
  </si>
  <si>
    <t>GH-EP</t>
  </si>
  <si>
    <t>GH-AA</t>
  </si>
  <si>
    <t>Greater Accra</t>
  </si>
  <si>
    <t>GH-NE</t>
  </si>
  <si>
    <t>GH-NP</t>
  </si>
  <si>
    <t>GH-OT</t>
  </si>
  <si>
    <t>Oti</t>
  </si>
  <si>
    <t>GH-SV</t>
  </si>
  <si>
    <t>Savannah</t>
  </si>
  <si>
    <t>GH-UE</t>
  </si>
  <si>
    <t>Upper East</t>
  </si>
  <si>
    <t>GH-UW</t>
  </si>
  <si>
    <t>Upper West</t>
  </si>
  <si>
    <t>GH-TV</t>
  </si>
  <si>
    <t>Volta</t>
  </si>
  <si>
    <t>GH-WP</t>
  </si>
  <si>
    <t>GH-WN</t>
  </si>
  <si>
    <t>Western North</t>
  </si>
  <si>
    <t>GL-AV</t>
  </si>
  <si>
    <t>Avannaata Kommunia</t>
  </si>
  <si>
    <t>GL-KU</t>
  </si>
  <si>
    <t>Kommune Kujalleq</t>
  </si>
  <si>
    <t>GL-QT</t>
  </si>
  <si>
    <t>Kommune Qeqertalik</t>
  </si>
  <si>
    <t>GL-SM</t>
  </si>
  <si>
    <t>Kommuneqarfik Sermersooq</t>
  </si>
  <si>
    <t>GL-QE</t>
  </si>
  <si>
    <t>Qeqqata Kommunia</t>
  </si>
  <si>
    <t>GM-B</t>
  </si>
  <si>
    <t>Banjul</t>
  </si>
  <si>
    <t>GM-M</t>
  </si>
  <si>
    <t>Central River</t>
  </si>
  <si>
    <t>GM-L</t>
  </si>
  <si>
    <t>Lower River</t>
  </si>
  <si>
    <t>GM-N</t>
  </si>
  <si>
    <t>North Bank</t>
  </si>
  <si>
    <t>GM-U</t>
  </si>
  <si>
    <t>Upper River</t>
  </si>
  <si>
    <t>GM-W</t>
  </si>
  <si>
    <t>GN-B</t>
  </si>
  <si>
    <t>Boké</t>
  </si>
  <si>
    <t>administrative region</t>
  </si>
  <si>
    <t>GN-F</t>
  </si>
  <si>
    <t>Faranah</t>
  </si>
  <si>
    <t>GN-K</t>
  </si>
  <si>
    <t>Kankan</t>
  </si>
  <si>
    <t>GN-D</t>
  </si>
  <si>
    <t>Kindia</t>
  </si>
  <si>
    <t>GN-L</t>
  </si>
  <si>
    <t>Labé</t>
  </si>
  <si>
    <t>GN-M</t>
  </si>
  <si>
    <t>Mamou</t>
  </si>
  <si>
    <t>GN-N</t>
  </si>
  <si>
    <t>Nzérékoré</t>
  </si>
  <si>
    <t>GN-C</t>
  </si>
  <si>
    <t>Conakry</t>
  </si>
  <si>
    <t>GN-BE</t>
  </si>
  <si>
    <t>Beyla</t>
  </si>
  <si>
    <t>GN-BF</t>
  </si>
  <si>
    <t>Boffa</t>
  </si>
  <si>
    <t>GN-BK</t>
  </si>
  <si>
    <t>GN-CO</t>
  </si>
  <si>
    <t>Coyah</t>
  </si>
  <si>
    <t>GN-DB</t>
  </si>
  <si>
    <t>Dabola</t>
  </si>
  <si>
    <t>GN-DL</t>
  </si>
  <si>
    <t>Dalaba</t>
  </si>
  <si>
    <t>GN-DI</t>
  </si>
  <si>
    <t>Dinguiraye</t>
  </si>
  <si>
    <t>GN-DU</t>
  </si>
  <si>
    <t>Dubréka</t>
  </si>
  <si>
    <t>GN-FA</t>
  </si>
  <si>
    <t>GN-FO</t>
  </si>
  <si>
    <t>Forécariah</t>
  </si>
  <si>
    <t>GN-FR</t>
  </si>
  <si>
    <t>Fria</t>
  </si>
  <si>
    <t>GN-GA</t>
  </si>
  <si>
    <t>Gaoual</t>
  </si>
  <si>
    <t>GN-GU</t>
  </si>
  <si>
    <t>Guékédou</t>
  </si>
  <si>
    <t>GN-KA</t>
  </si>
  <si>
    <t>GN-KE</t>
  </si>
  <si>
    <t>Kérouané</t>
  </si>
  <si>
    <t>GN-KD</t>
  </si>
  <si>
    <t>GN-KS</t>
  </si>
  <si>
    <t>Kissidougou</t>
  </si>
  <si>
    <t>GN-KB</t>
  </si>
  <si>
    <t>Koubia</t>
  </si>
  <si>
    <t>GN-KN</t>
  </si>
  <si>
    <t>Koundara</t>
  </si>
  <si>
    <t>GN-KO</t>
  </si>
  <si>
    <t>Kouroussa</t>
  </si>
  <si>
    <t>GN-LA</t>
  </si>
  <si>
    <t>GN-LE</t>
  </si>
  <si>
    <t>Lélouma</t>
  </si>
  <si>
    <t>GN-LO</t>
  </si>
  <si>
    <t>Lola</t>
  </si>
  <si>
    <t>GN-MC</t>
  </si>
  <si>
    <t>Macenta</t>
  </si>
  <si>
    <t>GN-ML</t>
  </si>
  <si>
    <t>GN-MM</t>
  </si>
  <si>
    <t>GN-MD</t>
  </si>
  <si>
    <t>Mandiana</t>
  </si>
  <si>
    <t>GN-NZ</t>
  </si>
  <si>
    <t>GN-PI</t>
  </si>
  <si>
    <t>Pita</t>
  </si>
  <si>
    <t>GN-SI</t>
  </si>
  <si>
    <t>Siguiri</t>
  </si>
  <si>
    <t>GN-TE</t>
  </si>
  <si>
    <t>Télimélé</t>
  </si>
  <si>
    <t>GN-TO</t>
  </si>
  <si>
    <t>Tougué</t>
  </si>
  <si>
    <t>GN-YO</t>
  </si>
  <si>
    <t>Yomou</t>
  </si>
  <si>
    <t>GQ-C</t>
  </si>
  <si>
    <t>Región Continental</t>
  </si>
  <si>
    <t>GQ-I</t>
  </si>
  <si>
    <t>Región Insular</t>
  </si>
  <si>
    <t>GQ-AN</t>
  </si>
  <si>
    <t>Annobón</t>
  </si>
  <si>
    <t>GQ-BN</t>
  </si>
  <si>
    <t>Bioko Norte</t>
  </si>
  <si>
    <t>GQ-BS</t>
  </si>
  <si>
    <t>Bioko Sur</t>
  </si>
  <si>
    <t>GQ-CS</t>
  </si>
  <si>
    <t>Centro Sur</t>
  </si>
  <si>
    <t>GQ-DJ</t>
  </si>
  <si>
    <t>Djibloho</t>
  </si>
  <si>
    <t>GQ-KN</t>
  </si>
  <si>
    <t>Kié-Ntem</t>
  </si>
  <si>
    <t>GQ-LI</t>
  </si>
  <si>
    <t>Litoral</t>
  </si>
  <si>
    <t>GQ-WN</t>
  </si>
  <si>
    <t>Wele-Nzas</t>
  </si>
  <si>
    <t>GR-69</t>
  </si>
  <si>
    <t>Ágion Óros</t>
  </si>
  <si>
    <t>self-governed part</t>
  </si>
  <si>
    <t>GR-A</t>
  </si>
  <si>
    <t>Anatolikí Makedonía kaiThráki</t>
  </si>
  <si>
    <t>GR-I</t>
  </si>
  <si>
    <t>Attikí</t>
  </si>
  <si>
    <t>GR-G</t>
  </si>
  <si>
    <t>Dytikí Elláda</t>
  </si>
  <si>
    <t>GR-C</t>
  </si>
  <si>
    <t>Dytikí Makedonía</t>
  </si>
  <si>
    <t>GR-F</t>
  </si>
  <si>
    <t>Ionía Nísia</t>
  </si>
  <si>
    <t>GR-D</t>
  </si>
  <si>
    <t>Ípeiros</t>
  </si>
  <si>
    <t>GR-B</t>
  </si>
  <si>
    <t>Kentrikí Makedonía</t>
  </si>
  <si>
    <t>GR-M</t>
  </si>
  <si>
    <t>Kríti</t>
  </si>
  <si>
    <t>GR-L</t>
  </si>
  <si>
    <t>Nótio Aigaío</t>
  </si>
  <si>
    <t>GR-J</t>
  </si>
  <si>
    <t>Pelopónnisos</t>
  </si>
  <si>
    <t>GR-H</t>
  </si>
  <si>
    <t>Stereá Elláda</t>
  </si>
  <si>
    <t>GR-E</t>
  </si>
  <si>
    <t>Thessalía</t>
  </si>
  <si>
    <t>GR-K</t>
  </si>
  <si>
    <t>Vóreio Aigaío</t>
  </si>
  <si>
    <t>GT-16</t>
  </si>
  <si>
    <t>Alta Verapaz</t>
  </si>
  <si>
    <t>GT-15</t>
  </si>
  <si>
    <t>Baja Verapaz</t>
  </si>
  <si>
    <t>GT-04</t>
  </si>
  <si>
    <t>Chimaltenango</t>
  </si>
  <si>
    <t>GT-20</t>
  </si>
  <si>
    <t>Chiquimula</t>
  </si>
  <si>
    <t>GT-02</t>
  </si>
  <si>
    <t>El Progreso</t>
  </si>
  <si>
    <t>GT-05</t>
  </si>
  <si>
    <t>Escuintla</t>
  </si>
  <si>
    <t>GT-01</t>
  </si>
  <si>
    <t>GT-13</t>
  </si>
  <si>
    <t>Huehuetenango</t>
  </si>
  <si>
    <t>GT-18</t>
  </si>
  <si>
    <t>Izabal</t>
  </si>
  <si>
    <t>GT-21</t>
  </si>
  <si>
    <t>Jalapa</t>
  </si>
  <si>
    <t>GT-22</t>
  </si>
  <si>
    <t>Jutiapa</t>
  </si>
  <si>
    <t>GT-17</t>
  </si>
  <si>
    <t>Petén</t>
  </si>
  <si>
    <t>GT-09</t>
  </si>
  <si>
    <t>Quetzaltenango</t>
  </si>
  <si>
    <t>GT-14</t>
  </si>
  <si>
    <t>Quiché</t>
  </si>
  <si>
    <t>GT-11</t>
  </si>
  <si>
    <t>Retalhuleu</t>
  </si>
  <si>
    <t>GT-03</t>
  </si>
  <si>
    <t>Sacatepéquez</t>
  </si>
  <si>
    <t>GT-12</t>
  </si>
  <si>
    <t>San Marcos</t>
  </si>
  <si>
    <t>GT-06</t>
  </si>
  <si>
    <t>Santa Rosa</t>
  </si>
  <si>
    <t>GT-07</t>
  </si>
  <si>
    <t>Sololá</t>
  </si>
  <si>
    <t>GT-10</t>
  </si>
  <si>
    <t>Suchitepéquez</t>
  </si>
  <si>
    <t>GT-08</t>
  </si>
  <si>
    <t>Totonicapán</t>
  </si>
  <si>
    <t>GT-19</t>
  </si>
  <si>
    <t>Zacapa</t>
  </si>
  <si>
    <t>GW-L</t>
  </si>
  <si>
    <t>Leste</t>
  </si>
  <si>
    <t>GW-N</t>
  </si>
  <si>
    <t>Norte</t>
  </si>
  <si>
    <t>GW-S</t>
  </si>
  <si>
    <t>Sul</t>
  </si>
  <si>
    <t>GW-BA</t>
  </si>
  <si>
    <t>Bafatá</t>
  </si>
  <si>
    <t>GW-BM</t>
  </si>
  <si>
    <t>Biombo</t>
  </si>
  <si>
    <t>GW-BS</t>
  </si>
  <si>
    <t>autonomous sector</t>
  </si>
  <si>
    <t>GW-BL</t>
  </si>
  <si>
    <t>Bolama / Bijagós</t>
  </si>
  <si>
    <t>GW-CA</t>
  </si>
  <si>
    <t>Cacheu</t>
  </si>
  <si>
    <t>GW-GA</t>
  </si>
  <si>
    <t>Gabú</t>
  </si>
  <si>
    <t>GW-OI</t>
  </si>
  <si>
    <t>Oio</t>
  </si>
  <si>
    <t>GW-QU</t>
  </si>
  <si>
    <t>Quinara</t>
  </si>
  <si>
    <t>GW-TO</t>
  </si>
  <si>
    <t>Tombali</t>
  </si>
  <si>
    <t>GY-BA</t>
  </si>
  <si>
    <t>Barima-Waini</t>
  </si>
  <si>
    <t>GY-CU</t>
  </si>
  <si>
    <t>Cuyuni-Mazaruni</t>
  </si>
  <si>
    <t>GY-DE</t>
  </si>
  <si>
    <t>Demerara-Mahaica</t>
  </si>
  <si>
    <t>GY-EB</t>
  </si>
  <si>
    <t>East Berbice-Corentyne</t>
  </si>
  <si>
    <t>GY-ES</t>
  </si>
  <si>
    <t>Essequibo Islands-West Demerara</t>
  </si>
  <si>
    <t>GY-MA</t>
  </si>
  <si>
    <t>Mahaica-Berbice</t>
  </si>
  <si>
    <t>GY-PM</t>
  </si>
  <si>
    <t>Pomeroon-Supenaam</t>
  </si>
  <si>
    <t>GY-PT</t>
  </si>
  <si>
    <t>Potaro-Siparuni</t>
  </si>
  <si>
    <t>GY-UD</t>
  </si>
  <si>
    <t>Upper Demerara-Berbice</t>
  </si>
  <si>
    <t>GY-UT</t>
  </si>
  <si>
    <t>Upper Takutu-Upper Essequibo</t>
  </si>
  <si>
    <t>HN-AT</t>
  </si>
  <si>
    <t>Atlántida</t>
  </si>
  <si>
    <t>HN-CH</t>
  </si>
  <si>
    <t>Choluteca</t>
  </si>
  <si>
    <t>HN-CL</t>
  </si>
  <si>
    <t>Colón</t>
  </si>
  <si>
    <t>HN-CM</t>
  </si>
  <si>
    <t>Comayagua</t>
  </si>
  <si>
    <t>HN-CP</t>
  </si>
  <si>
    <t>Copán</t>
  </si>
  <si>
    <t>HN-CR</t>
  </si>
  <si>
    <t>Cortés</t>
  </si>
  <si>
    <t>HN-EP</t>
  </si>
  <si>
    <t>El Paraíso</t>
  </si>
  <si>
    <t>HN-FM</t>
  </si>
  <si>
    <t>Francisco Morazán</t>
  </si>
  <si>
    <t>HN-GD</t>
  </si>
  <si>
    <t>Gracias a Dios</t>
  </si>
  <si>
    <t>HN-IN</t>
  </si>
  <si>
    <t>Intibucá</t>
  </si>
  <si>
    <t>HN-IB</t>
  </si>
  <si>
    <t>Islas de la Bahía</t>
  </si>
  <si>
    <t>HN-LP</t>
  </si>
  <si>
    <t>HN-LE</t>
  </si>
  <si>
    <t>Lempira</t>
  </si>
  <si>
    <t>HN-OC</t>
  </si>
  <si>
    <t>Ocotepeque</t>
  </si>
  <si>
    <t>HN-OL</t>
  </si>
  <si>
    <t>Olancho</t>
  </si>
  <si>
    <t>HN-SB</t>
  </si>
  <si>
    <t>Santa Bárbara</t>
  </si>
  <si>
    <t>HN-VA</t>
  </si>
  <si>
    <t>Valle</t>
  </si>
  <si>
    <t>HN-YO</t>
  </si>
  <si>
    <t>Yoro</t>
  </si>
  <si>
    <t>HR-07</t>
  </si>
  <si>
    <t>Bjelovarsko-bilogorska županija</t>
  </si>
  <si>
    <t>HR-12</t>
  </si>
  <si>
    <t>Brodsko-posavska županija</t>
  </si>
  <si>
    <t>HR-19</t>
  </si>
  <si>
    <t>Dubrovačko-neretvanska županija</t>
  </si>
  <si>
    <t>HR-21</t>
  </si>
  <si>
    <t>Grad Zagreb</t>
  </si>
  <si>
    <t>HR-18</t>
  </si>
  <si>
    <t>Istarska županija</t>
  </si>
  <si>
    <t>HR-04</t>
  </si>
  <si>
    <t>Karlovačka županija</t>
  </si>
  <si>
    <t>HR-06</t>
  </si>
  <si>
    <t>Koprivničko-križevačka županija</t>
  </si>
  <si>
    <t>HR-02</t>
  </si>
  <si>
    <t>Krapinsko-zagorska županija</t>
  </si>
  <si>
    <t>HR-09</t>
  </si>
  <si>
    <t>Ličko-senjska županija</t>
  </si>
  <si>
    <t>HR-20</t>
  </si>
  <si>
    <t>Međimurska županija</t>
  </si>
  <si>
    <t>HR-14</t>
  </si>
  <si>
    <t>Osječko-baranjska županija</t>
  </si>
  <si>
    <t>HR-11</t>
  </si>
  <si>
    <t>Požeško-slavonska županija</t>
  </si>
  <si>
    <t>HR-08</t>
  </si>
  <si>
    <t>Primorsko-goranska županija</t>
  </si>
  <si>
    <t>HR-03</t>
  </si>
  <si>
    <t>Sisačko-moslavačka županija</t>
  </si>
  <si>
    <t>HR-17</t>
  </si>
  <si>
    <t>Splitsko-dalmatinska županija</t>
  </si>
  <si>
    <t>HR-15</t>
  </si>
  <si>
    <t>Šibensko-kninska županija</t>
  </si>
  <si>
    <t>HR-05</t>
  </si>
  <si>
    <t>Varaždinska županija</t>
  </si>
  <si>
    <t>HR-10</t>
  </si>
  <si>
    <t>Virovitičko-podravska županija</t>
  </si>
  <si>
    <t>HR-16</t>
  </si>
  <si>
    <t>Vukovarsko-srijemska županija</t>
  </si>
  <si>
    <t>HR-13</t>
  </si>
  <si>
    <t>Zadarska županija</t>
  </si>
  <si>
    <t>HR-01</t>
  </si>
  <si>
    <t>Zagrebačka županija</t>
  </si>
  <si>
    <t>HT-AR</t>
  </si>
  <si>
    <t>Artibonite</t>
  </si>
  <si>
    <t>HT-CE</t>
  </si>
  <si>
    <t>HT-GA</t>
  </si>
  <si>
    <t>Grande’Anse</t>
  </si>
  <si>
    <t>HT-NI</t>
  </si>
  <si>
    <t>Nippes</t>
  </si>
  <si>
    <t>HT-ND</t>
  </si>
  <si>
    <t>HT-NE</t>
  </si>
  <si>
    <t>Nord-Est</t>
  </si>
  <si>
    <t>HT-NO</t>
  </si>
  <si>
    <t>Nord-Ouest</t>
  </si>
  <si>
    <t>HT-OU</t>
  </si>
  <si>
    <t>Ouest</t>
  </si>
  <si>
    <t>HT-SD</t>
  </si>
  <si>
    <t>Sud</t>
  </si>
  <si>
    <t>HT-SE</t>
  </si>
  <si>
    <t>Sud-Est</t>
  </si>
  <si>
    <t>HU-BK</t>
  </si>
  <si>
    <t>Bács-Kiskun</t>
  </si>
  <si>
    <t>HU-BA</t>
  </si>
  <si>
    <t>Baranya</t>
  </si>
  <si>
    <t>HU-BE</t>
  </si>
  <si>
    <t>Békés</t>
  </si>
  <si>
    <t>HU-BC</t>
  </si>
  <si>
    <t>Békéscsaba</t>
  </si>
  <si>
    <t>city with county rights</t>
  </si>
  <si>
    <t>HU-BZ</t>
  </si>
  <si>
    <t>Borsod-Abaúj-Zemplén</t>
  </si>
  <si>
    <t>HU-BU</t>
  </si>
  <si>
    <t>HU-CS</t>
  </si>
  <si>
    <t>Csongrád-Csanád</t>
  </si>
  <si>
    <t>HU-DE</t>
  </si>
  <si>
    <t>Debrecen</t>
  </si>
  <si>
    <t>HU-DU</t>
  </si>
  <si>
    <t>Dunaújváros</t>
  </si>
  <si>
    <t>HU-EG</t>
  </si>
  <si>
    <t>Eger</t>
  </si>
  <si>
    <t>HU-ER</t>
  </si>
  <si>
    <t>Érd</t>
  </si>
  <si>
    <t>HU-FE</t>
  </si>
  <si>
    <t>Fejér</t>
  </si>
  <si>
    <t>HU-GY</t>
  </si>
  <si>
    <t>Győr</t>
  </si>
  <si>
    <t>HU-GS</t>
  </si>
  <si>
    <t>Győr-Moson-Sopron</t>
  </si>
  <si>
    <t>HU-HB</t>
  </si>
  <si>
    <t>Hajdú-Bihar</t>
  </si>
  <si>
    <t>HU-HE</t>
  </si>
  <si>
    <t>Heves</t>
  </si>
  <si>
    <t>HU-HV</t>
  </si>
  <si>
    <t>Hódmezővásárhely</t>
  </si>
  <si>
    <t>HU-JN</t>
  </si>
  <si>
    <t>Jász-Nagykun-Szolnok</t>
  </si>
  <si>
    <t>HU-KV</t>
  </si>
  <si>
    <t>Kaposvár</t>
  </si>
  <si>
    <t>HU-KM</t>
  </si>
  <si>
    <t>Kecskemét</t>
  </si>
  <si>
    <t>HU-KE</t>
  </si>
  <si>
    <t>Komárom-Esztergom</t>
  </si>
  <si>
    <t>HU-MI</t>
  </si>
  <si>
    <t>Miskolc</t>
  </si>
  <si>
    <t>HU-NK</t>
  </si>
  <si>
    <t>Nagykanizsa</t>
  </si>
  <si>
    <t>HU-NO</t>
  </si>
  <si>
    <t>Nógrád</t>
  </si>
  <si>
    <t>HU-NY</t>
  </si>
  <si>
    <t>Nyíregyháza</t>
  </si>
  <si>
    <t>HU-PS</t>
  </si>
  <si>
    <t>Pécs</t>
  </si>
  <si>
    <t>HU-PE</t>
  </si>
  <si>
    <t>Pest</t>
  </si>
  <si>
    <t>HU-ST</t>
  </si>
  <si>
    <t>Salgótarján</t>
  </si>
  <si>
    <t>HU-SO</t>
  </si>
  <si>
    <t>Somogy</t>
  </si>
  <si>
    <t>HU-SN</t>
  </si>
  <si>
    <t>Sopron</t>
  </si>
  <si>
    <t>HU-SZ</t>
  </si>
  <si>
    <t>Szabolcs-Szatmár-Bereg</t>
  </si>
  <si>
    <t>HU-SD</t>
  </si>
  <si>
    <t>Szeged</t>
  </si>
  <si>
    <t>HU-SF</t>
  </si>
  <si>
    <t>Székesfehérvár</t>
  </si>
  <si>
    <t>HU-SS</t>
  </si>
  <si>
    <t>Szekszárd</t>
  </si>
  <si>
    <t>HU-SK</t>
  </si>
  <si>
    <t>Szolnok</t>
  </si>
  <si>
    <t>HU-SH</t>
  </si>
  <si>
    <t>Szombathely</t>
  </si>
  <si>
    <t>HU-TB</t>
  </si>
  <si>
    <t>Tatabánya</t>
  </si>
  <si>
    <t>HU-TO</t>
  </si>
  <si>
    <t>Tolna</t>
  </si>
  <si>
    <t>HU-VA</t>
  </si>
  <si>
    <t>Vas</t>
  </si>
  <si>
    <t>HU-VM</t>
  </si>
  <si>
    <t>Veszprém</t>
  </si>
  <si>
    <t>HU-VE</t>
  </si>
  <si>
    <t>HU-ZA</t>
  </si>
  <si>
    <t>Zala</t>
  </si>
  <si>
    <t>HU-ZE</t>
  </si>
  <si>
    <t>Zalaegerszeg</t>
  </si>
  <si>
    <t>ID-JW</t>
  </si>
  <si>
    <t>Jawa</t>
  </si>
  <si>
    <t>geographical unit</t>
  </si>
  <si>
    <t>ID-KA</t>
  </si>
  <si>
    <t>Kalimantan</t>
  </si>
  <si>
    <t>ID-ML</t>
  </si>
  <si>
    <t>Maluku</t>
  </si>
  <si>
    <t>ID-NU</t>
  </si>
  <si>
    <t>Nusa Tenggara</t>
  </si>
  <si>
    <t>ID-PP</t>
  </si>
  <si>
    <t>Papua</t>
  </si>
  <si>
    <t>ID-SL</t>
  </si>
  <si>
    <t>Sulawesi</t>
  </si>
  <si>
    <t>ID-SM</t>
  </si>
  <si>
    <t>Sumatera</t>
  </si>
  <si>
    <t>ID-AC</t>
  </si>
  <si>
    <t>Aceh</t>
  </si>
  <si>
    <t>ID-BA</t>
  </si>
  <si>
    <t>Bali</t>
  </si>
  <si>
    <t>ID-BT</t>
  </si>
  <si>
    <t>Banten</t>
  </si>
  <si>
    <t>ID-BE</t>
  </si>
  <si>
    <t>Bengkulu</t>
  </si>
  <si>
    <t>ID-GO</t>
  </si>
  <si>
    <t>Gorontalo</t>
  </si>
  <si>
    <t>ID-JK</t>
  </si>
  <si>
    <t>Jakarta Raya</t>
  </si>
  <si>
    <t>ID-JA</t>
  </si>
  <si>
    <t>Jambi</t>
  </si>
  <si>
    <t>ID-JB</t>
  </si>
  <si>
    <t>Jawa Barat</t>
  </si>
  <si>
    <t>ID-JT</t>
  </si>
  <si>
    <t>Jawa Tengah</t>
  </si>
  <si>
    <t>ID-JI</t>
  </si>
  <si>
    <t>Jawa Timur</t>
  </si>
  <si>
    <t>ID-KB</t>
  </si>
  <si>
    <t>Kalimantan Barat</t>
  </si>
  <si>
    <t>ID-KS</t>
  </si>
  <si>
    <t>Kalimantan Selatan</t>
  </si>
  <si>
    <t>ID-KT</t>
  </si>
  <si>
    <t>Kalimantan Tengah</t>
  </si>
  <si>
    <t>ID-KI</t>
  </si>
  <si>
    <t>Kalimantan Timur</t>
  </si>
  <si>
    <t>ID-KU</t>
  </si>
  <si>
    <t>Kalimantan Utara</t>
  </si>
  <si>
    <t>ID-BB</t>
  </si>
  <si>
    <t>Kepulauan Bangka Belitung</t>
  </si>
  <si>
    <t>ID-KR</t>
  </si>
  <si>
    <t>Kepulauan Riau</t>
  </si>
  <si>
    <t>ID-LA</t>
  </si>
  <si>
    <t>Lampung</t>
  </si>
  <si>
    <t>ID-MA</t>
  </si>
  <si>
    <t>ID-MU</t>
  </si>
  <si>
    <t>Maluku Utara</t>
  </si>
  <si>
    <t>ID-NB</t>
  </si>
  <si>
    <t>Nusa Tenggara Barat</t>
  </si>
  <si>
    <t>ID-NT</t>
  </si>
  <si>
    <t>Nusa Tenggara Timur</t>
  </si>
  <si>
    <t>ID-PA</t>
  </si>
  <si>
    <t>ID-PB</t>
  </si>
  <si>
    <t>Papua Barat</t>
  </si>
  <si>
    <t>ID-PD</t>
  </si>
  <si>
    <t>Papua Barat Daya</t>
  </si>
  <si>
    <t>ID-PE</t>
  </si>
  <si>
    <t>Papua Pengunungan</t>
  </si>
  <si>
    <t>ID-PS</t>
  </si>
  <si>
    <t>Papua Selatan</t>
  </si>
  <si>
    <t>ID-PT</t>
  </si>
  <si>
    <t>Papua Tengah</t>
  </si>
  <si>
    <t>ID-RI</t>
  </si>
  <si>
    <t>Riau</t>
  </si>
  <si>
    <t>ID-SR</t>
  </si>
  <si>
    <t>Sulawesi Barat</t>
  </si>
  <si>
    <t>ID-SN</t>
  </si>
  <si>
    <t>Sulawesi Selatan</t>
  </si>
  <si>
    <t>ID-ST</t>
  </si>
  <si>
    <t>Sulawesi Tengah</t>
  </si>
  <si>
    <t>ID-SG</t>
  </si>
  <si>
    <t>Sulawesi Tenggara</t>
  </si>
  <si>
    <t>ID-SA</t>
  </si>
  <si>
    <t>Sulawesi Utara</t>
  </si>
  <si>
    <t>ID-SB</t>
  </si>
  <si>
    <t>Sumatera Barat</t>
  </si>
  <si>
    <t>ID-SS</t>
  </si>
  <si>
    <t>Sumatera Selatan</t>
  </si>
  <si>
    <t>ID-SU</t>
  </si>
  <si>
    <t>Sumatera Utara</t>
  </si>
  <si>
    <t>ID-YO</t>
  </si>
  <si>
    <t>Yogyakarta</t>
  </si>
  <si>
    <t>special region</t>
  </si>
  <si>
    <t>IE-C</t>
  </si>
  <si>
    <t>Connaught</t>
  </si>
  <si>
    <t>IE-L</t>
  </si>
  <si>
    <t>Leinster</t>
  </si>
  <si>
    <t>IE-M</t>
  </si>
  <si>
    <t>Munster</t>
  </si>
  <si>
    <t>IE-U</t>
  </si>
  <si>
    <t>Ulster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</si>
  <si>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</si>
  <si>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</si>
  <si>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</si>
  <si>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</si>
  <si>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</si>
  <si>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</si>
  <si>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</si>
  <si>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</si>
  <si>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</si>
  <si>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</si>
  <si>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</si>
  <si>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</si>
  <si>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</si>
  <si>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</si>
  <si>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</si>
  <si>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</si>
  <si>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</si>
  <si>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</si>
  <si>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</si>
  <si>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</si>
  <si>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</si>
  <si>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</si>
  <si>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</si>
  <si>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</si>
  <si>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</si>
  <si>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</si>
  <si>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</si>
  <si>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</si>
  <si>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</si>
  <si>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</si>
  <si>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</si>
  <si>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</si>
  <si>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</si>
  <si>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</si>
  <si>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</si>
  <si>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</si>
  <si>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</si>
  <si>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</si>
  <si>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</si>
  <si>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</si>
  <si>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</si>
  <si>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</si>
  <si>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</si>
  <si>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</si>
  <si>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</si>
  <si>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</si>
  <si>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</si>
  <si>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</si>
  <si>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</si>
  <si>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</si>
  <si>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</si>
  <si>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t>IL-D</t>
  </si>
  <si>
    <t>HaDarom</t>
  </si>
  <si>
    <t>IL-M</t>
  </si>
  <si>
    <t>HaMerkaz</t>
  </si>
  <si>
    <t>IL-Z</t>
  </si>
  <si>
    <t>HaTsafon</t>
  </si>
  <si>
    <t>IL-HA</t>
  </si>
  <si>
    <t>H̱efa</t>
  </si>
  <si>
    <t>IL-TA</t>
  </si>
  <si>
    <t>Tel Aviv</t>
  </si>
  <si>
    <t>IL-JM</t>
  </si>
  <si>
    <t>Yerushalayim</t>
  </si>
  <si>
    <t>IN-AN</t>
  </si>
  <si>
    <t>Andaman and Nicobar Islands</t>
  </si>
  <si>
    <t>union territory</t>
  </si>
  <si>
    <t>IN-AP</t>
  </si>
  <si>
    <t>Andhra Pradesh</t>
  </si>
  <si>
    <t>IN-AR</t>
  </si>
  <si>
    <t>Arunāchal Pradesh</t>
  </si>
  <si>
    <t>IN-AS</t>
  </si>
  <si>
    <t>Assam</t>
  </si>
  <si>
    <t>IN-BR</t>
  </si>
  <si>
    <t>Bihār</t>
  </si>
  <si>
    <t>IN-CH</t>
  </si>
  <si>
    <t>Chandigarh</t>
  </si>
  <si>
    <t>IN-CG</t>
  </si>
  <si>
    <t>Chhattīsgarh</t>
  </si>
  <si>
    <t>IN-DH</t>
  </si>
  <si>
    <t>Dādra and Nagar Haveli and Damān and Diu</t>
  </si>
  <si>
    <t>IN-DL</t>
  </si>
  <si>
    <t>Delhi</t>
  </si>
  <si>
    <t>IN-GA</t>
  </si>
  <si>
    <t>Goa</t>
  </si>
  <si>
    <t>IN-GJ</t>
  </si>
  <si>
    <t>Gujarāt</t>
  </si>
  <si>
    <t>IN-HR</t>
  </si>
  <si>
    <t>Haryāna</t>
  </si>
  <si>
    <t>IN-HP</t>
  </si>
  <si>
    <t>Himāchal Pradesh</t>
  </si>
  <si>
    <t>IN-JK</t>
  </si>
  <si>
    <t>Jammu and Kashmīr</t>
  </si>
  <si>
    <t>IN-JH</t>
  </si>
  <si>
    <t>Jhārkhand</t>
  </si>
  <si>
    <t>IN-KA</t>
  </si>
  <si>
    <t>Karnātaka</t>
  </si>
  <si>
    <t>IN-KL</t>
  </si>
  <si>
    <t>Kerala</t>
  </si>
  <si>
    <t>IN-LA</t>
  </si>
  <si>
    <t>Ladākh</t>
  </si>
  <si>
    <t>IN-LD</t>
  </si>
  <si>
    <t>Lakshadweep</t>
  </si>
  <si>
    <t>IN-MP</t>
  </si>
  <si>
    <t>Madhya Pradesh</t>
  </si>
  <si>
    <t>IN-MH</t>
  </si>
  <si>
    <t>Mahārāshtra</t>
  </si>
  <si>
    <t>IN-MN</t>
  </si>
  <si>
    <t>Manipur</t>
  </si>
  <si>
    <t>IN-ML</t>
  </si>
  <si>
    <t>Meghālaya</t>
  </si>
  <si>
    <t>IN-MZ</t>
  </si>
  <si>
    <t>Mizoram</t>
  </si>
  <si>
    <t>IN-NL</t>
  </si>
  <si>
    <t>Nāgāland</t>
  </si>
  <si>
    <t>IN-OD</t>
  </si>
  <si>
    <t>Odisha</t>
  </si>
  <si>
    <t>IN-PY</t>
  </si>
  <si>
    <t>Puducherry</t>
  </si>
  <si>
    <t>IN-PB</t>
  </si>
  <si>
    <t>Punjab</t>
  </si>
  <si>
    <t>IN-RJ</t>
  </si>
  <si>
    <t>Rājasthān</t>
  </si>
  <si>
    <t>IN-SK</t>
  </si>
  <si>
    <t>Sikkim</t>
  </si>
  <si>
    <t>IN-TN</t>
  </si>
  <si>
    <t>Tamil Nādu</t>
  </si>
  <si>
    <t>IN-TS</t>
  </si>
  <si>
    <t>Telangāna</t>
  </si>
  <si>
    <t>IN-TR</t>
  </si>
  <si>
    <t>Tripura</t>
  </si>
  <si>
    <t>IN-UP</t>
  </si>
  <si>
    <t>Uttar Pradesh</t>
  </si>
  <si>
    <t>IN-UK</t>
  </si>
  <si>
    <t>Uttarākhand</t>
  </si>
  <si>
    <t>IN-WB</t>
  </si>
  <si>
    <t>West Bengal</t>
  </si>
  <si>
    <t>IQ-AN</t>
  </si>
  <si>
    <t>Al Anbār</t>
  </si>
  <si>
    <t>IQ-BA</t>
  </si>
  <si>
    <t>Al Başrah</t>
  </si>
  <si>
    <t>IQ-MU</t>
  </si>
  <si>
    <t>Al Muthanná</t>
  </si>
  <si>
    <t>IQ-QA</t>
  </si>
  <si>
    <t>Al Qādisīyah</t>
  </si>
  <si>
    <t>IQ-NA</t>
  </si>
  <si>
    <t>An Najaf</t>
  </si>
  <si>
    <t>IQ-AR</t>
  </si>
  <si>
    <t>Arbīl</t>
  </si>
  <si>
    <t>IQ-KR</t>
  </si>
  <si>
    <t>IQ-SU</t>
  </si>
  <si>
    <t>As Sulaymānīyah</t>
  </si>
  <si>
    <t>IQ-BB</t>
  </si>
  <si>
    <t>Bābil</t>
  </si>
  <si>
    <t>IQ-BG</t>
  </si>
  <si>
    <t>Baghdād</t>
  </si>
  <si>
    <t>IQ-DA</t>
  </si>
  <si>
    <t>Dahūk</t>
  </si>
  <si>
    <t>IQ-DQ</t>
  </si>
  <si>
    <t>Dhī Qār</t>
  </si>
  <si>
    <t>IQ-DI</t>
  </si>
  <si>
    <t>Diyālá</t>
  </si>
  <si>
    <t>Iqlīm Kūrdistān</t>
  </si>
  <si>
    <t>IQ-KA</t>
  </si>
  <si>
    <t>Karbalā’</t>
  </si>
  <si>
    <t>IQ-KI</t>
  </si>
  <si>
    <t>Kirkūk</t>
  </si>
  <si>
    <t>IQ-MA</t>
  </si>
  <si>
    <t>Maysān</t>
  </si>
  <si>
    <t>IQ-NI</t>
  </si>
  <si>
    <t>Nīnawá</t>
  </si>
  <si>
    <t>IQ-SD</t>
  </si>
  <si>
    <t>Şalāḩ ad Dīn</t>
  </si>
  <si>
    <t>IQ-WA</t>
  </si>
  <si>
    <t>Wāsiţ</t>
  </si>
  <si>
    <t>IR-30</t>
  </si>
  <si>
    <t>Alborz</t>
  </si>
  <si>
    <t>IR-24</t>
  </si>
  <si>
    <t>Ardabīl</t>
  </si>
  <si>
    <t>IR-04</t>
  </si>
  <si>
    <t>Āz̄ārbāyjān-e Ghārbī</t>
  </si>
  <si>
    <t>IR-03</t>
  </si>
  <si>
    <t>Āz̄ārbāyjān-e Shārqī</t>
  </si>
  <si>
    <t>IR-18</t>
  </si>
  <si>
    <t>Būshehr</t>
  </si>
  <si>
    <t>IR-14</t>
  </si>
  <si>
    <t>Chahār Maḩāl va Bakhtīārī</t>
  </si>
  <si>
    <t>IR-10</t>
  </si>
  <si>
    <t>Eşfahān</t>
  </si>
  <si>
    <t>IR-07</t>
  </si>
  <si>
    <t>Fārs</t>
  </si>
  <si>
    <t>IR-01</t>
  </si>
  <si>
    <t>Gīlān</t>
  </si>
  <si>
    <t>IR-27</t>
  </si>
  <si>
    <t>Golestān</t>
  </si>
  <si>
    <t>IR-13</t>
  </si>
  <si>
    <t>Hamadān</t>
  </si>
  <si>
    <t>IR-22</t>
  </si>
  <si>
    <t>Hormozgān</t>
  </si>
  <si>
    <t>IR-16</t>
  </si>
  <si>
    <t>Īlām</t>
  </si>
  <si>
    <t>IR-08</t>
  </si>
  <si>
    <t>Kermān</t>
  </si>
  <si>
    <t>IR-05</t>
  </si>
  <si>
    <t>Kermānshāh</t>
  </si>
  <si>
    <t>IR-29</t>
  </si>
  <si>
    <t>Khorāsān-e Jonūbī</t>
  </si>
  <si>
    <t>IR-09</t>
  </si>
  <si>
    <t>Khorāsān-e Raẕavī</t>
  </si>
  <si>
    <t>IR-28</t>
  </si>
  <si>
    <t>Khorāsān-e Shomālī</t>
  </si>
  <si>
    <t>IR-06</t>
  </si>
  <si>
    <t>Khūzestān</t>
  </si>
  <si>
    <t>IR-17</t>
  </si>
  <si>
    <t>Kohgīlūyeh va Bowyer Aḩmad</t>
  </si>
  <si>
    <t>IR-12</t>
  </si>
  <si>
    <t>Kordestān</t>
  </si>
  <si>
    <t>IR-15</t>
  </si>
  <si>
    <t>Lorestān</t>
  </si>
  <si>
    <t>IR-00</t>
  </si>
  <si>
    <t>Markazī</t>
  </si>
  <si>
    <t>IR-02</t>
  </si>
  <si>
    <t>Māzandarān</t>
  </si>
  <si>
    <t>IR-26</t>
  </si>
  <si>
    <t>Qazvīn</t>
  </si>
  <si>
    <t>IR-25</t>
  </si>
  <si>
    <t>Qom</t>
  </si>
  <si>
    <t>IR-20</t>
  </si>
  <si>
    <t>Semnān</t>
  </si>
  <si>
    <t>IR-11</t>
  </si>
  <si>
    <t>Sīstān va Balūchestān</t>
  </si>
  <si>
    <t>IR-23</t>
  </si>
  <si>
    <t>Tehrān</t>
  </si>
  <si>
    <t>IR-21</t>
  </si>
  <si>
    <t>Yazd</t>
  </si>
  <si>
    <t>IR-19</t>
  </si>
  <si>
    <t>Zanjān</t>
  </si>
  <si>
    <t>IS-7</t>
  </si>
  <si>
    <t>Austurland</t>
  </si>
  <si>
    <t>IS-1</t>
  </si>
  <si>
    <t>Höfuðborgarsvæði</t>
  </si>
  <si>
    <t>IS-6</t>
  </si>
  <si>
    <t>Norðurland eystra</t>
  </si>
  <si>
    <t>IS-5</t>
  </si>
  <si>
    <t>Norðurland vestra</t>
  </si>
  <si>
    <t>IS-8</t>
  </si>
  <si>
    <t>Suðurland</t>
  </si>
  <si>
    <t>IS-2</t>
  </si>
  <si>
    <t>Suðurnes</t>
  </si>
  <si>
    <t>IS-4</t>
  </si>
  <si>
    <t>Vestfirðir</t>
  </si>
  <si>
    <t>IS-3</t>
  </si>
  <si>
    <t>Vesturland</t>
  </si>
  <si>
    <t>IS-AKN</t>
  </si>
  <si>
    <t>Akraneskaupstaður</t>
  </si>
  <si>
    <t>IS-AKU</t>
  </si>
  <si>
    <t>Akureyrarbær</t>
  </si>
  <si>
    <t>IS-ARN</t>
  </si>
  <si>
    <t>Árneshreppur</t>
  </si>
  <si>
    <t>IS-ASA</t>
  </si>
  <si>
    <t>Ásahreppur</t>
  </si>
  <si>
    <t>IS-BLA</t>
  </si>
  <si>
    <t>Bláskógabyggð</t>
  </si>
  <si>
    <t>IS-BOL</t>
  </si>
  <si>
    <t>Bolungarvíkurkaupstaður</t>
  </si>
  <si>
    <t>IS-BOG</t>
  </si>
  <si>
    <t>Borgarbyggð</t>
  </si>
  <si>
    <t>IS-DAB</t>
  </si>
  <si>
    <t>Dalabyggð</t>
  </si>
  <si>
    <t>IS-DAV</t>
  </si>
  <si>
    <t>Dalvíkurbyggð</t>
  </si>
  <si>
    <t>IS-EOM</t>
  </si>
  <si>
    <t>Eyja- og Miklaholtshreppur</t>
  </si>
  <si>
    <t>IS-EYF</t>
  </si>
  <si>
    <t>Eyjafjarðarsveit</t>
  </si>
  <si>
    <t>IS-FJL</t>
  </si>
  <si>
    <t>Fjallabyggð</t>
  </si>
  <si>
    <t>IS-FJD</t>
  </si>
  <si>
    <t>Fjarðabyggð</t>
  </si>
  <si>
    <t>IS-FLR</t>
  </si>
  <si>
    <t>Fljótsdalshreppur</t>
  </si>
  <si>
    <t>IS-FLA</t>
  </si>
  <si>
    <t>Flóahreppur</t>
  </si>
  <si>
    <t>IS-GAR</t>
  </si>
  <si>
    <t>Garðabær</t>
  </si>
  <si>
    <t>IS-GOG</t>
  </si>
  <si>
    <t>Grímsnes- og Grafningshreppur</t>
  </si>
  <si>
    <t>IS-GRN</t>
  </si>
  <si>
    <t>Grindavíkurbær</t>
  </si>
  <si>
    <t>IS-GRU</t>
  </si>
  <si>
    <t>Grundarfjarðarbær</t>
  </si>
  <si>
    <t>IS-GRY</t>
  </si>
  <si>
    <t>Grýtubakkahreppur</t>
  </si>
  <si>
    <t>IS-HAF</t>
  </si>
  <si>
    <t>Hafnarfjarðarkaupstaður</t>
  </si>
  <si>
    <t>IS-HRG</t>
  </si>
  <si>
    <t>Hörgársveit</t>
  </si>
  <si>
    <t>IS-HRU</t>
  </si>
  <si>
    <t>Hrunamannahreppur</t>
  </si>
  <si>
    <t>IS-HUG</t>
  </si>
  <si>
    <t>Húnabyggð</t>
  </si>
  <si>
    <t>IS-HUV</t>
  </si>
  <si>
    <t>Húnaþing vestra</t>
  </si>
  <si>
    <t>IS-HVA</t>
  </si>
  <si>
    <t>Hvalfjarðarsveit</t>
  </si>
  <si>
    <t>IS-HVE</t>
  </si>
  <si>
    <t>Hveragerðisbær</t>
  </si>
  <si>
    <t>IS-ISA</t>
  </si>
  <si>
    <t>Ísafjarðarbær</t>
  </si>
  <si>
    <t>IS-KAL</t>
  </si>
  <si>
    <t>Kaldrananeshreppur</t>
  </si>
  <si>
    <t>IS-KJO</t>
  </si>
  <si>
    <t>Kjósarhreppur</t>
  </si>
  <si>
    <t>IS-KOP</t>
  </si>
  <si>
    <t>Kópavogsbær</t>
  </si>
  <si>
    <t>IS-LAN</t>
  </si>
  <si>
    <t>Langanesbyggð</t>
  </si>
  <si>
    <t>IS-MOS</t>
  </si>
  <si>
    <t>Mosfellsbær</t>
  </si>
  <si>
    <t>IS-MUL</t>
  </si>
  <si>
    <t>Múlaþing</t>
  </si>
  <si>
    <t>IS-MYR</t>
  </si>
  <si>
    <t>Mýrdalshreppur</t>
  </si>
  <si>
    <t>IS-NOR</t>
  </si>
  <si>
    <t>Norðurþing</t>
  </si>
  <si>
    <t>IS-RGE</t>
  </si>
  <si>
    <t>Rangárþing eystra</t>
  </si>
  <si>
    <t>IS-RGY</t>
  </si>
  <si>
    <t>Rangárþing ytra</t>
  </si>
  <si>
    <t>IS-RHH</t>
  </si>
  <si>
    <t>Reykhólahreppur</t>
  </si>
  <si>
    <t>IS-RKN</t>
  </si>
  <si>
    <t>Reykjanesbær</t>
  </si>
  <si>
    <t>IS-RKV</t>
  </si>
  <si>
    <t>Reykjavíkurborg</t>
  </si>
  <si>
    <t>IS-SEL</t>
  </si>
  <si>
    <t>Seltjarnarnesbær</t>
  </si>
  <si>
    <t>IS-SKF</t>
  </si>
  <si>
    <t>Skaftárhreppur</t>
  </si>
  <si>
    <t>IS-SKG</t>
  </si>
  <si>
    <t>Skagabyggð</t>
  </si>
  <si>
    <t>IS-SKR</t>
  </si>
  <si>
    <t>Skagafjörður</t>
  </si>
  <si>
    <t>IS-SOG</t>
  </si>
  <si>
    <t>Skeiða- og Gnúpverjahreppur</t>
  </si>
  <si>
    <t>IS-SKO</t>
  </si>
  <si>
    <t>Skorradalshreppur</t>
  </si>
  <si>
    <t>IS-SNF</t>
  </si>
  <si>
    <t>Snæfellsbær</t>
  </si>
  <si>
    <t>IS-STR</t>
  </si>
  <si>
    <t>Strandabyggð</t>
  </si>
  <si>
    <t>IS-STY</t>
  </si>
  <si>
    <t>Stykkishólmsbær</t>
  </si>
  <si>
    <t>IS-SDV</t>
  </si>
  <si>
    <t>Súðavíkurhreppur</t>
  </si>
  <si>
    <t>IS-SDN</t>
  </si>
  <si>
    <t>Suðurnesjabær</t>
  </si>
  <si>
    <t>IS-SBT</t>
  </si>
  <si>
    <t>Svalbarðsstrandarhreppur</t>
  </si>
  <si>
    <t>IS-SFA</t>
  </si>
  <si>
    <t>Sveitarfélagið Árborg</t>
  </si>
  <si>
    <t>IS-SHF</t>
  </si>
  <si>
    <t>Sveitarfélagið Hornafjörður</t>
  </si>
  <si>
    <t>IS-SOL</t>
  </si>
  <si>
    <t>Sveitarfélagið Ölfus</t>
  </si>
  <si>
    <t>IS-SSS</t>
  </si>
  <si>
    <t>Sveitarfélagið Skagaströnd</t>
  </si>
  <si>
    <t>IS-SVG</t>
  </si>
  <si>
    <t>Sveitarfélagið Vogar</t>
  </si>
  <si>
    <t>IS-TAL</t>
  </si>
  <si>
    <t>Tálknafjarðarhreppur</t>
  </si>
  <si>
    <t>IS-TJO</t>
  </si>
  <si>
    <t>Tjörneshreppur</t>
  </si>
  <si>
    <t>IS-VEM</t>
  </si>
  <si>
    <t>Vestmannaeyjabær</t>
  </si>
  <si>
    <t>IS-VER</t>
  </si>
  <si>
    <t>Vesturbyggð</t>
  </si>
  <si>
    <t>IS-VOP</t>
  </si>
  <si>
    <t>Vopnafjarðarhreppur</t>
  </si>
  <si>
    <t>IS-THG</t>
  </si>
  <si>
    <t>Þingeyjarsveit</t>
  </si>
  <si>
    <t>IT-65</t>
  </si>
  <si>
    <t>Abruzzo</t>
  </si>
  <si>
    <t>IT-77</t>
  </si>
  <si>
    <t>Basilicata</t>
  </si>
  <si>
    <t>IT-78</t>
  </si>
  <si>
    <t>Calabria</t>
  </si>
  <si>
    <t>IT-72</t>
  </si>
  <si>
    <t>Campania</t>
  </si>
  <si>
    <t>IT-45</t>
  </si>
  <si>
    <t>Emilia-Romagna</t>
  </si>
  <si>
    <t>IT-36</t>
  </si>
  <si>
    <t>Friuli Venezia Giulia</t>
  </si>
  <si>
    <t>IT-62</t>
  </si>
  <si>
    <t>Lazio</t>
  </si>
  <si>
    <t>IT-42</t>
  </si>
  <si>
    <t>Liguria</t>
  </si>
  <si>
    <t>IT-25</t>
  </si>
  <si>
    <t>Lombardia</t>
  </si>
  <si>
    <t>IT-57</t>
  </si>
  <si>
    <t>Marche</t>
  </si>
  <si>
    <t>IT-67</t>
  </si>
  <si>
    <t>Molise</t>
  </si>
  <si>
    <t>IT-21</t>
  </si>
  <si>
    <t>Piemonte</t>
  </si>
  <si>
    <t>IT-75</t>
  </si>
  <si>
    <t>Puglia</t>
  </si>
  <si>
    <t>IT-88</t>
  </si>
  <si>
    <t>Sardegna</t>
  </si>
  <si>
    <t>IT-82</t>
  </si>
  <si>
    <t>Sicilia</t>
  </si>
  <si>
    <t>IT-52</t>
  </si>
  <si>
    <t>Toscana</t>
  </si>
  <si>
    <t>IT-32</t>
  </si>
  <si>
    <t>Trentino-Alto Adige</t>
  </si>
  <si>
    <t>IT-55</t>
  </si>
  <si>
    <t>Umbria</t>
  </si>
  <si>
    <t>IT-23</t>
  </si>
  <si>
    <t>Valle d'Aosta</t>
  </si>
  <si>
    <t>IT-34</t>
  </si>
  <si>
    <t>Veneto</t>
  </si>
  <si>
    <t>IT-AG</t>
  </si>
  <si>
    <t>Agrigento</t>
  </si>
  <si>
    <t>free municipal consortium</t>
  </si>
  <si>
    <t>IT-AL</t>
  </si>
  <si>
    <t>Alessandria</t>
  </si>
  <si>
    <t>IT-AN</t>
  </si>
  <si>
    <t>Ancona</t>
  </si>
  <si>
    <t>IT-AR</t>
  </si>
  <si>
    <t>Arezzo</t>
  </si>
  <si>
    <t>IT-AP</t>
  </si>
  <si>
    <t>Ascoli Piceno</t>
  </si>
  <si>
    <t>IT-AT</t>
  </si>
  <si>
    <t>Asti</t>
  </si>
  <si>
    <t>IT-AV</t>
  </si>
  <si>
    <t>Avellino</t>
  </si>
  <si>
    <t>IT-BA</t>
  </si>
  <si>
    <t>Bari</t>
  </si>
  <si>
    <t>metropolitan city</t>
  </si>
  <si>
    <t>IT-BT</t>
  </si>
  <si>
    <t>Barletta-Andria-Trani</t>
  </si>
  <si>
    <t>IT-BL</t>
  </si>
  <si>
    <t>Belluno</t>
  </si>
  <si>
    <t>IT-BN</t>
  </si>
  <si>
    <t>Benevento</t>
  </si>
  <si>
    <t>IT-BG</t>
  </si>
  <si>
    <t>Bergamo</t>
  </si>
  <si>
    <t>IT-BI</t>
  </si>
  <si>
    <t>Biella</t>
  </si>
  <si>
    <t>IT-BO</t>
  </si>
  <si>
    <t>Bologna</t>
  </si>
  <si>
    <t>IT-BZ</t>
  </si>
  <si>
    <t>Bolzano</t>
  </si>
  <si>
    <t>autonomous province</t>
  </si>
  <si>
    <t>IT-BS</t>
  </si>
  <si>
    <t>Brescia</t>
  </si>
  <si>
    <t>IT-BR</t>
  </si>
  <si>
    <t>Brindisi</t>
  </si>
  <si>
    <t>IT-CA</t>
  </si>
  <si>
    <t>Cagliari</t>
  </si>
  <si>
    <t>IT-CL</t>
  </si>
  <si>
    <t>Caltanissetta</t>
  </si>
  <si>
    <t>IT-CB</t>
  </si>
  <si>
    <t>Campobasso</t>
  </si>
  <si>
    <t>IT-CE</t>
  </si>
  <si>
    <t>Caserta</t>
  </si>
  <si>
    <t>IT-CT</t>
  </si>
  <si>
    <t>Catania</t>
  </si>
  <si>
    <t>IT-CZ</t>
  </si>
  <si>
    <t>Catanzaro</t>
  </si>
  <si>
    <t>IT-CH</t>
  </si>
  <si>
    <t>Chieti</t>
  </si>
  <si>
    <t>IT-CO</t>
  </si>
  <si>
    <t>Como</t>
  </si>
  <si>
    <t>IT-CS</t>
  </si>
  <si>
    <t>Cosenza</t>
  </si>
  <si>
    <t>IT-CR</t>
  </si>
  <si>
    <t>Cremona</t>
  </si>
  <si>
    <t>IT-KR</t>
  </si>
  <si>
    <t>Crotone</t>
  </si>
  <si>
    <t>IT-CN</t>
  </si>
  <si>
    <t>Cuneo</t>
  </si>
  <si>
    <t>IT-EN</t>
  </si>
  <si>
    <t>Enna</t>
  </si>
  <si>
    <t>IT-FM</t>
  </si>
  <si>
    <t>Fermo</t>
  </si>
  <si>
    <t>IT-FE</t>
  </si>
  <si>
    <t>Ferrara</t>
  </si>
  <si>
    <t>IT-FI</t>
  </si>
  <si>
    <t>Firenze</t>
  </si>
  <si>
    <t>IT-FG</t>
  </si>
  <si>
    <t>Foggia</t>
  </si>
  <si>
    <t>IT-FC</t>
  </si>
  <si>
    <t>Forlì-Cesena</t>
  </si>
  <si>
    <t>IT-FR</t>
  </si>
  <si>
    <t>Frosinone</t>
  </si>
  <si>
    <t>IT-GE</t>
  </si>
  <si>
    <t>Genova</t>
  </si>
  <si>
    <t>IT-GO</t>
  </si>
  <si>
    <t>Gorizia</t>
  </si>
  <si>
    <t>decentralized regional entity</t>
  </si>
  <si>
    <t>IT-GR</t>
  </si>
  <si>
    <t>Grosseto</t>
  </si>
  <si>
    <t>IT-IM</t>
  </si>
  <si>
    <t>Imperia</t>
  </si>
  <si>
    <t>IT-IS</t>
  </si>
  <si>
    <t>Isernia</t>
  </si>
  <si>
    <t>IT-AQ</t>
  </si>
  <si>
    <t>L'Aquila</t>
  </si>
  <si>
    <t>IT-SP</t>
  </si>
  <si>
    <t>La Spezia</t>
  </si>
  <si>
    <t>IT-LT</t>
  </si>
  <si>
    <t>Latina</t>
  </si>
  <si>
    <t>IT-LE</t>
  </si>
  <si>
    <t>Lecce</t>
  </si>
  <si>
    <t>IT-LC</t>
  </si>
  <si>
    <t>Lecco</t>
  </si>
  <si>
    <t>IT-LI</t>
  </si>
  <si>
    <t>Livorno</t>
  </si>
  <si>
    <t>IT-LO</t>
  </si>
  <si>
    <t>Lodi</t>
  </si>
  <si>
    <t>IT-LU</t>
  </si>
  <si>
    <t>Lucca</t>
  </si>
  <si>
    <t>IT-MC</t>
  </si>
  <si>
    <t>Macerata</t>
  </si>
  <si>
    <t>IT-MN</t>
  </si>
  <si>
    <t>Mantova</t>
  </si>
  <si>
    <t>IT-MS</t>
  </si>
  <si>
    <t>Massa-Carrara</t>
  </si>
  <si>
    <t>IT-MT</t>
  </si>
  <si>
    <t>Matera</t>
  </si>
  <si>
    <t>IT-ME</t>
  </si>
  <si>
    <t>Messina</t>
  </si>
  <si>
    <t>IT-MI</t>
  </si>
  <si>
    <t>Milano</t>
  </si>
  <si>
    <t>IT-MO</t>
  </si>
  <si>
    <t>Modena</t>
  </si>
  <si>
    <t>IT-MB</t>
  </si>
  <si>
    <t>Monza e Brianza</t>
  </si>
  <si>
    <t>IT-NA</t>
  </si>
  <si>
    <t>Napoli</t>
  </si>
  <si>
    <t>IT-NO</t>
  </si>
  <si>
    <t>Novara</t>
  </si>
  <si>
    <t>IT-NU</t>
  </si>
  <si>
    <t>Nuoro</t>
  </si>
  <si>
    <t>IT-OR</t>
  </si>
  <si>
    <t>Oristano</t>
  </si>
  <si>
    <t>IT-PD</t>
  </si>
  <si>
    <t>Padova</t>
  </si>
  <si>
    <t>IT-PA</t>
  </si>
  <si>
    <t>Palermo</t>
  </si>
  <si>
    <t>IT-PR</t>
  </si>
  <si>
    <t>Parma</t>
  </si>
  <si>
    <t>IT-PV</t>
  </si>
  <si>
    <t>Pavia</t>
  </si>
  <si>
    <t>IT-PG</t>
  </si>
  <si>
    <t>Perugia</t>
  </si>
  <si>
    <t>IT-PU</t>
  </si>
  <si>
    <t>Pesaro e Urbino</t>
  </si>
  <si>
    <t>IT-PE</t>
  </si>
  <si>
    <t>Pescara</t>
  </si>
  <si>
    <t>IT-PC</t>
  </si>
  <si>
    <t>Piacenza</t>
  </si>
  <si>
    <t>IT-PI</t>
  </si>
  <si>
    <t>Pisa</t>
  </si>
  <si>
    <t>IT-PT</t>
  </si>
  <si>
    <t>Pistoia</t>
  </si>
  <si>
    <t>IT-PN</t>
  </si>
  <si>
    <t>Pordenone</t>
  </si>
  <si>
    <t>IT-PZ</t>
  </si>
  <si>
    <t>Potenza</t>
  </si>
  <si>
    <t>IT-PO</t>
  </si>
  <si>
    <t>Prato</t>
  </si>
  <si>
    <t>IT-RG</t>
  </si>
  <si>
    <t>Ragusa</t>
  </si>
  <si>
    <t>IT-RA</t>
  </si>
  <si>
    <t>Ravenna</t>
  </si>
  <si>
    <t>IT-RC</t>
  </si>
  <si>
    <t>Reggio Calabria</t>
  </si>
  <si>
    <t>IT-RE</t>
  </si>
  <si>
    <t>Reggio Emilia</t>
  </si>
  <si>
    <t>IT-RI</t>
  </si>
  <si>
    <t>Rieti</t>
  </si>
  <si>
    <t>IT-RN</t>
  </si>
  <si>
    <t>Rimini</t>
  </si>
  <si>
    <t>IT-RM</t>
  </si>
  <si>
    <t>Roma</t>
  </si>
  <si>
    <t>IT-RO</t>
  </si>
  <si>
    <t>Rovigo</t>
  </si>
  <si>
    <t>IT-SA</t>
  </si>
  <si>
    <t>Salerno</t>
  </si>
  <si>
    <t>IT-SS</t>
  </si>
  <si>
    <t>Sassari</t>
  </si>
  <si>
    <t>IT-SV</t>
  </si>
  <si>
    <t>Savona</t>
  </si>
  <si>
    <t>IT-SI</t>
  </si>
  <si>
    <t>Siena</t>
  </si>
  <si>
    <t>IT-SR</t>
  </si>
  <si>
    <t>Siracusa</t>
  </si>
  <si>
    <t>IT-SO</t>
  </si>
  <si>
    <t>Sondrio</t>
  </si>
  <si>
    <t>IT-SU</t>
  </si>
  <si>
    <t>Sud Sardegna</t>
  </si>
  <si>
    <t>IT-TA</t>
  </si>
  <si>
    <t>Taranto</t>
  </si>
  <si>
    <t>IT-TE</t>
  </si>
  <si>
    <t>Teramo</t>
  </si>
  <si>
    <t>IT-TR</t>
  </si>
  <si>
    <t>Terni</t>
  </si>
  <si>
    <t>IT-TO</t>
  </si>
  <si>
    <t>Torino</t>
  </si>
  <si>
    <t>IT-TP</t>
  </si>
  <si>
    <t>Trapani</t>
  </si>
  <si>
    <t>IT-TN</t>
  </si>
  <si>
    <t>Trento</t>
  </si>
  <si>
    <t>IT-TV</t>
  </si>
  <si>
    <t>Treviso</t>
  </si>
  <si>
    <t>IT-TS</t>
  </si>
  <si>
    <t>Trieste</t>
  </si>
  <si>
    <t>IT-UD</t>
  </si>
  <si>
    <t>Udine</t>
  </si>
  <si>
    <t>IT-VA</t>
  </si>
  <si>
    <t>Varese</t>
  </si>
  <si>
    <t>IT-VE</t>
  </si>
  <si>
    <t>Venezia</t>
  </si>
  <si>
    <t>IT-VB</t>
  </si>
  <si>
    <t>Verbano-Cusio-Ossola</t>
  </si>
  <si>
    <t>IT-VC</t>
  </si>
  <si>
    <t>Vercelli</t>
  </si>
  <si>
    <t>IT-VR</t>
  </si>
  <si>
    <t>Verona</t>
  </si>
  <si>
    <t>IT-VV</t>
  </si>
  <si>
    <t>Vibo Valentia</t>
  </si>
  <si>
    <t>IT-VI</t>
  </si>
  <si>
    <t>Vicenza</t>
  </si>
  <si>
    <t>IT-VT</t>
  </si>
  <si>
    <t>Viterbo</t>
  </si>
  <si>
    <t>JM-13</t>
  </si>
  <si>
    <t>Clarendon</t>
  </si>
  <si>
    <t>JM-09</t>
  </si>
  <si>
    <t>Hanover</t>
  </si>
  <si>
    <t>JM-01</t>
  </si>
  <si>
    <t>JM-12</t>
  </si>
  <si>
    <t>JM-04</t>
  </si>
  <si>
    <t>Portland</t>
  </si>
  <si>
    <t>JM-02</t>
  </si>
  <si>
    <t>JM-06</t>
  </si>
  <si>
    <t>Saint Ann</t>
  </si>
  <si>
    <t>JM-14</t>
  </si>
  <si>
    <t>Saint Catherine</t>
  </si>
  <si>
    <t>JM-11</t>
  </si>
  <si>
    <t>Saint Elizabeth</t>
  </si>
  <si>
    <t>JM-08</t>
  </si>
  <si>
    <t>JM-05</t>
  </si>
  <si>
    <t>JM-03</t>
  </si>
  <si>
    <t>JM-07</t>
  </si>
  <si>
    <t>Trelawny</t>
  </si>
  <si>
    <t>JM-10</t>
  </si>
  <si>
    <t>Westmoreland</t>
  </si>
  <si>
    <t>JO-AJ</t>
  </si>
  <si>
    <t>‘Ajlūn</t>
  </si>
  <si>
    <t>JO-AQ</t>
  </si>
  <si>
    <t>Al ‘Aqabah</t>
  </si>
  <si>
    <t>JO-AM</t>
  </si>
  <si>
    <t>Al ‘A̅şimah</t>
  </si>
  <si>
    <t>JO-BA</t>
  </si>
  <si>
    <t>Al Balqā’</t>
  </si>
  <si>
    <t>JO-KA</t>
  </si>
  <si>
    <t>Al Karak</t>
  </si>
  <si>
    <t>JO-MA</t>
  </si>
  <si>
    <t>Al Mafraq</t>
  </si>
  <si>
    <t>JO-AT</t>
  </si>
  <si>
    <t>Aţ Ţafīlah</t>
  </si>
  <si>
    <t>JO-AZ</t>
  </si>
  <si>
    <t>Az Zarqā’</t>
  </si>
  <si>
    <t>JO-IR</t>
  </si>
  <si>
    <t>Irbid</t>
  </si>
  <si>
    <t>JO-JA</t>
  </si>
  <si>
    <t>Jarash</t>
  </si>
  <si>
    <t>JO-MN</t>
  </si>
  <si>
    <t>Ma‘ān</t>
  </si>
  <si>
    <t>JO-MD</t>
  </si>
  <si>
    <t>Mādabā</t>
  </si>
  <si>
    <t>JP-23</t>
  </si>
  <si>
    <t>Aiti</t>
  </si>
  <si>
    <t>JP-05</t>
  </si>
  <si>
    <t>Akita</t>
  </si>
  <si>
    <t>JP-02</t>
  </si>
  <si>
    <t>Aomori</t>
  </si>
  <si>
    <t>JP-38</t>
  </si>
  <si>
    <t>Ehime</t>
  </si>
  <si>
    <t>JP-21</t>
  </si>
  <si>
    <t>Gihu</t>
  </si>
  <si>
    <t>JP-10</t>
  </si>
  <si>
    <t>Gunma</t>
  </si>
  <si>
    <t>JP-34</t>
  </si>
  <si>
    <t>Hirosima</t>
  </si>
  <si>
    <t>JP-01</t>
  </si>
  <si>
    <t>Hokkaidô</t>
  </si>
  <si>
    <t>JP-18</t>
  </si>
  <si>
    <t>Hukui</t>
  </si>
  <si>
    <t>JP-40</t>
  </si>
  <si>
    <t>Hukuoka</t>
  </si>
  <si>
    <t>JP-07</t>
  </si>
  <si>
    <t>Hukusima</t>
  </si>
  <si>
    <t>JP-28</t>
  </si>
  <si>
    <t>Hyôgo</t>
  </si>
  <si>
    <t>JP-08</t>
  </si>
  <si>
    <t>Ibaraki</t>
  </si>
  <si>
    <t>JP-17</t>
  </si>
  <si>
    <t>Isikawa</t>
  </si>
  <si>
    <t>JP-03</t>
  </si>
  <si>
    <t>Iwate</t>
  </si>
  <si>
    <t>JP-37</t>
  </si>
  <si>
    <t>Kagawa</t>
  </si>
  <si>
    <t>JP-46</t>
  </si>
  <si>
    <t>Kagosima</t>
  </si>
  <si>
    <t>JP-14</t>
  </si>
  <si>
    <t>Kanagawa</t>
  </si>
  <si>
    <t>JP-39</t>
  </si>
  <si>
    <t>Kôti</t>
  </si>
  <si>
    <t>JP-43</t>
  </si>
  <si>
    <t>Kumamoto</t>
  </si>
  <si>
    <t>JP-26</t>
  </si>
  <si>
    <t>Kyôto</t>
  </si>
  <si>
    <t>JP-24</t>
  </si>
  <si>
    <t>Mie</t>
  </si>
  <si>
    <t>JP-04</t>
  </si>
  <si>
    <t>Miyagi</t>
  </si>
  <si>
    <t>JP-45</t>
  </si>
  <si>
    <t>Miyazaki</t>
  </si>
  <si>
    <t>JP-20</t>
  </si>
  <si>
    <t>Nagano</t>
  </si>
  <si>
    <t>JP-42</t>
  </si>
  <si>
    <t>Nagasaki</t>
  </si>
  <si>
    <t>JP-29</t>
  </si>
  <si>
    <t>Nara</t>
  </si>
  <si>
    <t>JP-15</t>
  </si>
  <si>
    <t>Niigata</t>
  </si>
  <si>
    <t>JP-44</t>
  </si>
  <si>
    <t>Ôita</t>
  </si>
  <si>
    <t>JP-33</t>
  </si>
  <si>
    <t>Okayama</t>
  </si>
  <si>
    <t>JP-47</t>
  </si>
  <si>
    <t>Okinawa</t>
  </si>
  <si>
    <t>JP-27</t>
  </si>
  <si>
    <t>Ôsaka</t>
  </si>
  <si>
    <t>JP-41</t>
  </si>
  <si>
    <t>Saga</t>
  </si>
  <si>
    <t>JP-11</t>
  </si>
  <si>
    <t>Saitama</t>
  </si>
  <si>
    <t>JP-25</t>
  </si>
  <si>
    <t>Siga</t>
  </si>
  <si>
    <t>JP-32</t>
  </si>
  <si>
    <t>Simane</t>
  </si>
  <si>
    <t>JP-22</t>
  </si>
  <si>
    <t>Sizuoka</t>
  </si>
  <si>
    <t>JP-12</t>
  </si>
  <si>
    <t>Tiba</t>
  </si>
  <si>
    <t>JP-36</t>
  </si>
  <si>
    <t>Tokusima</t>
  </si>
  <si>
    <t>JP-13</t>
  </si>
  <si>
    <t>Tôkyô</t>
  </si>
  <si>
    <t>JP-09</t>
  </si>
  <si>
    <t>Totigi</t>
  </si>
  <si>
    <t>JP-31</t>
  </si>
  <si>
    <t>Tottori</t>
  </si>
  <si>
    <t>JP-16</t>
  </si>
  <si>
    <t>Toyama</t>
  </si>
  <si>
    <t>JP-30</t>
  </si>
  <si>
    <t>Wakayama</t>
  </si>
  <si>
    <t>JP-06</t>
  </si>
  <si>
    <t>Yamagata</t>
  </si>
  <si>
    <t>JP-35</t>
  </si>
  <si>
    <t>Yamaguti</t>
  </si>
  <si>
    <t>JP-19</t>
  </si>
  <si>
    <t>Yamanasi</t>
  </si>
  <si>
    <t>KE-01</t>
  </si>
  <si>
    <t>Baringo</t>
  </si>
  <si>
    <t>KE-02</t>
  </si>
  <si>
    <t>Bomet</t>
  </si>
  <si>
    <t>KE-03</t>
  </si>
  <si>
    <t>Bungoma</t>
  </si>
  <si>
    <t>KE-04</t>
  </si>
  <si>
    <t>Busia</t>
  </si>
  <si>
    <t>KE-05</t>
  </si>
  <si>
    <t>Elgeyo/Marakwet</t>
  </si>
  <si>
    <t>KE-06</t>
  </si>
  <si>
    <t>Embu</t>
  </si>
  <si>
    <t>KE-07</t>
  </si>
  <si>
    <t>Garissa</t>
  </si>
  <si>
    <t>KE-08</t>
  </si>
  <si>
    <t>Homa Bay</t>
  </si>
  <si>
    <t>KE-09</t>
  </si>
  <si>
    <t>Isiolo</t>
  </si>
  <si>
    <t>KE-10</t>
  </si>
  <si>
    <t>Kajiado</t>
  </si>
  <si>
    <t>KE-11</t>
  </si>
  <si>
    <t>Kakamega</t>
  </si>
  <si>
    <t>KE-12</t>
  </si>
  <si>
    <t>Kericho</t>
  </si>
  <si>
    <t>KE-13</t>
  </si>
  <si>
    <t>Kiambu</t>
  </si>
  <si>
    <t>KE-14</t>
  </si>
  <si>
    <t>Kilifi</t>
  </si>
  <si>
    <t>KE-15</t>
  </si>
  <si>
    <t>Kirinyaga</t>
  </si>
  <si>
    <t>KE-16</t>
  </si>
  <si>
    <t>Kisii</t>
  </si>
  <si>
    <t>KE-17</t>
  </si>
  <si>
    <t>Kisumu</t>
  </si>
  <si>
    <t>KE-18</t>
  </si>
  <si>
    <t>Kitui</t>
  </si>
  <si>
    <t>KE-19</t>
  </si>
  <si>
    <t>Kwale</t>
  </si>
  <si>
    <t>KE-20</t>
  </si>
  <si>
    <t>Laikipia</t>
  </si>
  <si>
    <t>KE-21</t>
  </si>
  <si>
    <t>Lamu</t>
  </si>
  <si>
    <t>KE-22</t>
  </si>
  <si>
    <t>Machakos</t>
  </si>
  <si>
    <t>KE-23</t>
  </si>
  <si>
    <t>Makueni</t>
  </si>
  <si>
    <t>KE-24</t>
  </si>
  <si>
    <t>Mandera</t>
  </si>
  <si>
    <t>KE-25</t>
  </si>
  <si>
    <t>Marsabit</t>
  </si>
  <si>
    <t>KE-26</t>
  </si>
  <si>
    <t>Meru</t>
  </si>
  <si>
    <t>KE-27</t>
  </si>
  <si>
    <t>Migori</t>
  </si>
  <si>
    <t>KE-28</t>
  </si>
  <si>
    <t>Mombasa</t>
  </si>
  <si>
    <t>KE-29</t>
  </si>
  <si>
    <t>Murang'a</t>
  </si>
  <si>
    <t>KE-30</t>
  </si>
  <si>
    <t>Nairobi City</t>
  </si>
  <si>
    <t>KE-31</t>
  </si>
  <si>
    <t>Nakuru</t>
  </si>
  <si>
    <t>KE-32</t>
  </si>
  <si>
    <t>Nandi</t>
  </si>
  <si>
    <t>KE-33</t>
  </si>
  <si>
    <t>Narok</t>
  </si>
  <si>
    <t>KE-34</t>
  </si>
  <si>
    <t>Nyamira</t>
  </si>
  <si>
    <t>KE-35</t>
  </si>
  <si>
    <t>Nyandarua</t>
  </si>
  <si>
    <t>KE-36</t>
  </si>
  <si>
    <t>Nyeri</t>
  </si>
  <si>
    <t>KE-37</t>
  </si>
  <si>
    <t>Samburu</t>
  </si>
  <si>
    <t>KE-38</t>
  </si>
  <si>
    <t>Siaya</t>
  </si>
  <si>
    <t>KE-39</t>
  </si>
  <si>
    <t>Taita/Taveta</t>
  </si>
  <si>
    <t>KE-40</t>
  </si>
  <si>
    <t>Tana River</t>
  </si>
  <si>
    <t>KE-41</t>
  </si>
  <si>
    <t>Tharaka-Nithi</t>
  </si>
  <si>
    <t>KE-42</t>
  </si>
  <si>
    <t>Trans Nzoia</t>
  </si>
  <si>
    <t>KE-43</t>
  </si>
  <si>
    <t>Turkana</t>
  </si>
  <si>
    <t>KE-44</t>
  </si>
  <si>
    <t>Uasin Gishu</t>
  </si>
  <si>
    <t>KE-45</t>
  </si>
  <si>
    <t>Vihiga</t>
  </si>
  <si>
    <t>KE-46</t>
  </si>
  <si>
    <t>Wajir</t>
  </si>
  <si>
    <t>KE-47</t>
  </si>
  <si>
    <t>West Pokot</t>
  </si>
  <si>
    <t>KG-B</t>
  </si>
  <si>
    <t>Batken</t>
  </si>
  <si>
    <t>KG-GB</t>
  </si>
  <si>
    <t>Bishkek Shaary</t>
  </si>
  <si>
    <t>KG-C</t>
  </si>
  <si>
    <t>Chüy</t>
  </si>
  <si>
    <t>KG-J</t>
  </si>
  <si>
    <t>Jalal-Abad</t>
  </si>
  <si>
    <t>KG-N</t>
  </si>
  <si>
    <t>Naryn</t>
  </si>
  <si>
    <t>KG-O</t>
  </si>
  <si>
    <t>Osh</t>
  </si>
  <si>
    <t>KG-GO</t>
  </si>
  <si>
    <t>Osh Shaary</t>
  </si>
  <si>
    <t>KG-T</t>
  </si>
  <si>
    <t>Talas</t>
  </si>
  <si>
    <t>KG-Y</t>
  </si>
  <si>
    <t>Ysyk-Köl</t>
  </si>
  <si>
    <t>KH-2</t>
  </si>
  <si>
    <t>Baat Dambang</t>
  </si>
  <si>
    <t>KH-1</t>
  </si>
  <si>
    <t>Banteay Mean Choăy</t>
  </si>
  <si>
    <t>KH-23</t>
  </si>
  <si>
    <t>Kaeb</t>
  </si>
  <si>
    <t>KH-3</t>
  </si>
  <si>
    <t>Kampong Chaam</t>
  </si>
  <si>
    <t>KH-4</t>
  </si>
  <si>
    <t>Kampong Chhnang</t>
  </si>
  <si>
    <t>KH-5</t>
  </si>
  <si>
    <t>Kampong Spueu</t>
  </si>
  <si>
    <t>KH-6</t>
  </si>
  <si>
    <t>Kampong Thum</t>
  </si>
  <si>
    <t>KH-7</t>
  </si>
  <si>
    <t>Kampot</t>
  </si>
  <si>
    <t>KH-8</t>
  </si>
  <si>
    <t>Kandaal</t>
  </si>
  <si>
    <t>KH-9</t>
  </si>
  <si>
    <t>Kaoh Kong</t>
  </si>
  <si>
    <t>KH-10</t>
  </si>
  <si>
    <t>Kracheh</t>
  </si>
  <si>
    <t>KH-11</t>
  </si>
  <si>
    <t>Mondol Kiri</t>
  </si>
  <si>
    <t>KH-22</t>
  </si>
  <si>
    <t>Otdar Mean Chey</t>
  </si>
  <si>
    <t>KH-24</t>
  </si>
  <si>
    <t>Pailin</t>
  </si>
  <si>
    <t>KH-12</t>
  </si>
  <si>
    <t>autonomous municipality</t>
  </si>
  <si>
    <t>KH-15</t>
  </si>
  <si>
    <t>Pousaat</t>
  </si>
  <si>
    <t>KH-18</t>
  </si>
  <si>
    <t>Preah Sihanouk</t>
  </si>
  <si>
    <t>KH-13</t>
  </si>
  <si>
    <t>Preah Vihear</t>
  </si>
  <si>
    <t>KH-14</t>
  </si>
  <si>
    <t>Prey Veaeng</t>
  </si>
  <si>
    <t>KH-16</t>
  </si>
  <si>
    <t>Rotanak Kiri</t>
  </si>
  <si>
    <t>KH-17</t>
  </si>
  <si>
    <t>Siem Reab</t>
  </si>
  <si>
    <t>KH-19</t>
  </si>
  <si>
    <t>Stueng Traeng</t>
  </si>
  <si>
    <t>KH-20</t>
  </si>
  <si>
    <t>Svaay Rieng</t>
  </si>
  <si>
    <t>KH-21</t>
  </si>
  <si>
    <t>Taakaev</t>
  </si>
  <si>
    <t>KH-25</t>
  </si>
  <si>
    <t>Tbong Khmum</t>
  </si>
  <si>
    <t>KI-G</t>
  </si>
  <si>
    <t>Gilbert Islands</t>
  </si>
  <si>
    <t>KI-L</t>
  </si>
  <si>
    <t>Line Islands</t>
  </si>
  <si>
    <t>KI-P</t>
  </si>
  <si>
    <t>Phoenix Islands</t>
  </si>
  <si>
    <t>KM-G</t>
  </si>
  <si>
    <t>Grande Comore</t>
  </si>
  <si>
    <t>KM-A</t>
  </si>
  <si>
    <t>Anjouan</t>
  </si>
  <si>
    <t>KM-M</t>
  </si>
  <si>
    <t>Mohéli</t>
  </si>
  <si>
    <t>KN-K</t>
  </si>
  <si>
    <t>Saint Kitts</t>
  </si>
  <si>
    <t>KN-N</t>
  </si>
  <si>
    <t>Nevis</t>
  </si>
  <si>
    <t>KN-01</t>
  </si>
  <si>
    <t>Christ Church Nichola Town</t>
  </si>
  <si>
    <t>KN-02</t>
  </si>
  <si>
    <t>Saint Anne Sandy Point</t>
  </si>
  <si>
    <t>KN-03</t>
  </si>
  <si>
    <t>Saint George Basseterre</t>
  </si>
  <si>
    <t>KN-04</t>
  </si>
  <si>
    <t>Saint George Gingerland</t>
  </si>
  <si>
    <t>KN-05</t>
  </si>
  <si>
    <t>Saint James Windward</t>
  </si>
  <si>
    <t>KN-06</t>
  </si>
  <si>
    <t>Saint John Capisterre</t>
  </si>
  <si>
    <t>KN-07</t>
  </si>
  <si>
    <t>Saint John Figtree</t>
  </si>
  <si>
    <t>KN-08</t>
  </si>
  <si>
    <t>Saint Mary Cayon</t>
  </si>
  <si>
    <t>KN-09</t>
  </si>
  <si>
    <t>Saint Paul Capisterre</t>
  </si>
  <si>
    <t>KN-10</t>
  </si>
  <si>
    <t>Saint Paul Charlestown</t>
  </si>
  <si>
    <t>KN-11</t>
  </si>
  <si>
    <t>Saint Peter Basseterre</t>
  </si>
  <si>
    <t>KN-12</t>
  </si>
  <si>
    <t>Saint Thomas Lowland</t>
  </si>
  <si>
    <t>KN-13</t>
  </si>
  <si>
    <t>Saint Thomas Middle Island</t>
  </si>
  <si>
    <t>KN-15</t>
  </si>
  <si>
    <t>Trinity Palmetto Point</t>
  </si>
  <si>
    <t>KP-04</t>
  </si>
  <si>
    <t>Chagang-do</t>
  </si>
  <si>
    <t>KP-09</t>
  </si>
  <si>
    <t>Hamgyǒng-bukto</t>
  </si>
  <si>
    <t>KP-08</t>
  </si>
  <si>
    <t>Hamgyǒng-namdo</t>
  </si>
  <si>
    <t>KP-06</t>
  </si>
  <si>
    <t>Hwanghae-bukto</t>
  </si>
  <si>
    <t>KP-05</t>
  </si>
  <si>
    <t>Hwanghae-namdo</t>
  </si>
  <si>
    <t>KP-15</t>
  </si>
  <si>
    <t>Kaesŏng</t>
  </si>
  <si>
    <t>KP-07</t>
  </si>
  <si>
    <t>Kangwǒn-do</t>
  </si>
  <si>
    <t>KP-14</t>
  </si>
  <si>
    <t>Namp’o</t>
  </si>
  <si>
    <t>KP-03</t>
  </si>
  <si>
    <t>P'yǒngan-bukto</t>
  </si>
  <si>
    <t>KP-02</t>
  </si>
  <si>
    <t>P'yǒngan-namdo</t>
  </si>
  <si>
    <t>KP-01</t>
  </si>
  <si>
    <t>P'yǒngyang</t>
  </si>
  <si>
    <t>KP-13</t>
  </si>
  <si>
    <t>Rasǒn</t>
  </si>
  <si>
    <t>special city</t>
  </si>
  <si>
    <t>KP-10</t>
  </si>
  <si>
    <t>Ryanggang-do</t>
  </si>
  <si>
    <t>KR-26</t>
  </si>
  <si>
    <t>Busan-gwangyeoksi</t>
  </si>
  <si>
    <t>KR-43</t>
  </si>
  <si>
    <t>Chungcheongbuk-do</t>
  </si>
  <si>
    <t>KR-44</t>
  </si>
  <si>
    <t>Chungcheongnam-do</t>
  </si>
  <si>
    <t>KR-27</t>
  </si>
  <si>
    <t>Daegu-gwangyeoksi</t>
  </si>
  <si>
    <t>KR-30</t>
  </si>
  <si>
    <t>Daejeon-gwangyeoksi</t>
  </si>
  <si>
    <t>KR-42</t>
  </si>
  <si>
    <t>Gangwon-teukbyeoljachido</t>
  </si>
  <si>
    <t>special self-governing province</t>
  </si>
  <si>
    <t>KR-29</t>
  </si>
  <si>
    <t>Gwangju-gwangyeoksi</t>
  </si>
  <si>
    <t>KR-41</t>
  </si>
  <si>
    <t>Gyeonggi-do</t>
  </si>
  <si>
    <t>KR-47</t>
  </si>
  <si>
    <t>Gyeongsangbuk-do</t>
  </si>
  <si>
    <t>KR-48</t>
  </si>
  <si>
    <t>Gyeongsangnam-do</t>
  </si>
  <si>
    <t>KR-28</t>
  </si>
  <si>
    <t>Incheon-gwangyeoksi</t>
  </si>
  <si>
    <t>KR-49</t>
  </si>
  <si>
    <t>Jeju-teukbyeoljachido</t>
  </si>
  <si>
    <t>KR-45</t>
  </si>
  <si>
    <t>Jeollabuk-do</t>
  </si>
  <si>
    <t>KR-46</t>
  </si>
  <si>
    <t>Jeollanam-do</t>
  </si>
  <si>
    <t>KR-50</t>
  </si>
  <si>
    <t>Sejong</t>
  </si>
  <si>
    <t>special self-governing city</t>
  </si>
  <si>
    <t>KR-11</t>
  </si>
  <si>
    <t>Seoul-teukbyeolsi</t>
  </si>
  <si>
    <t>KR-31</t>
  </si>
  <si>
    <t>Ulsan-gwangyeoksi</t>
  </si>
  <si>
    <t>KW-AH</t>
  </si>
  <si>
    <t>KW-FA</t>
  </si>
  <si>
    <t>Al Farwānīyah</t>
  </si>
  <si>
    <t>KW-JA</t>
  </si>
  <si>
    <t>Al Jahrā’</t>
  </si>
  <si>
    <t>KW-KU</t>
  </si>
  <si>
    <t>KW-HA</t>
  </si>
  <si>
    <t>Ḩawallī</t>
  </si>
  <si>
    <t>KW-MU</t>
  </si>
  <si>
    <t>Mubārak al Kabīr</t>
  </si>
  <si>
    <t>KZ-10</t>
  </si>
  <si>
    <t>Abayoblysy</t>
  </si>
  <si>
    <t>KZ-75</t>
  </si>
  <si>
    <t>KZ-19</t>
  </si>
  <si>
    <t>Almatyoblysy</t>
  </si>
  <si>
    <t>KZ-11</t>
  </si>
  <si>
    <t>Aqmola oblysy</t>
  </si>
  <si>
    <t>KZ-15</t>
  </si>
  <si>
    <t>Aqtöbe oblysy</t>
  </si>
  <si>
    <t>KZ-71</t>
  </si>
  <si>
    <t>Astana</t>
  </si>
  <si>
    <t>KZ-23</t>
  </si>
  <si>
    <t>Atyraūoblysy</t>
  </si>
  <si>
    <t>KZ-27</t>
  </si>
  <si>
    <t>Batys Qazaqstan oblysy</t>
  </si>
  <si>
    <t>KZ-47</t>
  </si>
  <si>
    <t>Mangghystaū oblysy</t>
  </si>
  <si>
    <t>KZ-55</t>
  </si>
  <si>
    <t>Pavlodar oblysy</t>
  </si>
  <si>
    <t>KZ-35</t>
  </si>
  <si>
    <t>Qaraghandy oblysy</t>
  </si>
  <si>
    <t>KZ-39</t>
  </si>
  <si>
    <t>Qostanay oblysy</t>
  </si>
  <si>
    <t>KZ-43</t>
  </si>
  <si>
    <t>Qyzylorda oblysy</t>
  </si>
  <si>
    <t>KZ-63</t>
  </si>
  <si>
    <t>Shyghys Qazaqstan oblysy</t>
  </si>
  <si>
    <t>KZ-79</t>
  </si>
  <si>
    <t>Shymkent</t>
  </si>
  <si>
    <t>KZ-59</t>
  </si>
  <si>
    <t>Soltüstik Qazaqstan oblysy</t>
  </si>
  <si>
    <t>KZ-61</t>
  </si>
  <si>
    <t>Türkistan oblysy</t>
  </si>
  <si>
    <t>KZ-62</t>
  </si>
  <si>
    <t>Ulytaūoblysy</t>
  </si>
  <si>
    <t>KZ-31</t>
  </si>
  <si>
    <t>Zhambyl oblysy</t>
  </si>
  <si>
    <t>KZ-33</t>
  </si>
  <si>
    <t>Zhetisū oblysy</t>
  </si>
  <si>
    <t>LA-AT</t>
  </si>
  <si>
    <t>Attapu</t>
  </si>
  <si>
    <t>LA-BK</t>
  </si>
  <si>
    <t>Bokèo</t>
  </si>
  <si>
    <t>LA-BL</t>
  </si>
  <si>
    <t>Bolikhamxai</t>
  </si>
  <si>
    <t>LA-CH</t>
  </si>
  <si>
    <t>Champasak</t>
  </si>
  <si>
    <t>LA-HO</t>
  </si>
  <si>
    <t>Houaphan</t>
  </si>
  <si>
    <t>LA-KH</t>
  </si>
  <si>
    <t>Khammouan</t>
  </si>
  <si>
    <t>LA-LM</t>
  </si>
  <si>
    <t>Louang Namtha</t>
  </si>
  <si>
    <t>LA-LP</t>
  </si>
  <si>
    <t>Louangphabang</t>
  </si>
  <si>
    <t>LA-OU</t>
  </si>
  <si>
    <t>Oudômxai</t>
  </si>
  <si>
    <t>LA-PH</t>
  </si>
  <si>
    <t>Phôngsali</t>
  </si>
  <si>
    <t>LA-SL</t>
  </si>
  <si>
    <t>Salavan</t>
  </si>
  <si>
    <t>LA-SV</t>
  </si>
  <si>
    <t>Savannakhét</t>
  </si>
  <si>
    <t>LA-VI</t>
  </si>
  <si>
    <t>Viangchan</t>
  </si>
  <si>
    <t>LA-VT</t>
  </si>
  <si>
    <t>LA-XA</t>
  </si>
  <si>
    <t>Xaignabouli</t>
  </si>
  <si>
    <t>LA-XS</t>
  </si>
  <si>
    <t>Xaisômboun</t>
  </si>
  <si>
    <t>LA-XE</t>
  </si>
  <si>
    <t>Xékong</t>
  </si>
  <si>
    <t>LA-XI</t>
  </si>
  <si>
    <t>Xiangkhouang</t>
  </si>
  <si>
    <t>LB-AK</t>
  </si>
  <si>
    <t>Aakkâr</t>
  </si>
  <si>
    <t>LB-BH</t>
  </si>
  <si>
    <t>Baalbek-Hermel</t>
  </si>
  <si>
    <t>LB-BI</t>
  </si>
  <si>
    <t>Béqaa</t>
  </si>
  <si>
    <t>LB-BA</t>
  </si>
  <si>
    <t>Beyrouth</t>
  </si>
  <si>
    <t>LB-AS</t>
  </si>
  <si>
    <t>Liban-Nord</t>
  </si>
  <si>
    <t>LB-JA</t>
  </si>
  <si>
    <t>Liban-Sud</t>
  </si>
  <si>
    <t>LB-JL</t>
  </si>
  <si>
    <t>Mont-Liban</t>
  </si>
  <si>
    <t>LB-NA</t>
  </si>
  <si>
    <t>Nabatîyé</t>
  </si>
  <si>
    <t>LC-01</t>
  </si>
  <si>
    <t>Anse la Raye</t>
  </si>
  <si>
    <t>LC-12</t>
  </si>
  <si>
    <t>Canaries</t>
  </si>
  <si>
    <t>LC-02</t>
  </si>
  <si>
    <t>LC-03</t>
  </si>
  <si>
    <t>Choiseul</t>
  </si>
  <si>
    <t>LC-05</t>
  </si>
  <si>
    <t>Dennery</t>
  </si>
  <si>
    <t>LC-06</t>
  </si>
  <si>
    <t>Gros Islet</t>
  </si>
  <si>
    <t>LC-07</t>
  </si>
  <si>
    <t>Laborie</t>
  </si>
  <si>
    <t>LC-08</t>
  </si>
  <si>
    <t>Micoud</t>
  </si>
  <si>
    <t>LC-10</t>
  </si>
  <si>
    <t>Soufrière</t>
  </si>
  <si>
    <t>LC-11</t>
  </si>
  <si>
    <t>Vieux Fort</t>
  </si>
  <si>
    <t>LI-01</t>
  </si>
  <si>
    <t>Balzers</t>
  </si>
  <si>
    <t>LI-02</t>
  </si>
  <si>
    <t>Eschen</t>
  </si>
  <si>
    <t>LI-03</t>
  </si>
  <si>
    <t>Gamprin</t>
  </si>
  <si>
    <t>LI-04</t>
  </si>
  <si>
    <t>Mauren</t>
  </si>
  <si>
    <t>LI-05</t>
  </si>
  <si>
    <t>Planken</t>
  </si>
  <si>
    <t>LI-06</t>
  </si>
  <si>
    <t>Ruggell</t>
  </si>
  <si>
    <t>LI-07</t>
  </si>
  <si>
    <t>Schaan</t>
  </si>
  <si>
    <t>LI-08</t>
  </si>
  <si>
    <t>Schellenberg</t>
  </si>
  <si>
    <t>LI-09</t>
  </si>
  <si>
    <t>Triesen</t>
  </si>
  <si>
    <t>LI-10</t>
  </si>
  <si>
    <t>Triesenberg</t>
  </si>
  <si>
    <t>LI-11</t>
  </si>
  <si>
    <t>LK-1</t>
  </si>
  <si>
    <t>Basnāhira paḷāta</t>
  </si>
  <si>
    <t>LK-3</t>
  </si>
  <si>
    <t>Dakuṇu paḷāta</t>
  </si>
  <si>
    <t>LK-2</t>
  </si>
  <si>
    <t>Madhyama paḷāta</t>
  </si>
  <si>
    <t>LK-5</t>
  </si>
  <si>
    <t>Næ̆gĕnahira paḷāta</t>
  </si>
  <si>
    <t>LK-9</t>
  </si>
  <si>
    <t>Sabaragamuva paḷāta</t>
  </si>
  <si>
    <t>LK-4</t>
  </si>
  <si>
    <t>Uturu paḷāta</t>
  </si>
  <si>
    <t>LK-7</t>
  </si>
  <si>
    <t>Uturumæ̆da paḷāta</t>
  </si>
  <si>
    <t>LK-8</t>
  </si>
  <si>
    <t>Ūva paḷāta</t>
  </si>
  <si>
    <t>LK-6</t>
  </si>
  <si>
    <t>Vayamba paḷāta</t>
  </si>
  <si>
    <t>LK-52</t>
  </si>
  <si>
    <t>Ampāra</t>
  </si>
  <si>
    <t>LK-71</t>
  </si>
  <si>
    <t>Anurādhapura</t>
  </si>
  <si>
    <t>LK-81</t>
  </si>
  <si>
    <t>Badulla</t>
  </si>
  <si>
    <t>LK-31</t>
  </si>
  <si>
    <t>Gālla</t>
  </si>
  <si>
    <t>LK-12</t>
  </si>
  <si>
    <t>Gampaha</t>
  </si>
  <si>
    <t>LK-33</t>
  </si>
  <si>
    <t>Hambantŏṭa</t>
  </si>
  <si>
    <t>LK-92</t>
  </si>
  <si>
    <t>Kægalla</t>
  </si>
  <si>
    <t>LK-13</t>
  </si>
  <si>
    <t>Kalutara</t>
  </si>
  <si>
    <t>LK-42</t>
  </si>
  <si>
    <t>Kilinŏchchi</t>
  </si>
  <si>
    <t>LK-11</t>
  </si>
  <si>
    <t>Kŏḷamba</t>
  </si>
  <si>
    <t>LK-61</t>
  </si>
  <si>
    <t>Kuruṇægala</t>
  </si>
  <si>
    <t>LK-51</t>
  </si>
  <si>
    <t>Maḍakalapuva</t>
  </si>
  <si>
    <t>LK-21</t>
  </si>
  <si>
    <t>Mahanuvara</t>
  </si>
  <si>
    <t>LK-43</t>
  </si>
  <si>
    <t>Mannārama</t>
  </si>
  <si>
    <t>LK-22</t>
  </si>
  <si>
    <t>Mātale</t>
  </si>
  <si>
    <t>LK-32</t>
  </si>
  <si>
    <t>Mātara</t>
  </si>
  <si>
    <t>LK-82</t>
  </si>
  <si>
    <t>Mŏṇarāgala</t>
  </si>
  <si>
    <t>LK-45</t>
  </si>
  <si>
    <t>Mulativ</t>
  </si>
  <si>
    <t>LK-23</t>
  </si>
  <si>
    <t>Nuvara Ĕliya</t>
  </si>
  <si>
    <t>LK-72</t>
  </si>
  <si>
    <t>Pŏḷŏnnaruva</t>
  </si>
  <si>
    <t>LK-62</t>
  </si>
  <si>
    <t>Puttalama</t>
  </si>
  <si>
    <t>LK-91</t>
  </si>
  <si>
    <t>Ratnapura</t>
  </si>
  <si>
    <t>LK-53</t>
  </si>
  <si>
    <t>Trikuṇāmalaya</t>
  </si>
  <si>
    <t>LK-44</t>
  </si>
  <si>
    <t>Vavuniyāva</t>
  </si>
  <si>
    <t>LK-41</t>
  </si>
  <si>
    <t>Yāpanaya</t>
  </si>
  <si>
    <t>LR-BM</t>
  </si>
  <si>
    <t>Bomi</t>
  </si>
  <si>
    <t>LR-BG</t>
  </si>
  <si>
    <t>Bong</t>
  </si>
  <si>
    <t>LR-GP</t>
  </si>
  <si>
    <t>Gbarpolu</t>
  </si>
  <si>
    <t>LR-GB</t>
  </si>
  <si>
    <t>Grand Bassa</t>
  </si>
  <si>
    <t>LR-CM</t>
  </si>
  <si>
    <t>Grand Cape Mount</t>
  </si>
  <si>
    <t>LR-GG</t>
  </si>
  <si>
    <t>Grand Gedeh</t>
  </si>
  <si>
    <t>LR-GK</t>
  </si>
  <si>
    <t>Grand Kru</t>
  </si>
  <si>
    <t>LR-LO</t>
  </si>
  <si>
    <t>Lofa</t>
  </si>
  <si>
    <t>LR-MG</t>
  </si>
  <si>
    <t>Margibi</t>
  </si>
  <si>
    <t>LR-MY</t>
  </si>
  <si>
    <t>LR-MO</t>
  </si>
  <si>
    <t>Montserrado</t>
  </si>
  <si>
    <t>LR-NI</t>
  </si>
  <si>
    <t>Nimba</t>
  </si>
  <si>
    <t>LR-RI</t>
  </si>
  <si>
    <t>River Cess</t>
  </si>
  <si>
    <t>LR-RG</t>
  </si>
  <si>
    <t>River Gee</t>
  </si>
  <si>
    <t>LR-SI</t>
  </si>
  <si>
    <t>Sinoe</t>
  </si>
  <si>
    <t>LS-D</t>
  </si>
  <si>
    <t>Berea</t>
  </si>
  <si>
    <t>LS-B</t>
  </si>
  <si>
    <t>Botha-Bothe</t>
  </si>
  <si>
    <t>LS-C</t>
  </si>
  <si>
    <t>Leribe</t>
  </si>
  <si>
    <t>LS-E</t>
  </si>
  <si>
    <t>Mafeteng</t>
  </si>
  <si>
    <t>LS-A</t>
  </si>
  <si>
    <t>LS-F</t>
  </si>
  <si>
    <t>Mohale's Hoek</t>
  </si>
  <si>
    <t>LS-J</t>
  </si>
  <si>
    <t>Mokhotlong</t>
  </si>
  <si>
    <t>LS-H</t>
  </si>
  <si>
    <t>Qacha's Nek</t>
  </si>
  <si>
    <t>LS-G</t>
  </si>
  <si>
    <t>Quthing</t>
  </si>
  <si>
    <t>LS-K</t>
  </si>
  <si>
    <t>Thaba-Tseka</t>
  </si>
  <si>
    <t>LT-AL</t>
  </si>
  <si>
    <t>Alytaus apskritis</t>
  </si>
  <si>
    <t>LT-KU</t>
  </si>
  <si>
    <t>Kauno apskritis</t>
  </si>
  <si>
    <t>LT-KL</t>
  </si>
  <si>
    <t>Klaipėdos apskritis</t>
  </si>
  <si>
    <t>LT-MR</t>
  </si>
  <si>
    <t>Marijampolės apskritis</t>
  </si>
  <si>
    <t>LT-PN</t>
  </si>
  <si>
    <t>Panevėžio apskritis</t>
  </si>
  <si>
    <t>LT-SA</t>
  </si>
  <si>
    <t>Šiaulių apskritis</t>
  </si>
  <si>
    <t>LT-TA</t>
  </si>
  <si>
    <t>Tauragės apskritis</t>
  </si>
  <si>
    <t>LT-TE</t>
  </si>
  <si>
    <t>Telšių apskritis</t>
  </si>
  <si>
    <t>LT-UT</t>
  </si>
  <si>
    <t>Utenos apskritis</t>
  </si>
  <si>
    <t>LT-VL</t>
  </si>
  <si>
    <t>Vilniaus apskritis</t>
  </si>
  <si>
    <t>LT-01</t>
  </si>
  <si>
    <t>Akmenė</t>
  </si>
  <si>
    <t>district municipality</t>
  </si>
  <si>
    <t>LT-02</t>
  </si>
  <si>
    <t>Alytaus miestas</t>
  </si>
  <si>
    <t>city municipality</t>
  </si>
  <si>
    <t>LT-03</t>
  </si>
  <si>
    <t>Alytus</t>
  </si>
  <si>
    <t>LT-04</t>
  </si>
  <si>
    <t>Anykščiai</t>
  </si>
  <si>
    <t>LT-05</t>
  </si>
  <si>
    <t>Birštonas</t>
  </si>
  <si>
    <t>LT-06</t>
  </si>
  <si>
    <t>Biržai</t>
  </si>
  <si>
    <t>LT-07</t>
  </si>
  <si>
    <t>Druskininkai</t>
  </si>
  <si>
    <t>LT-08</t>
  </si>
  <si>
    <t>Elektrėnai</t>
  </si>
  <si>
    <t>LT-09</t>
  </si>
  <si>
    <t>Ignalina</t>
  </si>
  <si>
    <t>LT-10</t>
  </si>
  <si>
    <t>Jonava</t>
  </si>
  <si>
    <t>LT-11</t>
  </si>
  <si>
    <t>Joniškis</t>
  </si>
  <si>
    <t>LT-12</t>
  </si>
  <si>
    <t>Jurbarkas</t>
  </si>
  <si>
    <t>LT-13</t>
  </si>
  <si>
    <t>Kaišiadorys</t>
  </si>
  <si>
    <t>LT-14</t>
  </si>
  <si>
    <t>Kalvarija</t>
  </si>
  <si>
    <t>LT-16</t>
  </si>
  <si>
    <t>Kaunas</t>
  </si>
  <si>
    <t>LT-15</t>
  </si>
  <si>
    <t>Kauno miestas</t>
  </si>
  <si>
    <t>LT-17</t>
  </si>
  <si>
    <t>Kazlų Rūdos</t>
  </si>
  <si>
    <t>LT-18</t>
  </si>
  <si>
    <t>Kėdainiai</t>
  </si>
  <si>
    <t>LT-19</t>
  </si>
  <si>
    <t>Kelmė</t>
  </si>
  <si>
    <t>LT-21</t>
  </si>
  <si>
    <t>Klaipėda</t>
  </si>
  <si>
    <t>LT-20</t>
  </si>
  <si>
    <t>Klaipėdos miestas</t>
  </si>
  <si>
    <t>LT-22</t>
  </si>
  <si>
    <t>Kretinga</t>
  </si>
  <si>
    <t>LT-23</t>
  </si>
  <si>
    <t>Kupiškis</t>
  </si>
  <si>
    <t>LT-24</t>
  </si>
  <si>
    <t>Lazdijai</t>
  </si>
  <si>
    <t>LT-25</t>
  </si>
  <si>
    <t>Marijampolė</t>
  </si>
  <si>
    <t>LT-26</t>
  </si>
  <si>
    <t>Mažeikiai</t>
  </si>
  <si>
    <t>LT-27</t>
  </si>
  <si>
    <t>Molėtai</t>
  </si>
  <si>
    <t>LT-28</t>
  </si>
  <si>
    <t>Neringa</t>
  </si>
  <si>
    <t>LT-29</t>
  </si>
  <si>
    <t>Pagėgiai</t>
  </si>
  <si>
    <t>LT-30</t>
  </si>
  <si>
    <t>Pakruojis</t>
  </si>
  <si>
    <t>LT-31</t>
  </si>
  <si>
    <t>Palangos miestas</t>
  </si>
  <si>
    <t>LT-32</t>
  </si>
  <si>
    <t>Panevėžio miestas</t>
  </si>
  <si>
    <t>LT-33</t>
  </si>
  <si>
    <t>Panevėžys</t>
  </si>
  <si>
    <t>LT-34</t>
  </si>
  <si>
    <t>Pasvalys</t>
  </si>
  <si>
    <t>LT-35</t>
  </si>
  <si>
    <t>Plungė</t>
  </si>
  <si>
    <t>LT-36</t>
  </si>
  <si>
    <t>Prienai</t>
  </si>
  <si>
    <t>LT-37</t>
  </si>
  <si>
    <t>Radviliškis</t>
  </si>
  <si>
    <t>LT-38</t>
  </si>
  <si>
    <t>Raseiniai</t>
  </si>
  <si>
    <t>LT-39</t>
  </si>
  <si>
    <t>Rietavas</t>
  </si>
  <si>
    <t>LT-40</t>
  </si>
  <si>
    <t>Rokiškis</t>
  </si>
  <si>
    <t>LT-41</t>
  </si>
  <si>
    <t>Šakiai</t>
  </si>
  <si>
    <t>LT-42</t>
  </si>
  <si>
    <t>Šalčininkai</t>
  </si>
  <si>
    <t>LT-44</t>
  </si>
  <si>
    <t>Šiauliai</t>
  </si>
  <si>
    <t>LT-43</t>
  </si>
  <si>
    <t>Šiaulių miestas</t>
  </si>
  <si>
    <t>LT-45</t>
  </si>
  <si>
    <t>Šilalė</t>
  </si>
  <si>
    <t>LT-46</t>
  </si>
  <si>
    <t>Šilutė</t>
  </si>
  <si>
    <t>LT-47</t>
  </si>
  <si>
    <t>Širvintos</t>
  </si>
  <si>
    <t>LT-48</t>
  </si>
  <si>
    <t>Skuodas</t>
  </si>
  <si>
    <t>LT-49</t>
  </si>
  <si>
    <t>Švenčionys</t>
  </si>
  <si>
    <t>LT-50</t>
  </si>
  <si>
    <t>Tauragė</t>
  </si>
  <si>
    <t>LT-51</t>
  </si>
  <si>
    <t>Telšiai</t>
  </si>
  <si>
    <t>LT-52</t>
  </si>
  <si>
    <t>Trakai</t>
  </si>
  <si>
    <t>LT-53</t>
  </si>
  <si>
    <t>Ukmergė</t>
  </si>
  <si>
    <t>LT-54</t>
  </si>
  <si>
    <t>Utena</t>
  </si>
  <si>
    <t>LT-55</t>
  </si>
  <si>
    <t>Varėna</t>
  </si>
  <si>
    <t>LT-56</t>
  </si>
  <si>
    <t>Vilkaviškis</t>
  </si>
  <si>
    <t>LT-57</t>
  </si>
  <si>
    <t>Vilniaus miestas</t>
  </si>
  <si>
    <t>LT-58</t>
  </si>
  <si>
    <t>LT-59</t>
  </si>
  <si>
    <t>Visaginas</t>
  </si>
  <si>
    <t>LT-60</t>
  </si>
  <si>
    <t>Zarasai</t>
  </si>
  <si>
    <t>LU-CA</t>
  </si>
  <si>
    <t>Capellen</t>
  </si>
  <si>
    <t>LU-CL</t>
  </si>
  <si>
    <t>Clervaux</t>
  </si>
  <si>
    <t>LU-DI</t>
  </si>
  <si>
    <t>Diekirch</t>
  </si>
  <si>
    <t>LU-EC</t>
  </si>
  <si>
    <t>Echternach</t>
  </si>
  <si>
    <t>LU-ES</t>
  </si>
  <si>
    <t>Esch-sur-Alzette</t>
  </si>
  <si>
    <t>LU-GR</t>
  </si>
  <si>
    <t>Grevenmacher</t>
  </si>
  <si>
    <t>LU-LU</t>
  </si>
  <si>
    <t>LU-ME</t>
  </si>
  <si>
    <t>Mersch</t>
  </si>
  <si>
    <t>LU-RD</t>
  </si>
  <si>
    <t>Redange</t>
  </si>
  <si>
    <t>LU-RM</t>
  </si>
  <si>
    <t>Remich</t>
  </si>
  <si>
    <t>LU-VD</t>
  </si>
  <si>
    <t>Vianden</t>
  </si>
  <si>
    <t>LU-WI</t>
  </si>
  <si>
    <t>Wiltz</t>
  </si>
  <si>
    <t>LV-002</t>
  </si>
  <si>
    <t>Aizkraukles novads</t>
  </si>
  <si>
    <t>LV-007</t>
  </si>
  <si>
    <t>Alūksnes novads</t>
  </si>
  <si>
    <t>LV-111</t>
  </si>
  <si>
    <t>Augšdaugavas novads</t>
  </si>
  <si>
    <t>LV-011</t>
  </si>
  <si>
    <t>Ādažu novads</t>
  </si>
  <si>
    <t>LV-015</t>
  </si>
  <si>
    <t>Balvu novads</t>
  </si>
  <si>
    <t>LV-016</t>
  </si>
  <si>
    <t>Bauskas novads</t>
  </si>
  <si>
    <t>LV-022</t>
  </si>
  <si>
    <t>Cēsu novads</t>
  </si>
  <si>
    <t>LV-DGV</t>
  </si>
  <si>
    <t>Daugavpils</t>
  </si>
  <si>
    <t>state city</t>
  </si>
  <si>
    <t>LV-112</t>
  </si>
  <si>
    <t>Dienvidkurzemes Novads</t>
  </si>
  <si>
    <t>LV-026</t>
  </si>
  <si>
    <t>Dobeles novads</t>
  </si>
  <si>
    <t>LV-033</t>
  </si>
  <si>
    <t>Gulbenes novads</t>
  </si>
  <si>
    <t>LV-JEL</t>
  </si>
  <si>
    <t>Jelgava</t>
  </si>
  <si>
    <t>LV-041</t>
  </si>
  <si>
    <t>Jelgavas novads</t>
  </si>
  <si>
    <t>LV-042</t>
  </si>
  <si>
    <t>Jēkabpils novads</t>
  </si>
  <si>
    <t>LV-JUR</t>
  </si>
  <si>
    <t>Jūrmala</t>
  </si>
  <si>
    <t>LV-047</t>
  </si>
  <si>
    <t>Krāslavas novads</t>
  </si>
  <si>
    <t>LV-050</t>
  </si>
  <si>
    <t>Kuldīgas novads</t>
  </si>
  <si>
    <t>LV-052</t>
  </si>
  <si>
    <t>Ķekavas novads</t>
  </si>
  <si>
    <t>LV-LPX</t>
  </si>
  <si>
    <t>Liepāja</t>
  </si>
  <si>
    <t>LV-054</t>
  </si>
  <si>
    <t>Limbažu novads</t>
  </si>
  <si>
    <t>LV-056</t>
  </si>
  <si>
    <t>Līvānu novads</t>
  </si>
  <si>
    <t>LV-058</t>
  </si>
  <si>
    <t>Ludzas novads</t>
  </si>
  <si>
    <t>LV-059</t>
  </si>
  <si>
    <t>Madonas novads</t>
  </si>
  <si>
    <t>LV-062</t>
  </si>
  <si>
    <t>Mārupes novads</t>
  </si>
  <si>
    <t>LV-067</t>
  </si>
  <si>
    <t>Ogres novads</t>
  </si>
  <si>
    <t>LV-068</t>
  </si>
  <si>
    <t>Olaines novads</t>
  </si>
  <si>
    <t>LV-073</t>
  </si>
  <si>
    <t>Preiļu novads</t>
  </si>
  <si>
    <t>LV-REZ</t>
  </si>
  <si>
    <t>Rēzekne</t>
  </si>
  <si>
    <t>LV-077</t>
  </si>
  <si>
    <t>Rēzeknes novads</t>
  </si>
  <si>
    <t>LV-RIX</t>
  </si>
  <si>
    <t>Rīga</t>
  </si>
  <si>
    <t>LV-080</t>
  </si>
  <si>
    <t>Ropažu novads</t>
  </si>
  <si>
    <t>LV-087</t>
  </si>
  <si>
    <t>Salaspils novads</t>
  </si>
  <si>
    <t>LV-088</t>
  </si>
  <si>
    <t>Saldus novads</t>
  </si>
  <si>
    <t>LV-089</t>
  </si>
  <si>
    <t>Saulkrastu novads</t>
  </si>
  <si>
    <t>LV-091</t>
  </si>
  <si>
    <t>Siguldas novads</t>
  </si>
  <si>
    <t>LV-094</t>
  </si>
  <si>
    <t>Smiltenes novads</t>
  </si>
  <si>
    <t>LV-097</t>
  </si>
  <si>
    <t>Talsu novads</t>
  </si>
  <si>
    <t>LV-099</t>
  </si>
  <si>
    <t>Tukuma novads</t>
  </si>
  <si>
    <t>LV-101</t>
  </si>
  <si>
    <t>Valkas novads</t>
  </si>
  <si>
    <t>LV-113</t>
  </si>
  <si>
    <t>Valmieras Novads</t>
  </si>
  <si>
    <t>LV-102</t>
  </si>
  <si>
    <t>Varakļānu novads</t>
  </si>
  <si>
    <t>LV-VEN</t>
  </si>
  <si>
    <t>Ventspils</t>
  </si>
  <si>
    <t>LV-106</t>
  </si>
  <si>
    <t>Ventspils novads</t>
  </si>
  <si>
    <t>LY-BU</t>
  </si>
  <si>
    <t>Al Buţnān</t>
  </si>
  <si>
    <t>popularate</t>
  </si>
  <si>
    <t>LY-JA</t>
  </si>
  <si>
    <t>Al Jabal al Akhḑar</t>
  </si>
  <si>
    <t>LY-JG</t>
  </si>
  <si>
    <t>Al Jabal al Gharbī</t>
  </si>
  <si>
    <t>LY-JI</t>
  </si>
  <si>
    <t>Al Jafārah</t>
  </si>
  <si>
    <t>LY-JU</t>
  </si>
  <si>
    <t>Al Jufrah</t>
  </si>
  <si>
    <t>LY-KF</t>
  </si>
  <si>
    <t>Al Kufrah</t>
  </si>
  <si>
    <t>LY-MJ</t>
  </si>
  <si>
    <t>Al Marj</t>
  </si>
  <si>
    <t>LY-MB</t>
  </si>
  <si>
    <t>Al Marqab</t>
  </si>
  <si>
    <t>LY-WA</t>
  </si>
  <si>
    <t>Al Wāḩāt</t>
  </si>
  <si>
    <t>LY-NQ</t>
  </si>
  <si>
    <t>An Nuqāţ al Khams</t>
  </si>
  <si>
    <t>LY-ZA</t>
  </si>
  <si>
    <t>Az Zāwiyah</t>
  </si>
  <si>
    <t>LY-BA</t>
  </si>
  <si>
    <t>Banghāzī</t>
  </si>
  <si>
    <t>LY-DR</t>
  </si>
  <si>
    <t>Darnah</t>
  </si>
  <si>
    <t>LY-GT</t>
  </si>
  <si>
    <t>Ghāt</t>
  </si>
  <si>
    <t>LY-MI</t>
  </si>
  <si>
    <t>Mişrātah</t>
  </si>
  <si>
    <t>LY-MQ</t>
  </si>
  <si>
    <t>Murzuq</t>
  </si>
  <si>
    <t>LY-NL</t>
  </si>
  <si>
    <t>Nālūt</t>
  </si>
  <si>
    <t>LY-SB</t>
  </si>
  <si>
    <t>Sabhā</t>
  </si>
  <si>
    <t>LY-SR</t>
  </si>
  <si>
    <t>Surt</t>
  </si>
  <si>
    <t>LY-TB</t>
  </si>
  <si>
    <t>Ţarābulus</t>
  </si>
  <si>
    <t>LY-WD</t>
  </si>
  <si>
    <t>Wādī al Ḩayāt</t>
  </si>
  <si>
    <t>LY-WS</t>
  </si>
  <si>
    <t>Wādī ash Shāţi’</t>
  </si>
  <si>
    <t>MA-05</t>
  </si>
  <si>
    <t>Béni Mellal-Khénifra</t>
  </si>
  <si>
    <t>MA-06</t>
  </si>
  <si>
    <t>Casablanca-Settat</t>
  </si>
  <si>
    <t>MA-12</t>
  </si>
  <si>
    <t>Dakhla-Oued Ed-Dahab</t>
  </si>
  <si>
    <t>MA-08</t>
  </si>
  <si>
    <t>Drâa-Tafilalet</t>
  </si>
  <si>
    <t>MA-03</t>
  </si>
  <si>
    <t>Fès-Meknès</t>
  </si>
  <si>
    <t>MA-10</t>
  </si>
  <si>
    <t>Guelmim-Oued Noun</t>
  </si>
  <si>
    <t>MA-02</t>
  </si>
  <si>
    <t>L'Oriental</t>
  </si>
  <si>
    <t>MA-11</t>
  </si>
  <si>
    <t>Laâyoune-Sakia El Hamra</t>
  </si>
  <si>
    <t>MA-07</t>
  </si>
  <si>
    <t>Marrakech-Safi</t>
  </si>
  <si>
    <t>MA-04</t>
  </si>
  <si>
    <t>Rabat-Salé-Kénitra</t>
  </si>
  <si>
    <t>MA-09</t>
  </si>
  <si>
    <t>Souss-Massa</t>
  </si>
  <si>
    <t>MA-01</t>
  </si>
  <si>
    <t>Tanger-Tétouan-Al Hoceïma</t>
  </si>
  <si>
    <t>MA-AGD</t>
  </si>
  <si>
    <t>Agadir-Ida-Ou-Tanane</t>
  </si>
  <si>
    <t>MA-HAO</t>
  </si>
  <si>
    <t>Al Haouz</t>
  </si>
  <si>
    <t>MA-HOC</t>
  </si>
  <si>
    <t>Al Hoceïma</t>
  </si>
  <si>
    <t>MA-AOU</t>
  </si>
  <si>
    <t>Aousserd</t>
  </si>
  <si>
    <t>MA-ASZ</t>
  </si>
  <si>
    <t>Assa-Zag</t>
  </si>
  <si>
    <t>MA-AZI</t>
  </si>
  <si>
    <t>Azilal</t>
  </si>
  <si>
    <t>MA-BEM</t>
  </si>
  <si>
    <t>Béni Mellal</t>
  </si>
  <si>
    <t>MA-BES</t>
  </si>
  <si>
    <t>Benslimane</t>
  </si>
  <si>
    <t>MA-BER</t>
  </si>
  <si>
    <t>Berkane</t>
  </si>
  <si>
    <t>MA-BRR</t>
  </si>
  <si>
    <t>Berrechid</t>
  </si>
  <si>
    <t>MA-BOD</t>
  </si>
  <si>
    <t>Boujdour</t>
  </si>
  <si>
    <t>MA-BOM</t>
  </si>
  <si>
    <t>Boulemane</t>
  </si>
  <si>
    <t>MA-CAS</t>
  </si>
  <si>
    <t>MA-CHE</t>
  </si>
  <si>
    <t>Chefchaouen</t>
  </si>
  <si>
    <t>MA-CHI</t>
  </si>
  <si>
    <t>Chichaoua</t>
  </si>
  <si>
    <t>MA-CHT</t>
  </si>
  <si>
    <t>Chtouka-Ait Baha</t>
  </si>
  <si>
    <t>MA-DRI</t>
  </si>
  <si>
    <t>Driouch</t>
  </si>
  <si>
    <t>MA-HAJ</t>
  </si>
  <si>
    <t>El Hajeb</t>
  </si>
  <si>
    <t>MA-JDI</t>
  </si>
  <si>
    <t>El Jadida</t>
  </si>
  <si>
    <t>MA-KES</t>
  </si>
  <si>
    <t>El Kelâa des Sraghna</t>
  </si>
  <si>
    <t>MA-ERR</t>
  </si>
  <si>
    <t>Errachidia</t>
  </si>
  <si>
    <t>MA-ESM</t>
  </si>
  <si>
    <t>Es-Semara</t>
  </si>
  <si>
    <t>MA-ESI</t>
  </si>
  <si>
    <t>Essaouira</t>
  </si>
  <si>
    <t>MA-FAH</t>
  </si>
  <si>
    <t>Fahs-Anjra</t>
  </si>
  <si>
    <t>MA-FES</t>
  </si>
  <si>
    <t>Fès</t>
  </si>
  <si>
    <t>MA-FIG</t>
  </si>
  <si>
    <t>Figuig</t>
  </si>
  <si>
    <t>MA-FQH</t>
  </si>
  <si>
    <t>Fquih Ben Salah</t>
  </si>
  <si>
    <t>MA-GUE</t>
  </si>
  <si>
    <t>Guelmim</t>
  </si>
  <si>
    <t>MA-GUF</t>
  </si>
  <si>
    <t>Guercif</t>
  </si>
  <si>
    <t>MA-IFR</t>
  </si>
  <si>
    <t>Ifrane</t>
  </si>
  <si>
    <t>MA-INE</t>
  </si>
  <si>
    <t>Inezgane-Ait Melloul</t>
  </si>
  <si>
    <t>MA-JRA</t>
  </si>
  <si>
    <t>Jerada</t>
  </si>
  <si>
    <t>MA-KEN</t>
  </si>
  <si>
    <t>Kénitra</t>
  </si>
  <si>
    <t>MA-KHE</t>
  </si>
  <si>
    <t>Khémisset</t>
  </si>
  <si>
    <t>MA-KHN</t>
  </si>
  <si>
    <t>Khénifra</t>
  </si>
  <si>
    <t>MA-KHO</t>
  </si>
  <si>
    <t>Khouribga</t>
  </si>
  <si>
    <t>MA-LAA</t>
  </si>
  <si>
    <t>Laâyoune</t>
  </si>
  <si>
    <t>MA-LAR</t>
  </si>
  <si>
    <t>Larache</t>
  </si>
  <si>
    <t>MA-MDF</t>
  </si>
  <si>
    <t>M’diq-Fnideq</t>
  </si>
  <si>
    <t>MA-MAR</t>
  </si>
  <si>
    <t>Marrakech</t>
  </si>
  <si>
    <t>MA-MED</t>
  </si>
  <si>
    <t>Médiouna</t>
  </si>
  <si>
    <t>MA-MEK</t>
  </si>
  <si>
    <t>Meknès</t>
  </si>
  <si>
    <t>MA-MID</t>
  </si>
  <si>
    <t>Midelt</t>
  </si>
  <si>
    <t>MA-MOH</t>
  </si>
  <si>
    <t>Mohammadia</t>
  </si>
  <si>
    <t>MA-MOU</t>
  </si>
  <si>
    <t>Moulay Yacoub</t>
  </si>
  <si>
    <t>MA-NAD</t>
  </si>
  <si>
    <t>Nador</t>
  </si>
  <si>
    <t>MA-NOU</t>
  </si>
  <si>
    <t>Nouaceur</t>
  </si>
  <si>
    <t>MA-OUA</t>
  </si>
  <si>
    <t>Ouarzazate</t>
  </si>
  <si>
    <t>MA-OUD</t>
  </si>
  <si>
    <t>Oued Ed-Dahab</t>
  </si>
  <si>
    <t>MA-OUZ</t>
  </si>
  <si>
    <t>Ouezzane</t>
  </si>
  <si>
    <t>MA-OUJ</t>
  </si>
  <si>
    <t>Oujda-Angad</t>
  </si>
  <si>
    <t>MA-RAB</t>
  </si>
  <si>
    <t>Rabat</t>
  </si>
  <si>
    <t>MA-REH</t>
  </si>
  <si>
    <t>Rehamna</t>
  </si>
  <si>
    <t>MA-SAF</t>
  </si>
  <si>
    <t>Safi</t>
  </si>
  <si>
    <t>MA-SAL</t>
  </si>
  <si>
    <t>Salé</t>
  </si>
  <si>
    <t>MA-SEF</t>
  </si>
  <si>
    <t>Sefrou</t>
  </si>
  <si>
    <t>MA-SET</t>
  </si>
  <si>
    <t>Settat</t>
  </si>
  <si>
    <t>MA-SIB</t>
  </si>
  <si>
    <t>Sidi Bennour</t>
  </si>
  <si>
    <t>MA-SIF</t>
  </si>
  <si>
    <t>Sidi Ifni</t>
  </si>
  <si>
    <t>MA-SIK</t>
  </si>
  <si>
    <t>Sidi Kacem</t>
  </si>
  <si>
    <t>MA-SIL</t>
  </si>
  <si>
    <t>Sidi Slimane</t>
  </si>
  <si>
    <t>MA-SKH</t>
  </si>
  <si>
    <t>Skhirate-Témara</t>
  </si>
  <si>
    <t>MA-TNT</t>
  </si>
  <si>
    <t>Tan-Tan</t>
  </si>
  <si>
    <t>MA-TNG</t>
  </si>
  <si>
    <t>Tanger-Assilah</t>
  </si>
  <si>
    <t>MA-TAO</t>
  </si>
  <si>
    <t>Taounate</t>
  </si>
  <si>
    <t>MA-TAI</t>
  </si>
  <si>
    <t>Taourirt</t>
  </si>
  <si>
    <t>MA-TAF</t>
  </si>
  <si>
    <t>Tarfaya</t>
  </si>
  <si>
    <t>MA-TAR</t>
  </si>
  <si>
    <t>Taroudannt</t>
  </si>
  <si>
    <t>MA-TAT</t>
  </si>
  <si>
    <t>Tata</t>
  </si>
  <si>
    <t>MA-TAZ</t>
  </si>
  <si>
    <t>Taza</t>
  </si>
  <si>
    <t>MA-TET</t>
  </si>
  <si>
    <t>Tétouan</t>
  </si>
  <si>
    <t>MA-TIN</t>
  </si>
  <si>
    <t>Tinghir</t>
  </si>
  <si>
    <t>MA-TIZ</t>
  </si>
  <si>
    <t>Tiznit</t>
  </si>
  <si>
    <t>MA-YUS</t>
  </si>
  <si>
    <t>Youssoufia</t>
  </si>
  <si>
    <t>MA-ZAG</t>
  </si>
  <si>
    <t>Zagora</t>
  </si>
  <si>
    <t>MC-FO</t>
  </si>
  <si>
    <t>Fontvieille</t>
  </si>
  <si>
    <t>quarter</t>
  </si>
  <si>
    <t>MC-JE</t>
  </si>
  <si>
    <t>Jardin Exotique</t>
  </si>
  <si>
    <t>MC-CL</t>
  </si>
  <si>
    <t>La Colle</t>
  </si>
  <si>
    <t>MC-CO</t>
  </si>
  <si>
    <t>La Condamine</t>
  </si>
  <si>
    <t>MC-GA</t>
  </si>
  <si>
    <t>La Gare</t>
  </si>
  <si>
    <t>MC-SO</t>
  </si>
  <si>
    <t>La Source</t>
  </si>
  <si>
    <t>MC-LA</t>
  </si>
  <si>
    <t>Larvotto</t>
  </si>
  <si>
    <t>MC-MA</t>
  </si>
  <si>
    <t>Malbousquet</t>
  </si>
  <si>
    <t>MC-MO</t>
  </si>
  <si>
    <t>Monaco-Ville</t>
  </si>
  <si>
    <t>MC-MG</t>
  </si>
  <si>
    <t>Moneghetti</t>
  </si>
  <si>
    <t>MC-MC</t>
  </si>
  <si>
    <t>Monte-Carlo</t>
  </si>
  <si>
    <t>MC-MU</t>
  </si>
  <si>
    <t>Moulins</t>
  </si>
  <si>
    <t>MC-PH</t>
  </si>
  <si>
    <t>Port-Hercule</t>
  </si>
  <si>
    <t>MC-SR</t>
  </si>
  <si>
    <t>Saint-Roman</t>
  </si>
  <si>
    <t>MC-SD</t>
  </si>
  <si>
    <t>Sainte-Dévote</t>
  </si>
  <si>
    <t>MC-SP</t>
  </si>
  <si>
    <t>Spélugues</t>
  </si>
  <si>
    <t>MC-VR</t>
  </si>
  <si>
    <t>Vallon de la Rousse</t>
  </si>
  <si>
    <t>MD-AN</t>
  </si>
  <si>
    <t>Anenii Noi</t>
  </si>
  <si>
    <t>MD-BS</t>
  </si>
  <si>
    <t>Basarabeasca</t>
  </si>
  <si>
    <t>MD-BA</t>
  </si>
  <si>
    <t>Bălți</t>
  </si>
  <si>
    <t>MD-BD</t>
  </si>
  <si>
    <t>Bender</t>
  </si>
  <si>
    <t>MD-BR</t>
  </si>
  <si>
    <t>Briceni</t>
  </si>
  <si>
    <t>MD-CA</t>
  </si>
  <si>
    <t>Cahul</t>
  </si>
  <si>
    <t>MD-CT</t>
  </si>
  <si>
    <t>Cantemir</t>
  </si>
  <si>
    <t>MD-CL</t>
  </si>
  <si>
    <t>Călărași</t>
  </si>
  <si>
    <t>MD-CS</t>
  </si>
  <si>
    <t>Căușeni</t>
  </si>
  <si>
    <t>MD-CU</t>
  </si>
  <si>
    <t>Chișinău</t>
  </si>
  <si>
    <t>MD-CM</t>
  </si>
  <si>
    <t>Cimișlia</t>
  </si>
  <si>
    <t>MD-CR</t>
  </si>
  <si>
    <t>Criuleni</t>
  </si>
  <si>
    <t>MD-DO</t>
  </si>
  <si>
    <t>Dondușeni</t>
  </si>
  <si>
    <t>MD-DR</t>
  </si>
  <si>
    <t>Drochia</t>
  </si>
  <si>
    <t>MD-DU</t>
  </si>
  <si>
    <t>Dubăsari</t>
  </si>
  <si>
    <t>MD-ED</t>
  </si>
  <si>
    <t>Edineț</t>
  </si>
  <si>
    <t>MD-FA</t>
  </si>
  <si>
    <t>Fălești</t>
  </si>
  <si>
    <t>MD-FL</t>
  </si>
  <si>
    <t>Florești</t>
  </si>
  <si>
    <t>MD-GA</t>
  </si>
  <si>
    <t>Găgăuzia, Unitatea teritorială autonomă</t>
  </si>
  <si>
    <t>autonomous territorial unit</t>
  </si>
  <si>
    <t>MD-GL</t>
  </si>
  <si>
    <t>Glodeni</t>
  </si>
  <si>
    <t>MD-HI</t>
  </si>
  <si>
    <t>Hîncești</t>
  </si>
  <si>
    <t>MD-IA</t>
  </si>
  <si>
    <t>Ialoveni</t>
  </si>
  <si>
    <t>MD-LE</t>
  </si>
  <si>
    <t>Leova</t>
  </si>
  <si>
    <t>MD-NI</t>
  </si>
  <si>
    <t>Nisporeni</t>
  </si>
  <si>
    <t>MD-OC</t>
  </si>
  <si>
    <t>Ocnița</t>
  </si>
  <si>
    <t>MD-OR</t>
  </si>
  <si>
    <t>Orhei</t>
  </si>
  <si>
    <t>MD-RE</t>
  </si>
  <si>
    <t>Rezina</t>
  </si>
  <si>
    <t>MD-RI</t>
  </si>
  <si>
    <t>Rîșcani</t>
  </si>
  <si>
    <t>MD-SI</t>
  </si>
  <si>
    <t>Sîngerei</t>
  </si>
  <si>
    <t>MD-SO</t>
  </si>
  <si>
    <t>Soroca</t>
  </si>
  <si>
    <t>MD-SN</t>
  </si>
  <si>
    <t>Stînga Nistrului, unitatea teritorială din</t>
  </si>
  <si>
    <t>territorial unit</t>
  </si>
  <si>
    <t>MD-ST</t>
  </si>
  <si>
    <t>Strășeni</t>
  </si>
  <si>
    <t>MD-SD</t>
  </si>
  <si>
    <t>Șoldănești</t>
  </si>
  <si>
    <t>MD-SV</t>
  </si>
  <si>
    <t>Ștefan Vodă</t>
  </si>
  <si>
    <t>MD-TA</t>
  </si>
  <si>
    <t>Taraclia</t>
  </si>
  <si>
    <t>MD-TE</t>
  </si>
  <si>
    <t>Telenești</t>
  </si>
  <si>
    <t>MD-UN</t>
  </si>
  <si>
    <t>Ungheni</t>
  </si>
  <si>
    <t>ME-01</t>
  </si>
  <si>
    <t>Andrijevica</t>
  </si>
  <si>
    <t>ME-02</t>
  </si>
  <si>
    <t>Bar</t>
  </si>
  <si>
    <t>ME-03</t>
  </si>
  <si>
    <t>Berane</t>
  </si>
  <si>
    <t>ME-04</t>
  </si>
  <si>
    <t>Bijelo Polje</t>
  </si>
  <si>
    <t>ME-05</t>
  </si>
  <si>
    <t>Budva</t>
  </si>
  <si>
    <t>ME-06</t>
  </si>
  <si>
    <t>Cetinje</t>
  </si>
  <si>
    <t>ME-07</t>
  </si>
  <si>
    <t>Danilovgrad</t>
  </si>
  <si>
    <t>ME-22</t>
  </si>
  <si>
    <t>Gusinje</t>
  </si>
  <si>
    <t>ME-08</t>
  </si>
  <si>
    <t>Herceg-Novi</t>
  </si>
  <si>
    <t>ME-09</t>
  </si>
  <si>
    <t>Kolašin</t>
  </si>
  <si>
    <t>ME-10</t>
  </si>
  <si>
    <t>Kotor</t>
  </si>
  <si>
    <t>ME-11</t>
  </si>
  <si>
    <t>Mojkovac</t>
  </si>
  <si>
    <t>ME-12</t>
  </si>
  <si>
    <t>Nikšić</t>
  </si>
  <si>
    <t>ME-23</t>
  </si>
  <si>
    <t>Petnjica</t>
  </si>
  <si>
    <t>ME-13</t>
  </si>
  <si>
    <t>Plav</t>
  </si>
  <si>
    <t>ME-14</t>
  </si>
  <si>
    <t>Pljevlja</t>
  </si>
  <si>
    <t>ME-15</t>
  </si>
  <si>
    <t>Plužine</t>
  </si>
  <si>
    <t>ME-16</t>
  </si>
  <si>
    <t>ME-17</t>
  </si>
  <si>
    <t>Rožaje</t>
  </si>
  <si>
    <t>ME-18</t>
  </si>
  <si>
    <t>Šavnik</t>
  </si>
  <si>
    <t>ME-19</t>
  </si>
  <si>
    <t>Tivat</t>
  </si>
  <si>
    <t>ME-24</t>
  </si>
  <si>
    <t>Tuzi</t>
  </si>
  <si>
    <t>ME-20</t>
  </si>
  <si>
    <t>Ulcinj</t>
  </si>
  <si>
    <t>ME-21</t>
  </si>
  <si>
    <t>Žabljak</t>
  </si>
  <si>
    <t>ME-25</t>
  </si>
  <si>
    <t>Zeta</t>
  </si>
  <si>
    <t>MG-T</t>
  </si>
  <si>
    <t>MG-D</t>
  </si>
  <si>
    <t>Antsiranana</t>
  </si>
  <si>
    <t>MG-F</t>
  </si>
  <si>
    <t>Fianarantsoa</t>
  </si>
  <si>
    <t>MG-M</t>
  </si>
  <si>
    <t>Mahajanga</t>
  </si>
  <si>
    <t>MG-A</t>
  </si>
  <si>
    <t>Toamasina</t>
  </si>
  <si>
    <t>MG-U</t>
  </si>
  <si>
    <t>Toliara</t>
  </si>
  <si>
    <t>MH-L</t>
  </si>
  <si>
    <t>Ralik chain</t>
  </si>
  <si>
    <t>MH-T</t>
  </si>
  <si>
    <t>Ratak chain</t>
  </si>
  <si>
    <t>MH-ALL</t>
  </si>
  <si>
    <t>Ailinglaplap</t>
  </si>
  <si>
    <t>MH-ALK</t>
  </si>
  <si>
    <t>Ailuk</t>
  </si>
  <si>
    <t>MH-ARN</t>
  </si>
  <si>
    <t>Arno</t>
  </si>
  <si>
    <t>MH-AUR</t>
  </si>
  <si>
    <t>Aur</t>
  </si>
  <si>
    <t>MH-KIL</t>
  </si>
  <si>
    <t>Bikini &amp; Kili</t>
  </si>
  <si>
    <t>MH-EBO</t>
  </si>
  <si>
    <t>Ebon</t>
  </si>
  <si>
    <t>MH-ENI</t>
  </si>
  <si>
    <t>Enewetak &amp; Ujelang</t>
  </si>
  <si>
    <t>MH-JAB</t>
  </si>
  <si>
    <t>Jabat</t>
  </si>
  <si>
    <t>MH-JAL</t>
  </si>
  <si>
    <t>Jaluit</t>
  </si>
  <si>
    <t>MH-KWA</t>
  </si>
  <si>
    <t>Kwajalein</t>
  </si>
  <si>
    <t>MH-LAE</t>
  </si>
  <si>
    <t>Lae</t>
  </si>
  <si>
    <t>MH-LIB</t>
  </si>
  <si>
    <t>Lib</t>
  </si>
  <si>
    <t>MH-LIK</t>
  </si>
  <si>
    <t>Likiep</t>
  </si>
  <si>
    <t>MH-MAJ</t>
  </si>
  <si>
    <t>MH-MAL</t>
  </si>
  <si>
    <t>Maloelap</t>
  </si>
  <si>
    <t>MH-MEJ</t>
  </si>
  <si>
    <t>Mejit</t>
  </si>
  <si>
    <t>MH-MIL</t>
  </si>
  <si>
    <t>Mili</t>
  </si>
  <si>
    <t>MH-NMK</t>
  </si>
  <si>
    <t>Namdrik</t>
  </si>
  <si>
    <t>MH-NMU</t>
  </si>
  <si>
    <t>Namu</t>
  </si>
  <si>
    <t>MH-RON</t>
  </si>
  <si>
    <t>Rongelap</t>
  </si>
  <si>
    <t>MH-UJA</t>
  </si>
  <si>
    <t>Ujae</t>
  </si>
  <si>
    <t>MH-UTI</t>
  </si>
  <si>
    <t>Utrik</t>
  </si>
  <si>
    <t>MH-WTH</t>
  </si>
  <si>
    <t>Wotho</t>
  </si>
  <si>
    <t>MH-WTJ</t>
  </si>
  <si>
    <t>Wotje</t>
  </si>
  <si>
    <t>MK-801</t>
  </si>
  <si>
    <t>Aerodrom</t>
  </si>
  <si>
    <t>MK-802</t>
  </si>
  <si>
    <t>Aračinovo</t>
  </si>
  <si>
    <t>MK-201</t>
  </si>
  <si>
    <t>Berovo</t>
  </si>
  <si>
    <t>MK-501</t>
  </si>
  <si>
    <t>Bitola</t>
  </si>
  <si>
    <t>MK-401</t>
  </si>
  <si>
    <t>Bogdanci</t>
  </si>
  <si>
    <t>MK-601</t>
  </si>
  <si>
    <t>Bogovinje</t>
  </si>
  <si>
    <t>MK-402</t>
  </si>
  <si>
    <t>Bosilovo</t>
  </si>
  <si>
    <t>MK-602</t>
  </si>
  <si>
    <t>Brvenica</t>
  </si>
  <si>
    <t>MK-803</t>
  </si>
  <si>
    <t>Butel</t>
  </si>
  <si>
    <t>MK-814</t>
  </si>
  <si>
    <t>Centar</t>
  </si>
  <si>
    <t>MK-313</t>
  </si>
  <si>
    <t>Centar Župa</t>
  </si>
  <si>
    <t>MK-815</t>
  </si>
  <si>
    <t>Čair</t>
  </si>
  <si>
    <t>MK-109</t>
  </si>
  <si>
    <t>Čaška</t>
  </si>
  <si>
    <t>MK-210</t>
  </si>
  <si>
    <t>Češinovo-Obleševo</t>
  </si>
  <si>
    <t>MK-816</t>
  </si>
  <si>
    <t>Čučer-Sandevo</t>
  </si>
  <si>
    <t>MK-303</t>
  </si>
  <si>
    <t>Debar</t>
  </si>
  <si>
    <t>MK-304</t>
  </si>
  <si>
    <t>Debrca</t>
  </si>
  <si>
    <t>MK-203</t>
  </si>
  <si>
    <t>Delčevo</t>
  </si>
  <si>
    <t>MK-502</t>
  </si>
  <si>
    <t>Demir Hisar</t>
  </si>
  <si>
    <t>MK-103</t>
  </si>
  <si>
    <t>Demir Kapija</t>
  </si>
  <si>
    <t>MK-406</t>
  </si>
  <si>
    <t>Dojran</t>
  </si>
  <si>
    <t>MK-503</t>
  </si>
  <si>
    <t>Dolneni</t>
  </si>
  <si>
    <t>MK-804</t>
  </si>
  <si>
    <t>Gazi Baba</t>
  </si>
  <si>
    <t>MK-405</t>
  </si>
  <si>
    <t>Gevgelija</t>
  </si>
  <si>
    <t>MK-805</t>
  </si>
  <si>
    <t>Gjorče Petrov</t>
  </si>
  <si>
    <t>MK-604</t>
  </si>
  <si>
    <t>Gostivar</t>
  </si>
  <si>
    <t>MK-102</t>
  </si>
  <si>
    <t>Gradsko</t>
  </si>
  <si>
    <t>MK-807</t>
  </si>
  <si>
    <t>Ilinden</t>
  </si>
  <si>
    <t>MK-606</t>
  </si>
  <si>
    <t>Jegunovce</t>
  </si>
  <si>
    <t>MK-205</t>
  </si>
  <si>
    <t>Karbinci</t>
  </si>
  <si>
    <t>MK-808</t>
  </si>
  <si>
    <t>Karpoš</t>
  </si>
  <si>
    <t>MK-104</t>
  </si>
  <si>
    <t>Kavadarci</t>
  </si>
  <si>
    <t>MK-307</t>
  </si>
  <si>
    <t>Kičevo</t>
  </si>
  <si>
    <t>MK-809</t>
  </si>
  <si>
    <t>Kisela Voda</t>
  </si>
  <si>
    <t>MK-206</t>
  </si>
  <si>
    <t>Kočani</t>
  </si>
  <si>
    <t>MK-407</t>
  </si>
  <si>
    <t>Konče</t>
  </si>
  <si>
    <t>MK-701</t>
  </si>
  <si>
    <t>Kratovo</t>
  </si>
  <si>
    <t>MK-702</t>
  </si>
  <si>
    <t>Kriva Palanka</t>
  </si>
  <si>
    <t>MK-504</t>
  </si>
  <si>
    <t>Krivogaštani</t>
  </si>
  <si>
    <t>MK-505</t>
  </si>
  <si>
    <t>Kruševo</t>
  </si>
  <si>
    <t>MK-703</t>
  </si>
  <si>
    <t>Kumanovo</t>
  </si>
  <si>
    <t>MK-704</t>
  </si>
  <si>
    <t>Lipkovo</t>
  </si>
  <si>
    <t>MK-105</t>
  </si>
  <si>
    <t>Lozovo</t>
  </si>
  <si>
    <t>MK-207</t>
  </si>
  <si>
    <t>Makedonska Kamenica</t>
  </si>
  <si>
    <t>MK-308</t>
  </si>
  <si>
    <t>Makedonski Brod</t>
  </si>
  <si>
    <t>MK-607</t>
  </si>
  <si>
    <t>Mavrovo i Rostuše</t>
  </si>
  <si>
    <t>MK-506</t>
  </si>
  <si>
    <t>Mogila</t>
  </si>
  <si>
    <t>MK-106</t>
  </si>
  <si>
    <t>Negotino</t>
  </si>
  <si>
    <t>MK-507</t>
  </si>
  <si>
    <t>Novaci</t>
  </si>
  <si>
    <t>MK-408</t>
  </si>
  <si>
    <t>Novo Selo</t>
  </si>
  <si>
    <t>MK-310</t>
  </si>
  <si>
    <t>Ohrid</t>
  </si>
  <si>
    <t>MK-208</t>
  </si>
  <si>
    <t>Pehčevo</t>
  </si>
  <si>
    <t>MK-810</t>
  </si>
  <si>
    <t>Petrovec</t>
  </si>
  <si>
    <t>MK-311</t>
  </si>
  <si>
    <t>Plasnica</t>
  </si>
  <si>
    <t>MK-508</t>
  </si>
  <si>
    <t>Prilep</t>
  </si>
  <si>
    <t>MK-209</t>
  </si>
  <si>
    <t>Probištip</t>
  </si>
  <si>
    <t>MK-409</t>
  </si>
  <si>
    <t>Radoviš</t>
  </si>
  <si>
    <t>MK-705</t>
  </si>
  <si>
    <t>Rankovce</t>
  </si>
  <si>
    <t>MK-509</t>
  </si>
  <si>
    <t>Resen</t>
  </si>
  <si>
    <t>MK-107</t>
  </si>
  <si>
    <t>Rosoman</t>
  </si>
  <si>
    <t>MK-811</t>
  </si>
  <si>
    <t>Saraj</t>
  </si>
  <si>
    <t>MK-812</t>
  </si>
  <si>
    <t>Sopište</t>
  </si>
  <si>
    <t>MK-706</t>
  </si>
  <si>
    <t>Staro Nagoričane</t>
  </si>
  <si>
    <t>MK-312</t>
  </si>
  <si>
    <t>Struga</t>
  </si>
  <si>
    <t>MK-410</t>
  </si>
  <si>
    <t>Strumica</t>
  </si>
  <si>
    <t>MK-813</t>
  </si>
  <si>
    <t>Studeničani</t>
  </si>
  <si>
    <t>MK-108</t>
  </si>
  <si>
    <t>Sveti Nikole</t>
  </si>
  <si>
    <t>MK-211</t>
  </si>
  <si>
    <t>Štip</t>
  </si>
  <si>
    <t>MK-817</t>
  </si>
  <si>
    <t>Šuto Orizari</t>
  </si>
  <si>
    <t>MK-608</t>
  </si>
  <si>
    <t>Tearce</t>
  </si>
  <si>
    <t>MK-609</t>
  </si>
  <si>
    <t>Tetovo</t>
  </si>
  <si>
    <t>MK-403</t>
  </si>
  <si>
    <t>Valandovo</t>
  </si>
  <si>
    <t>MK-404</t>
  </si>
  <si>
    <t>Vasilevo</t>
  </si>
  <si>
    <t>MK-101</t>
  </si>
  <si>
    <t>Veles</t>
  </si>
  <si>
    <t>MK-301</t>
  </si>
  <si>
    <t>Vevčani</t>
  </si>
  <si>
    <t>MK-202</t>
  </si>
  <si>
    <t>Vinica</t>
  </si>
  <si>
    <t>MK-603</t>
  </si>
  <si>
    <t>Vrapčište</t>
  </si>
  <si>
    <t>MK-806</t>
  </si>
  <si>
    <t>Zelenikovo</t>
  </si>
  <si>
    <t>MK-204</t>
  </si>
  <si>
    <t>Zrnovci</t>
  </si>
  <si>
    <t>MK-605</t>
  </si>
  <si>
    <t>Želino</t>
  </si>
  <si>
    <t>ML-BKO</t>
  </si>
  <si>
    <t>ML-7</t>
  </si>
  <si>
    <t>Gao</t>
  </si>
  <si>
    <t>ML-1</t>
  </si>
  <si>
    <t>Kayes</t>
  </si>
  <si>
    <t>ML-8</t>
  </si>
  <si>
    <t>Kidal</t>
  </si>
  <si>
    <t>ML-2</t>
  </si>
  <si>
    <t>Koulikoro</t>
  </si>
  <si>
    <t>ML-9</t>
  </si>
  <si>
    <t>Ménaka</t>
  </si>
  <si>
    <t>ML-5</t>
  </si>
  <si>
    <t>Mopti</t>
  </si>
  <si>
    <t>ML-4</t>
  </si>
  <si>
    <t>Ségou</t>
  </si>
  <si>
    <t>ML-3</t>
  </si>
  <si>
    <t>Sikasso</t>
  </si>
  <si>
    <t>ML-10</t>
  </si>
  <si>
    <t>Taoudénit</t>
  </si>
  <si>
    <t>ML-6</t>
  </si>
  <si>
    <t>Tombouctou</t>
  </si>
  <si>
    <t>MM-07</t>
  </si>
  <si>
    <t>Ayeyarwady</t>
  </si>
  <si>
    <t>MM-02</t>
  </si>
  <si>
    <t>Bago</t>
  </si>
  <si>
    <t>MM-14</t>
  </si>
  <si>
    <t>Chin</t>
  </si>
  <si>
    <t>MM-11</t>
  </si>
  <si>
    <t>Kachin</t>
  </si>
  <si>
    <t>MM-12</t>
  </si>
  <si>
    <t>Kayah</t>
  </si>
  <si>
    <t>MM-13</t>
  </si>
  <si>
    <t>Kayin</t>
  </si>
  <si>
    <t>MM-03</t>
  </si>
  <si>
    <t>Magway</t>
  </si>
  <si>
    <t>MM-04</t>
  </si>
  <si>
    <t>Mandalay</t>
  </si>
  <si>
    <t>MM-15</t>
  </si>
  <si>
    <t>Mon</t>
  </si>
  <si>
    <t>MM-18</t>
  </si>
  <si>
    <t>Nay Pyi Taw</t>
  </si>
  <si>
    <t>MM-16</t>
  </si>
  <si>
    <t>Rakhine</t>
  </si>
  <si>
    <t>MM-01</t>
  </si>
  <si>
    <t>Sagaing</t>
  </si>
  <si>
    <t>MM-17</t>
  </si>
  <si>
    <t>Shan</t>
  </si>
  <si>
    <t>MM-05</t>
  </si>
  <si>
    <t>Tanintharyi</t>
  </si>
  <si>
    <t>MM-06</t>
  </si>
  <si>
    <t>MN-073</t>
  </si>
  <si>
    <t>Arhangay</t>
  </si>
  <si>
    <t>MN-069</t>
  </si>
  <si>
    <t>Bayanhongor</t>
  </si>
  <si>
    <t>MN-071</t>
  </si>
  <si>
    <t>Bayan-Ölgiy</t>
  </si>
  <si>
    <t>MN-067</t>
  </si>
  <si>
    <t>Bulgan</t>
  </si>
  <si>
    <t>MN-037</t>
  </si>
  <si>
    <t>Darhan uul</t>
  </si>
  <si>
    <t>MN-061</t>
  </si>
  <si>
    <t>Dornod</t>
  </si>
  <si>
    <t>MN-063</t>
  </si>
  <si>
    <t>Dornogovĭ</t>
  </si>
  <si>
    <t>MN-059</t>
  </si>
  <si>
    <t>Dundgovĭ</t>
  </si>
  <si>
    <t>MN-057</t>
  </si>
  <si>
    <t>Dzavhan</t>
  </si>
  <si>
    <t>MN-065</t>
  </si>
  <si>
    <t>Govĭ-Altay</t>
  </si>
  <si>
    <t>MN-064</t>
  </si>
  <si>
    <t>Govĭ-Sümber</t>
  </si>
  <si>
    <t>MN-039</t>
  </si>
  <si>
    <t>Hentiy</t>
  </si>
  <si>
    <t>MN-043</t>
  </si>
  <si>
    <t>Hovd</t>
  </si>
  <si>
    <t>MN-041</t>
  </si>
  <si>
    <t>Hövsgöl</t>
  </si>
  <si>
    <t>MN-053</t>
  </si>
  <si>
    <t>Ömnögovĭ</t>
  </si>
  <si>
    <t>MN-035</t>
  </si>
  <si>
    <t>Orhon</t>
  </si>
  <si>
    <t>MN-055</t>
  </si>
  <si>
    <t>Övörhangay</t>
  </si>
  <si>
    <t>MN-049</t>
  </si>
  <si>
    <t>Selenge</t>
  </si>
  <si>
    <t>MN-051</t>
  </si>
  <si>
    <t>Sühbaatar</t>
  </si>
  <si>
    <t>MN-047</t>
  </si>
  <si>
    <t>Töv</t>
  </si>
  <si>
    <t>MN-1</t>
  </si>
  <si>
    <t>Ulaanbaatar</t>
  </si>
  <si>
    <t>MN-046</t>
  </si>
  <si>
    <t>Uvs</t>
  </si>
  <si>
    <t>MR-07</t>
  </si>
  <si>
    <t>MR-03</t>
  </si>
  <si>
    <t>Assaba</t>
  </si>
  <si>
    <t>MR-05</t>
  </si>
  <si>
    <t>Brakna</t>
  </si>
  <si>
    <t>MR-08</t>
  </si>
  <si>
    <t>Dakhlet Nouâdhibou</t>
  </si>
  <si>
    <t>MR-04</t>
  </si>
  <si>
    <t>Gorgol</t>
  </si>
  <si>
    <t>MR-10</t>
  </si>
  <si>
    <t>Guidimaka</t>
  </si>
  <si>
    <t>MR-01</t>
  </si>
  <si>
    <t>Hodh ech Chargui</t>
  </si>
  <si>
    <t>MR-02</t>
  </si>
  <si>
    <t>Hodh el Gharbi</t>
  </si>
  <si>
    <t>MR-12</t>
  </si>
  <si>
    <t>Inchiri</t>
  </si>
  <si>
    <t>MR-14</t>
  </si>
  <si>
    <t>Nouakchott-Nord</t>
  </si>
  <si>
    <t>MR-13</t>
  </si>
  <si>
    <t>Nouakchott-Ouest</t>
  </si>
  <si>
    <t>MR-15</t>
  </si>
  <si>
    <t>Nouakchott-Sud</t>
  </si>
  <si>
    <t>MR-09</t>
  </si>
  <si>
    <t>Tagant</t>
  </si>
  <si>
    <t>MR-11</t>
  </si>
  <si>
    <t>Tiris Zemmour</t>
  </si>
  <si>
    <t>MR-06</t>
  </si>
  <si>
    <t>Trarza</t>
  </si>
  <si>
    <t>MT-01</t>
  </si>
  <si>
    <t>Attard</t>
  </si>
  <si>
    <t>local council</t>
  </si>
  <si>
    <t>MT-02</t>
  </si>
  <si>
    <t>Balzan</t>
  </si>
  <si>
    <t>MT-03</t>
  </si>
  <si>
    <t>Birgu</t>
  </si>
  <si>
    <t>MT-04</t>
  </si>
  <si>
    <t>MT-05</t>
  </si>
  <si>
    <t>Birżebbuġa</t>
  </si>
  <si>
    <t>MT-06</t>
  </si>
  <si>
    <t>Bormla</t>
  </si>
  <si>
    <t>MT-07</t>
  </si>
  <si>
    <t>Dingli</t>
  </si>
  <si>
    <t>MT-08</t>
  </si>
  <si>
    <t>Fgura</t>
  </si>
  <si>
    <t>MT-09</t>
  </si>
  <si>
    <t>Floriana</t>
  </si>
  <si>
    <t>MT-10</t>
  </si>
  <si>
    <t>Fontana</t>
  </si>
  <si>
    <t>MT-11</t>
  </si>
  <si>
    <t>Gudja</t>
  </si>
  <si>
    <t>MT-12</t>
  </si>
  <si>
    <t>Gżira</t>
  </si>
  <si>
    <t>MT-13</t>
  </si>
  <si>
    <t>Għajnsielem</t>
  </si>
  <si>
    <t>MT-14</t>
  </si>
  <si>
    <t>Għarb</t>
  </si>
  <si>
    <t>MT-15</t>
  </si>
  <si>
    <t>Għargħur</t>
  </si>
  <si>
    <t>MT-16</t>
  </si>
  <si>
    <t>Għasri</t>
  </si>
  <si>
    <t>MT-17</t>
  </si>
  <si>
    <t>Għaxaq</t>
  </si>
  <si>
    <t>MT-18</t>
  </si>
  <si>
    <t>Ħamrun</t>
  </si>
  <si>
    <t>MT-19</t>
  </si>
  <si>
    <t>Iklin</t>
  </si>
  <si>
    <t>MT-20</t>
  </si>
  <si>
    <t>Isla</t>
  </si>
  <si>
    <t>MT-21</t>
  </si>
  <si>
    <t>Kalkara</t>
  </si>
  <si>
    <t>MT-22</t>
  </si>
  <si>
    <t>Kerċem</t>
  </si>
  <si>
    <t>MT-23</t>
  </si>
  <si>
    <t>Kirkop</t>
  </si>
  <si>
    <t>MT-24</t>
  </si>
  <si>
    <t>Lija</t>
  </si>
  <si>
    <t>MT-25</t>
  </si>
  <si>
    <t>Luqa</t>
  </si>
  <si>
    <t>MT-26</t>
  </si>
  <si>
    <t>Marsa</t>
  </si>
  <si>
    <t>MT-27</t>
  </si>
  <si>
    <t>Marsaskala</t>
  </si>
  <si>
    <t>MT-28</t>
  </si>
  <si>
    <t>Marsaxlokk</t>
  </si>
  <si>
    <t>MT-29</t>
  </si>
  <si>
    <t>Mdina</t>
  </si>
  <si>
    <t>MT-30</t>
  </si>
  <si>
    <t>Mellieħa</t>
  </si>
  <si>
    <t>MT-31</t>
  </si>
  <si>
    <t>Mġarr</t>
  </si>
  <si>
    <t>MT-32</t>
  </si>
  <si>
    <t>Mosta</t>
  </si>
  <si>
    <t>MT-33</t>
  </si>
  <si>
    <t>Mqabba</t>
  </si>
  <si>
    <t>MT-34</t>
  </si>
  <si>
    <t>Msida</t>
  </si>
  <si>
    <t>MT-35</t>
  </si>
  <si>
    <t>Mtarfa</t>
  </si>
  <si>
    <t>MT-36</t>
  </si>
  <si>
    <t>Munxar</t>
  </si>
  <si>
    <t>MT-37</t>
  </si>
  <si>
    <t>Nadur</t>
  </si>
  <si>
    <t>MT-38</t>
  </si>
  <si>
    <t>Naxxar</t>
  </si>
  <si>
    <t>MT-39</t>
  </si>
  <si>
    <t>Paola</t>
  </si>
  <si>
    <t>MT-40</t>
  </si>
  <si>
    <t>Pembroke</t>
  </si>
  <si>
    <t>MT-41</t>
  </si>
  <si>
    <t>Pietà</t>
  </si>
  <si>
    <t>MT-42</t>
  </si>
  <si>
    <t>Qala</t>
  </si>
  <si>
    <t>MT-43</t>
  </si>
  <si>
    <t>Qormi</t>
  </si>
  <si>
    <t>MT-44</t>
  </si>
  <si>
    <t>Qrendi</t>
  </si>
  <si>
    <t>MT-45</t>
  </si>
  <si>
    <t>Rabat Għawdex</t>
  </si>
  <si>
    <t>MT-46</t>
  </si>
  <si>
    <t>Rabat Malta</t>
  </si>
  <si>
    <t>MT-47</t>
  </si>
  <si>
    <t>MT-48</t>
  </si>
  <si>
    <t>San Ġiljan</t>
  </si>
  <si>
    <t>MT-49</t>
  </si>
  <si>
    <t>San Ġwann</t>
  </si>
  <si>
    <t>MT-50</t>
  </si>
  <si>
    <t>San Lawrenz</t>
  </si>
  <si>
    <t>MT-51</t>
  </si>
  <si>
    <t>San Pawl il-Baħar</t>
  </si>
  <si>
    <t>MT-52</t>
  </si>
  <si>
    <t>Sannat</t>
  </si>
  <si>
    <t>MT-53</t>
  </si>
  <si>
    <t>Santa Luċija</t>
  </si>
  <si>
    <t>MT-54</t>
  </si>
  <si>
    <t>Santa Venera</t>
  </si>
  <si>
    <t>MT-55</t>
  </si>
  <si>
    <t>Siġġiewi</t>
  </si>
  <si>
    <t>MT-56</t>
  </si>
  <si>
    <t>Sliema</t>
  </si>
  <si>
    <t>MT-57</t>
  </si>
  <si>
    <t>Swieqi</t>
  </si>
  <si>
    <t>MT-58</t>
  </si>
  <si>
    <t>Ta' Xbiex</t>
  </si>
  <si>
    <t>MT-59</t>
  </si>
  <si>
    <t>Tarxien</t>
  </si>
  <si>
    <t>MT-60</t>
  </si>
  <si>
    <t>Valletta</t>
  </si>
  <si>
    <t>MT-61</t>
  </si>
  <si>
    <t>Xagħra</t>
  </si>
  <si>
    <t>MT-62</t>
  </si>
  <si>
    <t>Xewkija</t>
  </si>
  <si>
    <t>MT-63</t>
  </si>
  <si>
    <t>Xgħajra</t>
  </si>
  <si>
    <t>MT-64</t>
  </si>
  <si>
    <t>Żabbar</t>
  </si>
  <si>
    <t>MT-65</t>
  </si>
  <si>
    <t>Żebbuġ Għawdex</t>
  </si>
  <si>
    <t>MT-66</t>
  </si>
  <si>
    <t>Żebbuġ Malta</t>
  </si>
  <si>
    <t>MT-67</t>
  </si>
  <si>
    <t>Żejtun</t>
  </si>
  <si>
    <t>MT-68</t>
  </si>
  <si>
    <t>Żurrieq</t>
  </si>
  <si>
    <t>MU-AG</t>
  </si>
  <si>
    <t>Agalega Islands</t>
  </si>
  <si>
    <t>MU-BL</t>
  </si>
  <si>
    <t>Black River</t>
  </si>
  <si>
    <t>MU-CC</t>
  </si>
  <si>
    <t>Cargados Carajos Shoals</t>
  </si>
  <si>
    <t>MU-FL</t>
  </si>
  <si>
    <t>Flacq</t>
  </si>
  <si>
    <t>MU-GP</t>
  </si>
  <si>
    <t>Grand Port</t>
  </si>
  <si>
    <t>MU-MO</t>
  </si>
  <si>
    <t>Moka</t>
  </si>
  <si>
    <t>MU-PA</t>
  </si>
  <si>
    <t>Pamplemousses</t>
  </si>
  <si>
    <t>MU-PW</t>
  </si>
  <si>
    <t>Plaines Wilhems</t>
  </si>
  <si>
    <t>MU-PL</t>
  </si>
  <si>
    <t>MU-RR</t>
  </si>
  <si>
    <t>Rivière du Rempart</t>
  </si>
  <si>
    <t>MU-RO</t>
  </si>
  <si>
    <t>Rodrigues Island</t>
  </si>
  <si>
    <t>MU-SA</t>
  </si>
  <si>
    <t>Savanne</t>
  </si>
  <si>
    <t>MV-01</t>
  </si>
  <si>
    <t>Addu</t>
  </si>
  <si>
    <t>MV-00</t>
  </si>
  <si>
    <t>Ariatholhu Dhekunuburi</t>
  </si>
  <si>
    <t>administrative atoll</t>
  </si>
  <si>
    <t>MV-02</t>
  </si>
  <si>
    <t>Ariatholhu Uthuruburi</t>
  </si>
  <si>
    <t>MV-03</t>
  </si>
  <si>
    <t>Faadhippolhu</t>
  </si>
  <si>
    <t>MV-04</t>
  </si>
  <si>
    <t>Felidheatholhu</t>
  </si>
  <si>
    <t>MV-29</t>
  </si>
  <si>
    <t>Fuvammulah</t>
  </si>
  <si>
    <t>MV-05</t>
  </si>
  <si>
    <t>Hahdhunmathi</t>
  </si>
  <si>
    <t>MV-28</t>
  </si>
  <si>
    <t>Huvadhuatholhu Dhekunuburi</t>
  </si>
  <si>
    <t>MV-27</t>
  </si>
  <si>
    <t>Huvadhuatholhu Uthuruburi</t>
  </si>
  <si>
    <t>MV-08</t>
  </si>
  <si>
    <t>Kolhumadulu</t>
  </si>
  <si>
    <t>MV-MLE</t>
  </si>
  <si>
    <t>Maale</t>
  </si>
  <si>
    <t>MV-26</t>
  </si>
  <si>
    <t>Maaleatholhu</t>
  </si>
  <si>
    <t>MV-20</t>
  </si>
  <si>
    <t>Maalhosmadulu Dhekunuburi</t>
  </si>
  <si>
    <t>MV-13</t>
  </si>
  <si>
    <t>Maalhosmadulu Uthuruburi</t>
  </si>
  <si>
    <t>MV-25</t>
  </si>
  <si>
    <t>Miladhunmadulu Dhekunuburi</t>
  </si>
  <si>
    <t>MV-24</t>
  </si>
  <si>
    <t>Miladhunmadulu Uthuruburi</t>
  </si>
  <si>
    <t>MV-12</t>
  </si>
  <si>
    <t>Mulakatholhu</t>
  </si>
  <si>
    <t>MV-17</t>
  </si>
  <si>
    <t>Nilandheatholhu Dhekunuburi</t>
  </si>
  <si>
    <t>MV-14</t>
  </si>
  <si>
    <t>Nilandheatholhu Uthuruburi</t>
  </si>
  <si>
    <t>MV-23</t>
  </si>
  <si>
    <t>Thiladhunmathee Dhekunuburi</t>
  </si>
  <si>
    <t>MV-07</t>
  </si>
  <si>
    <t>Thiladhunmathee Uthuruburi</t>
  </si>
  <si>
    <t>MW-N</t>
  </si>
  <si>
    <t>Chakumpoto</t>
  </si>
  <si>
    <t>MW-S</t>
  </si>
  <si>
    <t>Chakumwera</t>
  </si>
  <si>
    <t>MW-C</t>
  </si>
  <si>
    <t>Chapakati</t>
  </si>
  <si>
    <t>MW-BA</t>
  </si>
  <si>
    <t>Balaka</t>
  </si>
  <si>
    <t>MW-BL</t>
  </si>
  <si>
    <t>Blantyre</t>
  </si>
  <si>
    <t>MW-CK</t>
  </si>
  <si>
    <t>Chikwawa</t>
  </si>
  <si>
    <t>MW-CR</t>
  </si>
  <si>
    <t>Chiradzulu</t>
  </si>
  <si>
    <t>MW-CT</t>
  </si>
  <si>
    <t>Chitipa</t>
  </si>
  <si>
    <t>MW-DE</t>
  </si>
  <si>
    <t>Dedza</t>
  </si>
  <si>
    <t>MW-DO</t>
  </si>
  <si>
    <t>Dowa</t>
  </si>
  <si>
    <t>MW-KR</t>
  </si>
  <si>
    <t>Karonga</t>
  </si>
  <si>
    <t>MW-KS</t>
  </si>
  <si>
    <t>Kasungu</t>
  </si>
  <si>
    <t>MW-LK</t>
  </si>
  <si>
    <t>Likoma</t>
  </si>
  <si>
    <t>MW-LI</t>
  </si>
  <si>
    <t>MW-MH</t>
  </si>
  <si>
    <t>Machinga</t>
  </si>
  <si>
    <t>MW-MG</t>
  </si>
  <si>
    <t>Mangochi</t>
  </si>
  <si>
    <t>MW-MC</t>
  </si>
  <si>
    <t>Mchinji</t>
  </si>
  <si>
    <t>MW-MU</t>
  </si>
  <si>
    <t>Mulanje</t>
  </si>
  <si>
    <t>MW-MW</t>
  </si>
  <si>
    <t>Mwanza</t>
  </si>
  <si>
    <t>MW-MZ</t>
  </si>
  <si>
    <t>Mzimba</t>
  </si>
  <si>
    <t>MW-NE</t>
  </si>
  <si>
    <t>Neno</t>
  </si>
  <si>
    <t>MW-NB</t>
  </si>
  <si>
    <t>Nkhata Bay</t>
  </si>
  <si>
    <t>MW-NK</t>
  </si>
  <si>
    <t>Nkhotakota</t>
  </si>
  <si>
    <t>MW-NS</t>
  </si>
  <si>
    <t>Nsanje</t>
  </si>
  <si>
    <t>MW-NU</t>
  </si>
  <si>
    <t>Ntcheu</t>
  </si>
  <si>
    <t>MW-NI</t>
  </si>
  <si>
    <t>Ntchisi</t>
  </si>
  <si>
    <t>MW-PH</t>
  </si>
  <si>
    <t>Phalombe</t>
  </si>
  <si>
    <t>MW-RU</t>
  </si>
  <si>
    <t>Rumphi</t>
  </si>
  <si>
    <t>MW-SA</t>
  </si>
  <si>
    <t>Salima</t>
  </si>
  <si>
    <t>MW-TH</t>
  </si>
  <si>
    <t>Thyolo</t>
  </si>
  <si>
    <t>MW-ZO</t>
  </si>
  <si>
    <t>Zomba</t>
  </si>
  <si>
    <t>MX-AGU</t>
  </si>
  <si>
    <t>Aguascalientes</t>
  </si>
  <si>
    <t>MX-BCN</t>
  </si>
  <si>
    <t>Baja California</t>
  </si>
  <si>
    <t>MX-BCS</t>
  </si>
  <si>
    <t>Baja California Sur</t>
  </si>
  <si>
    <t>MX-CAM</t>
  </si>
  <si>
    <t>Campeche</t>
  </si>
  <si>
    <t>MX-CHP</t>
  </si>
  <si>
    <t>Chiapas</t>
  </si>
  <si>
    <t>MX-CHH</t>
  </si>
  <si>
    <t>Chihuahua</t>
  </si>
  <si>
    <t>MX-CMX</t>
  </si>
  <si>
    <t>Ciudad de México</t>
  </si>
  <si>
    <t>federal entity</t>
  </si>
  <si>
    <t>MX-COA</t>
  </si>
  <si>
    <t>Coahuila de Zaragoza</t>
  </si>
  <si>
    <t>MX-COL</t>
  </si>
  <si>
    <t>Colima</t>
  </si>
  <si>
    <t>MX-DUR</t>
  </si>
  <si>
    <t>Durango</t>
  </si>
  <si>
    <t>MX-GUA</t>
  </si>
  <si>
    <t>Guanajuato</t>
  </si>
  <si>
    <t>MX-GRO</t>
  </si>
  <si>
    <t>Guerrero</t>
  </si>
  <si>
    <t>MX-HID</t>
  </si>
  <si>
    <t>Hidalgo</t>
  </si>
  <si>
    <t>MX-JAL</t>
  </si>
  <si>
    <t>Jalisco</t>
  </si>
  <si>
    <t>MX-MIC</t>
  </si>
  <si>
    <t>Michoacán de Ocampo</t>
  </si>
  <si>
    <t>MX-MOR</t>
  </si>
  <si>
    <t>Morelos</t>
  </si>
  <si>
    <t>MX-MEX</t>
  </si>
  <si>
    <t>México</t>
  </si>
  <si>
    <t>MX-NAY</t>
  </si>
  <si>
    <t>Nayarit</t>
  </si>
  <si>
    <t>MX-NLE</t>
  </si>
  <si>
    <t>Nuevo León</t>
  </si>
  <si>
    <t>MX-OAX</t>
  </si>
  <si>
    <t>Oaxaca</t>
  </si>
  <si>
    <t>MX-PUE</t>
  </si>
  <si>
    <t>Puebla</t>
  </si>
  <si>
    <t>MX-QUE</t>
  </si>
  <si>
    <t>Querétaro</t>
  </si>
  <si>
    <t>MX-ROO</t>
  </si>
  <si>
    <t>Quintana Roo</t>
  </si>
  <si>
    <t>MX-SLP</t>
  </si>
  <si>
    <t>San Luis Potosí</t>
  </si>
  <si>
    <t>MX-SIN</t>
  </si>
  <si>
    <t>Sinaloa</t>
  </si>
  <si>
    <t>MX-SON</t>
  </si>
  <si>
    <t>Sonora</t>
  </si>
  <si>
    <t>MX-TAB</t>
  </si>
  <si>
    <t>Tabasco</t>
  </si>
  <si>
    <t>MX-TAM</t>
  </si>
  <si>
    <t>Tamaulipas</t>
  </si>
  <si>
    <t>MX-TLA</t>
  </si>
  <si>
    <t>Tlaxcala</t>
  </si>
  <si>
    <t>MX-VER</t>
  </si>
  <si>
    <t>Veracruz de Ignacio de la Llave</t>
  </si>
  <si>
    <t>MX-YUC</t>
  </si>
  <si>
    <t>Yucatán</t>
  </si>
  <si>
    <t>MX-ZAC</t>
  </si>
  <si>
    <t>Zacatecas</t>
  </si>
  <si>
    <t>MY-01</t>
  </si>
  <si>
    <t>Johor</t>
  </si>
  <si>
    <t>MY-02</t>
  </si>
  <si>
    <t>Kedah</t>
  </si>
  <si>
    <t>MY-03</t>
  </si>
  <si>
    <t>Kelantan</t>
  </si>
  <si>
    <t>MY-04</t>
  </si>
  <si>
    <t>Melaka</t>
  </si>
  <si>
    <t>MY-05</t>
  </si>
  <si>
    <t>Negeri Sembilan</t>
  </si>
  <si>
    <t>MY-06</t>
  </si>
  <si>
    <t>Pahang</t>
  </si>
  <si>
    <t>MY-08</t>
  </si>
  <si>
    <t>Perak</t>
  </si>
  <si>
    <t>MY-09</t>
  </si>
  <si>
    <t>Perlis</t>
  </si>
  <si>
    <t>MY-07</t>
  </si>
  <si>
    <t>Pulau Pinang</t>
  </si>
  <si>
    <t>MY-12</t>
  </si>
  <si>
    <t>Sabah</t>
  </si>
  <si>
    <t>MY-13</t>
  </si>
  <si>
    <t>Sarawak</t>
  </si>
  <si>
    <t>MY-10</t>
  </si>
  <si>
    <t>Selangor</t>
  </si>
  <si>
    <t>MY-11</t>
  </si>
  <si>
    <t>Terengganu</t>
  </si>
  <si>
    <t>MY-14</t>
  </si>
  <si>
    <t>Wilayah Persekutuan Kuala Lumpur</t>
  </si>
  <si>
    <t>federal territory</t>
  </si>
  <si>
    <t>MY-15</t>
  </si>
  <si>
    <t>Wilayah Persekutuan Labuan</t>
  </si>
  <si>
    <t>MY-16</t>
  </si>
  <si>
    <t>Wilayah Persekutuan Putrajaya</t>
  </si>
  <si>
    <t>MZ-P</t>
  </si>
  <si>
    <t>Cabo Delgado</t>
  </si>
  <si>
    <t>MZ-G</t>
  </si>
  <si>
    <t>Gaza</t>
  </si>
  <si>
    <t>MZ-I</t>
  </si>
  <si>
    <t>Inhambane</t>
  </si>
  <si>
    <t>MZ-B</t>
  </si>
  <si>
    <t>Manica</t>
  </si>
  <si>
    <t>MZ-MPM</t>
  </si>
  <si>
    <t>MZ-L</t>
  </si>
  <si>
    <t>MZ-N</t>
  </si>
  <si>
    <t>Nampula</t>
  </si>
  <si>
    <t>MZ-A</t>
  </si>
  <si>
    <t>Niassa</t>
  </si>
  <si>
    <t>MZ-S</t>
  </si>
  <si>
    <t>Sofala</t>
  </si>
  <si>
    <t>MZ-T</t>
  </si>
  <si>
    <t>Tete</t>
  </si>
  <si>
    <t>MZ-Q</t>
  </si>
  <si>
    <t>Zambézia</t>
  </si>
  <si>
    <t>NA-ER</t>
  </si>
  <si>
    <t>Erongo</t>
  </si>
  <si>
    <t>NA-HA</t>
  </si>
  <si>
    <t>Hardap</t>
  </si>
  <si>
    <t>NA-KA</t>
  </si>
  <si>
    <t>//Karas</t>
  </si>
  <si>
    <t>NA-KE</t>
  </si>
  <si>
    <t>Kavango East</t>
  </si>
  <si>
    <t>NA-KW</t>
  </si>
  <si>
    <t>Kavango West</t>
  </si>
  <si>
    <t>NA-KH</t>
  </si>
  <si>
    <t>Khomas</t>
  </si>
  <si>
    <t>NA-KU</t>
  </si>
  <si>
    <t>Kunene</t>
  </si>
  <si>
    <t>NA-OW</t>
  </si>
  <si>
    <t>Ohangwena</t>
  </si>
  <si>
    <t>NA-OH</t>
  </si>
  <si>
    <t>Omaheke</t>
  </si>
  <si>
    <t>NA-OS</t>
  </si>
  <si>
    <t>Omusati</t>
  </si>
  <si>
    <t>NA-ON</t>
  </si>
  <si>
    <t>Oshana</t>
  </si>
  <si>
    <t>NA-OT</t>
  </si>
  <si>
    <t>Oshikoto</t>
  </si>
  <si>
    <t>NA-OD</t>
  </si>
  <si>
    <t>Otjozondjupa</t>
  </si>
  <si>
    <t>NA-CA</t>
  </si>
  <si>
    <t>Zambezi</t>
  </si>
  <si>
    <t>NE-1</t>
  </si>
  <si>
    <t>Agadez</t>
  </si>
  <si>
    <t>NE-2</t>
  </si>
  <si>
    <t>Diffa</t>
  </si>
  <si>
    <t>NE-3</t>
  </si>
  <si>
    <t>Dosso</t>
  </si>
  <si>
    <t>NE-4</t>
  </si>
  <si>
    <t>Maradi</t>
  </si>
  <si>
    <t>NE-8</t>
  </si>
  <si>
    <t>urban community</t>
  </si>
  <si>
    <t>NE-5</t>
  </si>
  <si>
    <t>Tahoua</t>
  </si>
  <si>
    <t>NE-6</t>
  </si>
  <si>
    <t>Tillabéri</t>
  </si>
  <si>
    <t>NE-7</t>
  </si>
  <si>
    <t>Zinder</t>
  </si>
  <si>
    <t>NG-AB</t>
  </si>
  <si>
    <t>Abia</t>
  </si>
  <si>
    <t>NG-FC</t>
  </si>
  <si>
    <t>Abuja Federal Capital Territory</t>
  </si>
  <si>
    <t>capital territory</t>
  </si>
  <si>
    <t>NG-AD</t>
  </si>
  <si>
    <t>Adamawa</t>
  </si>
  <si>
    <t>NG-AK</t>
  </si>
  <si>
    <t>Akwa Ibom</t>
  </si>
  <si>
    <t>NG-AN</t>
  </si>
  <si>
    <t>Anambra</t>
  </si>
  <si>
    <t>NG-BA</t>
  </si>
  <si>
    <t>Bauchi</t>
  </si>
  <si>
    <t>NG-BY</t>
  </si>
  <si>
    <t>Bayelsa</t>
  </si>
  <si>
    <t>NG-BE</t>
  </si>
  <si>
    <t>Benue</t>
  </si>
  <si>
    <t>NG-BO</t>
  </si>
  <si>
    <t>Borno</t>
  </si>
  <si>
    <t>NG-CR</t>
  </si>
  <si>
    <t>Cross River</t>
  </si>
  <si>
    <t>NG-DE</t>
  </si>
  <si>
    <t>Delta</t>
  </si>
  <si>
    <t>NG-EB</t>
  </si>
  <si>
    <t>Ebonyi</t>
  </si>
  <si>
    <t>NG-ED</t>
  </si>
  <si>
    <t>Edo</t>
  </si>
  <si>
    <t>NG-EK</t>
  </si>
  <si>
    <t>Ekiti</t>
  </si>
  <si>
    <t>NG-EN</t>
  </si>
  <si>
    <t>Enugu</t>
  </si>
  <si>
    <t>NG-GO</t>
  </si>
  <si>
    <t>Gombe</t>
  </si>
  <si>
    <t>NG-IM</t>
  </si>
  <si>
    <t>Imo</t>
  </si>
  <si>
    <t>NG-JI</t>
  </si>
  <si>
    <t>Jigawa</t>
  </si>
  <si>
    <t>NG-KD</t>
  </si>
  <si>
    <t>Kaduna</t>
  </si>
  <si>
    <t>NG-KN</t>
  </si>
  <si>
    <t>Kano</t>
  </si>
  <si>
    <t>NG-KT</t>
  </si>
  <si>
    <t>Katsina</t>
  </si>
  <si>
    <t>NG-KE</t>
  </si>
  <si>
    <t>Kebbi</t>
  </si>
  <si>
    <t>NG-KO</t>
  </si>
  <si>
    <t>Kogi</t>
  </si>
  <si>
    <t>NG-KW</t>
  </si>
  <si>
    <t>Kwara</t>
  </si>
  <si>
    <t>NG-LA</t>
  </si>
  <si>
    <t>NG-NA</t>
  </si>
  <si>
    <t>Nasarawa</t>
  </si>
  <si>
    <t>NG-NI</t>
  </si>
  <si>
    <t>NG-OG</t>
  </si>
  <si>
    <t>Ogun</t>
  </si>
  <si>
    <t>NG-ON</t>
  </si>
  <si>
    <t>Ondo</t>
  </si>
  <si>
    <t>NG-OS</t>
  </si>
  <si>
    <t>Osun</t>
  </si>
  <si>
    <t>NG-OY</t>
  </si>
  <si>
    <t>Oyo</t>
  </si>
  <si>
    <t>NG-PL</t>
  </si>
  <si>
    <t>NG-RI</t>
  </si>
  <si>
    <t>Rivers</t>
  </si>
  <si>
    <t>NG-SO</t>
  </si>
  <si>
    <t>Sokoto</t>
  </si>
  <si>
    <t>NG-TA</t>
  </si>
  <si>
    <t>Taraba</t>
  </si>
  <si>
    <t>NG-YO</t>
  </si>
  <si>
    <t>Yobe</t>
  </si>
  <si>
    <t>NG-ZA</t>
  </si>
  <si>
    <t>Zamfara</t>
  </si>
  <si>
    <t>NI-BO</t>
  </si>
  <si>
    <t>Boaco</t>
  </si>
  <si>
    <t>NI-CA</t>
  </si>
  <si>
    <t>Carazo</t>
  </si>
  <si>
    <t>NI-CI</t>
  </si>
  <si>
    <t>Chinandega</t>
  </si>
  <si>
    <t>NI-CO</t>
  </si>
  <si>
    <t>Chontales</t>
  </si>
  <si>
    <t>NI-AN</t>
  </si>
  <si>
    <t>Costa Caribe Norte</t>
  </si>
  <si>
    <t>NI-AS</t>
  </si>
  <si>
    <t>Costa Caribe Sur</t>
  </si>
  <si>
    <t>NI-ES</t>
  </si>
  <si>
    <t>Estelí</t>
  </si>
  <si>
    <t>NI-GR</t>
  </si>
  <si>
    <t>NI-JI</t>
  </si>
  <si>
    <t>Jinotega</t>
  </si>
  <si>
    <t>NI-LE</t>
  </si>
  <si>
    <t>NI-MD</t>
  </si>
  <si>
    <t>Madriz</t>
  </si>
  <si>
    <t>NI-MN</t>
  </si>
  <si>
    <t>NI-MS</t>
  </si>
  <si>
    <t>Masaya</t>
  </si>
  <si>
    <t>NI-MT</t>
  </si>
  <si>
    <t>Matagalpa</t>
  </si>
  <si>
    <t>NI-NS</t>
  </si>
  <si>
    <t>Nueva Segovia</t>
  </si>
  <si>
    <t>NI-SJ</t>
  </si>
  <si>
    <t>Río San Juan</t>
  </si>
  <si>
    <t>NI-RI</t>
  </si>
  <si>
    <t>Rivas</t>
  </si>
  <si>
    <t>NL-DR</t>
  </si>
  <si>
    <t>Drenthe</t>
  </si>
  <si>
    <t>NL-FL</t>
  </si>
  <si>
    <t>Flevoland</t>
  </si>
  <si>
    <t>NL-FR</t>
  </si>
  <si>
    <t>Fryslân</t>
  </si>
  <si>
    <t>NL-GE</t>
  </si>
  <si>
    <t>Gelderland</t>
  </si>
  <si>
    <t>NL-GR</t>
  </si>
  <si>
    <t>Groningen</t>
  </si>
  <si>
    <t>NL-LI</t>
  </si>
  <si>
    <t>NL-NB</t>
  </si>
  <si>
    <t>Noord-Brabant</t>
  </si>
  <si>
    <t>NL-NH</t>
  </si>
  <si>
    <t>Noord-Holland</t>
  </si>
  <si>
    <t>NL-OV</t>
  </si>
  <si>
    <t>Overijssel</t>
  </si>
  <si>
    <t>NL-UT</t>
  </si>
  <si>
    <t>Utrecht</t>
  </si>
  <si>
    <t>NL-ZE</t>
  </si>
  <si>
    <t>Zeeland</t>
  </si>
  <si>
    <t>NL-ZH</t>
  </si>
  <si>
    <t>Zuid-Holland</t>
  </si>
  <si>
    <t>NL-AW</t>
  </si>
  <si>
    <t>NL-CW</t>
  </si>
  <si>
    <t>Curaçao</t>
  </si>
  <si>
    <t>NL-SX</t>
  </si>
  <si>
    <t>Sint Maarten</t>
  </si>
  <si>
    <t>NL-BQ1</t>
  </si>
  <si>
    <t>NL-BQ2</t>
  </si>
  <si>
    <t>NL-BQ3</t>
  </si>
  <si>
    <t>NO-42</t>
  </si>
  <si>
    <t>Agder</t>
  </si>
  <si>
    <t>NO-34</t>
  </si>
  <si>
    <t>Innlandet</t>
  </si>
  <si>
    <t>NO-22</t>
  </si>
  <si>
    <t>Jan Mayen</t>
  </si>
  <si>
    <t>arctic region</t>
  </si>
  <si>
    <t>NO-15</t>
  </si>
  <si>
    <t>Møre og Romsdal</t>
  </si>
  <si>
    <t>NO-18</t>
  </si>
  <si>
    <t>Nordland</t>
  </si>
  <si>
    <t>NO-03</t>
  </si>
  <si>
    <t>NO-11</t>
  </si>
  <si>
    <t>Rogaland</t>
  </si>
  <si>
    <t>NO-21</t>
  </si>
  <si>
    <t>Svalbard</t>
  </si>
  <si>
    <t>NO-54</t>
  </si>
  <si>
    <t>Troms og Finnmark</t>
  </si>
  <si>
    <t>NO-50</t>
  </si>
  <si>
    <t>Trøndelag</t>
  </si>
  <si>
    <t>NO-38</t>
  </si>
  <si>
    <t>Vestfold og Telemark</t>
  </si>
  <si>
    <t>NO-46</t>
  </si>
  <si>
    <t>Vestland</t>
  </si>
  <si>
    <t>NO-30</t>
  </si>
  <si>
    <t>Viken</t>
  </si>
  <si>
    <t>NP-P3</t>
  </si>
  <si>
    <t>Bāgmatī</t>
  </si>
  <si>
    <t>NP-P4</t>
  </si>
  <si>
    <t>Gaṇḍakī</t>
  </si>
  <si>
    <t>NP-P6</t>
  </si>
  <si>
    <t>Karṇālī</t>
  </si>
  <si>
    <t>NP-P1</t>
  </si>
  <si>
    <t>Koshī</t>
  </si>
  <si>
    <t>NP-P5</t>
  </si>
  <si>
    <t>Lumbinī</t>
  </si>
  <si>
    <t>NP-P2</t>
  </si>
  <si>
    <t>Madhesh</t>
  </si>
  <si>
    <t>NP-P7</t>
  </si>
  <si>
    <t>Sudūrpashchim</t>
  </si>
  <si>
    <t>NR-01</t>
  </si>
  <si>
    <t>Aiwo</t>
  </si>
  <si>
    <t>NR-02</t>
  </si>
  <si>
    <t>Anabar</t>
  </si>
  <si>
    <t>NR-03</t>
  </si>
  <si>
    <t>Anetan</t>
  </si>
  <si>
    <t>NR-04</t>
  </si>
  <si>
    <t>Anibare</t>
  </si>
  <si>
    <t>NR-05</t>
  </si>
  <si>
    <t>Baitsi</t>
  </si>
  <si>
    <t>NR-06</t>
  </si>
  <si>
    <t>Boe</t>
  </si>
  <si>
    <t>NR-07</t>
  </si>
  <si>
    <t>Buada</t>
  </si>
  <si>
    <t>NR-08</t>
  </si>
  <si>
    <t>Denigomodu</t>
  </si>
  <si>
    <t>NR-09</t>
  </si>
  <si>
    <t>Ewa</t>
  </si>
  <si>
    <t>NR-10</t>
  </si>
  <si>
    <t>Ijuw</t>
  </si>
  <si>
    <t>NR-11</t>
  </si>
  <si>
    <t>Meneng</t>
  </si>
  <si>
    <t>NR-12</t>
  </si>
  <si>
    <t>Nibok</t>
  </si>
  <si>
    <t>NR-13</t>
  </si>
  <si>
    <t>Uaboe</t>
  </si>
  <si>
    <t>NR-14</t>
  </si>
  <si>
    <t>NZ-AUK</t>
  </si>
  <si>
    <t>NZ-BOP</t>
  </si>
  <si>
    <t>Bay of Plenty</t>
  </si>
  <si>
    <t>NZ-CAN</t>
  </si>
  <si>
    <t>Canterbury</t>
  </si>
  <si>
    <t>NZ-CIT</t>
  </si>
  <si>
    <t>Chatham Islands Territory</t>
  </si>
  <si>
    <t>special island authority</t>
  </si>
  <si>
    <t>NZ-GIS</t>
  </si>
  <si>
    <t>Gisborne</t>
  </si>
  <si>
    <t>NZ-WGN</t>
  </si>
  <si>
    <t>Greater Wellington</t>
  </si>
  <si>
    <t>NZ-HKB</t>
  </si>
  <si>
    <t>Hawke's Bay</t>
  </si>
  <si>
    <t>NZ-MWT</t>
  </si>
  <si>
    <t>Manawatū-Whanganui</t>
  </si>
  <si>
    <t>NZ-MBH</t>
  </si>
  <si>
    <t>Marlborough</t>
  </si>
  <si>
    <t>NZ-NSN</t>
  </si>
  <si>
    <t>Nelson</t>
  </si>
  <si>
    <t>NZ-NTL</t>
  </si>
  <si>
    <t>Northland</t>
  </si>
  <si>
    <t>NZ-OTA</t>
  </si>
  <si>
    <t>Otago</t>
  </si>
  <si>
    <t>NZ-STL</t>
  </si>
  <si>
    <t>Southland</t>
  </si>
  <si>
    <t>NZ-TKI</t>
  </si>
  <si>
    <t>Taranaki</t>
  </si>
  <si>
    <t>NZ-TAS</t>
  </si>
  <si>
    <t>Tasman</t>
  </si>
  <si>
    <t>NZ-WKO</t>
  </si>
  <si>
    <t>Waikato</t>
  </si>
  <si>
    <t>NZ-WTC</t>
  </si>
  <si>
    <t>West Coast</t>
  </si>
  <si>
    <t>OM-DA</t>
  </si>
  <si>
    <t>Ad Dākhilīyah</t>
  </si>
  <si>
    <t>OM-BU</t>
  </si>
  <si>
    <t>Al Buraymī</t>
  </si>
  <si>
    <t>OM-WU</t>
  </si>
  <si>
    <t>Al Wusţá</t>
  </si>
  <si>
    <t>OM-ZA</t>
  </si>
  <si>
    <t>Az̧ Z̧āhirah</t>
  </si>
  <si>
    <t>OM-BJ</t>
  </si>
  <si>
    <t>Janūb al Bāţinah</t>
  </si>
  <si>
    <t>OM-SJ</t>
  </si>
  <si>
    <t>Janūb ash Sharqīyah</t>
  </si>
  <si>
    <t>OM-MA</t>
  </si>
  <si>
    <t>Masqaţ</t>
  </si>
  <si>
    <t>OM-MU</t>
  </si>
  <si>
    <t>Musandam</t>
  </si>
  <si>
    <t>OM-BS</t>
  </si>
  <si>
    <t>Shamāl al Bāţinah</t>
  </si>
  <si>
    <t>OM-SS</t>
  </si>
  <si>
    <t>Shamāl ash Sharqīyah</t>
  </si>
  <si>
    <t>OM-ZU</t>
  </si>
  <si>
    <t>Z̧ufār</t>
  </si>
  <si>
    <t>PA-1</t>
  </si>
  <si>
    <t>Bocas del Toro</t>
  </si>
  <si>
    <t>PA-4</t>
  </si>
  <si>
    <t>Chiriquí</t>
  </si>
  <si>
    <t>PA-2</t>
  </si>
  <si>
    <t>Coclé</t>
  </si>
  <si>
    <t>PA-3</t>
  </si>
  <si>
    <t>PA-5</t>
  </si>
  <si>
    <t>Darién</t>
  </si>
  <si>
    <t>PA-EM</t>
  </si>
  <si>
    <t>Emberá</t>
  </si>
  <si>
    <t>indigenous region</t>
  </si>
  <si>
    <t>PA-KY</t>
  </si>
  <si>
    <t>Guna Yala</t>
  </si>
  <si>
    <t>PA-6</t>
  </si>
  <si>
    <t>Herrera</t>
  </si>
  <si>
    <t>PA-7</t>
  </si>
  <si>
    <t>Los Santos</t>
  </si>
  <si>
    <t>PA-NT</t>
  </si>
  <si>
    <t>Naso Tjër Di</t>
  </si>
  <si>
    <t>PA-NB</t>
  </si>
  <si>
    <t>Ngäbe-Buglé</t>
  </si>
  <si>
    <t>PA-8</t>
  </si>
  <si>
    <t>PA-10</t>
  </si>
  <si>
    <t>Panamá Oeste</t>
  </si>
  <si>
    <t>PA-9</t>
  </si>
  <si>
    <t>Veraguas</t>
  </si>
  <si>
    <t>PE-AMA</t>
  </si>
  <si>
    <t>PE-ANC</t>
  </si>
  <si>
    <t>Ancash</t>
  </si>
  <si>
    <t>PE-APU</t>
  </si>
  <si>
    <t>Apurímac</t>
  </si>
  <si>
    <t>PE-ARE</t>
  </si>
  <si>
    <t>Arequipa</t>
  </si>
  <si>
    <t>PE-AYA</t>
  </si>
  <si>
    <t>Ayacucho</t>
  </si>
  <si>
    <t>PE-CAJ</t>
  </si>
  <si>
    <t>Cajamarca</t>
  </si>
  <si>
    <t>PE-CUS</t>
  </si>
  <si>
    <t>Cusco</t>
  </si>
  <si>
    <t>PE-CAL</t>
  </si>
  <si>
    <t>El Callao</t>
  </si>
  <si>
    <t>PE-HUV</t>
  </si>
  <si>
    <t>Huancavelica</t>
  </si>
  <si>
    <t>PE-HUC</t>
  </si>
  <si>
    <t>Huánuco</t>
  </si>
  <si>
    <t>PE-ICA</t>
  </si>
  <si>
    <t>Ica</t>
  </si>
  <si>
    <t>PE-JUN</t>
  </si>
  <si>
    <t>Junín</t>
  </si>
  <si>
    <t>PE-LAL</t>
  </si>
  <si>
    <t>La Libertad</t>
  </si>
  <si>
    <t>PE-LAM</t>
  </si>
  <si>
    <t>Lambayeque</t>
  </si>
  <si>
    <t>PE-LIM</t>
  </si>
  <si>
    <t>PE-LOR</t>
  </si>
  <si>
    <t>Loreto</t>
  </si>
  <si>
    <t>PE-MDD</t>
  </si>
  <si>
    <t>Madre de Dios</t>
  </si>
  <si>
    <t>PE-MOQ</t>
  </si>
  <si>
    <t>Moquegua</t>
  </si>
  <si>
    <t>PE-LMA</t>
  </si>
  <si>
    <t>Municipalidad Metropolitana de Lima</t>
  </si>
  <si>
    <t>PE-PAS</t>
  </si>
  <si>
    <t>Pasco</t>
  </si>
  <si>
    <t>PE-PIU</t>
  </si>
  <si>
    <t>Piura</t>
  </si>
  <si>
    <t>PE-PUN</t>
  </si>
  <si>
    <t>Puno</t>
  </si>
  <si>
    <t>PE-SAM</t>
  </si>
  <si>
    <t>San Martín</t>
  </si>
  <si>
    <t>PE-TAC</t>
  </si>
  <si>
    <t>Tacna</t>
  </si>
  <si>
    <t>PE-TUM</t>
  </si>
  <si>
    <t>Tumbes</t>
  </si>
  <si>
    <t>PE-UCA</t>
  </si>
  <si>
    <t>Ucayali</t>
  </si>
  <si>
    <t>PG-NSB</t>
  </si>
  <si>
    <t>Bougainville</t>
  </si>
  <si>
    <t>PG-CPM</t>
  </si>
  <si>
    <t>PG-CPK</t>
  </si>
  <si>
    <t>Chimbu</t>
  </si>
  <si>
    <t>PG-EBR</t>
  </si>
  <si>
    <t>East New Britain</t>
  </si>
  <si>
    <t>PG-ESW</t>
  </si>
  <si>
    <t>East Sepik</t>
  </si>
  <si>
    <t>PG-EHG</t>
  </si>
  <si>
    <t>Eastern Highlands</t>
  </si>
  <si>
    <t>PG-EPW</t>
  </si>
  <si>
    <t>Enga</t>
  </si>
  <si>
    <t>PG-GPK</t>
  </si>
  <si>
    <t>Gulf</t>
  </si>
  <si>
    <t>PG-HLA</t>
  </si>
  <si>
    <t>Hela</t>
  </si>
  <si>
    <t>PG-JWK</t>
  </si>
  <si>
    <t>Jiwaka</t>
  </si>
  <si>
    <t>PG-MPM</t>
  </si>
  <si>
    <t>Madang</t>
  </si>
  <si>
    <t>PG-MRL</t>
  </si>
  <si>
    <t>Manus</t>
  </si>
  <si>
    <t>PG-MBA</t>
  </si>
  <si>
    <t>Milne Bay</t>
  </si>
  <si>
    <t>PG-MPL</t>
  </si>
  <si>
    <t>Morobe</t>
  </si>
  <si>
    <t>PG-NCD</t>
  </si>
  <si>
    <t>National Capital District</t>
  </si>
  <si>
    <t>PG-NIK</t>
  </si>
  <si>
    <t>New Ireland</t>
  </si>
  <si>
    <t>PG-NPP</t>
  </si>
  <si>
    <t>PG-SHM</t>
  </si>
  <si>
    <t>Southern Highlands</t>
  </si>
  <si>
    <t>PG-WBK</t>
  </si>
  <si>
    <t>West New Britain</t>
  </si>
  <si>
    <t>PG-SAN</t>
  </si>
  <si>
    <t>West Sepik</t>
  </si>
  <si>
    <t>PG-WPD</t>
  </si>
  <si>
    <t>PG-WHM</t>
  </si>
  <si>
    <t>Western Highlands</t>
  </si>
  <si>
    <t>PH-14</t>
  </si>
  <si>
    <t>Autonomous Region in Muslim Mindanao</t>
  </si>
  <si>
    <t>PH-05</t>
  </si>
  <si>
    <t>Bicol</t>
  </si>
  <si>
    <t>PH-02</t>
  </si>
  <si>
    <t>Cagayan Valley</t>
  </si>
  <si>
    <t>PH-40</t>
  </si>
  <si>
    <t>Calabarzon</t>
  </si>
  <si>
    <t>PH-13</t>
  </si>
  <si>
    <t>Caraga</t>
  </si>
  <si>
    <t>PH-03</t>
  </si>
  <si>
    <t>Central Luzon</t>
  </si>
  <si>
    <t>PH-07</t>
  </si>
  <si>
    <t>Central Visayas</t>
  </si>
  <si>
    <t>PH-15</t>
  </si>
  <si>
    <t>Cordillera Administrative Region</t>
  </si>
  <si>
    <t>PH-11</t>
  </si>
  <si>
    <t>Davao</t>
  </si>
  <si>
    <t>PH-08</t>
  </si>
  <si>
    <t>Eastern Visayas</t>
  </si>
  <si>
    <t>PH-01</t>
  </si>
  <si>
    <t>Ilocos</t>
  </si>
  <si>
    <t>PH-41</t>
  </si>
  <si>
    <t>Mimaropa</t>
  </si>
  <si>
    <t>PH-00</t>
  </si>
  <si>
    <t>National Capital Region</t>
  </si>
  <si>
    <t>PH-10</t>
  </si>
  <si>
    <t>Northern Mindanao</t>
  </si>
  <si>
    <t>PH-12</t>
  </si>
  <si>
    <t>Soccsksargen</t>
  </si>
  <si>
    <t>PH-06</t>
  </si>
  <si>
    <t>Western Visayas</t>
  </si>
  <si>
    <t>PH-09</t>
  </si>
  <si>
    <t>Zamboanga Peninsula</t>
  </si>
  <si>
    <t>PH-ABR</t>
  </si>
  <si>
    <t>Abra</t>
  </si>
  <si>
    <t>PH-AGN</t>
  </si>
  <si>
    <t>Agusan del Norte</t>
  </si>
  <si>
    <t>PH-AGS</t>
  </si>
  <si>
    <t>Agusan del Sur</t>
  </si>
  <si>
    <t>PH-AKL</t>
  </si>
  <si>
    <t>Aklan</t>
  </si>
  <si>
    <t>PH-ALB</t>
  </si>
  <si>
    <t>Albay</t>
  </si>
  <si>
    <t>PH-ANT</t>
  </si>
  <si>
    <t>Antique</t>
  </si>
  <si>
    <t>PH-APA</t>
  </si>
  <si>
    <t>Apayao</t>
  </si>
  <si>
    <t>PH-AUR</t>
  </si>
  <si>
    <t>Aurora</t>
  </si>
  <si>
    <t>PH-BAS</t>
  </si>
  <si>
    <t>Basilan</t>
  </si>
  <si>
    <t>PH-BAN</t>
  </si>
  <si>
    <t>Bataan</t>
  </si>
  <si>
    <t>PH-BTN</t>
  </si>
  <si>
    <t>Batanes</t>
  </si>
  <si>
    <t>PH-BTG</t>
  </si>
  <si>
    <t>Batangas</t>
  </si>
  <si>
    <t>PH-BEN</t>
  </si>
  <si>
    <t>Benguet</t>
  </si>
  <si>
    <t>PH-BIL</t>
  </si>
  <si>
    <t>Biliran</t>
  </si>
  <si>
    <t>PH-BOH</t>
  </si>
  <si>
    <t>Bohol</t>
  </si>
  <si>
    <t>PH-BUK</t>
  </si>
  <si>
    <t>Bukidnon</t>
  </si>
  <si>
    <t>PH-BUL</t>
  </si>
  <si>
    <t>Bulacan</t>
  </si>
  <si>
    <t>PH-CAG</t>
  </si>
  <si>
    <t>Cagayan</t>
  </si>
  <si>
    <t>PH-CAN</t>
  </si>
  <si>
    <t>Camarines Norte</t>
  </si>
  <si>
    <t>PH-CAS</t>
  </si>
  <si>
    <t>Camarines Sur</t>
  </si>
  <si>
    <t>PH-CAM</t>
  </si>
  <si>
    <t>Camiguin</t>
  </si>
  <si>
    <t>PH-CAP</t>
  </si>
  <si>
    <t>Capiz</t>
  </si>
  <si>
    <t>PH-CAT</t>
  </si>
  <si>
    <t>Catanduanes</t>
  </si>
  <si>
    <t>PH-CAV</t>
  </si>
  <si>
    <t>Cavite</t>
  </si>
  <si>
    <t>PH-CEB</t>
  </si>
  <si>
    <t>Cebu</t>
  </si>
  <si>
    <t>PH-NCO</t>
  </si>
  <si>
    <t>Cotabato</t>
  </si>
  <si>
    <t>PH-COM</t>
  </si>
  <si>
    <t>Davao de Oro</t>
  </si>
  <si>
    <t>PH-DAV</t>
  </si>
  <si>
    <t>Davao del Norte</t>
  </si>
  <si>
    <t>PH-DAS</t>
  </si>
  <si>
    <t>Davao del Sur</t>
  </si>
  <si>
    <t>PH-DVO</t>
  </si>
  <si>
    <t>Davao Occidental</t>
  </si>
  <si>
    <t>PH-DAO</t>
  </si>
  <si>
    <t>Davao Oriental</t>
  </si>
  <si>
    <t>PH-DIN</t>
  </si>
  <si>
    <t>Dinagat Islands</t>
  </si>
  <si>
    <t>PH-EAS</t>
  </si>
  <si>
    <t>Eastern Samar</t>
  </si>
  <si>
    <t>PH-GUI</t>
  </si>
  <si>
    <t>Guimaras</t>
  </si>
  <si>
    <t>PH-IFU</t>
  </si>
  <si>
    <t>Ifugao</t>
  </si>
  <si>
    <t>PH-ILN</t>
  </si>
  <si>
    <t>Ilocos Norte</t>
  </si>
  <si>
    <t>PH-ILS</t>
  </si>
  <si>
    <t>Ilocos Sur</t>
  </si>
  <si>
    <t>PH-ILI</t>
  </si>
  <si>
    <t>Iloilo</t>
  </si>
  <si>
    <t>PH-ISA</t>
  </si>
  <si>
    <t>Isabela</t>
  </si>
  <si>
    <t>PH-KAL</t>
  </si>
  <si>
    <t>Kalinga</t>
  </si>
  <si>
    <t>PH-LUN</t>
  </si>
  <si>
    <t>La Union</t>
  </si>
  <si>
    <t>PH-LAG</t>
  </si>
  <si>
    <t>Laguna</t>
  </si>
  <si>
    <t>PH-LAN</t>
  </si>
  <si>
    <t>Lanao del Norte</t>
  </si>
  <si>
    <t>PH-LAS</t>
  </si>
  <si>
    <t>Lanao del Sur</t>
  </si>
  <si>
    <t>PH-LEY</t>
  </si>
  <si>
    <t>Leyte</t>
  </si>
  <si>
    <t>PH-MAD</t>
  </si>
  <si>
    <t>Marinduque</t>
  </si>
  <si>
    <t>PH-MAS</t>
  </si>
  <si>
    <t>Masbate</t>
  </si>
  <si>
    <t>PH-MDC</t>
  </si>
  <si>
    <t>Mindoro Occidental</t>
  </si>
  <si>
    <t>PH-MDR</t>
  </si>
  <si>
    <t>Mindoro Oriental</t>
  </si>
  <si>
    <t>PH-MGN</t>
  </si>
  <si>
    <t>Maguindanao del Norte</t>
  </si>
  <si>
    <t>PH-MGS</t>
  </si>
  <si>
    <t>Maguindanao del Sur</t>
  </si>
  <si>
    <t>PH-MSC</t>
  </si>
  <si>
    <t>Misamis Occidental</t>
  </si>
  <si>
    <t>PH-MSR</t>
  </si>
  <si>
    <t>Misamis Oriental</t>
  </si>
  <si>
    <t>PH-MOU</t>
  </si>
  <si>
    <t>Mountain Province</t>
  </si>
  <si>
    <t>PH-NEC</t>
  </si>
  <si>
    <t>Negros Occidental</t>
  </si>
  <si>
    <t>PH-NER</t>
  </si>
  <si>
    <t>Negros Oriental</t>
  </si>
  <si>
    <t>PH-NSA</t>
  </si>
  <si>
    <t>Northern Samar</t>
  </si>
  <si>
    <t>PH-NUE</t>
  </si>
  <si>
    <t>Nueva Ecija</t>
  </si>
  <si>
    <t>PH-NUV</t>
  </si>
  <si>
    <t>Nueva Vizcaya</t>
  </si>
  <si>
    <t>PH-PLW</t>
  </si>
  <si>
    <t>Palawan</t>
  </si>
  <si>
    <t>PH-PAM</t>
  </si>
  <si>
    <t>Pampanga</t>
  </si>
  <si>
    <t>PH-PAN</t>
  </si>
  <si>
    <t>Pangasinan</t>
  </si>
  <si>
    <t>PH-QUE</t>
  </si>
  <si>
    <t>Quezon</t>
  </si>
  <si>
    <t>PH-QUI</t>
  </si>
  <si>
    <t>Quirino</t>
  </si>
  <si>
    <t>PH-RIZ</t>
  </si>
  <si>
    <t>Rizal</t>
  </si>
  <si>
    <t>PH-ROM</t>
  </si>
  <si>
    <t>Romblon</t>
  </si>
  <si>
    <t>PH-WSA</t>
  </si>
  <si>
    <t>Samar</t>
  </si>
  <si>
    <t>PH-SAR</t>
  </si>
  <si>
    <t>Sarangani</t>
  </si>
  <si>
    <t>PH-SIG</t>
  </si>
  <si>
    <t>Siquijor</t>
  </si>
  <si>
    <t>PH-SOR</t>
  </si>
  <si>
    <t>Sorsogon</t>
  </si>
  <si>
    <t>PH-SCO</t>
  </si>
  <si>
    <t>South Cotabato</t>
  </si>
  <si>
    <t>PH-SLE</t>
  </si>
  <si>
    <t>Southern Leyte</t>
  </si>
  <si>
    <t>PH-SUK</t>
  </si>
  <si>
    <t>Sultan Kudarat</t>
  </si>
  <si>
    <t>PH-SLU</t>
  </si>
  <si>
    <t>Sulu</t>
  </si>
  <si>
    <t>PH-SUN</t>
  </si>
  <si>
    <t>Surigao del Norte</t>
  </si>
  <si>
    <t>PH-SUR</t>
  </si>
  <si>
    <t>Surigao del Sur</t>
  </si>
  <si>
    <t>PH-TAR</t>
  </si>
  <si>
    <t>Tarlac</t>
  </si>
  <si>
    <t>PH-TAW</t>
  </si>
  <si>
    <t>Tawi-Tawi</t>
  </si>
  <si>
    <t>PH-ZMB</t>
  </si>
  <si>
    <t>Zambales</t>
  </si>
  <si>
    <t>PH-ZAN</t>
  </si>
  <si>
    <t>Zamboanga del Norte</t>
  </si>
  <si>
    <t>PH-ZAS</t>
  </si>
  <si>
    <t>Zamboanga del Sur</t>
  </si>
  <si>
    <t>PH-ZSI</t>
  </si>
  <si>
    <t>Zamboanga Sibugay</t>
  </si>
  <si>
    <t>PK-JK</t>
  </si>
  <si>
    <t>Āzād Jammūñ o Kashmīr</t>
  </si>
  <si>
    <t>pakistan administered area</t>
  </si>
  <si>
    <t>PK-BA</t>
  </si>
  <si>
    <t>Balōchistān</t>
  </si>
  <si>
    <t>PK-GB</t>
  </si>
  <si>
    <t>Gilgit-Baltistān</t>
  </si>
  <si>
    <t>PK-IS</t>
  </si>
  <si>
    <t>Islāmābād</t>
  </si>
  <si>
    <t>federal capital territory</t>
  </si>
  <si>
    <t>PK-KP</t>
  </si>
  <si>
    <t>Khaībar Pakhtūnkhwā</t>
  </si>
  <si>
    <t>PK-PB</t>
  </si>
  <si>
    <t>Panjāb</t>
  </si>
  <si>
    <t>PK-SD</t>
  </si>
  <si>
    <t>Sindh</t>
  </si>
  <si>
    <t>PL-02</t>
  </si>
  <si>
    <t>Dolnośląskie</t>
  </si>
  <si>
    <t>voivodship</t>
  </si>
  <si>
    <t>PL-04</t>
  </si>
  <si>
    <t>Kujawsko-Pomorskie</t>
  </si>
  <si>
    <t>PL-06</t>
  </si>
  <si>
    <t>Lubelskie</t>
  </si>
  <si>
    <t>PL-08</t>
  </si>
  <si>
    <t>Lubuskie</t>
  </si>
  <si>
    <t>PL-10</t>
  </si>
  <si>
    <t>Łódzkie</t>
  </si>
  <si>
    <t>PL-12</t>
  </si>
  <si>
    <t>Małopolskie</t>
  </si>
  <si>
    <t>PL-14</t>
  </si>
  <si>
    <t>Mazowieckie</t>
  </si>
  <si>
    <t>PL-16</t>
  </si>
  <si>
    <t>Opolskie</t>
  </si>
  <si>
    <t>PL-18</t>
  </si>
  <si>
    <t>Podkarpackie</t>
  </si>
  <si>
    <t>PL-20</t>
  </si>
  <si>
    <t>Podlaskie</t>
  </si>
  <si>
    <t>PL-22</t>
  </si>
  <si>
    <t>Pomorskie</t>
  </si>
  <si>
    <t>PL-24</t>
  </si>
  <si>
    <t>Śląskie</t>
  </si>
  <si>
    <t>PL-26</t>
  </si>
  <si>
    <t>Świętokrzyskie</t>
  </si>
  <si>
    <t>PL-28</t>
  </si>
  <si>
    <t>Warmińsko-Mazurskie</t>
  </si>
  <si>
    <t>PL-30</t>
  </si>
  <si>
    <t>Wielkopolskie</t>
  </si>
  <si>
    <t>PL-32</t>
  </si>
  <si>
    <t>Zachodniopomorskie</t>
  </si>
  <si>
    <t>PS-BTH</t>
  </si>
  <si>
    <t>Bayt Laḩm</t>
  </si>
  <si>
    <t>PS-DEB</t>
  </si>
  <si>
    <t>Dayr al Balaḩ</t>
  </si>
  <si>
    <t>PS-GZA</t>
  </si>
  <si>
    <t>Ghazzah</t>
  </si>
  <si>
    <t>PS-HBN</t>
  </si>
  <si>
    <t>Al Khalīl</t>
  </si>
  <si>
    <t>PS-JEN</t>
  </si>
  <si>
    <t>Janīn</t>
  </si>
  <si>
    <t>PS-JRH</t>
  </si>
  <si>
    <t>Arīḩā wal Aghwār</t>
  </si>
  <si>
    <t>PS-JEM</t>
  </si>
  <si>
    <t>Al Quds</t>
  </si>
  <si>
    <t>PS-KYS</t>
  </si>
  <si>
    <t>Khān Yūnis</t>
  </si>
  <si>
    <t>PS-NBS</t>
  </si>
  <si>
    <t>Nāblus</t>
  </si>
  <si>
    <t>PS-NGZ</t>
  </si>
  <si>
    <t>Shamāl Ghazzah</t>
  </si>
  <si>
    <t>PS-QQA</t>
  </si>
  <si>
    <t>Qalqīlyah</t>
  </si>
  <si>
    <t>PS-RFH</t>
  </si>
  <si>
    <t>Rafaḩ</t>
  </si>
  <si>
    <t>PS-RBH</t>
  </si>
  <si>
    <t>Rām Allāh wal Bīrah</t>
  </si>
  <si>
    <t>PS-SLT</t>
  </si>
  <si>
    <t>Salfīt</t>
  </si>
  <si>
    <t>PS-TBS</t>
  </si>
  <si>
    <t>Ţūbās</t>
  </si>
  <si>
    <t>PS-TKM</t>
  </si>
  <si>
    <t>Ţūlkarm</t>
  </si>
  <si>
    <t>PT-01</t>
  </si>
  <si>
    <t>Aveiro</t>
  </si>
  <si>
    <t>PT-02</t>
  </si>
  <si>
    <t>Beja</t>
  </si>
  <si>
    <t>PT-03</t>
  </si>
  <si>
    <t>Braga</t>
  </si>
  <si>
    <t>PT-04</t>
  </si>
  <si>
    <t>Bragança</t>
  </si>
  <si>
    <t>PT-05</t>
  </si>
  <si>
    <t>Castelo Branco</t>
  </si>
  <si>
    <t>PT-06</t>
  </si>
  <si>
    <t>Coimbra</t>
  </si>
  <si>
    <t>PT-07</t>
  </si>
  <si>
    <t>Évora</t>
  </si>
  <si>
    <t>PT-08</t>
  </si>
  <si>
    <t>Faro</t>
  </si>
  <si>
    <t>PT-09</t>
  </si>
  <si>
    <t>Guarda</t>
  </si>
  <si>
    <t>PT-10</t>
  </si>
  <si>
    <t>Leiria</t>
  </si>
  <si>
    <t>PT-11</t>
  </si>
  <si>
    <t>Lisboa</t>
  </si>
  <si>
    <t>PT-12</t>
  </si>
  <si>
    <t>Portalegre</t>
  </si>
  <si>
    <t>PT-13</t>
  </si>
  <si>
    <t>Porto</t>
  </si>
  <si>
    <t>PT-30</t>
  </si>
  <si>
    <t>Região Autónoma da Madeira</t>
  </si>
  <si>
    <t>PT-20</t>
  </si>
  <si>
    <t>Região Autónoma dos Açores</t>
  </si>
  <si>
    <t>PT-14</t>
  </si>
  <si>
    <t>Santarém</t>
  </si>
  <si>
    <t>PT-15</t>
  </si>
  <si>
    <t>Setúbal</t>
  </si>
  <si>
    <t>PT-16</t>
  </si>
  <si>
    <t>Viana do Castelo</t>
  </si>
  <si>
    <t>PT-17</t>
  </si>
  <si>
    <t>Vila Real</t>
  </si>
  <si>
    <t>PT-18</t>
  </si>
  <si>
    <t>Viseu</t>
  </si>
  <si>
    <t>PW-002</t>
  </si>
  <si>
    <t>Aimeliik</t>
  </si>
  <si>
    <t>PW-004</t>
  </si>
  <si>
    <t>Airai</t>
  </si>
  <si>
    <t>PW-010</t>
  </si>
  <si>
    <t>Angaur</t>
  </si>
  <si>
    <t>PW-050</t>
  </si>
  <si>
    <t>Hatohobei</t>
  </si>
  <si>
    <t>PW-100</t>
  </si>
  <si>
    <t>Kayangel</t>
  </si>
  <si>
    <t>PW-150</t>
  </si>
  <si>
    <t>Koror</t>
  </si>
  <si>
    <t>PW-212</t>
  </si>
  <si>
    <t>PW-214</t>
  </si>
  <si>
    <t>Ngaraard</t>
  </si>
  <si>
    <t>PW-218</t>
  </si>
  <si>
    <t>Ngarchelong</t>
  </si>
  <si>
    <t>PW-222</t>
  </si>
  <si>
    <t>Ngardmau</t>
  </si>
  <si>
    <t>PW-224</t>
  </si>
  <si>
    <t>Ngatpang</t>
  </si>
  <si>
    <t>PW-226</t>
  </si>
  <si>
    <t>Ngchesar</t>
  </si>
  <si>
    <t>PW-227</t>
  </si>
  <si>
    <t>Ngeremlengui</t>
  </si>
  <si>
    <t>PW-228</t>
  </si>
  <si>
    <t>Ngiwal</t>
  </si>
  <si>
    <t>PW-350</t>
  </si>
  <si>
    <t>Peleliu</t>
  </si>
  <si>
    <t>PW-370</t>
  </si>
  <si>
    <t>Sonsorol</t>
  </si>
  <si>
    <t>PY-16</t>
  </si>
  <si>
    <t>Alto Paraguay</t>
  </si>
  <si>
    <t>PY-10</t>
  </si>
  <si>
    <t>Alto Paraná</t>
  </si>
  <si>
    <t>PY-13</t>
  </si>
  <si>
    <t>Amambay</t>
  </si>
  <si>
    <t>PY-ASU</t>
  </si>
  <si>
    <t>capital</t>
  </si>
  <si>
    <t>PY-19</t>
  </si>
  <si>
    <t>Boquerón</t>
  </si>
  <si>
    <t>PY-5</t>
  </si>
  <si>
    <t>Caaguazú</t>
  </si>
  <si>
    <t>PY-6</t>
  </si>
  <si>
    <t>Caazapá</t>
  </si>
  <si>
    <t>PY-14</t>
  </si>
  <si>
    <t>Canindeyú</t>
  </si>
  <si>
    <t>PY-11</t>
  </si>
  <si>
    <t>PY-1</t>
  </si>
  <si>
    <t>Concepción</t>
  </si>
  <si>
    <t>PY-3</t>
  </si>
  <si>
    <t>Cordillera</t>
  </si>
  <si>
    <t>PY-4</t>
  </si>
  <si>
    <t>Guairá</t>
  </si>
  <si>
    <t>PY-7</t>
  </si>
  <si>
    <t>Itapúa</t>
  </si>
  <si>
    <t>PY-8</t>
  </si>
  <si>
    <t>PY-12</t>
  </si>
  <si>
    <t>Ñeembucú</t>
  </si>
  <si>
    <t>PY-9</t>
  </si>
  <si>
    <t>Paraguarí</t>
  </si>
  <si>
    <t>PY-15</t>
  </si>
  <si>
    <t>Presidente Hayes</t>
  </si>
  <si>
    <t>PY-2</t>
  </si>
  <si>
    <t>San Pedro</t>
  </si>
  <si>
    <t>QA-DA</t>
  </si>
  <si>
    <t>Ad Dawḩah</t>
  </si>
  <si>
    <t>QA-KH</t>
  </si>
  <si>
    <t>Al Khawr wa adh Dhakhīrah</t>
  </si>
  <si>
    <t>QA-WA</t>
  </si>
  <si>
    <t>Al Wakrah</t>
  </si>
  <si>
    <t>QA-RA</t>
  </si>
  <si>
    <t>Ar Rayyān</t>
  </si>
  <si>
    <t>QA-MS</t>
  </si>
  <si>
    <t>Ash Shamāl</t>
  </si>
  <si>
    <t>QA-SH</t>
  </si>
  <si>
    <t>Ash Shīḩānīyah</t>
  </si>
  <si>
    <t>QA-ZA</t>
  </si>
  <si>
    <t>Az̧ Z̧a‘āyin</t>
  </si>
  <si>
    <t>QA-US</t>
  </si>
  <si>
    <t>Umm Şalāl</t>
  </si>
  <si>
    <t>RO-AB</t>
  </si>
  <si>
    <t>Alba</t>
  </si>
  <si>
    <t>RO-AR</t>
  </si>
  <si>
    <t>Arad</t>
  </si>
  <si>
    <t>RO-AG</t>
  </si>
  <si>
    <t>Argeș</t>
  </si>
  <si>
    <t>RO-BC</t>
  </si>
  <si>
    <t>Bacău</t>
  </si>
  <si>
    <t>RO-BH</t>
  </si>
  <si>
    <t>Bihor</t>
  </si>
  <si>
    <t>RO-BN</t>
  </si>
  <si>
    <t>Bistrița-Năsăud</t>
  </si>
  <si>
    <t>RO-BT</t>
  </si>
  <si>
    <t>Botoșani</t>
  </si>
  <si>
    <t>RO-BV</t>
  </si>
  <si>
    <t>Brașov</t>
  </si>
  <si>
    <t>RO-BR</t>
  </si>
  <si>
    <t>Brăila</t>
  </si>
  <si>
    <t>RO-B</t>
  </si>
  <si>
    <t>București</t>
  </si>
  <si>
    <t>RO-BZ</t>
  </si>
  <si>
    <t>Buzău</t>
  </si>
  <si>
    <t>RO-CS</t>
  </si>
  <si>
    <t>Caraș-Severin</t>
  </si>
  <si>
    <t>RO-CL</t>
  </si>
  <si>
    <t>RO-CJ</t>
  </si>
  <si>
    <t>Cluj</t>
  </si>
  <si>
    <t>RO-CT</t>
  </si>
  <si>
    <t>Constanța</t>
  </si>
  <si>
    <t>RO-CV</t>
  </si>
  <si>
    <t>Covasna</t>
  </si>
  <si>
    <t>RO-DB</t>
  </si>
  <si>
    <t>Dâmbovița</t>
  </si>
  <si>
    <t>RO-DJ</t>
  </si>
  <si>
    <t>Dolj</t>
  </si>
  <si>
    <t>RO-GL</t>
  </si>
  <si>
    <t>Galați</t>
  </si>
  <si>
    <t>RO-GR</t>
  </si>
  <si>
    <t>Giurgiu</t>
  </si>
  <si>
    <t>RO-GJ</t>
  </si>
  <si>
    <t>Gorj</t>
  </si>
  <si>
    <t>RO-HR</t>
  </si>
  <si>
    <t>Harghita</t>
  </si>
  <si>
    <t>RO-HD</t>
  </si>
  <si>
    <t>Hunedoara</t>
  </si>
  <si>
    <t>RO-IL</t>
  </si>
  <si>
    <t>Ialomița</t>
  </si>
  <si>
    <t>RO-IS</t>
  </si>
  <si>
    <t>Iași</t>
  </si>
  <si>
    <t>RO-IF</t>
  </si>
  <si>
    <t>Ilfov</t>
  </si>
  <si>
    <t>RO-MM</t>
  </si>
  <si>
    <t>Maramureș</t>
  </si>
  <si>
    <t>RO-MH</t>
  </si>
  <si>
    <t>Mehedinți</t>
  </si>
  <si>
    <t>RO-MS</t>
  </si>
  <si>
    <t>Mureș</t>
  </si>
  <si>
    <t>RO-NT</t>
  </si>
  <si>
    <t>Neamț</t>
  </si>
  <si>
    <t>RO-OT</t>
  </si>
  <si>
    <t>Olt</t>
  </si>
  <si>
    <t>RO-PH</t>
  </si>
  <si>
    <t>Prahova</t>
  </si>
  <si>
    <t>RO-SM</t>
  </si>
  <si>
    <t>Satu Mare</t>
  </si>
  <si>
    <t>RO-SJ</t>
  </si>
  <si>
    <t>Sălaj</t>
  </si>
  <si>
    <t>RO-SB</t>
  </si>
  <si>
    <t>Sibiu</t>
  </si>
  <si>
    <t>RO-SV</t>
  </si>
  <si>
    <t>Suceava</t>
  </si>
  <si>
    <t>RO-TR</t>
  </si>
  <si>
    <t>Teleorman</t>
  </si>
  <si>
    <t>RO-TM</t>
  </si>
  <si>
    <t>Timiș</t>
  </si>
  <si>
    <t>RO-TL</t>
  </si>
  <si>
    <t>Tulcea</t>
  </si>
  <si>
    <t>RO-VS</t>
  </si>
  <si>
    <t>Vaslui</t>
  </si>
  <si>
    <t>RO-VL</t>
  </si>
  <si>
    <t>Vâlcea</t>
  </si>
  <si>
    <t>RO-VN</t>
  </si>
  <si>
    <t>Vrancea</t>
  </si>
  <si>
    <t>RS-KM</t>
  </si>
  <si>
    <t>Kosovo-Metohija</t>
  </si>
  <si>
    <t>autonomus province</t>
  </si>
  <si>
    <t>RS-VO</t>
  </si>
  <si>
    <t>Vojvodina</t>
  </si>
  <si>
    <t>RS-00</t>
  </si>
  <si>
    <t>Beograd</t>
  </si>
  <si>
    <t>RS-14</t>
  </si>
  <si>
    <t>Borski okrug</t>
  </si>
  <si>
    <t>RS-11</t>
  </si>
  <si>
    <t>Braničevski okrug</t>
  </si>
  <si>
    <t>RS-23</t>
  </si>
  <si>
    <t>Jablanički okrug</t>
  </si>
  <si>
    <t>RS-06</t>
  </si>
  <si>
    <t>Južnobački okrug</t>
  </si>
  <si>
    <t>RS-04</t>
  </si>
  <si>
    <t>Južnobanatski okrug</t>
  </si>
  <si>
    <t>RS-09</t>
  </si>
  <si>
    <t>Kolubarski okrug</t>
  </si>
  <si>
    <t>RS-25</t>
  </si>
  <si>
    <t>Kosovski okrug</t>
  </si>
  <si>
    <t>RS-28</t>
  </si>
  <si>
    <t>Kosovsko-Mitrovački okrug</t>
  </si>
  <si>
    <t>RS-29</t>
  </si>
  <si>
    <t>Kosovsko-Pomoravski okrug</t>
  </si>
  <si>
    <t>RS-08</t>
  </si>
  <si>
    <t>Mačvanski okrug</t>
  </si>
  <si>
    <t>RS-17</t>
  </si>
  <si>
    <t>Moravički okrug</t>
  </si>
  <si>
    <t>RS-20</t>
  </si>
  <si>
    <t>Nišavski okrug</t>
  </si>
  <si>
    <t>RS-24</t>
  </si>
  <si>
    <t>Pčinjski okrug</t>
  </si>
  <si>
    <t>RS-26</t>
  </si>
  <si>
    <t>Pećki okrug</t>
  </si>
  <si>
    <t>RS-22</t>
  </si>
  <si>
    <t>Pirotski okrug</t>
  </si>
  <si>
    <t>RS-10</t>
  </si>
  <si>
    <t>Podunavski okrug</t>
  </si>
  <si>
    <t>RS-13</t>
  </si>
  <si>
    <t>Pomoravski okrug</t>
  </si>
  <si>
    <t>RS-27</t>
  </si>
  <si>
    <t>Prizrenski okrug</t>
  </si>
  <si>
    <t>RS-19</t>
  </si>
  <si>
    <t>Rasinski okrug</t>
  </si>
  <si>
    <t>RS-18</t>
  </si>
  <si>
    <t>Raški okrug</t>
  </si>
  <si>
    <t>RS-01</t>
  </si>
  <si>
    <t>Severnobački okrug</t>
  </si>
  <si>
    <t>RS-03</t>
  </si>
  <si>
    <t>Severnobanatski okrug</t>
  </si>
  <si>
    <t>RS-02</t>
  </si>
  <si>
    <t>Srednjebanatski okrug</t>
  </si>
  <si>
    <t>RS-07</t>
  </si>
  <si>
    <t>Sremski okrug</t>
  </si>
  <si>
    <t>RS-12</t>
  </si>
  <si>
    <t>Šumadijski okrug</t>
  </si>
  <si>
    <t>RS-21</t>
  </si>
  <si>
    <t>Toplički okrug</t>
  </si>
  <si>
    <t>RS-15</t>
  </si>
  <si>
    <t>Zaječarski okrug</t>
  </si>
  <si>
    <t>RS-05</t>
  </si>
  <si>
    <t>Zapadnobački okrug</t>
  </si>
  <si>
    <t>RS-16</t>
  </si>
  <si>
    <t>Zlatiborski okrug</t>
  </si>
  <si>
    <t>RU-AD</t>
  </si>
  <si>
    <t>Adygeya, Respublika</t>
  </si>
  <si>
    <t>republic</t>
  </si>
  <si>
    <t>RU-AL</t>
  </si>
  <si>
    <t>Altay, Respublika</t>
  </si>
  <si>
    <t>RU-ALT</t>
  </si>
  <si>
    <t>Altayskiy kray</t>
  </si>
  <si>
    <t>administrative territory</t>
  </si>
  <si>
    <t>RU-AMU</t>
  </si>
  <si>
    <t>Amurskaya oblast'</t>
  </si>
  <si>
    <t>RU-ARK</t>
  </si>
  <si>
    <t>Arkhangel'skaya oblast'</t>
  </si>
  <si>
    <t>RU-AST</t>
  </si>
  <si>
    <t>Astrakhanskaya oblast'</t>
  </si>
  <si>
    <t>RU-BA</t>
  </si>
  <si>
    <t>Bashkortostan, Respublika</t>
  </si>
  <si>
    <t>RU-BEL</t>
  </si>
  <si>
    <t>Belgorodskaya oblast'</t>
  </si>
  <si>
    <t>RU-BRY</t>
  </si>
  <si>
    <t>Bryanskaya oblast'</t>
  </si>
  <si>
    <t>RU-BU</t>
  </si>
  <si>
    <t>Buryatiya, Respublika</t>
  </si>
  <si>
    <t>RU-CE</t>
  </si>
  <si>
    <t>Chechenskaya Respublika</t>
  </si>
  <si>
    <t>RU-CHE</t>
  </si>
  <si>
    <t>Chelyabinskaya oblast'</t>
  </si>
  <si>
    <t>RU-CHU</t>
  </si>
  <si>
    <t>Chukotskiy avtonomnyy okrug</t>
  </si>
  <si>
    <t>RU-CU</t>
  </si>
  <si>
    <t>Chuvashskaya Respublika</t>
  </si>
  <si>
    <t>RU-DA</t>
  </si>
  <si>
    <t>Dagestan, Respublika</t>
  </si>
  <si>
    <t>RU-IN</t>
  </si>
  <si>
    <t>Ingushetiya, Respublika</t>
  </si>
  <si>
    <t>RU-IRK</t>
  </si>
  <si>
    <t>Irkutskaya oblast'</t>
  </si>
  <si>
    <t>RU-IVA</t>
  </si>
  <si>
    <t>Ivanovskaya oblast'</t>
  </si>
  <si>
    <t>RU-KB</t>
  </si>
  <si>
    <t>Kabardino-BalkarskayaRespublika</t>
  </si>
  <si>
    <t>RU-KGD</t>
  </si>
  <si>
    <t>Kaliningradskaya oblast'</t>
  </si>
  <si>
    <t>RU-KL</t>
  </si>
  <si>
    <t>Kalmykiya, Respublika</t>
  </si>
  <si>
    <t>RU-KLU</t>
  </si>
  <si>
    <t>Kaluzhskaya oblast'</t>
  </si>
  <si>
    <t>RU-KAM</t>
  </si>
  <si>
    <t>Kamchatskiy kray</t>
  </si>
  <si>
    <t>RU-KC</t>
  </si>
  <si>
    <t>Karachayevo-CherkesskayaRespublika</t>
  </si>
  <si>
    <t>RU-KR</t>
  </si>
  <si>
    <t>Kareliya, Respublika</t>
  </si>
  <si>
    <t>RU-KEM</t>
  </si>
  <si>
    <t>Kemerovskaya oblast'</t>
  </si>
  <si>
    <t>RU-KHA</t>
  </si>
  <si>
    <t>Khabarovskiy kray</t>
  </si>
  <si>
    <t>RU-KK</t>
  </si>
  <si>
    <t>Khakasiya, Respublika</t>
  </si>
  <si>
    <t>RU-KHM</t>
  </si>
  <si>
    <t>Khanty-Mansiyskiyavtonomnyy okrug</t>
  </si>
  <si>
    <t>RU-KIR</t>
  </si>
  <si>
    <t>Kirovskaya oblast'</t>
  </si>
  <si>
    <t>RU-KO</t>
  </si>
  <si>
    <t>Komi, Respublika</t>
  </si>
  <si>
    <t>RU-KOS</t>
  </si>
  <si>
    <t>Kostromskaya oblast'</t>
  </si>
  <si>
    <t>RU-KDA</t>
  </si>
  <si>
    <t>Krasnodarskiy kray</t>
  </si>
  <si>
    <t>RU-KYA</t>
  </si>
  <si>
    <t>Krasnoyarskiy kray</t>
  </si>
  <si>
    <t>RU-KGN</t>
  </si>
  <si>
    <t>Kurganskaya oblast'</t>
  </si>
  <si>
    <t>RU-KRS</t>
  </si>
  <si>
    <t>Kurskaya oblast'</t>
  </si>
  <si>
    <t>RU-LEN</t>
  </si>
  <si>
    <t>Leningradskayaoblast'</t>
  </si>
  <si>
    <t>RU-LIP</t>
  </si>
  <si>
    <t>Lipetskaya oblast'</t>
  </si>
  <si>
    <t>RU-MAG</t>
  </si>
  <si>
    <t>Magadanskaya oblast'</t>
  </si>
  <si>
    <t>RU-ME</t>
  </si>
  <si>
    <t>Mariy El, Respublika</t>
  </si>
  <si>
    <t>RU-MO</t>
  </si>
  <si>
    <t>Mordoviya, Respublika</t>
  </si>
  <si>
    <t>RU-MOS</t>
  </si>
  <si>
    <t>Moskovskaya oblast'</t>
  </si>
  <si>
    <t>RU-MOW</t>
  </si>
  <si>
    <t>Moskva</t>
  </si>
  <si>
    <t>autonomous city</t>
  </si>
  <si>
    <t>RU-MUR</t>
  </si>
  <si>
    <t>Murmanskaya oblast'</t>
  </si>
  <si>
    <t>RU-NEN</t>
  </si>
  <si>
    <t>Nenetskiyavtonomnyy okrug</t>
  </si>
  <si>
    <t>RU-NIZ</t>
  </si>
  <si>
    <t>Nizhegorodskaya oblast'</t>
  </si>
  <si>
    <t>RU-NGR</t>
  </si>
  <si>
    <t>Novgorodskaya oblast'</t>
  </si>
  <si>
    <t>RU-NVS</t>
  </si>
  <si>
    <t>Novosibirskayaoblast'</t>
  </si>
  <si>
    <t>RU-OMS</t>
  </si>
  <si>
    <t>Omskaya oblast'</t>
  </si>
  <si>
    <t>RU-ORE</t>
  </si>
  <si>
    <t>Orenburgskaya oblast'</t>
  </si>
  <si>
    <t>RU-ORL</t>
  </si>
  <si>
    <t>Orlovskaya oblast'</t>
  </si>
  <si>
    <t>RU-PNZ</t>
  </si>
  <si>
    <t>Penzenskaya oblast'</t>
  </si>
  <si>
    <t>RU-PER</t>
  </si>
  <si>
    <t>Permskiy kray</t>
  </si>
  <si>
    <t>RU-PRI</t>
  </si>
  <si>
    <t>Primorskiy kray</t>
  </si>
  <si>
    <t>RU-PSK</t>
  </si>
  <si>
    <t>Pskovskaya oblast'</t>
  </si>
  <si>
    <t>RU-ROS</t>
  </si>
  <si>
    <t>Rostovskaya oblast'</t>
  </si>
  <si>
    <t>RU-RYA</t>
  </si>
  <si>
    <t>Ryazanskaya oblast'</t>
  </si>
  <si>
    <t>RU-SA</t>
  </si>
  <si>
    <t>Saha, Respublika</t>
  </si>
  <si>
    <t>RU-SAK</t>
  </si>
  <si>
    <t>Sakhalinskaya oblast'</t>
  </si>
  <si>
    <t>RU-SAM</t>
  </si>
  <si>
    <t>Samarskaya oblast'</t>
  </si>
  <si>
    <t>RU-SPE</t>
  </si>
  <si>
    <t>Sankt-Peterburg</t>
  </si>
  <si>
    <t>RU-SAR</t>
  </si>
  <si>
    <t>Saratovskaya oblast'</t>
  </si>
  <si>
    <t>RU-SE</t>
  </si>
  <si>
    <t>Severnaya Osetiya, Respublika</t>
  </si>
  <si>
    <t>RU-SMO</t>
  </si>
  <si>
    <t>Smolenskaya oblast'</t>
  </si>
  <si>
    <t>RU-STA</t>
  </si>
  <si>
    <t>Stavropol'skiy kray</t>
  </si>
  <si>
    <t>RU-SVE</t>
  </si>
  <si>
    <t>Sverdlovskaya oblast'</t>
  </si>
  <si>
    <t>RU-TAM</t>
  </si>
  <si>
    <t>Tambovskaya oblast'</t>
  </si>
  <si>
    <t>RU-TA</t>
  </si>
  <si>
    <t>Tatarstan, Respublika</t>
  </si>
  <si>
    <t>RU-TOM</t>
  </si>
  <si>
    <t>Tomskaya oblast'</t>
  </si>
  <si>
    <t>RU-TUL</t>
  </si>
  <si>
    <t>Tul'skaya oblast'</t>
  </si>
  <si>
    <t>RU-TVE</t>
  </si>
  <si>
    <t>Tverskaya oblast'</t>
  </si>
  <si>
    <t>RU-TYU</t>
  </si>
  <si>
    <t>Tyumenskaya oblast'</t>
  </si>
  <si>
    <t>RU-TY</t>
  </si>
  <si>
    <t>Tyva, Respublika</t>
  </si>
  <si>
    <t>RU-UD</t>
  </si>
  <si>
    <t>Udmurtskaya Respublika</t>
  </si>
  <si>
    <t>RU-ULY</t>
  </si>
  <si>
    <t>Ul'yanovskaya oblast'</t>
  </si>
  <si>
    <t>RU-VLA</t>
  </si>
  <si>
    <t>Vladimirskayaoblast'</t>
  </si>
  <si>
    <t>RU-VGG</t>
  </si>
  <si>
    <t>Volgogradskayaoblast'</t>
  </si>
  <si>
    <t>RU-VLG</t>
  </si>
  <si>
    <t>Vologodskaya oblast'</t>
  </si>
  <si>
    <t>RU-VOR</t>
  </si>
  <si>
    <t>Voronezhskaya oblast'</t>
  </si>
  <si>
    <t>RU-YAN</t>
  </si>
  <si>
    <t>Yamalo-Nenetskiyavtonomnyy okrug</t>
  </si>
  <si>
    <t>RU-YAR</t>
  </si>
  <si>
    <t>Yaroslavskaya oblast'</t>
  </si>
  <si>
    <t>RU-YEV</t>
  </si>
  <si>
    <t>Yevreyskaya avtonomnaya oblast'</t>
  </si>
  <si>
    <t>RU-ZAB</t>
  </si>
  <si>
    <t>Zabaykal'skiy kray</t>
  </si>
  <si>
    <t>RW-01</t>
  </si>
  <si>
    <t>City of Kigali</t>
  </si>
  <si>
    <t>RW-02</t>
  </si>
  <si>
    <t>RW-03</t>
  </si>
  <si>
    <t>RW-05</t>
  </si>
  <si>
    <t>RW-04</t>
  </si>
  <si>
    <t>SA-14</t>
  </si>
  <si>
    <t>'Asīr</t>
  </si>
  <si>
    <t>SA-11</t>
  </si>
  <si>
    <t>Al Bāḩah</t>
  </si>
  <si>
    <t>SA-08</t>
  </si>
  <si>
    <t>Al Ḩudūd ash Shamālīyah</t>
  </si>
  <si>
    <t>SA-12</t>
  </si>
  <si>
    <t>Al Jawf</t>
  </si>
  <si>
    <t>SA-03</t>
  </si>
  <si>
    <t>Al Madīnah al Munawwarah</t>
  </si>
  <si>
    <t>SA-05</t>
  </si>
  <si>
    <t>Al Qaşīm</t>
  </si>
  <si>
    <t>SA-01</t>
  </si>
  <si>
    <t>Ar Riyāḑ</t>
  </si>
  <si>
    <t>SA-04</t>
  </si>
  <si>
    <t>SA-06</t>
  </si>
  <si>
    <t>Ḩā'il</t>
  </si>
  <si>
    <t>SA-09</t>
  </si>
  <si>
    <t>Jāzān</t>
  </si>
  <si>
    <t>SA-02</t>
  </si>
  <si>
    <t>Makkah al Mukarramah</t>
  </si>
  <si>
    <t>SA-10</t>
  </si>
  <si>
    <t>Najrān</t>
  </si>
  <si>
    <t>SA-07</t>
  </si>
  <si>
    <t>Tabūk</t>
  </si>
  <si>
    <t>SB-CT</t>
  </si>
  <si>
    <t>Capital Territory</t>
  </si>
  <si>
    <t>SB-CE</t>
  </si>
  <si>
    <t>SB-CH</t>
  </si>
  <si>
    <t>SB-GU</t>
  </si>
  <si>
    <t>Guadalcanal</t>
  </si>
  <si>
    <t>SB-IS</t>
  </si>
  <si>
    <t>Isabel</t>
  </si>
  <si>
    <t>SB-MK</t>
  </si>
  <si>
    <t>Makira-Ulawa</t>
  </si>
  <si>
    <t>SB-ML</t>
  </si>
  <si>
    <t>Malaita</t>
  </si>
  <si>
    <t>SB-RB</t>
  </si>
  <si>
    <t>Rennell and Bellona</t>
  </si>
  <si>
    <t>SB-TE</t>
  </si>
  <si>
    <t>Temotu</t>
  </si>
  <si>
    <t>SB-WE</t>
  </si>
  <si>
    <t>SC-01</t>
  </si>
  <si>
    <t>Anse aux Pins</t>
  </si>
  <si>
    <t>SC-02</t>
  </si>
  <si>
    <t>Anse Boileau</t>
  </si>
  <si>
    <t>SC-03</t>
  </si>
  <si>
    <t>Anse Etoile</t>
  </si>
  <si>
    <t>SC-05</t>
  </si>
  <si>
    <t>Anse Royale</t>
  </si>
  <si>
    <t>SC-04</t>
  </si>
  <si>
    <t>Au Cap</t>
  </si>
  <si>
    <t>SC-06</t>
  </si>
  <si>
    <t>Baie Lazare</t>
  </si>
  <si>
    <t>SC-07</t>
  </si>
  <si>
    <t>Baie Sainte Anne</t>
  </si>
  <si>
    <t>SC-08</t>
  </si>
  <si>
    <t>Beau Vallon</t>
  </si>
  <si>
    <t>SC-09</t>
  </si>
  <si>
    <t>Bel Air</t>
  </si>
  <si>
    <t>SC-10</t>
  </si>
  <si>
    <t>Bel Ombre</t>
  </si>
  <si>
    <t>SC-11</t>
  </si>
  <si>
    <t>Cascade</t>
  </si>
  <si>
    <t>SC-16</t>
  </si>
  <si>
    <t>English River</t>
  </si>
  <si>
    <t>SC-12</t>
  </si>
  <si>
    <t>Glacis</t>
  </si>
  <si>
    <t>SC-13</t>
  </si>
  <si>
    <t>Grand Anse Mahe</t>
  </si>
  <si>
    <t>SC-14</t>
  </si>
  <si>
    <t>Grand Anse Praslin</t>
  </si>
  <si>
    <t>SC-26</t>
  </si>
  <si>
    <t>Ile Perseverance I</t>
  </si>
  <si>
    <t>SC-27</t>
  </si>
  <si>
    <t>Ile Perseverance II</t>
  </si>
  <si>
    <t>SC-15</t>
  </si>
  <si>
    <t>La Digue</t>
  </si>
  <si>
    <t>SC-24</t>
  </si>
  <si>
    <t>Les Mamelles</t>
  </si>
  <si>
    <t>SC-17</t>
  </si>
  <si>
    <t>Mont Buxton</t>
  </si>
  <si>
    <t>SC-18</t>
  </si>
  <si>
    <t>Mont Fleuri</t>
  </si>
  <si>
    <t>SC-19</t>
  </si>
  <si>
    <t>Plaisance</t>
  </si>
  <si>
    <t>SC-20</t>
  </si>
  <si>
    <t>Pointe Larue</t>
  </si>
  <si>
    <t>SC-21</t>
  </si>
  <si>
    <t>Port Glaud</t>
  </si>
  <si>
    <t>SC-25</t>
  </si>
  <si>
    <t>Roche Caiman</t>
  </si>
  <si>
    <t>SC-22</t>
  </si>
  <si>
    <t>Saint Louis</t>
  </si>
  <si>
    <t>SC-23</t>
  </si>
  <si>
    <t>Takamaka</t>
  </si>
  <si>
    <t>SD-RS</t>
  </si>
  <si>
    <t>SD-GZ</t>
  </si>
  <si>
    <t>Al Jazīrah</t>
  </si>
  <si>
    <t>SD-KH</t>
  </si>
  <si>
    <t>Al Kharţūm</t>
  </si>
  <si>
    <t>SD-GD</t>
  </si>
  <si>
    <t>Al Qaḑārif</t>
  </si>
  <si>
    <t>SD-NW</t>
  </si>
  <si>
    <t>An Nīl al Abyaḑ</t>
  </si>
  <si>
    <t>SD-NB</t>
  </si>
  <si>
    <t>An Nīl al Azraq</t>
  </si>
  <si>
    <t>SD-NO</t>
  </si>
  <si>
    <t>SD-DW</t>
  </si>
  <si>
    <t>Gharb Dārfūr</t>
  </si>
  <si>
    <t>SD-GK</t>
  </si>
  <si>
    <t>Gharb Kurdufān</t>
  </si>
  <si>
    <t>SD-DS</t>
  </si>
  <si>
    <t>Janūb Dārfūr</t>
  </si>
  <si>
    <t>SD-KS</t>
  </si>
  <si>
    <t>Janūb Kurdufān</t>
  </si>
  <si>
    <t>SD-KA</t>
  </si>
  <si>
    <t>Kassalā</t>
  </si>
  <si>
    <t>SD-NR</t>
  </si>
  <si>
    <t>Nahr an Nīl</t>
  </si>
  <si>
    <t>SD-DN</t>
  </si>
  <si>
    <t>Shamāl Dārfūr</t>
  </si>
  <si>
    <t>SD-KN</t>
  </si>
  <si>
    <t>Shamāl Kurdufān</t>
  </si>
  <si>
    <t>SD-DE</t>
  </si>
  <si>
    <t>Sharq Dārfūr</t>
  </si>
  <si>
    <t>SD-SI</t>
  </si>
  <si>
    <t>Sinnār</t>
  </si>
  <si>
    <t>SD-DC</t>
  </si>
  <si>
    <t>Wasaţ Dārfūr</t>
  </si>
  <si>
    <t>SE-K</t>
  </si>
  <si>
    <t>Blekinge län</t>
  </si>
  <si>
    <t>SE-W</t>
  </si>
  <si>
    <t>Dalarnas län</t>
  </si>
  <si>
    <t>SE-I</t>
  </si>
  <si>
    <t>Gotlands län</t>
  </si>
  <si>
    <t>SE-X</t>
  </si>
  <si>
    <t>Gävleborgs län</t>
  </si>
  <si>
    <t>SE-N</t>
  </si>
  <si>
    <t>Hallands län</t>
  </si>
  <si>
    <t>SE-Z</t>
  </si>
  <si>
    <t>Jämtlands län</t>
  </si>
  <si>
    <t>SE-F</t>
  </si>
  <si>
    <t>Jönköpings län</t>
  </si>
  <si>
    <t>SE-H</t>
  </si>
  <si>
    <t>Kalmar län</t>
  </si>
  <si>
    <t>SE-G</t>
  </si>
  <si>
    <t>Kronobergs län</t>
  </si>
  <si>
    <t>SE-BD</t>
  </si>
  <si>
    <t>Norrbottens län</t>
  </si>
  <si>
    <t>SE-M</t>
  </si>
  <si>
    <t>Skåne län</t>
  </si>
  <si>
    <t>SE-AB</t>
  </si>
  <si>
    <t>Stockholms län</t>
  </si>
  <si>
    <t>SE-D</t>
  </si>
  <si>
    <t>Södermanlands län</t>
  </si>
  <si>
    <t>SE-C</t>
  </si>
  <si>
    <t>Uppsala län</t>
  </si>
  <si>
    <t>SE-S</t>
  </si>
  <si>
    <t>Värmlands län</t>
  </si>
  <si>
    <t>SE-AC</t>
  </si>
  <si>
    <t>Västerbottens län</t>
  </si>
  <si>
    <t>SE-Y</t>
  </si>
  <si>
    <t>Västernorrlands län</t>
  </si>
  <si>
    <t>SE-U</t>
  </si>
  <si>
    <t>Västmanlands län</t>
  </si>
  <si>
    <t>SE-O</t>
  </si>
  <si>
    <t>Västra Götalands län</t>
  </si>
  <si>
    <t>SE-T</t>
  </si>
  <si>
    <t>Örebro län</t>
  </si>
  <si>
    <t>SE-E</t>
  </si>
  <si>
    <t>Östergötlands län</t>
  </si>
  <si>
    <t>SG-01</t>
  </si>
  <si>
    <t>Central Singapore</t>
  </si>
  <si>
    <t>SG-02</t>
  </si>
  <si>
    <t>SG-03</t>
  </si>
  <si>
    <t>SG-04</t>
  </si>
  <si>
    <t>SG-05</t>
  </si>
  <si>
    <t>South West</t>
  </si>
  <si>
    <t>SH-AC</t>
  </si>
  <si>
    <t>Ascension</t>
  </si>
  <si>
    <t>SH-HL</t>
  </si>
  <si>
    <t>SH-TA</t>
  </si>
  <si>
    <t>Tristan da Cunha</t>
  </si>
  <si>
    <t>SI-001</t>
  </si>
  <si>
    <t>Ajdovščina</t>
  </si>
  <si>
    <t>SI-213</t>
  </si>
  <si>
    <t>Ankaran</t>
  </si>
  <si>
    <t>SI-195</t>
  </si>
  <si>
    <t>Apače</t>
  </si>
  <si>
    <t>SI-002</t>
  </si>
  <si>
    <t>Beltinci</t>
  </si>
  <si>
    <t>SI-148</t>
  </si>
  <si>
    <t>Benedikt</t>
  </si>
  <si>
    <t>SI-149</t>
  </si>
  <si>
    <t>Bistrica ob Sotli</t>
  </si>
  <si>
    <t>SI-003</t>
  </si>
  <si>
    <t>Bled</t>
  </si>
  <si>
    <t>SI-150</t>
  </si>
  <si>
    <t>Bloke</t>
  </si>
  <si>
    <t>SI-004</t>
  </si>
  <si>
    <t>Bohinj</t>
  </si>
  <si>
    <t>SI-005</t>
  </si>
  <si>
    <t>Borovnica</t>
  </si>
  <si>
    <t>SI-006</t>
  </si>
  <si>
    <t>Bovec</t>
  </si>
  <si>
    <t>SI-151</t>
  </si>
  <si>
    <t>Braslovče</t>
  </si>
  <si>
    <t>SI-007</t>
  </si>
  <si>
    <t>Brda</t>
  </si>
  <si>
    <t>SI-008</t>
  </si>
  <si>
    <t>Brezovica</t>
  </si>
  <si>
    <t>SI-009</t>
  </si>
  <si>
    <t>Brežice</t>
  </si>
  <si>
    <t>SI-152</t>
  </si>
  <si>
    <t>Cankova</t>
  </si>
  <si>
    <t>SI-011</t>
  </si>
  <si>
    <t>Celje</t>
  </si>
  <si>
    <t>SI-012</t>
  </si>
  <si>
    <t>Cerklje na Gorenjskem</t>
  </si>
  <si>
    <t>SI-013</t>
  </si>
  <si>
    <t>Cerknica</t>
  </si>
  <si>
    <t>SI-014</t>
  </si>
  <si>
    <t>Cerkno</t>
  </si>
  <si>
    <t>SI-153</t>
  </si>
  <si>
    <t>Cerkvenjak</t>
  </si>
  <si>
    <t>SI-196</t>
  </si>
  <si>
    <t>Cirkulane</t>
  </si>
  <si>
    <t>SI-015</t>
  </si>
  <si>
    <t>Črenšovci</t>
  </si>
  <si>
    <t>SI-016</t>
  </si>
  <si>
    <t>Črna na Koroškem</t>
  </si>
  <si>
    <t>SI-017</t>
  </si>
  <si>
    <t>Črnomelj</t>
  </si>
  <si>
    <t>SI-018</t>
  </si>
  <si>
    <t>Destrnik</t>
  </si>
  <si>
    <t>SI-019</t>
  </si>
  <si>
    <t>Divača</t>
  </si>
  <si>
    <t>SI-154</t>
  </si>
  <si>
    <t>Dobje</t>
  </si>
  <si>
    <t>SI-020</t>
  </si>
  <si>
    <t>Dobrepolje</t>
  </si>
  <si>
    <t>SI-155</t>
  </si>
  <si>
    <t>Dobrna</t>
  </si>
  <si>
    <t>SI-021</t>
  </si>
  <si>
    <t>Dobrova-Polhov Gradec</t>
  </si>
  <si>
    <t>SI-156</t>
  </si>
  <si>
    <t>Dobrovnik</t>
  </si>
  <si>
    <t>SI-022</t>
  </si>
  <si>
    <t>Dol pri Ljubljani</t>
  </si>
  <si>
    <t>SI-157</t>
  </si>
  <si>
    <t>Dolenjske Toplice</t>
  </si>
  <si>
    <t>SI-023</t>
  </si>
  <si>
    <t>Domžale</t>
  </si>
  <si>
    <t>SI-024</t>
  </si>
  <si>
    <t>Dornava</t>
  </si>
  <si>
    <t>SI-025</t>
  </si>
  <si>
    <t>Dravograd</t>
  </si>
  <si>
    <t>SI-026</t>
  </si>
  <si>
    <t>Duplek</t>
  </si>
  <si>
    <t>SI-027</t>
  </si>
  <si>
    <t>Gorenja vas-Poljane</t>
  </si>
  <si>
    <t>SI-028</t>
  </si>
  <si>
    <t>Gorišnica</t>
  </si>
  <si>
    <t>SI-207</t>
  </si>
  <si>
    <t>Gorje</t>
  </si>
  <si>
    <t>SI-029</t>
  </si>
  <si>
    <t>Gornja Radgona</t>
  </si>
  <si>
    <t>SI-030</t>
  </si>
  <si>
    <t>Gornji Grad</t>
  </si>
  <si>
    <t>SI-031</t>
  </si>
  <si>
    <t>Gornji Petrovci</t>
  </si>
  <si>
    <t>SI-158</t>
  </si>
  <si>
    <t>Grad</t>
  </si>
  <si>
    <t>SI-032</t>
  </si>
  <si>
    <t>Grosuplje</t>
  </si>
  <si>
    <t>SI-159</t>
  </si>
  <si>
    <t>Hajdina</t>
  </si>
  <si>
    <t>SI-160</t>
  </si>
  <si>
    <t>Hoče-Slivnica</t>
  </si>
  <si>
    <t>SI-161</t>
  </si>
  <si>
    <t>Hodoš</t>
  </si>
  <si>
    <t>SI-162</t>
  </si>
  <si>
    <t>Horjul</t>
  </si>
  <si>
    <t>SI-034</t>
  </si>
  <si>
    <t>Hrastnik</t>
  </si>
  <si>
    <t>SI-035</t>
  </si>
  <si>
    <t>Hrpelje-Kozina</t>
  </si>
  <si>
    <t>SI-036</t>
  </si>
  <si>
    <t>Idrija</t>
  </si>
  <si>
    <t>SI-037</t>
  </si>
  <si>
    <t>Ig</t>
  </si>
  <si>
    <t>SI-038</t>
  </si>
  <si>
    <t>Ilirska Bistrica</t>
  </si>
  <si>
    <t>SI-039</t>
  </si>
  <si>
    <t>Ivančna Gorica</t>
  </si>
  <si>
    <t>SI-040</t>
  </si>
  <si>
    <t>Izola</t>
  </si>
  <si>
    <t>SI-041</t>
  </si>
  <si>
    <t>Jesenice</t>
  </si>
  <si>
    <t>SI-163</t>
  </si>
  <si>
    <t>Jezersko</t>
  </si>
  <si>
    <t>SI-042</t>
  </si>
  <si>
    <t>Juršinci</t>
  </si>
  <si>
    <t>SI-043</t>
  </si>
  <si>
    <t>Kamnik</t>
  </si>
  <si>
    <t>SI-044</t>
  </si>
  <si>
    <t>Kanal ob Soči</t>
  </si>
  <si>
    <t>SI-045</t>
  </si>
  <si>
    <t>Kidričevo</t>
  </si>
  <si>
    <t>SI-046</t>
  </si>
  <si>
    <t>Kobarid</t>
  </si>
  <si>
    <t>SI-047</t>
  </si>
  <si>
    <t>Kobilje</t>
  </si>
  <si>
    <t>SI-048</t>
  </si>
  <si>
    <t>Kočevje</t>
  </si>
  <si>
    <t>SI-049</t>
  </si>
  <si>
    <t>Komen</t>
  </si>
  <si>
    <t>SI-164</t>
  </si>
  <si>
    <t>Komenda</t>
  </si>
  <si>
    <t>SI-050</t>
  </si>
  <si>
    <t>Koper</t>
  </si>
  <si>
    <t>SI-197</t>
  </si>
  <si>
    <t>Kostanjevica na Krki</t>
  </si>
  <si>
    <t>SI-165</t>
  </si>
  <si>
    <t>Kostel</t>
  </si>
  <si>
    <t>SI-051</t>
  </si>
  <si>
    <t>Kozje</t>
  </si>
  <si>
    <t>SI-052</t>
  </si>
  <si>
    <t>Kranj</t>
  </si>
  <si>
    <t>SI-053</t>
  </si>
  <si>
    <t>Kranjska Gora</t>
  </si>
  <si>
    <t>SI-166</t>
  </si>
  <si>
    <t>Križevci</t>
  </si>
  <si>
    <t>SI-054</t>
  </si>
  <si>
    <t>Krško</t>
  </si>
  <si>
    <t>SI-055</t>
  </si>
  <si>
    <t>Kungota</t>
  </si>
  <si>
    <t>SI-056</t>
  </si>
  <si>
    <t>Kuzma</t>
  </si>
  <si>
    <t>SI-057</t>
  </si>
  <si>
    <t>Laško</t>
  </si>
  <si>
    <t>SI-058</t>
  </si>
  <si>
    <t>Lenart</t>
  </si>
  <si>
    <t>SI-059</t>
  </si>
  <si>
    <t>Lendava</t>
  </si>
  <si>
    <t>SI-060</t>
  </si>
  <si>
    <t>Litija</t>
  </si>
  <si>
    <t>SI-061</t>
  </si>
  <si>
    <t>SI-062</t>
  </si>
  <si>
    <t>Ljubno</t>
  </si>
  <si>
    <t>SI-063</t>
  </si>
  <si>
    <t>Ljutomer</t>
  </si>
  <si>
    <t>SI-208</t>
  </si>
  <si>
    <t>Log-Dragomer</t>
  </si>
  <si>
    <t>SI-064</t>
  </si>
  <si>
    <t>Logatec</t>
  </si>
  <si>
    <t>SI-065</t>
  </si>
  <si>
    <t>Loška dolina</t>
  </si>
  <si>
    <t>SI-066</t>
  </si>
  <si>
    <t>Loški Potok</t>
  </si>
  <si>
    <t>SI-167</t>
  </si>
  <si>
    <t>Lovrenc na Pohorju</t>
  </si>
  <si>
    <t>SI-067</t>
  </si>
  <si>
    <t>Luče</t>
  </si>
  <si>
    <t>SI-068</t>
  </si>
  <si>
    <t>Lukovica</t>
  </si>
  <si>
    <t>SI-069</t>
  </si>
  <si>
    <t>Majšperk</t>
  </si>
  <si>
    <t>SI-198</t>
  </si>
  <si>
    <t>Makole</t>
  </si>
  <si>
    <t>SI-070</t>
  </si>
  <si>
    <t>Maribor</t>
  </si>
  <si>
    <t>SI-168</t>
  </si>
  <si>
    <t>Markovci</t>
  </si>
  <si>
    <t>SI-071</t>
  </si>
  <si>
    <t>Medvode</t>
  </si>
  <si>
    <t>SI-072</t>
  </si>
  <si>
    <t>Mengeš</t>
  </si>
  <si>
    <t>SI-073</t>
  </si>
  <si>
    <t>Metlika</t>
  </si>
  <si>
    <t>SI-074</t>
  </si>
  <si>
    <t>Mežica</t>
  </si>
  <si>
    <t>SI-169</t>
  </si>
  <si>
    <t>Miklavž na Dravskem polju</t>
  </si>
  <si>
    <t>SI-075</t>
  </si>
  <si>
    <t>Miren-Kostanjevica</t>
  </si>
  <si>
    <t>SI-212</t>
  </si>
  <si>
    <t>Mirna</t>
  </si>
  <si>
    <t>SI-170</t>
  </si>
  <si>
    <t>Mirna Peč</t>
  </si>
  <si>
    <t>SI-076</t>
  </si>
  <si>
    <t>Mislinja</t>
  </si>
  <si>
    <t>SI-199</t>
  </si>
  <si>
    <t>Mokronog-Trebelno</t>
  </si>
  <si>
    <t>SI-077</t>
  </si>
  <si>
    <t>Moravče</t>
  </si>
  <si>
    <t>SI-078</t>
  </si>
  <si>
    <t>Moravske Toplice</t>
  </si>
  <si>
    <t>SI-079</t>
  </si>
  <si>
    <t>Mozirje</t>
  </si>
  <si>
    <t>SI-080</t>
  </si>
  <si>
    <t>Murska Sobota</t>
  </si>
  <si>
    <t>SI-081</t>
  </si>
  <si>
    <t>Muta</t>
  </si>
  <si>
    <t>SI-082</t>
  </si>
  <si>
    <t>Naklo</t>
  </si>
  <si>
    <t>SI-083</t>
  </si>
  <si>
    <t>Nazarje</t>
  </si>
  <si>
    <t>SI-084</t>
  </si>
  <si>
    <t>Nova Gorica</t>
  </si>
  <si>
    <t>SI-085</t>
  </si>
  <si>
    <t>Novo Mesto</t>
  </si>
  <si>
    <t>SI-086</t>
  </si>
  <si>
    <t>Odranci</t>
  </si>
  <si>
    <t>SI-171</t>
  </si>
  <si>
    <t>Oplotnica</t>
  </si>
  <si>
    <t>SI-087</t>
  </si>
  <si>
    <t>Ormož</t>
  </si>
  <si>
    <t>SI-088</t>
  </si>
  <si>
    <t>Osilnica</t>
  </si>
  <si>
    <t>SI-089</t>
  </si>
  <si>
    <t>Pesnica</t>
  </si>
  <si>
    <t>SI-090</t>
  </si>
  <si>
    <t>Piran</t>
  </si>
  <si>
    <t>SI-091</t>
  </si>
  <si>
    <t>Pivka</t>
  </si>
  <si>
    <t>SI-092</t>
  </si>
  <si>
    <t>Podčetrtek</t>
  </si>
  <si>
    <t>SI-172</t>
  </si>
  <si>
    <t>Podlehnik</t>
  </si>
  <si>
    <t>SI-093</t>
  </si>
  <si>
    <t>Podvelka</t>
  </si>
  <si>
    <t>SI-200</t>
  </si>
  <si>
    <t>Poljčane</t>
  </si>
  <si>
    <t>SI-173</t>
  </si>
  <si>
    <t>Polzela</t>
  </si>
  <si>
    <t>SI-094</t>
  </si>
  <si>
    <t>Postojna</t>
  </si>
  <si>
    <t>SI-174</t>
  </si>
  <si>
    <t>Prebold</t>
  </si>
  <si>
    <t>SI-095</t>
  </si>
  <si>
    <t>Preddvor</t>
  </si>
  <si>
    <t>SI-175</t>
  </si>
  <si>
    <t>Prevalje</t>
  </si>
  <si>
    <t>SI-096</t>
  </si>
  <si>
    <t>Ptuj</t>
  </si>
  <si>
    <t>SI-097</t>
  </si>
  <si>
    <t>Puconci</t>
  </si>
  <si>
    <t>SI-098</t>
  </si>
  <si>
    <t>Rače-Fram</t>
  </si>
  <si>
    <t>SI-099</t>
  </si>
  <si>
    <t>Radeče</t>
  </si>
  <si>
    <t>SI-100</t>
  </si>
  <si>
    <t>Radenci</t>
  </si>
  <si>
    <t>SI-101</t>
  </si>
  <si>
    <t>Radlje ob Dravi</t>
  </si>
  <si>
    <t>SI-102</t>
  </si>
  <si>
    <t>Radovljica</t>
  </si>
  <si>
    <t>SI-103</t>
  </si>
  <si>
    <t>Ravne na Koroškem</t>
  </si>
  <si>
    <t>SI-176</t>
  </si>
  <si>
    <t>Razkrižje</t>
  </si>
  <si>
    <t>SI-209</t>
  </si>
  <si>
    <t>Rečica ob Savinji</t>
  </si>
  <si>
    <t>SI-201</t>
  </si>
  <si>
    <t>Renče-Vogrsko</t>
  </si>
  <si>
    <t>SI-104</t>
  </si>
  <si>
    <t>Ribnica</t>
  </si>
  <si>
    <t>SI-177</t>
  </si>
  <si>
    <t>Ribnica na Pohorju</t>
  </si>
  <si>
    <t>SI-106</t>
  </si>
  <si>
    <t>Rogaška Slatina</t>
  </si>
  <si>
    <t>SI-105</t>
  </si>
  <si>
    <t>Rogašovci</t>
  </si>
  <si>
    <t>SI-107</t>
  </si>
  <si>
    <t>Rogatec</t>
  </si>
  <si>
    <t>SI-108</t>
  </si>
  <si>
    <t>Ruše</t>
  </si>
  <si>
    <t>SI-178</t>
  </si>
  <si>
    <t>Selnica ob Dravi</t>
  </si>
  <si>
    <t>SI-109</t>
  </si>
  <si>
    <t>Semič</t>
  </si>
  <si>
    <t>SI-110</t>
  </si>
  <si>
    <t>Sevnica</t>
  </si>
  <si>
    <t>SI-111</t>
  </si>
  <si>
    <t>Sežana</t>
  </si>
  <si>
    <t>SI-112</t>
  </si>
  <si>
    <t>Slovenj Gradec</t>
  </si>
  <si>
    <t>SI-113</t>
  </si>
  <si>
    <t>Slovenska Bistrica</t>
  </si>
  <si>
    <t>SI-114</t>
  </si>
  <si>
    <t>Slovenske Konjice</t>
  </si>
  <si>
    <t>SI-179</t>
  </si>
  <si>
    <t>Sodražica</t>
  </si>
  <si>
    <t>SI-180</t>
  </si>
  <si>
    <t>Solčava</t>
  </si>
  <si>
    <t>SI-202</t>
  </si>
  <si>
    <t>Središče ob Dravi</t>
  </si>
  <si>
    <t>SI-115</t>
  </si>
  <si>
    <t>Starše</t>
  </si>
  <si>
    <t>SI-203</t>
  </si>
  <si>
    <t>Straža</t>
  </si>
  <si>
    <t>SI-181</t>
  </si>
  <si>
    <t>Sveta Ana</t>
  </si>
  <si>
    <t>SI-204</t>
  </si>
  <si>
    <t>Sveta Trojica v Slovenskih goricah</t>
  </si>
  <si>
    <t>SI-182</t>
  </si>
  <si>
    <t>Sveti Andraž v Slovenskih goricah</t>
  </si>
  <si>
    <t>SI-116</t>
  </si>
  <si>
    <t>Sveti Jurij ob Ščavnici</t>
  </si>
  <si>
    <t>SI-210</t>
  </si>
  <si>
    <t>Sveti Jurij v Slovenskih goricah</t>
  </si>
  <si>
    <t>SI-205</t>
  </si>
  <si>
    <t>Sveti Tomaž</t>
  </si>
  <si>
    <t>SI-033</t>
  </si>
  <si>
    <t>Šalovci</t>
  </si>
  <si>
    <t>SI-183</t>
  </si>
  <si>
    <t>Šempeter-Vrtojba</t>
  </si>
  <si>
    <t>SI-117</t>
  </si>
  <si>
    <t>Šenčur</t>
  </si>
  <si>
    <t>SI-118</t>
  </si>
  <si>
    <t>Šentilj</t>
  </si>
  <si>
    <t>SI-119</t>
  </si>
  <si>
    <t>Šentjernej</t>
  </si>
  <si>
    <t>SI-120</t>
  </si>
  <si>
    <t>Šentjur</t>
  </si>
  <si>
    <t>SI-211</t>
  </si>
  <si>
    <t>Šentrupert</t>
  </si>
  <si>
    <t>SI-121</t>
  </si>
  <si>
    <t>Škocjan</t>
  </si>
  <si>
    <t>SI-122</t>
  </si>
  <si>
    <t>Škofja Loka</t>
  </si>
  <si>
    <t>SI-123</t>
  </si>
  <si>
    <t>Škofljica</t>
  </si>
  <si>
    <t>SI-124</t>
  </si>
  <si>
    <t>Šmarje pri Jelšah</t>
  </si>
  <si>
    <t>SI-206</t>
  </si>
  <si>
    <t>Šmarješke Toplice</t>
  </si>
  <si>
    <t>SI-125</t>
  </si>
  <si>
    <t>Šmartno ob Paki</t>
  </si>
  <si>
    <t>SI-194</t>
  </si>
  <si>
    <t>Šmartno pri Litiji</t>
  </si>
  <si>
    <t>SI-126</t>
  </si>
  <si>
    <t>Šoštanj</t>
  </si>
  <si>
    <t>SI-127</t>
  </si>
  <si>
    <t>Štore</t>
  </si>
  <si>
    <t>SI-184</t>
  </si>
  <si>
    <t>Tabor</t>
  </si>
  <si>
    <t>SI-010</t>
  </si>
  <si>
    <t>Tišina</t>
  </si>
  <si>
    <t>SI-128</t>
  </si>
  <si>
    <t>Tolmin</t>
  </si>
  <si>
    <t>SI-129</t>
  </si>
  <si>
    <t>Trbovlje</t>
  </si>
  <si>
    <t>SI-130</t>
  </si>
  <si>
    <t>Trebnje</t>
  </si>
  <si>
    <t>SI-185</t>
  </si>
  <si>
    <t>Trnovska Vas</t>
  </si>
  <si>
    <t>SI-186</t>
  </si>
  <si>
    <t>Trzin</t>
  </si>
  <si>
    <t>SI-131</t>
  </si>
  <si>
    <t>Tržič</t>
  </si>
  <si>
    <t>SI-132</t>
  </si>
  <si>
    <t>Turnišče</t>
  </si>
  <si>
    <t>SI-133</t>
  </si>
  <si>
    <t>Velenje</t>
  </si>
  <si>
    <t>SI-187</t>
  </si>
  <si>
    <t>Velika Polana</t>
  </si>
  <si>
    <t>SI-134</t>
  </si>
  <si>
    <t>Velike Lašče</t>
  </si>
  <si>
    <t>SI-188</t>
  </si>
  <si>
    <t>Veržej</t>
  </si>
  <si>
    <t>SI-135</t>
  </si>
  <si>
    <t>Videm</t>
  </si>
  <si>
    <t>SI-136</t>
  </si>
  <si>
    <t>Vipava</t>
  </si>
  <si>
    <t>SI-137</t>
  </si>
  <si>
    <t>Vitanje</t>
  </si>
  <si>
    <t>SI-138</t>
  </si>
  <si>
    <t>Vodice</t>
  </si>
  <si>
    <t>SI-139</t>
  </si>
  <si>
    <t>Vojnik</t>
  </si>
  <si>
    <t>SI-189</t>
  </si>
  <si>
    <t>Vransko</t>
  </si>
  <si>
    <t>SI-140</t>
  </si>
  <si>
    <t>Vrhnika</t>
  </si>
  <si>
    <t>SI-141</t>
  </si>
  <si>
    <t>Vuzenica</t>
  </si>
  <si>
    <t>SI-142</t>
  </si>
  <si>
    <t>Zagorje ob Savi</t>
  </si>
  <si>
    <t>SI-143</t>
  </si>
  <si>
    <t>Zavrč</t>
  </si>
  <si>
    <t>SI-144</t>
  </si>
  <si>
    <t>Zreče</t>
  </si>
  <si>
    <t>SI-190</t>
  </si>
  <si>
    <t>Žalec</t>
  </si>
  <si>
    <t>SI-146</t>
  </si>
  <si>
    <t>Železniki</t>
  </si>
  <si>
    <t>SI-191</t>
  </si>
  <si>
    <t>Žetale</t>
  </si>
  <si>
    <t>SI-147</t>
  </si>
  <si>
    <t>Žiri</t>
  </si>
  <si>
    <t>SI-192</t>
  </si>
  <si>
    <t>Žirovnica</t>
  </si>
  <si>
    <t>SI-193</t>
  </si>
  <si>
    <t>Žužemberk</t>
  </si>
  <si>
    <t>SK-BC</t>
  </si>
  <si>
    <t>Banskobystrický kraj</t>
  </si>
  <si>
    <t>SK-BL</t>
  </si>
  <si>
    <t>Bratislavský kraj</t>
  </si>
  <si>
    <t>SK-KI</t>
  </si>
  <si>
    <t>Košický kraj</t>
  </si>
  <si>
    <t>SK-NI</t>
  </si>
  <si>
    <t>Nitriansky kraj</t>
  </si>
  <si>
    <t>SK-PV</t>
  </si>
  <si>
    <t>Prešovský kraj</t>
  </si>
  <si>
    <t>SK-TC</t>
  </si>
  <si>
    <t>Trenčiansky kraj</t>
  </si>
  <si>
    <t>SK-TA</t>
  </si>
  <si>
    <t>Trnavský kraj</t>
  </si>
  <si>
    <t>SK-ZI</t>
  </si>
  <si>
    <t>Žilinský kraj</t>
  </si>
  <si>
    <t>SL-E</t>
  </si>
  <si>
    <t>SL-NW</t>
  </si>
  <si>
    <t>North Western</t>
  </si>
  <si>
    <t>SL-N</t>
  </si>
  <si>
    <t>SL-S</t>
  </si>
  <si>
    <t>SL-W</t>
  </si>
  <si>
    <t>Western Area</t>
  </si>
  <si>
    <t>area</t>
  </si>
  <si>
    <t>SM-01</t>
  </si>
  <si>
    <t>Acquaviva</t>
  </si>
  <si>
    <t>SM-06</t>
  </si>
  <si>
    <t>Borgo Maggiore</t>
  </si>
  <si>
    <t>SM-02</t>
  </si>
  <si>
    <t>Chiesanuova</t>
  </si>
  <si>
    <t>SM-07</t>
  </si>
  <si>
    <t>Città di San Marino</t>
  </si>
  <si>
    <t>SM-03</t>
  </si>
  <si>
    <t>Domagnano</t>
  </si>
  <si>
    <t>SM-04</t>
  </si>
  <si>
    <t>Faetano</t>
  </si>
  <si>
    <t>SM-05</t>
  </si>
  <si>
    <t>Fiorentino</t>
  </si>
  <si>
    <t>SM-08</t>
  </si>
  <si>
    <t>Montegiardino</t>
  </si>
  <si>
    <t>SM-09</t>
  </si>
  <si>
    <t>Serravalle</t>
  </si>
  <si>
    <t>SN-DK</t>
  </si>
  <si>
    <t>SN-DB</t>
  </si>
  <si>
    <t>Diourbel</t>
  </si>
  <si>
    <t>SN-FK</t>
  </si>
  <si>
    <t>Fatick</t>
  </si>
  <si>
    <t>SN-KA</t>
  </si>
  <si>
    <t>Kaffrine</t>
  </si>
  <si>
    <t>SN-KL</t>
  </si>
  <si>
    <t>Kaolack</t>
  </si>
  <si>
    <t>SN-KE</t>
  </si>
  <si>
    <t>Kédougou</t>
  </si>
  <si>
    <t>SN-KD</t>
  </si>
  <si>
    <t>Kolda</t>
  </si>
  <si>
    <t>SN-LG</t>
  </si>
  <si>
    <t>Louga</t>
  </si>
  <si>
    <t>SN-MT</t>
  </si>
  <si>
    <t>Matam</t>
  </si>
  <si>
    <t>SN-SL</t>
  </si>
  <si>
    <t>Saint-Louis</t>
  </si>
  <si>
    <t>SN-SE</t>
  </si>
  <si>
    <t>Sédhiou</t>
  </si>
  <si>
    <t>SN-TC</t>
  </si>
  <si>
    <t>Tambacounda</t>
  </si>
  <si>
    <t>SN-TH</t>
  </si>
  <si>
    <t>Thiès</t>
  </si>
  <si>
    <t>SN-ZG</t>
  </si>
  <si>
    <t>Ziguinchor</t>
  </si>
  <si>
    <t>SO-AW</t>
  </si>
  <si>
    <t>Awdal</t>
  </si>
  <si>
    <t>SO-BK</t>
  </si>
  <si>
    <t>Bakool</t>
  </si>
  <si>
    <t>SO-BN</t>
  </si>
  <si>
    <t>Banaadir</t>
  </si>
  <si>
    <t>SO-BR</t>
  </si>
  <si>
    <t>SO-BY</t>
  </si>
  <si>
    <t>Bay</t>
  </si>
  <si>
    <t>SO-GA</t>
  </si>
  <si>
    <t>Galguduud</t>
  </si>
  <si>
    <t>SO-GE</t>
  </si>
  <si>
    <t>Gedo</t>
  </si>
  <si>
    <t>SO-HI</t>
  </si>
  <si>
    <t>Hiiraan</t>
  </si>
  <si>
    <t>SO-JD</t>
  </si>
  <si>
    <t>Jubbada Dhexe</t>
  </si>
  <si>
    <t>SO-JH</t>
  </si>
  <si>
    <t>Jubbada Hoose</t>
  </si>
  <si>
    <t>SO-MU</t>
  </si>
  <si>
    <t>Mudug</t>
  </si>
  <si>
    <t>SO-NU</t>
  </si>
  <si>
    <t>Nugaal</t>
  </si>
  <si>
    <t>SO-SA</t>
  </si>
  <si>
    <t>Sanaag</t>
  </si>
  <si>
    <t>SO-SD</t>
  </si>
  <si>
    <t>Shabeellaha Dhexe</t>
  </si>
  <si>
    <t>SO-SH</t>
  </si>
  <si>
    <t>Shabeellaha Hoose</t>
  </si>
  <si>
    <t>SO-SO</t>
  </si>
  <si>
    <t>Sool</t>
  </si>
  <si>
    <t>SO-TO</t>
  </si>
  <si>
    <t>Togdheer</t>
  </si>
  <si>
    <t>SO-WO</t>
  </si>
  <si>
    <t>Woqooyi Galbeed</t>
  </si>
  <si>
    <t>SR-BR</t>
  </si>
  <si>
    <t>Brokopondo</t>
  </si>
  <si>
    <t>SR-CM</t>
  </si>
  <si>
    <t>Commewijne</t>
  </si>
  <si>
    <t>SR-CR</t>
  </si>
  <si>
    <t>Coronie</t>
  </si>
  <si>
    <t>SR-MA</t>
  </si>
  <si>
    <t>Marowijne</t>
  </si>
  <si>
    <t>SR-NI</t>
  </si>
  <si>
    <t>Nickerie</t>
  </si>
  <si>
    <t>SR-PR</t>
  </si>
  <si>
    <t>Para</t>
  </si>
  <si>
    <t>SR-PM</t>
  </si>
  <si>
    <t>SR-SA</t>
  </si>
  <si>
    <t>Saramacca</t>
  </si>
  <si>
    <t>SR-SI</t>
  </si>
  <si>
    <t>Sipaliwini</t>
  </si>
  <si>
    <t>SR-WA</t>
  </si>
  <si>
    <t>Wanica</t>
  </si>
  <si>
    <t>SS-EC</t>
  </si>
  <si>
    <t>Central Equatoria</t>
  </si>
  <si>
    <t>SS-EE</t>
  </si>
  <si>
    <t>Eastern Equatoria</t>
  </si>
  <si>
    <t>SS-JG</t>
  </si>
  <si>
    <t>Jonglei</t>
  </si>
  <si>
    <t>SS-LK</t>
  </si>
  <si>
    <t>Lakes</t>
  </si>
  <si>
    <t>SS-BN</t>
  </si>
  <si>
    <t>Northern Bahr el Ghazal</t>
  </si>
  <si>
    <t>SS-UY</t>
  </si>
  <si>
    <t>Unity</t>
  </si>
  <si>
    <t>SS-NU</t>
  </si>
  <si>
    <t>Upper Nile</t>
  </si>
  <si>
    <t>SS-WR</t>
  </si>
  <si>
    <t>Warrap</t>
  </si>
  <si>
    <t>SS-BW</t>
  </si>
  <si>
    <t>Western Bahr el Ghazal</t>
  </si>
  <si>
    <t>SS-EW</t>
  </si>
  <si>
    <t>Western Equatoria</t>
  </si>
  <si>
    <t>ST-01</t>
  </si>
  <si>
    <t>Água Grande</t>
  </si>
  <si>
    <t>ST-02</t>
  </si>
  <si>
    <t>Cantagalo</t>
  </si>
  <si>
    <t>ST-03</t>
  </si>
  <si>
    <t>Caué</t>
  </si>
  <si>
    <t>ST-04</t>
  </si>
  <si>
    <t>Lembá</t>
  </si>
  <si>
    <t>ST-05</t>
  </si>
  <si>
    <t>Lobata</t>
  </si>
  <si>
    <t>ST-06</t>
  </si>
  <si>
    <t>Mé-Zóchi</t>
  </si>
  <si>
    <t>ST-P</t>
  </si>
  <si>
    <t>Príncipe</t>
  </si>
  <si>
    <t>SV-AH</t>
  </si>
  <si>
    <t>Ahuachapán</t>
  </si>
  <si>
    <t>SV-CA</t>
  </si>
  <si>
    <t>Cabañas</t>
  </si>
  <si>
    <t>SV-CH</t>
  </si>
  <si>
    <t>Chalatenango</t>
  </si>
  <si>
    <t>SV-CU</t>
  </si>
  <si>
    <t>Cuscatlán</t>
  </si>
  <si>
    <t>SV-LI</t>
  </si>
  <si>
    <t>SV-PA</t>
  </si>
  <si>
    <t>SV-UN</t>
  </si>
  <si>
    <t>La Unión</t>
  </si>
  <si>
    <t>SV-MO</t>
  </si>
  <si>
    <t>Morazán</t>
  </si>
  <si>
    <t>SV-SM</t>
  </si>
  <si>
    <t>San Miguel</t>
  </si>
  <si>
    <t>SV-SS</t>
  </si>
  <si>
    <t>SV-SV</t>
  </si>
  <si>
    <t>San Vicente</t>
  </si>
  <si>
    <t>SV-SA</t>
  </si>
  <si>
    <t>Santa Ana</t>
  </si>
  <si>
    <t>SV-SO</t>
  </si>
  <si>
    <t>Sonsonate</t>
  </si>
  <si>
    <t>SV-US</t>
  </si>
  <si>
    <t>Usulután</t>
  </si>
  <si>
    <t>SY-HA</t>
  </si>
  <si>
    <t>Al Ḩasakah</t>
  </si>
  <si>
    <t>SY-LA</t>
  </si>
  <si>
    <t>Al Lādhiqīyah</t>
  </si>
  <si>
    <t>SY-QU</t>
  </si>
  <si>
    <t>Al Qunayţirah</t>
  </si>
  <si>
    <t>SY-RA</t>
  </si>
  <si>
    <t>Ar Raqqah</t>
  </si>
  <si>
    <t>SY-SU</t>
  </si>
  <si>
    <t>As Suwaydā'</t>
  </si>
  <si>
    <t>SY-DR</t>
  </si>
  <si>
    <t>Dar'ā</t>
  </si>
  <si>
    <t>SY-DY</t>
  </si>
  <si>
    <t>Dayr az Zawr</t>
  </si>
  <si>
    <t>SY-DI</t>
  </si>
  <si>
    <t>Dimashq</t>
  </si>
  <si>
    <t>SY-HL</t>
  </si>
  <si>
    <t>Ḩalab</t>
  </si>
  <si>
    <t>SY-HM</t>
  </si>
  <si>
    <t>Ḩamāh</t>
  </si>
  <si>
    <t>SY-HI</t>
  </si>
  <si>
    <t>Ḩimş</t>
  </si>
  <si>
    <t>SY-ID</t>
  </si>
  <si>
    <t>Idlib</t>
  </si>
  <si>
    <t>SY-RD</t>
  </si>
  <si>
    <t>Rīf Dimashq</t>
  </si>
  <si>
    <t>SY-TA</t>
  </si>
  <si>
    <t>Ţarţūs</t>
  </si>
  <si>
    <t>SZ-HH</t>
  </si>
  <si>
    <t>Hhohho</t>
  </si>
  <si>
    <t>SZ-LU</t>
  </si>
  <si>
    <t>Lubombo</t>
  </si>
  <si>
    <t>SZ-MA</t>
  </si>
  <si>
    <t>SZ-SH</t>
  </si>
  <si>
    <t>Shiselweni</t>
  </si>
  <si>
    <t>TD-BG</t>
  </si>
  <si>
    <t>Bahr el Ghazal (local variant: Barh-el-Ghazal)</t>
  </si>
  <si>
    <t>TD-BA</t>
  </si>
  <si>
    <t>Batha</t>
  </si>
  <si>
    <t>TD-BO</t>
  </si>
  <si>
    <t>Borkou</t>
  </si>
  <si>
    <t>TD-CB</t>
  </si>
  <si>
    <t>Chari-Baguirmi</t>
  </si>
  <si>
    <t>TD-EE</t>
  </si>
  <si>
    <t>Ennedi-Est</t>
  </si>
  <si>
    <t>TD-EO</t>
  </si>
  <si>
    <t>Ennedi-Ouest</t>
  </si>
  <si>
    <t>TD-GR</t>
  </si>
  <si>
    <t>Guéra</t>
  </si>
  <si>
    <t>TD-HL</t>
  </si>
  <si>
    <t>Hadjer Lamis</t>
  </si>
  <si>
    <t>TD-KA</t>
  </si>
  <si>
    <t>Kanem</t>
  </si>
  <si>
    <t>TD-LC</t>
  </si>
  <si>
    <t>Lac</t>
  </si>
  <si>
    <t>TD-LO</t>
  </si>
  <si>
    <t>Logone-Occidental</t>
  </si>
  <si>
    <t>TD-LR</t>
  </si>
  <si>
    <t>Logone-Oriental</t>
  </si>
  <si>
    <t>TD-MA</t>
  </si>
  <si>
    <t>Mandoul</t>
  </si>
  <si>
    <t>TD-ME</t>
  </si>
  <si>
    <t>Mayo-Kebbi-Est</t>
  </si>
  <si>
    <t>TD-MO</t>
  </si>
  <si>
    <t>Mayo-Kebbi-Ouest</t>
  </si>
  <si>
    <t>TD-MC</t>
  </si>
  <si>
    <t>Moyen-Chari</t>
  </si>
  <si>
    <t>TD-OD</t>
  </si>
  <si>
    <t>Ouaddaï</t>
  </si>
  <si>
    <t>TD-SA</t>
  </si>
  <si>
    <t>Salamat</t>
  </si>
  <si>
    <t>TD-SI</t>
  </si>
  <si>
    <t>Sila</t>
  </si>
  <si>
    <t>TD-TA</t>
  </si>
  <si>
    <t>Tandjilé</t>
  </si>
  <si>
    <t>TD-TI</t>
  </si>
  <si>
    <t>Tibesti</t>
  </si>
  <si>
    <t>TD-ND</t>
  </si>
  <si>
    <t>Ville de Ndjamena</t>
  </si>
  <si>
    <t>TD-WF</t>
  </si>
  <si>
    <t>Wadi Fira</t>
  </si>
  <si>
    <t>TG-C</t>
  </si>
  <si>
    <t>Centrale</t>
  </si>
  <si>
    <t>TG-K</t>
  </si>
  <si>
    <t>Kara</t>
  </si>
  <si>
    <t>TG-M</t>
  </si>
  <si>
    <t>Maritime</t>
  </si>
  <si>
    <t>TG-P</t>
  </si>
  <si>
    <t>TG-S</t>
  </si>
  <si>
    <t>TH-37</t>
  </si>
  <si>
    <t>Amnat Charoen</t>
  </si>
  <si>
    <t>TH-15</t>
  </si>
  <si>
    <t>Ang Thong</t>
  </si>
  <si>
    <t>TH-38</t>
  </si>
  <si>
    <t>Bueng Kan</t>
  </si>
  <si>
    <t>TH-31</t>
  </si>
  <si>
    <t>Buri Ram</t>
  </si>
  <si>
    <t>TH-24</t>
  </si>
  <si>
    <t>Chachoengsao</t>
  </si>
  <si>
    <t>TH-18</t>
  </si>
  <si>
    <t>Chai Nat</t>
  </si>
  <si>
    <t>TH-36</t>
  </si>
  <si>
    <t>Chaiyaphum</t>
  </si>
  <si>
    <t>TH-22</t>
  </si>
  <si>
    <t>Chanthaburi</t>
  </si>
  <si>
    <t>TH-50</t>
  </si>
  <si>
    <t>Chiang Mai</t>
  </si>
  <si>
    <t>TH-57</t>
  </si>
  <si>
    <t>Chiang Rai</t>
  </si>
  <si>
    <t>TH-20</t>
  </si>
  <si>
    <t>Chon Buri</t>
  </si>
  <si>
    <t>TH-86</t>
  </si>
  <si>
    <t>Chumphon</t>
  </si>
  <si>
    <t>TH-46</t>
  </si>
  <si>
    <t>Kalasin</t>
  </si>
  <si>
    <t>TH-62</t>
  </si>
  <si>
    <t>Kamphaeng Phet</t>
  </si>
  <si>
    <t>TH-71</t>
  </si>
  <si>
    <t>Kanchanaburi</t>
  </si>
  <si>
    <t>TH-40</t>
  </si>
  <si>
    <t>Khon Kaen</t>
  </si>
  <si>
    <t>TH-81</t>
  </si>
  <si>
    <t>Krabi</t>
  </si>
  <si>
    <t>TH-10</t>
  </si>
  <si>
    <t>metropolitan administration</t>
  </si>
  <si>
    <t>TH-52</t>
  </si>
  <si>
    <t>Lampang</t>
  </si>
  <si>
    <t>TH-51</t>
  </si>
  <si>
    <t>Lamphun</t>
  </si>
  <si>
    <t>TH-42</t>
  </si>
  <si>
    <t>Loei</t>
  </si>
  <si>
    <t>TH-16</t>
  </si>
  <si>
    <t>Lop Buri</t>
  </si>
  <si>
    <t>TH-58</t>
  </si>
  <si>
    <t>Mae Hong Son</t>
  </si>
  <si>
    <t>TH-44</t>
  </si>
  <si>
    <t>Maha Sarakham</t>
  </si>
  <si>
    <t>TH-49</t>
  </si>
  <si>
    <t>Mukdahan</t>
  </si>
  <si>
    <t>TH-26</t>
  </si>
  <si>
    <t>Nakhon Nayok</t>
  </si>
  <si>
    <t>TH-73</t>
  </si>
  <si>
    <t>Nakhon Pathom</t>
  </si>
  <si>
    <t>TH-48</t>
  </si>
  <si>
    <t>Nakhon Phanom</t>
  </si>
  <si>
    <t>TH-30</t>
  </si>
  <si>
    <t>Nakhon Ratchasima</t>
  </si>
  <si>
    <t>TH-60</t>
  </si>
  <si>
    <t>Nakhon Sawan</t>
  </si>
  <si>
    <t>TH-80</t>
  </si>
  <si>
    <t>Nakhon Si Thammarat</t>
  </si>
  <si>
    <t>TH-55</t>
  </si>
  <si>
    <t>Nan</t>
  </si>
  <si>
    <t>TH-96</t>
  </si>
  <si>
    <t>Narathiwat</t>
  </si>
  <si>
    <t>TH-39</t>
  </si>
  <si>
    <t>Nong Bua Lam Phu</t>
  </si>
  <si>
    <t>TH-43</t>
  </si>
  <si>
    <t>Nong Khai</t>
  </si>
  <si>
    <t>TH-12</t>
  </si>
  <si>
    <t>Nonthaburi</t>
  </si>
  <si>
    <t>TH-13</t>
  </si>
  <si>
    <t>Pathum Thani</t>
  </si>
  <si>
    <t>TH-94</t>
  </si>
  <si>
    <t>Pattani</t>
  </si>
  <si>
    <t>TH-82</t>
  </si>
  <si>
    <t>Phangnga</t>
  </si>
  <si>
    <t>TH-93</t>
  </si>
  <si>
    <t>Phatthalung</t>
  </si>
  <si>
    <t>TH-S</t>
  </si>
  <si>
    <t>Phatthaya</t>
  </si>
  <si>
    <t>special administrative city</t>
  </si>
  <si>
    <t>TH-56</t>
  </si>
  <si>
    <t>Phayao</t>
  </si>
  <si>
    <t>TH-67</t>
  </si>
  <si>
    <t>Phetchabun</t>
  </si>
  <si>
    <t>TH-76</t>
  </si>
  <si>
    <t>Phetchaburi</t>
  </si>
  <si>
    <t>TH-66</t>
  </si>
  <si>
    <t>Phichit</t>
  </si>
  <si>
    <t>TH-65</t>
  </si>
  <si>
    <t>Phitsanulok</t>
  </si>
  <si>
    <t>TH-14</t>
  </si>
  <si>
    <t>Phra Nakhon Si Ayutthaya</t>
  </si>
  <si>
    <t>TH-54</t>
  </si>
  <si>
    <t>Phrae</t>
  </si>
  <si>
    <t>TH-83</t>
  </si>
  <si>
    <t>Phuket</t>
  </si>
  <si>
    <t>TH-25</t>
  </si>
  <si>
    <t>Prachin Buri</t>
  </si>
  <si>
    <t>TH-77</t>
  </si>
  <si>
    <t>Prachuap Khiri Khan</t>
  </si>
  <si>
    <t>TH-85</t>
  </si>
  <si>
    <t>Ranong</t>
  </si>
  <si>
    <t>TH-70</t>
  </si>
  <si>
    <t>Ratchaburi</t>
  </si>
  <si>
    <t>TH-21</t>
  </si>
  <si>
    <t>Rayong</t>
  </si>
  <si>
    <t>TH-45</t>
  </si>
  <si>
    <t>Roi Et</t>
  </si>
  <si>
    <t>TH-27</t>
  </si>
  <si>
    <t>Sa Kaeo</t>
  </si>
  <si>
    <t>TH-47</t>
  </si>
  <si>
    <t>Sakon Nakhon</t>
  </si>
  <si>
    <t>TH-11</t>
  </si>
  <si>
    <t>Samut Prakan</t>
  </si>
  <si>
    <t>TH-74</t>
  </si>
  <si>
    <t>Samut Sakhon</t>
  </si>
  <si>
    <t>TH-75</t>
  </si>
  <si>
    <t>Samut Songkhram</t>
  </si>
  <si>
    <t>TH-19</t>
  </si>
  <si>
    <t>Saraburi</t>
  </si>
  <si>
    <t>TH-91</t>
  </si>
  <si>
    <t>Satun</t>
  </si>
  <si>
    <t>TH-33</t>
  </si>
  <si>
    <t>Si Sa Ket</t>
  </si>
  <si>
    <t>TH-17</t>
  </si>
  <si>
    <t>Sing Buri</t>
  </si>
  <si>
    <t>TH-90</t>
  </si>
  <si>
    <t>Songkhla</t>
  </si>
  <si>
    <t>TH-64</t>
  </si>
  <si>
    <t>Sukhothai</t>
  </si>
  <si>
    <t>TH-72</t>
  </si>
  <si>
    <t>Suphan Buri</t>
  </si>
  <si>
    <t>TH-84</t>
  </si>
  <si>
    <t>Surat Thani</t>
  </si>
  <si>
    <t>TH-32</t>
  </si>
  <si>
    <t>Surin</t>
  </si>
  <si>
    <t>TH-63</t>
  </si>
  <si>
    <t>Tak</t>
  </si>
  <si>
    <t>TH-92</t>
  </si>
  <si>
    <t>Trang</t>
  </si>
  <si>
    <t>TH-23</t>
  </si>
  <si>
    <t>Trat</t>
  </si>
  <si>
    <t>TH-34</t>
  </si>
  <si>
    <t>Ubon Ratchathani</t>
  </si>
  <si>
    <t>TH-41</t>
  </si>
  <si>
    <t>Udon Thani</t>
  </si>
  <si>
    <t>TH-61</t>
  </si>
  <si>
    <t>Uthai Thani</t>
  </si>
  <si>
    <t>TH-53</t>
  </si>
  <si>
    <t>Uttaradit</t>
  </si>
  <si>
    <t>TH-95</t>
  </si>
  <si>
    <t>Yala</t>
  </si>
  <si>
    <t>TH-35</t>
  </si>
  <si>
    <t>Yasothon</t>
  </si>
  <si>
    <t>TJ-DU</t>
  </si>
  <si>
    <t>TJ-KT</t>
  </si>
  <si>
    <t>Khatlon</t>
  </si>
  <si>
    <t>TJ-GB</t>
  </si>
  <si>
    <t>Kŭhistoni Badakhshon</t>
  </si>
  <si>
    <t>TJ-RA</t>
  </si>
  <si>
    <t>nohiyahoi tobei jumhurí</t>
  </si>
  <si>
    <t>districts under republic administration</t>
  </si>
  <si>
    <t>TJ-SU</t>
  </si>
  <si>
    <t>Sughd</t>
  </si>
  <si>
    <t>TL-AL</t>
  </si>
  <si>
    <t>Aileu</t>
  </si>
  <si>
    <t>TL-AN</t>
  </si>
  <si>
    <t>Ainaro</t>
  </si>
  <si>
    <t>TL-BA</t>
  </si>
  <si>
    <t>Baucau</t>
  </si>
  <si>
    <t>TL-BO</t>
  </si>
  <si>
    <t>Bobonaro</t>
  </si>
  <si>
    <t>TL-CO</t>
  </si>
  <si>
    <t>Cova Lima</t>
  </si>
  <si>
    <t>TL-DI</t>
  </si>
  <si>
    <t>Díli</t>
  </si>
  <si>
    <t>TL-ER</t>
  </si>
  <si>
    <t>Ermera</t>
  </si>
  <si>
    <t>TL-LA</t>
  </si>
  <si>
    <t>Lautém</t>
  </si>
  <si>
    <t>TL-LI</t>
  </si>
  <si>
    <t>Liquiça</t>
  </si>
  <si>
    <t>TL-MT</t>
  </si>
  <si>
    <t>Manatuto</t>
  </si>
  <si>
    <t>TL-MF</t>
  </si>
  <si>
    <t>Manufahi</t>
  </si>
  <si>
    <t>TL-OE</t>
  </si>
  <si>
    <t>Oé-Cusse Ambeno</t>
  </si>
  <si>
    <t>TL-VI</t>
  </si>
  <si>
    <t>Viqueque</t>
  </si>
  <si>
    <t>TM-A</t>
  </si>
  <si>
    <t>Ahal</t>
  </si>
  <si>
    <t>TM-S</t>
  </si>
  <si>
    <t>Aşgabat</t>
  </si>
  <si>
    <t>TM-B</t>
  </si>
  <si>
    <t>Balkan</t>
  </si>
  <si>
    <t>TM-D</t>
  </si>
  <si>
    <t>Daşoguz</t>
  </si>
  <si>
    <t>TM-L</t>
  </si>
  <si>
    <t>Lebap</t>
  </si>
  <si>
    <t>TM-M</t>
  </si>
  <si>
    <t>Mary</t>
  </si>
  <si>
    <t>TN-31</t>
  </si>
  <si>
    <t>Béja</t>
  </si>
  <si>
    <t>TN-13</t>
  </si>
  <si>
    <t>Ben Arous</t>
  </si>
  <si>
    <t>TN-23</t>
  </si>
  <si>
    <t>Bizerte</t>
  </si>
  <si>
    <t>TN-81</t>
  </si>
  <si>
    <t>Gabès</t>
  </si>
  <si>
    <t>TN-71</t>
  </si>
  <si>
    <t>Gafsa</t>
  </si>
  <si>
    <t>TN-32</t>
  </si>
  <si>
    <t>Jendouba</t>
  </si>
  <si>
    <t>TN-41</t>
  </si>
  <si>
    <t>Kairouan</t>
  </si>
  <si>
    <t>TN-42</t>
  </si>
  <si>
    <t>Kasserine</t>
  </si>
  <si>
    <t>TN-73</t>
  </si>
  <si>
    <t>Kébili</t>
  </si>
  <si>
    <t>TN-12</t>
  </si>
  <si>
    <t>L'Ariana</t>
  </si>
  <si>
    <t>TN-14</t>
  </si>
  <si>
    <t>La Manouba</t>
  </si>
  <si>
    <t>TN-33</t>
  </si>
  <si>
    <t>Le Kef</t>
  </si>
  <si>
    <t>TN-53</t>
  </si>
  <si>
    <t>Mahdia</t>
  </si>
  <si>
    <t>TN-82</t>
  </si>
  <si>
    <t>Médenine</t>
  </si>
  <si>
    <t>TN-52</t>
  </si>
  <si>
    <t>Monastir</t>
  </si>
  <si>
    <t>TN-21</t>
  </si>
  <si>
    <t>Nabeul</t>
  </si>
  <si>
    <t>TN-61</t>
  </si>
  <si>
    <t>Sfax</t>
  </si>
  <si>
    <t>TN-43</t>
  </si>
  <si>
    <t>Sidi Bouzid</t>
  </si>
  <si>
    <t>TN-34</t>
  </si>
  <si>
    <t>Siliana</t>
  </si>
  <si>
    <t>TN-51</t>
  </si>
  <si>
    <t>Sousse</t>
  </si>
  <si>
    <t>TN-83</t>
  </si>
  <si>
    <t>Tataouine</t>
  </si>
  <si>
    <t>TN-72</t>
  </si>
  <si>
    <t>Tozeur</t>
  </si>
  <si>
    <t>TN-11</t>
  </si>
  <si>
    <t>TN-22</t>
  </si>
  <si>
    <t>Zaghouan</t>
  </si>
  <si>
    <t>TO-01</t>
  </si>
  <si>
    <t>'Eua</t>
  </si>
  <si>
    <t>TO-02</t>
  </si>
  <si>
    <t>Ha'apai</t>
  </si>
  <si>
    <t>TO-03</t>
  </si>
  <si>
    <t>Niuas</t>
  </si>
  <si>
    <t>TO-04</t>
  </si>
  <si>
    <t>Tongatapu</t>
  </si>
  <si>
    <t>TO-05</t>
  </si>
  <si>
    <t>Vava'u</t>
  </si>
  <si>
    <t>TR-01</t>
  </si>
  <si>
    <t>Adana</t>
  </si>
  <si>
    <t>TR-02</t>
  </si>
  <si>
    <t>Adıyaman</t>
  </si>
  <si>
    <t>TR-03</t>
  </si>
  <si>
    <t>Afyonkarahisar</t>
  </si>
  <si>
    <t>TR-04</t>
  </si>
  <si>
    <t>Ağrı</t>
  </si>
  <si>
    <t>TR-68</t>
  </si>
  <si>
    <t>Aksaray</t>
  </si>
  <si>
    <t>TR-05</t>
  </si>
  <si>
    <t>Amasya</t>
  </si>
  <si>
    <t>TR-06</t>
  </si>
  <si>
    <t>Ankara</t>
  </si>
  <si>
    <t>TR-07</t>
  </si>
  <si>
    <t>Antalya</t>
  </si>
  <si>
    <t>TR-75</t>
  </si>
  <si>
    <t>Ardahan</t>
  </si>
  <si>
    <t>TR-08</t>
  </si>
  <si>
    <t>Artvin</t>
  </si>
  <si>
    <t>TR-09</t>
  </si>
  <si>
    <t>Aydın</t>
  </si>
  <si>
    <t>TR-10</t>
  </si>
  <si>
    <t>Balıkesir</t>
  </si>
  <si>
    <t>TR-74</t>
  </si>
  <si>
    <t>Bartın</t>
  </si>
  <si>
    <t>TR-72</t>
  </si>
  <si>
    <t>Batman</t>
  </si>
  <si>
    <t>TR-69</t>
  </si>
  <si>
    <t>Bayburt</t>
  </si>
  <si>
    <t>TR-11</t>
  </si>
  <si>
    <t>Bilecik</t>
  </si>
  <si>
    <t>TR-12</t>
  </si>
  <si>
    <t>Bingöl</t>
  </si>
  <si>
    <t>TR-13</t>
  </si>
  <si>
    <t>Bitlis</t>
  </si>
  <si>
    <t>TR-14</t>
  </si>
  <si>
    <t>Bolu</t>
  </si>
  <si>
    <t>TR-15</t>
  </si>
  <si>
    <t>Burdur</t>
  </si>
  <si>
    <t>TR-16</t>
  </si>
  <si>
    <t>Bursa</t>
  </si>
  <si>
    <t>TR-17</t>
  </si>
  <si>
    <t>Çanakkale</t>
  </si>
  <si>
    <t>TR-18</t>
  </si>
  <si>
    <t>Çankırı</t>
  </si>
  <si>
    <t>TR-19</t>
  </si>
  <si>
    <t>Çorum</t>
  </si>
  <si>
    <t>TR-20</t>
  </si>
  <si>
    <t>Denizli</t>
  </si>
  <si>
    <t>TR-21</t>
  </si>
  <si>
    <t>Diyarbakır</t>
  </si>
  <si>
    <t>TR-81</t>
  </si>
  <si>
    <t>Düzce</t>
  </si>
  <si>
    <t>TR-22</t>
  </si>
  <si>
    <t>Edirne</t>
  </si>
  <si>
    <t>TR-23</t>
  </si>
  <si>
    <t>Elazığ</t>
  </si>
  <si>
    <t>TR-24</t>
  </si>
  <si>
    <t>Erzincan</t>
  </si>
  <si>
    <t>TR-25</t>
  </si>
  <si>
    <t>Erzurum</t>
  </si>
  <si>
    <t>TR-26</t>
  </si>
  <si>
    <t>Eskişehir</t>
  </si>
  <si>
    <t>TR-27</t>
  </si>
  <si>
    <t>Gaziantep</t>
  </si>
  <si>
    <t>TR-28</t>
  </si>
  <si>
    <t>Giresun</t>
  </si>
  <si>
    <t>TR-29</t>
  </si>
  <si>
    <t>Gümüşhane</t>
  </si>
  <si>
    <t>TR-30</t>
  </si>
  <si>
    <t>Hakkâri</t>
  </si>
  <si>
    <t>TR-31</t>
  </si>
  <si>
    <t>Hatay</t>
  </si>
  <si>
    <t>TR-76</t>
  </si>
  <si>
    <t>Iğdır</t>
  </si>
  <si>
    <t>TR-32</t>
  </si>
  <si>
    <t>Isparta</t>
  </si>
  <si>
    <t>TR-34</t>
  </si>
  <si>
    <t>TR-35</t>
  </si>
  <si>
    <t>İzmir</t>
  </si>
  <si>
    <t>TR-46</t>
  </si>
  <si>
    <t>Kahramanmaraş</t>
  </si>
  <si>
    <t>TR-78</t>
  </si>
  <si>
    <t>Karabük</t>
  </si>
  <si>
    <t>TR-70</t>
  </si>
  <si>
    <t>Karaman</t>
  </si>
  <si>
    <t>TR-36</t>
  </si>
  <si>
    <t>Kars</t>
  </si>
  <si>
    <t>TR-37</t>
  </si>
  <si>
    <t>Kastamonu</t>
  </si>
  <si>
    <t>TR-38</t>
  </si>
  <si>
    <t>Kayseri</t>
  </si>
  <si>
    <t>TR-71</t>
  </si>
  <si>
    <t>Kırıkkale</t>
  </si>
  <si>
    <t>TR-39</t>
  </si>
  <si>
    <t>Kırklareli</t>
  </si>
  <si>
    <t>TR-40</t>
  </si>
  <si>
    <t>Kırşehir</t>
  </si>
  <si>
    <t>TR-79</t>
  </si>
  <si>
    <t>Kilis</t>
  </si>
  <si>
    <t>TR-41</t>
  </si>
  <si>
    <t>Kocaeli</t>
  </si>
  <si>
    <t>TR-42</t>
  </si>
  <si>
    <t>Konya</t>
  </si>
  <si>
    <t>TR-43</t>
  </si>
  <si>
    <t>Kütahya</t>
  </si>
  <si>
    <t>TR-44</t>
  </si>
  <si>
    <t>Malatya</t>
  </si>
  <si>
    <t>TR-45</t>
  </si>
  <si>
    <t>Manisa</t>
  </si>
  <si>
    <t>TR-47</t>
  </si>
  <si>
    <t>Mardin</t>
  </si>
  <si>
    <t>TR-33</t>
  </si>
  <si>
    <t>Mersin</t>
  </si>
  <si>
    <t>TR-48</t>
  </si>
  <si>
    <t>Muğla</t>
  </si>
  <si>
    <t>TR-49</t>
  </si>
  <si>
    <t>Muş</t>
  </si>
  <si>
    <t>TR-50</t>
  </si>
  <si>
    <t>Nevşehir</t>
  </si>
  <si>
    <t>TR-51</t>
  </si>
  <si>
    <t>Niğde</t>
  </si>
  <si>
    <t>TR-52</t>
  </si>
  <si>
    <t>Ordu</t>
  </si>
  <si>
    <t>TR-80</t>
  </si>
  <si>
    <t>Osmaniye</t>
  </si>
  <si>
    <t>TR-53</t>
  </si>
  <si>
    <t>Rize</t>
  </si>
  <si>
    <t>TR-54</t>
  </si>
  <si>
    <t>Sakarya</t>
  </si>
  <si>
    <t>TR-55</t>
  </si>
  <si>
    <t>Samsun</t>
  </si>
  <si>
    <t>TR-56</t>
  </si>
  <si>
    <t>Siirt</t>
  </si>
  <si>
    <t>TR-57</t>
  </si>
  <si>
    <t>Sinop</t>
  </si>
  <si>
    <t>TR-58</t>
  </si>
  <si>
    <t>Sivas</t>
  </si>
  <si>
    <t>TR-63</t>
  </si>
  <si>
    <t>Şanlıurfa</t>
  </si>
  <si>
    <t>TR-73</t>
  </si>
  <si>
    <t>Şırnak</t>
  </si>
  <si>
    <t>TR-59</t>
  </si>
  <si>
    <t>Tekirdağ</t>
  </si>
  <si>
    <t>TR-60</t>
  </si>
  <si>
    <t>Tokat</t>
  </si>
  <si>
    <t>TR-61</t>
  </si>
  <si>
    <t>Trabzon</t>
  </si>
  <si>
    <t>TR-62</t>
  </si>
  <si>
    <t>Tunceli</t>
  </si>
  <si>
    <t>TR-64</t>
  </si>
  <si>
    <t>Uşak</t>
  </si>
  <si>
    <t>TR-65</t>
  </si>
  <si>
    <t>Van</t>
  </si>
  <si>
    <t>TR-77</t>
  </si>
  <si>
    <t>Yalova</t>
  </si>
  <si>
    <t>TR-66</t>
  </si>
  <si>
    <t>Yozgat</t>
  </si>
  <si>
    <t>TR-67</t>
  </si>
  <si>
    <t>Zonguldak</t>
  </si>
  <si>
    <t>TT-ARI</t>
  </si>
  <si>
    <t>Arima</t>
  </si>
  <si>
    <t>borough</t>
  </si>
  <si>
    <t>TT-CHA</t>
  </si>
  <si>
    <t>Chaguanas</t>
  </si>
  <si>
    <t>TT-CTT</t>
  </si>
  <si>
    <t>Couva-Tabaquite-Talparo</t>
  </si>
  <si>
    <t>TT-DMN</t>
  </si>
  <si>
    <t>Diego Martin</t>
  </si>
  <si>
    <t>TT-MRC</t>
  </si>
  <si>
    <t>Mayaro-Rio Claro</t>
  </si>
  <si>
    <t>TT-PED</t>
  </si>
  <si>
    <t>Penal-Debe</t>
  </si>
  <si>
    <t>TT-POS</t>
  </si>
  <si>
    <t>Port of Spain</t>
  </si>
  <si>
    <t>TT-PRT</t>
  </si>
  <si>
    <t>Princes Town</t>
  </si>
  <si>
    <t>TT-PTF</t>
  </si>
  <si>
    <t>Point Fortin</t>
  </si>
  <si>
    <t>TT-SFO</t>
  </si>
  <si>
    <t>San Fernando</t>
  </si>
  <si>
    <t>TT-SGE</t>
  </si>
  <si>
    <t>Sangre Grande</t>
  </si>
  <si>
    <t>TT-SIP</t>
  </si>
  <si>
    <t>Siparia</t>
  </si>
  <si>
    <t>TT-SJL</t>
  </si>
  <si>
    <t>San Juan-Laventille</t>
  </si>
  <si>
    <t>TT-TOB</t>
  </si>
  <si>
    <t>Tobago</t>
  </si>
  <si>
    <t>ward</t>
  </si>
  <si>
    <t>TT-TUP</t>
  </si>
  <si>
    <t>Tunapuna-Piarco</t>
  </si>
  <si>
    <t>TV-FUN</t>
  </si>
  <si>
    <t>town council</t>
  </si>
  <si>
    <t>TV-NMG</t>
  </si>
  <si>
    <t>Nanumaga</t>
  </si>
  <si>
    <t>island council</t>
  </si>
  <si>
    <t>TV-NMA</t>
  </si>
  <si>
    <t>Nanumea</t>
  </si>
  <si>
    <t>TV-NIT</t>
  </si>
  <si>
    <t>Niutao</t>
  </si>
  <si>
    <t>TV-NUI</t>
  </si>
  <si>
    <t>Nui</t>
  </si>
  <si>
    <t>TV-NKF</t>
  </si>
  <si>
    <t>Nukufetau</t>
  </si>
  <si>
    <t>TV-NKL</t>
  </si>
  <si>
    <t>Nukulaelae</t>
  </si>
  <si>
    <t>TV-VAI</t>
  </si>
  <si>
    <t>Vaitupu</t>
  </si>
  <si>
    <t>TW-CHA</t>
  </si>
  <si>
    <t>Changhua</t>
  </si>
  <si>
    <t>TW-CYI</t>
  </si>
  <si>
    <t>Chiayi</t>
  </si>
  <si>
    <t>TW-CYQ</t>
  </si>
  <si>
    <t>TW-HSZ</t>
  </si>
  <si>
    <t>Hsinchu</t>
  </si>
  <si>
    <t>TW-HSQ</t>
  </si>
  <si>
    <t>TW-HUA</t>
  </si>
  <si>
    <t>Hualien</t>
  </si>
  <si>
    <t>TW-KHH</t>
  </si>
  <si>
    <t>Kaohsiung</t>
  </si>
  <si>
    <t>TW-KEE</t>
  </si>
  <si>
    <t>Keelung</t>
  </si>
  <si>
    <t>TW-KIN</t>
  </si>
  <si>
    <t>Kinmen</t>
  </si>
  <si>
    <t>TW-LIE</t>
  </si>
  <si>
    <t>Lienchiang</t>
  </si>
  <si>
    <t>TW-MIA</t>
  </si>
  <si>
    <t>Miaoli</t>
  </si>
  <si>
    <t>TW-NAN</t>
  </si>
  <si>
    <t>Nantou</t>
  </si>
  <si>
    <t>TW-NWT</t>
  </si>
  <si>
    <t>New Taipei</t>
  </si>
  <si>
    <t>TW-PEN</t>
  </si>
  <si>
    <t>Penghu</t>
  </si>
  <si>
    <t>TW-PIF</t>
  </si>
  <si>
    <t>Pingtung</t>
  </si>
  <si>
    <t>TW-TXG</t>
  </si>
  <si>
    <t>Taichung</t>
  </si>
  <si>
    <t>TW-TNN</t>
  </si>
  <si>
    <t>Tainan</t>
  </si>
  <si>
    <t>TW-TPE</t>
  </si>
  <si>
    <t>TW-TTT</t>
  </si>
  <si>
    <t>Taitung</t>
  </si>
  <si>
    <t>TW-TAO</t>
  </si>
  <si>
    <t>Taoyuan</t>
  </si>
  <si>
    <t>TW-ILA</t>
  </si>
  <si>
    <t>Yilan</t>
  </si>
  <si>
    <t>TW-YUN</t>
  </si>
  <si>
    <t>Yunlin</t>
  </si>
  <si>
    <t>TZ-01</t>
  </si>
  <si>
    <t>Arusha</t>
  </si>
  <si>
    <t>TZ-02</t>
  </si>
  <si>
    <t>TZ-03</t>
  </si>
  <si>
    <t>Dodoma</t>
  </si>
  <si>
    <t>TZ-27</t>
  </si>
  <si>
    <t>Geita</t>
  </si>
  <si>
    <t>TZ-04</t>
  </si>
  <si>
    <t>Iringa</t>
  </si>
  <si>
    <t>TZ-05</t>
  </si>
  <si>
    <t>Kagera</t>
  </si>
  <si>
    <t>TZ-06</t>
  </si>
  <si>
    <t>Kaskazini Pemba</t>
  </si>
  <si>
    <t>TZ-07</t>
  </si>
  <si>
    <t>Kaskazini Unguja</t>
  </si>
  <si>
    <t>TZ-28</t>
  </si>
  <si>
    <t>Katavi</t>
  </si>
  <si>
    <t>TZ-08</t>
  </si>
  <si>
    <t>Kigoma</t>
  </si>
  <si>
    <t>TZ-09</t>
  </si>
  <si>
    <t>Kilimanjaro</t>
  </si>
  <si>
    <t>TZ-10</t>
  </si>
  <si>
    <t>Kusini Pemba</t>
  </si>
  <si>
    <t>TZ-11</t>
  </si>
  <si>
    <t>Kusini Unguja</t>
  </si>
  <si>
    <t>TZ-12</t>
  </si>
  <si>
    <t>Lindi</t>
  </si>
  <si>
    <t>TZ-26</t>
  </si>
  <si>
    <t>Manyara</t>
  </si>
  <si>
    <t>TZ-13</t>
  </si>
  <si>
    <t>Mara</t>
  </si>
  <si>
    <t>TZ-14</t>
  </si>
  <si>
    <t>Mbeya</t>
  </si>
  <si>
    <t>TZ-15</t>
  </si>
  <si>
    <t>Mjini Magharibi</t>
  </si>
  <si>
    <t>TZ-16</t>
  </si>
  <si>
    <t>Morogoro</t>
  </si>
  <si>
    <t>TZ-17</t>
  </si>
  <si>
    <t>Mtwara</t>
  </si>
  <si>
    <t>TZ-18</t>
  </si>
  <si>
    <t>TZ-29</t>
  </si>
  <si>
    <t>Njombe</t>
  </si>
  <si>
    <t>TZ-19</t>
  </si>
  <si>
    <t>Pwani</t>
  </si>
  <si>
    <t>TZ-20</t>
  </si>
  <si>
    <t>Rukwa</t>
  </si>
  <si>
    <t>TZ-21</t>
  </si>
  <si>
    <t>Ruvuma</t>
  </si>
  <si>
    <t>TZ-22</t>
  </si>
  <si>
    <t>Shinyanga</t>
  </si>
  <si>
    <t>TZ-30</t>
  </si>
  <si>
    <t>Simiyu</t>
  </si>
  <si>
    <t>TZ-23</t>
  </si>
  <si>
    <t>Singida</t>
  </si>
  <si>
    <t>TZ-31</t>
  </si>
  <si>
    <t>Songwe</t>
  </si>
  <si>
    <t>TZ-24</t>
  </si>
  <si>
    <t>Tabora</t>
  </si>
  <si>
    <t>TZ-25</t>
  </si>
  <si>
    <t>Tanga</t>
  </si>
  <si>
    <t>UA-43</t>
  </si>
  <si>
    <t>Avtonomna Respublika Krym</t>
  </si>
  <si>
    <t>UA-71</t>
  </si>
  <si>
    <t>Cherkaska oblast</t>
  </si>
  <si>
    <t>UA-74</t>
  </si>
  <si>
    <t>Chernihivska oblast</t>
  </si>
  <si>
    <t>UA-77</t>
  </si>
  <si>
    <t>Chernivetska oblast</t>
  </si>
  <si>
    <t>UA-12</t>
  </si>
  <si>
    <t>Dnipropetrovska oblast</t>
  </si>
  <si>
    <t>UA-14</t>
  </si>
  <si>
    <t>Donetska oblast</t>
  </si>
  <si>
    <t>UA-26</t>
  </si>
  <si>
    <t>Ivano-Frankivska oblast</t>
  </si>
  <si>
    <t>UA-63</t>
  </si>
  <si>
    <t>Kharkivska oblast</t>
  </si>
  <si>
    <t>UA-65</t>
  </si>
  <si>
    <t>Khersonska oblast</t>
  </si>
  <si>
    <t>UA-68</t>
  </si>
  <si>
    <t>Khmelnytska oblast</t>
  </si>
  <si>
    <t>UA-35</t>
  </si>
  <si>
    <t>Kirovohradska oblast</t>
  </si>
  <si>
    <t>UA-30</t>
  </si>
  <si>
    <t>Kyiv</t>
  </si>
  <si>
    <t>UA-32</t>
  </si>
  <si>
    <t>Kyivska oblast</t>
  </si>
  <si>
    <t>UA-09</t>
  </si>
  <si>
    <t>Luhanska oblast</t>
  </si>
  <si>
    <t>UA-46</t>
  </si>
  <si>
    <t>Lvivska oblast</t>
  </si>
  <si>
    <t>UA-48</t>
  </si>
  <si>
    <t>Mykolaivska oblast</t>
  </si>
  <si>
    <t>UA-51</t>
  </si>
  <si>
    <t>Odeska oblast</t>
  </si>
  <si>
    <t>UA-53</t>
  </si>
  <si>
    <t>Poltavska oblast</t>
  </si>
  <si>
    <t>UA-56</t>
  </si>
  <si>
    <t>Rivnenska oblast</t>
  </si>
  <si>
    <t>UA-40</t>
  </si>
  <si>
    <t>Sevastopol</t>
  </si>
  <si>
    <t>UA-59</t>
  </si>
  <si>
    <t>Sumska oblast</t>
  </si>
  <si>
    <t>UA-61</t>
  </si>
  <si>
    <t>Ternopilska oblast</t>
  </si>
  <si>
    <t>UA-05</t>
  </si>
  <si>
    <t>Vinnytska oblast</t>
  </si>
  <si>
    <t>UA-07</t>
  </si>
  <si>
    <t>Volynska oblast</t>
  </si>
  <si>
    <t>UA-21</t>
  </si>
  <si>
    <t>Zakarpatska oblast</t>
  </si>
  <si>
    <t>UA-23</t>
  </si>
  <si>
    <t>Zaporizka oblast</t>
  </si>
  <si>
    <t>UA-18</t>
  </si>
  <si>
    <t>Zhytomyrska oblast</t>
  </si>
  <si>
    <t>UG-C</t>
  </si>
  <si>
    <t>UG-E</t>
  </si>
  <si>
    <t>UG-N</t>
  </si>
  <si>
    <t>UG-W</t>
  </si>
  <si>
    <t>UG-314</t>
  </si>
  <si>
    <t>Abim</t>
  </si>
  <si>
    <t>UG-301</t>
  </si>
  <si>
    <t>Adjumani</t>
  </si>
  <si>
    <t>UG-322</t>
  </si>
  <si>
    <t>Agago</t>
  </si>
  <si>
    <t>UG-323</t>
  </si>
  <si>
    <t>Alebtong</t>
  </si>
  <si>
    <t>UG-315</t>
  </si>
  <si>
    <t>Amolatar</t>
  </si>
  <si>
    <t>UG-324</t>
  </si>
  <si>
    <t>Amudat</t>
  </si>
  <si>
    <t>UG-216</t>
  </si>
  <si>
    <t>Amuria</t>
  </si>
  <si>
    <t>UG-316</t>
  </si>
  <si>
    <t>Amuru</t>
  </si>
  <si>
    <t>UG-302</t>
  </si>
  <si>
    <t>Apac</t>
  </si>
  <si>
    <t>UG-303</t>
  </si>
  <si>
    <t>Arua</t>
  </si>
  <si>
    <t>UG-217</t>
  </si>
  <si>
    <t>Budaka</t>
  </si>
  <si>
    <t>UG-218</t>
  </si>
  <si>
    <t>Bududa</t>
  </si>
  <si>
    <t>UG-201</t>
  </si>
  <si>
    <t>Bugiri</t>
  </si>
  <si>
    <t>UG-235</t>
  </si>
  <si>
    <t>Bugweri</t>
  </si>
  <si>
    <t>UG-420</t>
  </si>
  <si>
    <t>Buhweju</t>
  </si>
  <si>
    <t>UG-117</t>
  </si>
  <si>
    <t>Buikwe</t>
  </si>
  <si>
    <t>UG-219</t>
  </si>
  <si>
    <t>Bukedea</t>
  </si>
  <si>
    <t>UG-118</t>
  </si>
  <si>
    <t>Bukomansibi</t>
  </si>
  <si>
    <t>UG-220</t>
  </si>
  <si>
    <t>Bukwo</t>
  </si>
  <si>
    <t>UG-225</t>
  </si>
  <si>
    <t>Bulambuli</t>
  </si>
  <si>
    <t>UG-416</t>
  </si>
  <si>
    <t>Buliisa</t>
  </si>
  <si>
    <t>UG-401</t>
  </si>
  <si>
    <t>Bundibugyo</t>
  </si>
  <si>
    <t>UG-430</t>
  </si>
  <si>
    <t>Bunyangabu</t>
  </si>
  <si>
    <t>UG-402</t>
  </si>
  <si>
    <t>Bushenyi</t>
  </si>
  <si>
    <t>UG-202</t>
  </si>
  <si>
    <t>UG-221</t>
  </si>
  <si>
    <t>Butaleja</t>
  </si>
  <si>
    <t>UG-119</t>
  </si>
  <si>
    <t>Butambala</t>
  </si>
  <si>
    <t>UG-233</t>
  </si>
  <si>
    <t>Butebo</t>
  </si>
  <si>
    <t>UG-120</t>
  </si>
  <si>
    <t>Buvuma</t>
  </si>
  <si>
    <t>UG-226</t>
  </si>
  <si>
    <t>Buyende</t>
  </si>
  <si>
    <t>UG-317</t>
  </si>
  <si>
    <t>Dokolo</t>
  </si>
  <si>
    <t>UG-121</t>
  </si>
  <si>
    <t>Gomba</t>
  </si>
  <si>
    <t>UG-304</t>
  </si>
  <si>
    <t>Gulu</t>
  </si>
  <si>
    <t>UG-403</t>
  </si>
  <si>
    <t>Hoima</t>
  </si>
  <si>
    <t>UG-417</t>
  </si>
  <si>
    <t>Ibanda</t>
  </si>
  <si>
    <t>UG-203</t>
  </si>
  <si>
    <t>Iganga</t>
  </si>
  <si>
    <t>UG-418</t>
  </si>
  <si>
    <t>Isingiro</t>
  </si>
  <si>
    <t>UG-204</t>
  </si>
  <si>
    <t>Jinja</t>
  </si>
  <si>
    <t>UG-318</t>
  </si>
  <si>
    <t>Kaabong</t>
  </si>
  <si>
    <t>UG-404</t>
  </si>
  <si>
    <t>Kabale</t>
  </si>
  <si>
    <t>UG-405</t>
  </si>
  <si>
    <t>Kabarole</t>
  </si>
  <si>
    <t>UG-213</t>
  </si>
  <si>
    <t>Kaberamaido</t>
  </si>
  <si>
    <t>UG-427</t>
  </si>
  <si>
    <t>Kagadi</t>
  </si>
  <si>
    <t>UG-428</t>
  </si>
  <si>
    <t>Kakumiro</t>
  </si>
  <si>
    <t>UG-237</t>
  </si>
  <si>
    <t>Kalaki</t>
  </si>
  <si>
    <t>UG-101</t>
  </si>
  <si>
    <t>Kalangala</t>
  </si>
  <si>
    <t>UG-222</t>
  </si>
  <si>
    <t>Kaliro</t>
  </si>
  <si>
    <t>UG-122</t>
  </si>
  <si>
    <t>Kalungu</t>
  </si>
  <si>
    <t>UG-102</t>
  </si>
  <si>
    <t>UG-205</t>
  </si>
  <si>
    <t>Kamuli</t>
  </si>
  <si>
    <t>UG-413</t>
  </si>
  <si>
    <t>Kamwenge</t>
  </si>
  <si>
    <t>UG-414</t>
  </si>
  <si>
    <t>Kanungu</t>
  </si>
  <si>
    <t>UG-206</t>
  </si>
  <si>
    <t>Kapchorwa</t>
  </si>
  <si>
    <t>UG-236</t>
  </si>
  <si>
    <t>Kapelebyong</t>
  </si>
  <si>
    <t>UG-335</t>
  </si>
  <si>
    <t>Karenga</t>
  </si>
  <si>
    <t>UG-126</t>
  </si>
  <si>
    <t>Kasanda</t>
  </si>
  <si>
    <t>UG-406</t>
  </si>
  <si>
    <t>Kasese</t>
  </si>
  <si>
    <t>UG-207</t>
  </si>
  <si>
    <t>Katakwi</t>
  </si>
  <si>
    <t>UG-112</t>
  </si>
  <si>
    <t>Kayunga</t>
  </si>
  <si>
    <t>UG-433</t>
  </si>
  <si>
    <t>Kazo</t>
  </si>
  <si>
    <t>UG-407</t>
  </si>
  <si>
    <t>Kibaale</t>
  </si>
  <si>
    <t>UG-103</t>
  </si>
  <si>
    <t>Kiboga</t>
  </si>
  <si>
    <t>UG-227</t>
  </si>
  <si>
    <t>Kibuku</t>
  </si>
  <si>
    <t>UG-432</t>
  </si>
  <si>
    <t>Kikuube</t>
  </si>
  <si>
    <t>UG-419</t>
  </si>
  <si>
    <t>Kiruhura</t>
  </si>
  <si>
    <t>UG-421</t>
  </si>
  <si>
    <t>Kiryandongo</t>
  </si>
  <si>
    <t>UG-408</t>
  </si>
  <si>
    <t>Kisoro</t>
  </si>
  <si>
    <t>UG-434</t>
  </si>
  <si>
    <t>Kitagwenda</t>
  </si>
  <si>
    <t>UG-305</t>
  </si>
  <si>
    <t>Kitgum</t>
  </si>
  <si>
    <t>UG-319</t>
  </si>
  <si>
    <t>Koboko</t>
  </si>
  <si>
    <t>UG-325</t>
  </si>
  <si>
    <t>Kole</t>
  </si>
  <si>
    <t>UG-306</t>
  </si>
  <si>
    <t>Kotido</t>
  </si>
  <si>
    <t>UG-208</t>
  </si>
  <si>
    <t>Kumi</t>
  </si>
  <si>
    <t>UG-333</t>
  </si>
  <si>
    <t>Kwania</t>
  </si>
  <si>
    <t>UG-228</t>
  </si>
  <si>
    <t>Kween</t>
  </si>
  <si>
    <t>UG-123</t>
  </si>
  <si>
    <t>Kyankwanzi</t>
  </si>
  <si>
    <t>UG-422</t>
  </si>
  <si>
    <t>Kyegegwa</t>
  </si>
  <si>
    <t>UG-415</t>
  </si>
  <si>
    <t>Kyenjojo</t>
  </si>
  <si>
    <t>UG-125</t>
  </si>
  <si>
    <t>Kyotera</t>
  </si>
  <si>
    <t>UG-326</t>
  </si>
  <si>
    <t>Lamwo</t>
  </si>
  <si>
    <t>UG-307</t>
  </si>
  <si>
    <t>Lira</t>
  </si>
  <si>
    <t>UG-229</t>
  </si>
  <si>
    <t>Luuka</t>
  </si>
  <si>
    <t>UG-104</t>
  </si>
  <si>
    <t>Luwero</t>
  </si>
  <si>
    <t>UG-124</t>
  </si>
  <si>
    <t>Lwengo</t>
  </si>
  <si>
    <t>UG-114</t>
  </si>
  <si>
    <t>Lyantonde</t>
  </si>
  <si>
    <t>UG-336</t>
  </si>
  <si>
    <t>Madi-Okollo</t>
  </si>
  <si>
    <t>UG-223</t>
  </si>
  <si>
    <t>Manafwa</t>
  </si>
  <si>
    <t>UG-320</t>
  </si>
  <si>
    <t>Maracha</t>
  </si>
  <si>
    <t>UG-105</t>
  </si>
  <si>
    <t>Masaka</t>
  </si>
  <si>
    <t>UG-409</t>
  </si>
  <si>
    <t>Masindi</t>
  </si>
  <si>
    <t>UG-214</t>
  </si>
  <si>
    <t>Mayuge</t>
  </si>
  <si>
    <t>UG-209</t>
  </si>
  <si>
    <t>Mbale</t>
  </si>
  <si>
    <t>UG-410</t>
  </si>
  <si>
    <t>Mbarara</t>
  </si>
  <si>
    <t>UG-423</t>
  </si>
  <si>
    <t>Mitooma</t>
  </si>
  <si>
    <t>UG-115</t>
  </si>
  <si>
    <t>Mityana</t>
  </si>
  <si>
    <t>UG-308</t>
  </si>
  <si>
    <t>Moroto</t>
  </si>
  <si>
    <t>UG-309</t>
  </si>
  <si>
    <t>Moyo</t>
  </si>
  <si>
    <t>UG-106</t>
  </si>
  <si>
    <t>Mpigi</t>
  </si>
  <si>
    <t>UG-107</t>
  </si>
  <si>
    <t>Mubende</t>
  </si>
  <si>
    <t>UG-108</t>
  </si>
  <si>
    <t>Mukono</t>
  </si>
  <si>
    <t>UG-334</t>
  </si>
  <si>
    <t>Nabilatuk</t>
  </si>
  <si>
    <t>UG-311</t>
  </si>
  <si>
    <t>Nakapiripirit</t>
  </si>
  <si>
    <t>UG-116</t>
  </si>
  <si>
    <t>Nakaseke</t>
  </si>
  <si>
    <t>UG-109</t>
  </si>
  <si>
    <t>Nakasongola</t>
  </si>
  <si>
    <t>UG-230</t>
  </si>
  <si>
    <t>Namayingo</t>
  </si>
  <si>
    <t>UG-234</t>
  </si>
  <si>
    <t>Namisindwa</t>
  </si>
  <si>
    <t>UG-224</t>
  </si>
  <si>
    <t>Namutumba</t>
  </si>
  <si>
    <t>UG-327</t>
  </si>
  <si>
    <t>Napak</t>
  </si>
  <si>
    <t>UG-310</t>
  </si>
  <si>
    <t>Nebbi</t>
  </si>
  <si>
    <t>UG-231</t>
  </si>
  <si>
    <t>Ngora</t>
  </si>
  <si>
    <t>UG-424</t>
  </si>
  <si>
    <t>Ntoroko</t>
  </si>
  <si>
    <t>UG-411</t>
  </si>
  <si>
    <t>Ntungamo</t>
  </si>
  <si>
    <t>UG-328</t>
  </si>
  <si>
    <t>Nwoya</t>
  </si>
  <si>
    <t>UG-337</t>
  </si>
  <si>
    <t>Obongi</t>
  </si>
  <si>
    <t>UG-331</t>
  </si>
  <si>
    <t>Omoro</t>
  </si>
  <si>
    <t>UG-329</t>
  </si>
  <si>
    <t>Otuke</t>
  </si>
  <si>
    <t>UG-321</t>
  </si>
  <si>
    <t>Oyam</t>
  </si>
  <si>
    <t>UG-312</t>
  </si>
  <si>
    <t>Pader</t>
  </si>
  <si>
    <t>UG-332</t>
  </si>
  <si>
    <t>Pakwach</t>
  </si>
  <si>
    <t>UG-210</t>
  </si>
  <si>
    <t>Pallisa</t>
  </si>
  <si>
    <t>UG-110</t>
  </si>
  <si>
    <t>Rakai</t>
  </si>
  <si>
    <t>UG-429</t>
  </si>
  <si>
    <t>Rubanda</t>
  </si>
  <si>
    <t>UG-425</t>
  </si>
  <si>
    <t>Rubirizi</t>
  </si>
  <si>
    <t>UG-431</t>
  </si>
  <si>
    <t>Rukiga</t>
  </si>
  <si>
    <t>UG-412</t>
  </si>
  <si>
    <t>Rukungiri</t>
  </si>
  <si>
    <t>UG-435</t>
  </si>
  <si>
    <t>Rwampara</t>
  </si>
  <si>
    <t>UG-111</t>
  </si>
  <si>
    <t>Sembabule</t>
  </si>
  <si>
    <t>UG-232</t>
  </si>
  <si>
    <t>Serere</t>
  </si>
  <si>
    <t>UG-426</t>
  </si>
  <si>
    <t>Sheema</t>
  </si>
  <si>
    <t>UG-215</t>
  </si>
  <si>
    <t>Sironko</t>
  </si>
  <si>
    <t>UG-211</t>
  </si>
  <si>
    <t>Soroti</t>
  </si>
  <si>
    <t>UG-212</t>
  </si>
  <si>
    <t>Tororo</t>
  </si>
  <si>
    <t>UG-113</t>
  </si>
  <si>
    <t>Wakiso</t>
  </si>
  <si>
    <t>UG-313</t>
  </si>
  <si>
    <t>Yumbe</t>
  </si>
  <si>
    <t>UG-330</t>
  </si>
  <si>
    <t>Zombo</t>
  </si>
  <si>
    <t>UM-81</t>
  </si>
  <si>
    <t>Baker Island</t>
  </si>
  <si>
    <t>UM-84</t>
  </si>
  <si>
    <t>Howland Island</t>
  </si>
  <si>
    <t>UM-86</t>
  </si>
  <si>
    <t>Jarvis Island</t>
  </si>
  <si>
    <t>UM-67</t>
  </si>
  <si>
    <t>Johnston Atoll</t>
  </si>
  <si>
    <t>UM-89</t>
  </si>
  <si>
    <t>Kingman Reef</t>
  </si>
  <si>
    <t>UM-71</t>
  </si>
  <si>
    <t>Midway Islands</t>
  </si>
  <si>
    <t>UM-76</t>
  </si>
  <si>
    <t>Navassa Island</t>
  </si>
  <si>
    <t>UM-95</t>
  </si>
  <si>
    <t>Palmyra Atoll</t>
  </si>
  <si>
    <t>UM-79</t>
  </si>
  <si>
    <t>Wake Island</t>
  </si>
  <si>
    <t>US-AL</t>
  </si>
  <si>
    <t>US-AK</t>
  </si>
  <si>
    <t>US-AZ</t>
  </si>
  <si>
    <t>US-AR</t>
  </si>
  <si>
    <t>US-CA</t>
  </si>
  <si>
    <t>US-CO</t>
  </si>
  <si>
    <t>US-CT</t>
  </si>
  <si>
    <t>US-DE</t>
  </si>
  <si>
    <t>US-FL</t>
  </si>
  <si>
    <t>US-GA</t>
  </si>
  <si>
    <t>US-HI</t>
  </si>
  <si>
    <t>US-ID</t>
  </si>
  <si>
    <t>US-IL</t>
  </si>
  <si>
    <t>US-IN</t>
  </si>
  <si>
    <t>US-IA</t>
  </si>
  <si>
    <t>US-KS</t>
  </si>
  <si>
    <t>US-KY</t>
  </si>
  <si>
    <t>US-LA</t>
  </si>
  <si>
    <t>US-ME</t>
  </si>
  <si>
    <t>US-MD</t>
  </si>
  <si>
    <t>US-MA</t>
  </si>
  <si>
    <t>US-MI</t>
  </si>
  <si>
    <t>US-MN</t>
  </si>
  <si>
    <t>US-MS</t>
  </si>
  <si>
    <t>US-MO</t>
  </si>
  <si>
    <t>US-MT</t>
  </si>
  <si>
    <t>US-NE</t>
  </si>
  <si>
    <t>US-NV</t>
  </si>
  <si>
    <t>US-NH</t>
  </si>
  <si>
    <t>US-NJ</t>
  </si>
  <si>
    <t>US-NM</t>
  </si>
  <si>
    <t>US-NY</t>
  </si>
  <si>
    <t>US-NC</t>
  </si>
  <si>
    <t>US-ND</t>
  </si>
  <si>
    <t>US-OH</t>
  </si>
  <si>
    <t>US-OK</t>
  </si>
  <si>
    <t>US-OR</t>
  </si>
  <si>
    <t>US-PA</t>
  </si>
  <si>
    <t>US-RI</t>
  </si>
  <si>
    <t>US-SC</t>
  </si>
  <si>
    <t>US-SD</t>
  </si>
  <si>
    <t>US-TN</t>
  </si>
  <si>
    <t>US-TX</t>
  </si>
  <si>
    <t>US-UT</t>
  </si>
  <si>
    <t>US-VT</t>
  </si>
  <si>
    <t>US-VA</t>
  </si>
  <si>
    <t>US-WA</t>
  </si>
  <si>
    <t>US-WV</t>
  </si>
  <si>
    <t>US-WI</t>
  </si>
  <si>
    <t>US-WY</t>
  </si>
  <si>
    <t>US-DC</t>
  </si>
  <si>
    <t>District of Columbia</t>
  </si>
  <si>
    <t>US-AS</t>
  </si>
  <si>
    <t>outlying area</t>
  </si>
  <si>
    <t>US-GU</t>
  </si>
  <si>
    <t>US-MP</t>
  </si>
  <si>
    <t>US-PR</t>
  </si>
  <si>
    <t>US-UM</t>
  </si>
  <si>
    <t>US-VI</t>
  </si>
  <si>
    <t>Virgin Islands, U.S.</t>
  </si>
  <si>
    <t>UY-AR</t>
  </si>
  <si>
    <t>Artigas</t>
  </si>
  <si>
    <t>UY-CA</t>
  </si>
  <si>
    <t>Canelones</t>
  </si>
  <si>
    <t>UY-CL</t>
  </si>
  <si>
    <t>Cerro Largo</t>
  </si>
  <si>
    <t>UY-CO</t>
  </si>
  <si>
    <t>Colonia</t>
  </si>
  <si>
    <t>UY-DU</t>
  </si>
  <si>
    <t>Durazno</t>
  </si>
  <si>
    <t>UY-FS</t>
  </si>
  <si>
    <t>Flores</t>
  </si>
  <si>
    <t>UY-FD</t>
  </si>
  <si>
    <t>UY-LA</t>
  </si>
  <si>
    <t>Lavalleja</t>
  </si>
  <si>
    <t>UY-MA</t>
  </si>
  <si>
    <t>Maldonado</t>
  </si>
  <si>
    <t>UY-MO</t>
  </si>
  <si>
    <t>UY-PA</t>
  </si>
  <si>
    <t>Paysandú</t>
  </si>
  <si>
    <t>UY-RN</t>
  </si>
  <si>
    <t>UY-RV</t>
  </si>
  <si>
    <t>Rivera</t>
  </si>
  <si>
    <t>UY-RO</t>
  </si>
  <si>
    <t>Rocha</t>
  </si>
  <si>
    <t>UY-SA</t>
  </si>
  <si>
    <t>Salto</t>
  </si>
  <si>
    <t>UY-SJ</t>
  </si>
  <si>
    <t>UY-SO</t>
  </si>
  <si>
    <t>Soriano</t>
  </si>
  <si>
    <t>UY-TA</t>
  </si>
  <si>
    <t>Tacuarembó</t>
  </si>
  <si>
    <t>UY-TT</t>
  </si>
  <si>
    <t>Treinta y Tres</t>
  </si>
  <si>
    <t>UZ-AN</t>
  </si>
  <si>
    <t>Andijon</t>
  </si>
  <si>
    <t>UZ-BU</t>
  </si>
  <si>
    <t>Buxoro</t>
  </si>
  <si>
    <t>UZ-FA</t>
  </si>
  <si>
    <t>Farg‘ona</t>
  </si>
  <si>
    <t>UZ-JI</t>
  </si>
  <si>
    <t>Jizzax</t>
  </si>
  <si>
    <t>UZ-NG</t>
  </si>
  <si>
    <t>Namangan</t>
  </si>
  <si>
    <t>UZ-NW</t>
  </si>
  <si>
    <t>Navoiy</t>
  </si>
  <si>
    <t>UZ-QA</t>
  </si>
  <si>
    <t>Qashqadaryo</t>
  </si>
  <si>
    <t>UZ-QR</t>
  </si>
  <si>
    <t>Qoraqalpog‘iston Respublikasi</t>
  </si>
  <si>
    <t>UZ-SA</t>
  </si>
  <si>
    <t>Samarqand</t>
  </si>
  <si>
    <t>UZ-SI</t>
  </si>
  <si>
    <t>Sirdaryo</t>
  </si>
  <si>
    <t>UZ-SU</t>
  </si>
  <si>
    <t>Surxondaryo</t>
  </si>
  <si>
    <t>UZ-TK</t>
  </si>
  <si>
    <t>Toshkent</t>
  </si>
  <si>
    <t>UZ-TO</t>
  </si>
  <si>
    <t>UZ-XO</t>
  </si>
  <si>
    <t>Xorazm</t>
  </si>
  <si>
    <t>VC-01</t>
  </si>
  <si>
    <t>Charlotte</t>
  </si>
  <si>
    <t>VC-06</t>
  </si>
  <si>
    <t>Grenadines</t>
  </si>
  <si>
    <t>VC-02</t>
  </si>
  <si>
    <t>VC-03</t>
  </si>
  <si>
    <t>VC-04</t>
  </si>
  <si>
    <t>VC-05</t>
  </si>
  <si>
    <t>VE-Z</t>
  </si>
  <si>
    <t>VE-B</t>
  </si>
  <si>
    <t>Anzoátegui</t>
  </si>
  <si>
    <t>VE-C</t>
  </si>
  <si>
    <t>Apure</t>
  </si>
  <si>
    <t>VE-D</t>
  </si>
  <si>
    <t>Aragua</t>
  </si>
  <si>
    <t>VE-E</t>
  </si>
  <si>
    <t>Barinas</t>
  </si>
  <si>
    <t>VE-F</t>
  </si>
  <si>
    <t>VE-G</t>
  </si>
  <si>
    <t>Carabobo</t>
  </si>
  <si>
    <t>VE-H</t>
  </si>
  <si>
    <t>Cojedes</t>
  </si>
  <si>
    <t>VE-Y</t>
  </si>
  <si>
    <t>Delta Amacuro</t>
  </si>
  <si>
    <t>VE-W</t>
  </si>
  <si>
    <t>Dependencias Federales</t>
  </si>
  <si>
    <t>federal dependency</t>
  </si>
  <si>
    <t>VE-A</t>
  </si>
  <si>
    <t>Distrito Capital</t>
  </si>
  <si>
    <t>VE-I</t>
  </si>
  <si>
    <t>Falcón</t>
  </si>
  <si>
    <t>VE-J</t>
  </si>
  <si>
    <t>Guárico</t>
  </si>
  <si>
    <t>VE-X</t>
  </si>
  <si>
    <t>La Guaira</t>
  </si>
  <si>
    <t>VE-K</t>
  </si>
  <si>
    <t>Lara</t>
  </si>
  <si>
    <t>VE-L</t>
  </si>
  <si>
    <t>Mérida</t>
  </si>
  <si>
    <t>VE-M</t>
  </si>
  <si>
    <t>Miranda</t>
  </si>
  <si>
    <t>VE-N</t>
  </si>
  <si>
    <t>Monagas</t>
  </si>
  <si>
    <t>VE-O</t>
  </si>
  <si>
    <t>Nueva Esparta</t>
  </si>
  <si>
    <t>VE-P</t>
  </si>
  <si>
    <t>Portuguesa</t>
  </si>
  <si>
    <t>VE-R</t>
  </si>
  <si>
    <t>VE-S</t>
  </si>
  <si>
    <t>Táchira</t>
  </si>
  <si>
    <t>VE-T</t>
  </si>
  <si>
    <t>Trujillo</t>
  </si>
  <si>
    <t>VE-U</t>
  </si>
  <si>
    <t>Yaracuy</t>
  </si>
  <si>
    <t>VE-V</t>
  </si>
  <si>
    <t>Zulia</t>
  </si>
  <si>
    <t>VN-44</t>
  </si>
  <si>
    <t>An Giang</t>
  </si>
  <si>
    <t>VN-43</t>
  </si>
  <si>
    <t>Bà Rịa - Vũng Tàu</t>
  </si>
  <si>
    <t>VN-54</t>
  </si>
  <si>
    <t>Bắc Giang</t>
  </si>
  <si>
    <t>VN-53</t>
  </si>
  <si>
    <t>Bắc Kạn</t>
  </si>
  <si>
    <t>VN-55</t>
  </si>
  <si>
    <t>Bạc Liêu</t>
  </si>
  <si>
    <t>VN-56</t>
  </si>
  <si>
    <t>Bắc Ninh</t>
  </si>
  <si>
    <t>VN-50</t>
  </si>
  <si>
    <t>Bến Tre</t>
  </si>
  <si>
    <t>VN-31</t>
  </si>
  <si>
    <t>Bình Định</t>
  </si>
  <si>
    <t>VN-57</t>
  </si>
  <si>
    <t>Bình Dương</t>
  </si>
  <si>
    <t>VN-58</t>
  </si>
  <si>
    <t>Bình Phước</t>
  </si>
  <si>
    <t>VN-40</t>
  </si>
  <si>
    <t>Bình Thuận</t>
  </si>
  <si>
    <t>VN-59</t>
  </si>
  <si>
    <t>Cà Mau</t>
  </si>
  <si>
    <t>VN-CT</t>
  </si>
  <si>
    <t>Cần Thơ</t>
  </si>
  <si>
    <t>VN-04</t>
  </si>
  <si>
    <t>Cao Bằng</t>
  </si>
  <si>
    <t>VN-DN</t>
  </si>
  <si>
    <t>Đà Nẵng</t>
  </si>
  <si>
    <t>VN-33</t>
  </si>
  <si>
    <t>Đắk Lắk</t>
  </si>
  <si>
    <t>VN-72</t>
  </si>
  <si>
    <t>Đắk Nông</t>
  </si>
  <si>
    <t>VN-71</t>
  </si>
  <si>
    <t>Điện Biên</t>
  </si>
  <si>
    <t>VN-39</t>
  </si>
  <si>
    <t>Đồng Nai</t>
  </si>
  <si>
    <t>VN-45</t>
  </si>
  <si>
    <t>Đồng Tháp</t>
  </si>
  <si>
    <t>VN-30</t>
  </si>
  <si>
    <t>Gia Lai</t>
  </si>
  <si>
    <t>VN-03</t>
  </si>
  <si>
    <t>Hà Giang</t>
  </si>
  <si>
    <t>VN-63</t>
  </si>
  <si>
    <t>Hà Nam</t>
  </si>
  <si>
    <t>VN-HN</t>
  </si>
  <si>
    <t>Hà Nội</t>
  </si>
  <si>
    <t>VN-23</t>
  </si>
  <si>
    <t>Hà Tĩnh</t>
  </si>
  <si>
    <t>VN-61</t>
  </si>
  <si>
    <t>Hải Dương</t>
  </si>
  <si>
    <t>VN-HP</t>
  </si>
  <si>
    <t>Hải Phòng</t>
  </si>
  <si>
    <t>VN-73</t>
  </si>
  <si>
    <t>Hậu Giang</t>
  </si>
  <si>
    <t>VN-SG</t>
  </si>
  <si>
    <t>Hồ Chí Minh</t>
  </si>
  <si>
    <t>VN-14</t>
  </si>
  <si>
    <t>Hòa Bình</t>
  </si>
  <si>
    <t>VN-66</t>
  </si>
  <si>
    <t>Hưng Yên</t>
  </si>
  <si>
    <t>VN-34</t>
  </si>
  <si>
    <t>Khánh Hòa</t>
  </si>
  <si>
    <t>VN-47</t>
  </si>
  <si>
    <t>Kiến Giang</t>
  </si>
  <si>
    <t>VN-28</t>
  </si>
  <si>
    <t>Kon Tum</t>
  </si>
  <si>
    <t>VN-01</t>
  </si>
  <si>
    <t>Lai Châu</t>
  </si>
  <si>
    <t>VN-35</t>
  </si>
  <si>
    <t>Lâm Đồng</t>
  </si>
  <si>
    <t>VN-09</t>
  </si>
  <si>
    <t>Lạng Sơn</t>
  </si>
  <si>
    <t>VN-02</t>
  </si>
  <si>
    <t>Lào Cai</t>
  </si>
  <si>
    <t>VN-41</t>
  </si>
  <si>
    <t>Long An</t>
  </si>
  <si>
    <t>VN-67</t>
  </si>
  <si>
    <t>Nam Định</t>
  </si>
  <si>
    <t>VN-22</t>
  </si>
  <si>
    <t>Nghệ An</t>
  </si>
  <si>
    <t>VN-18</t>
  </si>
  <si>
    <t>Ninh Bình</t>
  </si>
  <si>
    <t>VN-36</t>
  </si>
  <si>
    <t>Ninh Thuận</t>
  </si>
  <si>
    <t>VN-68</t>
  </si>
  <si>
    <t>Phú Thọ</t>
  </si>
  <si>
    <t>VN-32</t>
  </si>
  <si>
    <t>Phú Yên</t>
  </si>
  <si>
    <t>VN-24</t>
  </si>
  <si>
    <t>Quảng Bình</t>
  </si>
  <si>
    <t>VN-27</t>
  </si>
  <si>
    <t>Quảng Nam</t>
  </si>
  <si>
    <t>VN-29</t>
  </si>
  <si>
    <t>Quảng Ngãi</t>
  </si>
  <si>
    <t>VN-13</t>
  </si>
  <si>
    <t>Quảng Ninh</t>
  </si>
  <si>
    <t>VN-25</t>
  </si>
  <si>
    <t>Quảng Trị</t>
  </si>
  <si>
    <t>VN-52</t>
  </si>
  <si>
    <t>Sóc Trăng</t>
  </si>
  <si>
    <t>VN-05</t>
  </si>
  <si>
    <t>Sơn La</t>
  </si>
  <si>
    <t>VN-37</t>
  </si>
  <si>
    <t>Tây Ninh</t>
  </si>
  <si>
    <t>VN-20</t>
  </si>
  <si>
    <t>Thái Bình</t>
  </si>
  <si>
    <t>VN-69</t>
  </si>
  <si>
    <t>Thái Nguyên</t>
  </si>
  <si>
    <t>VN-21</t>
  </si>
  <si>
    <t>Thanh Hóa</t>
  </si>
  <si>
    <t>VN-26</t>
  </si>
  <si>
    <t>Thừa Thiên-Huế</t>
  </si>
  <si>
    <t>VN-46</t>
  </si>
  <si>
    <t>Tiền Giang</t>
  </si>
  <si>
    <t>VN-51</t>
  </si>
  <si>
    <t>Trà Vinh</t>
  </si>
  <si>
    <t>VN-07</t>
  </si>
  <si>
    <t>Tuyên Quang</t>
  </si>
  <si>
    <t>VN-49</t>
  </si>
  <si>
    <t>Vĩnh Long</t>
  </si>
  <si>
    <t>VN-70</t>
  </si>
  <si>
    <t>Vĩnh Phúc</t>
  </si>
  <si>
    <t>VN-06</t>
  </si>
  <si>
    <t>Yên Bái</t>
  </si>
  <si>
    <t>VU-MAP</t>
  </si>
  <si>
    <t>Malampa</t>
  </si>
  <si>
    <t>VU-PAM</t>
  </si>
  <si>
    <t>Pénama</t>
  </si>
  <si>
    <t>VU-SAM</t>
  </si>
  <si>
    <t>Sanma</t>
  </si>
  <si>
    <t>VU-SEE</t>
  </si>
  <si>
    <t>Shéfa</t>
  </si>
  <si>
    <t>VU-TAE</t>
  </si>
  <si>
    <t>Taféa</t>
  </si>
  <si>
    <t>VU-TOB</t>
  </si>
  <si>
    <t>Torba</t>
  </si>
  <si>
    <t>WF-AL</t>
  </si>
  <si>
    <t>Alo</t>
  </si>
  <si>
    <t>precinct</t>
  </si>
  <si>
    <t>WF-SG</t>
  </si>
  <si>
    <t>Sigave</t>
  </si>
  <si>
    <t>WF-UV</t>
  </si>
  <si>
    <t>Uvea</t>
  </si>
  <si>
    <t>WS-AA</t>
  </si>
  <si>
    <t>A'ana</t>
  </si>
  <si>
    <t>WS-AL</t>
  </si>
  <si>
    <t>Aiga-i-le-Tai</t>
  </si>
  <si>
    <t>WS-AT</t>
  </si>
  <si>
    <t>Atua</t>
  </si>
  <si>
    <t>WS-FA</t>
  </si>
  <si>
    <t>Fa'asaleleaga</t>
  </si>
  <si>
    <t>WS-GE</t>
  </si>
  <si>
    <t>Gaga'emauga</t>
  </si>
  <si>
    <t>WS-GI</t>
  </si>
  <si>
    <t>Gagaifomauga</t>
  </si>
  <si>
    <t>WS-PA</t>
  </si>
  <si>
    <t>Palauli</t>
  </si>
  <si>
    <t>WS-SA</t>
  </si>
  <si>
    <t>Satupa'itea</t>
  </si>
  <si>
    <t>WS-TU</t>
  </si>
  <si>
    <t>Tuamasaga</t>
  </si>
  <si>
    <t>WS-VF</t>
  </si>
  <si>
    <t>Va'a-o-Fonoti</t>
  </si>
  <si>
    <t>WS-VS</t>
  </si>
  <si>
    <t>Vaisigano</t>
  </si>
  <si>
    <t>YE-AD</t>
  </si>
  <si>
    <t>‘Adan</t>
  </si>
  <si>
    <t>YE-AM</t>
  </si>
  <si>
    <t>‘Amrān</t>
  </si>
  <si>
    <t>YE-AB</t>
  </si>
  <si>
    <t>Abyan</t>
  </si>
  <si>
    <t>YE-DA</t>
  </si>
  <si>
    <t>Aḑ Ḑāli‘</t>
  </si>
  <si>
    <t>YE-BA</t>
  </si>
  <si>
    <t>Al Bayḑā’</t>
  </si>
  <si>
    <t>YE-HU</t>
  </si>
  <si>
    <t>Al Ḩudaydah</t>
  </si>
  <si>
    <t>YE-JA</t>
  </si>
  <si>
    <t>YE-MR</t>
  </si>
  <si>
    <t>Al Mahrah</t>
  </si>
  <si>
    <t>YE-MW</t>
  </si>
  <si>
    <t>Al Maḩwīt</t>
  </si>
  <si>
    <t>YE-SA</t>
  </si>
  <si>
    <t>Amānat al ‘Āşimah</t>
  </si>
  <si>
    <t>YE-SU</t>
  </si>
  <si>
    <t>Arkhabīl Suquţrá</t>
  </si>
  <si>
    <t>YE-DH</t>
  </si>
  <si>
    <t>Dhamār</t>
  </si>
  <si>
    <t>YE-HD</t>
  </si>
  <si>
    <t>Ḩaḑramawt</t>
  </si>
  <si>
    <t>YE-HJ</t>
  </si>
  <si>
    <t>Ḩajjah</t>
  </si>
  <si>
    <t>YE-IB</t>
  </si>
  <si>
    <t>Ibb</t>
  </si>
  <si>
    <t>YE-LA</t>
  </si>
  <si>
    <t>Laḩij</t>
  </si>
  <si>
    <t>YE-MA</t>
  </si>
  <si>
    <t>Ma’rib</t>
  </si>
  <si>
    <t>YE-RA</t>
  </si>
  <si>
    <t>Raymah</t>
  </si>
  <si>
    <t>YE-SD</t>
  </si>
  <si>
    <t>Şāʻdah</t>
  </si>
  <si>
    <t>YE-SN</t>
  </si>
  <si>
    <t>Şanʻā’</t>
  </si>
  <si>
    <t>YE-SH</t>
  </si>
  <si>
    <t>Shabwah</t>
  </si>
  <si>
    <t>YE-TA</t>
  </si>
  <si>
    <t>Tāʻizz</t>
  </si>
  <si>
    <t>ZA-EC</t>
  </si>
  <si>
    <t>Eastern Cape</t>
  </si>
  <si>
    <t>ZA-FS</t>
  </si>
  <si>
    <t>Free State</t>
  </si>
  <si>
    <t>ZA-GP</t>
  </si>
  <si>
    <t>Gauteng</t>
  </si>
  <si>
    <t>ZA-KZN</t>
  </si>
  <si>
    <t>Kwazulu-Natal</t>
  </si>
  <si>
    <t>ZA-LP</t>
  </si>
  <si>
    <t>Limpopo</t>
  </si>
  <si>
    <t>ZA-MP</t>
  </si>
  <si>
    <t>Mpumalanga</t>
  </si>
  <si>
    <t>ZA-NW</t>
  </si>
  <si>
    <t>ZA-NC</t>
  </si>
  <si>
    <t>Northern Cape</t>
  </si>
  <si>
    <t>ZA-WC</t>
  </si>
  <si>
    <t>Western Cape</t>
  </si>
  <si>
    <t>ZM-02</t>
  </si>
  <si>
    <t>ZM-08</t>
  </si>
  <si>
    <t>Copperbelt</t>
  </si>
  <si>
    <t>ZM-03</t>
  </si>
  <si>
    <t>ZM-04</t>
  </si>
  <si>
    <t>Luapula</t>
  </si>
  <si>
    <t>ZM-09</t>
  </si>
  <si>
    <t>ZM-10</t>
  </si>
  <si>
    <t>Muchinga</t>
  </si>
  <si>
    <t>ZM-06</t>
  </si>
  <si>
    <t>North-Western</t>
  </si>
  <si>
    <t>ZM-05</t>
  </si>
  <si>
    <t>ZM-07</t>
  </si>
  <si>
    <t>ZM-01</t>
  </si>
  <si>
    <t>ZW-BU</t>
  </si>
  <si>
    <t>Bulawayo</t>
  </si>
  <si>
    <t>ZW-HA</t>
  </si>
  <si>
    <t>ZW-MA</t>
  </si>
  <si>
    <t>Manicaland</t>
  </si>
  <si>
    <t>ZW-MC</t>
  </si>
  <si>
    <t>Mashonaland Central</t>
  </si>
  <si>
    <t>ZW-ME</t>
  </si>
  <si>
    <t>Mashonaland East</t>
  </si>
  <si>
    <t>ZW-MW</t>
  </si>
  <si>
    <t>Mashonaland West</t>
  </si>
  <si>
    <t>ZW-MV</t>
  </si>
  <si>
    <t>Masvingo</t>
  </si>
  <si>
    <t>ZW-MN</t>
  </si>
  <si>
    <t>Matabeleland North</t>
  </si>
  <si>
    <t>ZW-MS</t>
  </si>
  <si>
    <t>Matabeleland South</t>
  </si>
  <si>
    <t>ZW-MI</t>
  </si>
  <si>
    <t>Midlands</t>
  </si>
  <si>
    <t>Azores</t>
  </si>
  <si>
    <t>Tibet</t>
  </si>
  <si>
    <t>CX-XZ</t>
  </si>
  <si>
    <t>reference code</t>
  </si>
  <si>
    <t>Name</t>
  </si>
  <si>
    <t>Sovereign</t>
  </si>
  <si>
    <t>Non-sovereign</t>
  </si>
  <si>
    <t>Kosovo</t>
  </si>
  <si>
    <t>St. Martin</t>
  </si>
  <si>
    <t>Saint Barthélemy</t>
  </si>
  <si>
    <t>FR-RE</t>
  </si>
  <si>
    <t>FR-MQ</t>
  </si>
  <si>
    <t>FR-YT</t>
  </si>
  <si>
    <t>FR-GF</t>
  </si>
  <si>
    <t>FR-GP</t>
  </si>
  <si>
    <t>SOV_A3</t>
  </si>
  <si>
    <t>featurecla</t>
  </si>
  <si>
    <t>scalerank</t>
  </si>
  <si>
    <t>LABELRANK</t>
  </si>
  <si>
    <t>SOVEREIGNT</t>
  </si>
  <si>
    <t>ADM0_DIF</t>
  </si>
  <si>
    <t>LEVEL</t>
  </si>
  <si>
    <t>TYPE</t>
  </si>
  <si>
    <t>TLC</t>
  </si>
  <si>
    <t>ADMIN</t>
  </si>
  <si>
    <t>ADM0_A3</t>
  </si>
  <si>
    <t>GEOU_DIF</t>
  </si>
  <si>
    <t>GEOUNIT</t>
  </si>
  <si>
    <t>GU_A3</t>
  </si>
  <si>
    <t>SU_DIF</t>
  </si>
  <si>
    <t>SUBUNIT</t>
  </si>
  <si>
    <t>SU_A3</t>
  </si>
  <si>
    <t>BRK_DIFF</t>
  </si>
  <si>
    <t>NAME</t>
  </si>
  <si>
    <t>NAME_LONG</t>
  </si>
  <si>
    <t>BRK_A3</t>
  </si>
  <si>
    <t>BRK_NAME</t>
  </si>
  <si>
    <t>BRK_GROUP</t>
  </si>
  <si>
    <t>ABBREV</t>
  </si>
  <si>
    <t>POSTAL</t>
  </si>
  <si>
    <t>FORMAL_EN</t>
  </si>
  <si>
    <t>FORMAL_FR</t>
  </si>
  <si>
    <t>NAME_CIAWF</t>
  </si>
  <si>
    <t>NOTE_ADM0</t>
  </si>
  <si>
    <t>NOTE_BRK</t>
  </si>
  <si>
    <t>NAME_SORT</t>
  </si>
  <si>
    <t>NAME_ALT</t>
  </si>
  <si>
    <t>MAPCOLOR7</t>
  </si>
  <si>
    <t>MAPCOLOR8</t>
  </si>
  <si>
    <t>MAPCOLOR9</t>
  </si>
  <si>
    <t>MAPCOLOR13</t>
  </si>
  <si>
    <t>POP_EST</t>
  </si>
  <si>
    <t>POP_RANK</t>
  </si>
  <si>
    <t>POP_YEAR</t>
  </si>
  <si>
    <t>GDP_MD</t>
  </si>
  <si>
    <t>GDP_YEAR</t>
  </si>
  <si>
    <t>ECONOMY</t>
  </si>
  <si>
    <t>INCOME_GRP</t>
  </si>
  <si>
    <t>FIPS_10</t>
  </si>
  <si>
    <t>ISO_A2</t>
  </si>
  <si>
    <t>ISO_A2_EH</t>
  </si>
  <si>
    <t>ISO_A3</t>
  </si>
  <si>
    <t>ISO_A3_EH</t>
  </si>
  <si>
    <t>ISO_N3</t>
  </si>
  <si>
    <t>ISO_N3_EH</t>
  </si>
  <si>
    <t>UN_A3</t>
  </si>
  <si>
    <t>WB_A2</t>
  </si>
  <si>
    <t>WB_A3</t>
  </si>
  <si>
    <t>WOE_ID</t>
  </si>
  <si>
    <t>WOE_ID_EH</t>
  </si>
  <si>
    <t>WOE_NOTE</t>
  </si>
  <si>
    <t>ADM0_ISO</t>
  </si>
  <si>
    <t>ADM0_DIFF</t>
  </si>
  <si>
    <t>ADM0_TLC</t>
  </si>
  <si>
    <t>ADM0_A3_US</t>
  </si>
  <si>
    <t>ADM0_A3_FR</t>
  </si>
  <si>
    <t>ADM0_A3_RU</t>
  </si>
  <si>
    <t>ADM0_A3_ES</t>
  </si>
  <si>
    <t>ADM0_A3_CN</t>
  </si>
  <si>
    <t>ADM0_A3_TW</t>
  </si>
  <si>
    <t>ADM0_A3_IN</t>
  </si>
  <si>
    <t>ADM0_A3_NP</t>
  </si>
  <si>
    <t>ADM0_A3_PK</t>
  </si>
  <si>
    <t>ADM0_A3_DE</t>
  </si>
  <si>
    <t>ADM0_A3_GB</t>
  </si>
  <si>
    <t>ADM0_A3_BR</t>
  </si>
  <si>
    <t>ADM0_A3_IL</t>
  </si>
  <si>
    <t>ADM0_A3_PS</t>
  </si>
  <si>
    <t>ADM0_A3_SA</t>
  </si>
  <si>
    <t>ADM0_A3_EG</t>
  </si>
  <si>
    <t>ADM0_A3_MA</t>
  </si>
  <si>
    <t>ADM0_A3_PT</t>
  </si>
  <si>
    <t>ADM0_A3_AR</t>
  </si>
  <si>
    <t>ADM0_A3_JP</t>
  </si>
  <si>
    <t>ADM0_A3_KO</t>
  </si>
  <si>
    <t>ADM0_A3_VN</t>
  </si>
  <si>
    <t>ADM0_A3_TR</t>
  </si>
  <si>
    <t>ADM0_A3_ID</t>
  </si>
  <si>
    <t>ADM0_A3_PL</t>
  </si>
  <si>
    <t>ADM0_A3_GR</t>
  </si>
  <si>
    <t>ADM0_A3_IT</t>
  </si>
  <si>
    <t>ADM0_A3_NL</t>
  </si>
  <si>
    <t>ADM0_A3_SE</t>
  </si>
  <si>
    <t>ADM0_A3_BD</t>
  </si>
  <si>
    <t>ADM0_A3_UA</t>
  </si>
  <si>
    <t>ADM0_A3_UN</t>
  </si>
  <si>
    <t>ADM0_A3_WB</t>
  </si>
  <si>
    <t>CONTINENT</t>
  </si>
  <si>
    <t>REGION_UN</t>
  </si>
  <si>
    <t>SUBREGION</t>
  </si>
  <si>
    <t>REGION_WB</t>
  </si>
  <si>
    <t>NAME_LEN</t>
  </si>
  <si>
    <t>LONG_LEN</t>
  </si>
  <si>
    <t>ABBREV_LEN</t>
  </si>
  <si>
    <t>TINY</t>
  </si>
  <si>
    <t>HOMEPART</t>
  </si>
  <si>
    <t>MIN_ZOOM</t>
  </si>
  <si>
    <t>MIN_LABEL</t>
  </si>
  <si>
    <t>MAX_LABEL</t>
  </si>
  <si>
    <t>LABEL_X</t>
  </si>
  <si>
    <t>LABEL_Y</t>
  </si>
  <si>
    <t>NE_ID</t>
  </si>
  <si>
    <t>WIKIDATAID</t>
  </si>
  <si>
    <t>NAME_AR</t>
  </si>
  <si>
    <t>NAME_BN</t>
  </si>
  <si>
    <t>NAME_DE</t>
  </si>
  <si>
    <t>NAME_EN</t>
  </si>
  <si>
    <t>NAME_ES</t>
  </si>
  <si>
    <t>NAME_FA</t>
  </si>
  <si>
    <t>NAME_FR</t>
  </si>
  <si>
    <t>NAME_EL</t>
  </si>
  <si>
    <t>NAME_HE</t>
  </si>
  <si>
    <t>NAME_HI</t>
  </si>
  <si>
    <t>NAME_HU</t>
  </si>
  <si>
    <t>NAME_ID</t>
  </si>
  <si>
    <t>NAME_IT</t>
  </si>
  <si>
    <t>NAME_JA</t>
  </si>
  <si>
    <t>NAME_KO</t>
  </si>
  <si>
    <t>NAME_NL</t>
  </si>
  <si>
    <t>NAME_PL</t>
  </si>
  <si>
    <t>NAME_PT</t>
  </si>
  <si>
    <t>NAME_RU</t>
  </si>
  <si>
    <t>NAME_SV</t>
  </si>
  <si>
    <t>NAME_TR</t>
  </si>
  <si>
    <t>NAME_UK</t>
  </si>
  <si>
    <t>NAME_UR</t>
  </si>
  <si>
    <t>NAME_VI</t>
  </si>
  <si>
    <t>NAME_ZH</t>
  </si>
  <si>
    <t>NAME_ZHT</t>
  </si>
  <si>
    <t>FCLASS_ISO</t>
  </si>
  <si>
    <t>TLC_DIFF</t>
  </si>
  <si>
    <t>FCLASS_TLC</t>
  </si>
  <si>
    <t>FCLASS_US</t>
  </si>
  <si>
    <t>FCLASS_FR</t>
  </si>
  <si>
    <t>FCLASS_RU</t>
  </si>
  <si>
    <t>FCLASS_ES</t>
  </si>
  <si>
    <t>FCLASS_CN</t>
  </si>
  <si>
    <t>FCLASS_TW</t>
  </si>
  <si>
    <t>FCLASS_IN</t>
  </si>
  <si>
    <t>FCLASS_NP</t>
  </si>
  <si>
    <t>FCLASS_PK</t>
  </si>
  <si>
    <t>FCLASS_DE</t>
  </si>
  <si>
    <t>FCLASS_GB</t>
  </si>
  <si>
    <t>FCLASS_BR</t>
  </si>
  <si>
    <t>FCLASS_IL</t>
  </si>
  <si>
    <t>FCLASS_PS</t>
  </si>
  <si>
    <t>FCLASS_SA</t>
  </si>
  <si>
    <t>FCLASS_EG</t>
  </si>
  <si>
    <t>FCLASS_MA</t>
  </si>
  <si>
    <t>FCLASS_PT</t>
  </si>
  <si>
    <t>FCLASS_AR</t>
  </si>
  <si>
    <t>FCLASS_JP</t>
  </si>
  <si>
    <t>FCLASS_KO</t>
  </si>
  <si>
    <t>FCLASS_VN</t>
  </si>
  <si>
    <t>FCLASS_TR</t>
  </si>
  <si>
    <t>FCLASS_ID</t>
  </si>
  <si>
    <t>FCLASS_PL</t>
  </si>
  <si>
    <t>FCLASS_GR</t>
  </si>
  <si>
    <t>FCLASS_IT</t>
  </si>
  <si>
    <t>FCLASS_NL</t>
  </si>
  <si>
    <t>FCLASS_SE</t>
  </si>
  <si>
    <t>FCLASS_BD</t>
  </si>
  <si>
    <t>FCLASS_UA</t>
  </si>
  <si>
    <t>Admin-0 country</t>
  </si>
  <si>
    <t>AFG</t>
  </si>
  <si>
    <t>Sovereign country</t>
  </si>
  <si>
    <t>Afg.</t>
  </si>
  <si>
    <t>Islamic State of Afghanistan</t>
  </si>
  <si>
    <t>7. Least developed region</t>
  </si>
  <si>
    <t>5. Low income</t>
  </si>
  <si>
    <t>Exact WOE match as country</t>
  </si>
  <si>
    <t>Asia</t>
  </si>
  <si>
    <t>Southern Asia</t>
  </si>
  <si>
    <t>South Asia</t>
  </si>
  <si>
    <t>Q889</t>
  </si>
  <si>
    <t>Ø£ÙØºØ§Ù†Ø³ØªØ§Ù†</t>
  </si>
  <si>
    <t>à¦†à¦«à¦—à¦¾à¦¨à¦¿à¦¸à§à¦¤à¦¾à¦¨</t>
  </si>
  <si>
    <t>AfganistÃ¡n</t>
  </si>
  <si>
    <t>Ø§ÙØºØ§Ù†Ø³ØªØ§Ù†</t>
  </si>
  <si>
    <t>Î‘Ï†Î³Î±Î½Î¹ÏƒÏ„Î¬Î½</t>
  </si>
  <si>
    <t>××¤×’× ×™×¡×˜×Ÿ</t>
  </si>
  <si>
    <t>à¤…à¤«à¤¼à¥à¤—à¤¾à¤¨à¤¿à¤¸à¥à¤¤à¤¾à¤¨</t>
  </si>
  <si>
    <t>AfganisztÃ¡n</t>
  </si>
  <si>
    <t>Afganistan</t>
  </si>
  <si>
    <t>ã‚¢ãƒ•ã‚¬ãƒ‹ã‚¹ã‚¿ãƒ³</t>
  </si>
  <si>
    <t>ì•„í”„ê°€ë‹ˆìŠ¤íƒ„</t>
  </si>
  <si>
    <t>AfeganistÃ£o</t>
  </si>
  <si>
    <t>ÐÑ„Ð³Ð°Ð½Ð¸ÑÑ‚Ð°Ð½</t>
  </si>
  <si>
    <t>ÐÑ„Ð³Ð°Ð½Ñ–ÑÑ‚Ð°Ð½</t>
  </si>
  <si>
    <t>é˜¿å¯Œæ±—</t>
  </si>
  <si>
    <t>ALB</t>
  </si>
  <si>
    <t>Alb.</t>
  </si>
  <si>
    <t>Republic of Albania</t>
  </si>
  <si>
    <t>6. Developing region</t>
  </si>
  <si>
    <t>4. Lower middle income</t>
  </si>
  <si>
    <t>Europe</t>
  </si>
  <si>
    <t>Southern Europe</t>
  </si>
  <si>
    <t>Europe &amp; Central Asia</t>
  </si>
  <si>
    <t>Q222</t>
  </si>
  <si>
    <t>Ø£Ù„Ø¨Ø§Ù†ÙŠØ§</t>
  </si>
  <si>
    <t>à¦†à¦²à¦¬à§‡à¦¨à¦¿à¦¯à¦¼à¦¾</t>
  </si>
  <si>
    <t>Albanien</t>
  </si>
  <si>
    <t>Ø¢Ù„Ø¨Ø§Ù†ÛŒ</t>
  </si>
  <si>
    <t>Albanie</t>
  </si>
  <si>
    <t>Î‘Î»Î²Î±Î½Î¯Î±</t>
  </si>
  <si>
    <t>××œ×‘× ×™×”</t>
  </si>
  <si>
    <t>à¤…à¤²à¥à¤¬à¤¾à¤¨à¤¿à¤¯à¤¾</t>
  </si>
  <si>
    <t>AlbÃ¡nia</t>
  </si>
  <si>
    <t>ã‚¢ãƒ«ãƒãƒ‹ã‚¢</t>
  </si>
  <si>
    <t>ì•Œë°”ë‹ˆì•„</t>
  </si>
  <si>
    <t>AlbaniÃ«</t>
  </si>
  <si>
    <t>AlbÃ¢nia</t>
  </si>
  <si>
    <t>ÐÐ»Ð±Ð°Ð½Ð¸Ñ</t>
  </si>
  <si>
    <t>Arnavutluk</t>
  </si>
  <si>
    <t>ÐÐ»Ð±Ð°Ð½Ñ–Ñ</t>
  </si>
  <si>
    <t>Ø§Ù„Ø¨Ø§Ù†ÛŒØ§</t>
  </si>
  <si>
    <t>é˜¿å°”å·´å°¼äºš</t>
  </si>
  <si>
    <t>é˜¿çˆ¾å·´å°¼äºž</t>
  </si>
  <si>
    <t>DZA</t>
  </si>
  <si>
    <t>Alg.</t>
  </si>
  <si>
    <t>People's Democratic Republic of Algeria</t>
  </si>
  <si>
    <t>3. Upper middle income</t>
  </si>
  <si>
    <t>Africa</t>
  </si>
  <si>
    <t>Northern Africa</t>
  </si>
  <si>
    <t>Middle East &amp; North Africa</t>
  </si>
  <si>
    <t>Q262</t>
  </si>
  <si>
    <t>Ø§Ù„Ø¬Ø²Ø§Ø¦Ø±</t>
  </si>
  <si>
    <t>à¦†à¦²à¦œà§‡à¦°à¦¿à¦¯à¦¼à¦¾</t>
  </si>
  <si>
    <t>Algerien</t>
  </si>
  <si>
    <t>Argelia</t>
  </si>
  <si>
    <t>Ø§Ù„Ø¬Ø²Ø§ÛŒØ±</t>
  </si>
  <si>
    <t>AlgÃ©rie</t>
  </si>
  <si>
    <t>Î‘Î»Î³ÎµÏÎ¯Î±</t>
  </si>
  <si>
    <t>××œ×’'×™×¨×™×”</t>
  </si>
  <si>
    <t>à¤…à¤²à¥à¤œà¥€à¤°à¤¿à¤¯à¤¾</t>
  </si>
  <si>
    <t>AlgÃ©ria</t>
  </si>
  <si>
    <t>Aljazair</t>
  </si>
  <si>
    <t>ã‚¢ãƒ«ã‚¸ã‚§ãƒªã‚¢</t>
  </si>
  <si>
    <t>ì•Œì œë¦¬</t>
  </si>
  <si>
    <t>Algerije</t>
  </si>
  <si>
    <t>Algieria</t>
  </si>
  <si>
    <t>ArgÃ©lia</t>
  </si>
  <si>
    <t>ÐÐ»Ð¶Ð¸Ñ€</t>
  </si>
  <si>
    <t>Algeriet</t>
  </si>
  <si>
    <t>Cezayir</t>
  </si>
  <si>
    <t>é˜¿å°”åŠåˆ©äºš</t>
  </si>
  <si>
    <t>é˜¿çˆ¾åŠåˆ©äºž</t>
  </si>
  <si>
    <t>AND</t>
  </si>
  <si>
    <t>And.</t>
  </si>
  <si>
    <t>Principality of Andorra</t>
  </si>
  <si>
    <t>2. Developed region: nonG7</t>
  </si>
  <si>
    <t>2. High income: nonOECD</t>
  </si>
  <si>
    <t>AN</t>
  </si>
  <si>
    <t>ADO</t>
  </si>
  <si>
    <t>Q228</t>
  </si>
  <si>
    <t>Ø£Ù†Ø¯ÙˆØ±Ø§</t>
  </si>
  <si>
    <t>à¦…à§à¦¯à¦¾à¦¨à§à¦¡à§‹à¦°à¦¾</t>
  </si>
  <si>
    <t>Ø¢Ù†Ø¯ÙˆØ±Ø§</t>
  </si>
  <si>
    <t>Andorre</t>
  </si>
  <si>
    <t>Î‘Î½Î´ÏŒÏÏÎ±</t>
  </si>
  <si>
    <t>×× ×“×•×¨×”</t>
  </si>
  <si>
    <t>à¤…à¤£à¥à¤¡à¥‹à¤°à¤¾</t>
  </si>
  <si>
    <t>ã‚¢ãƒ³ãƒ‰ãƒ©</t>
  </si>
  <si>
    <t>ì•ˆë„ë¼</t>
  </si>
  <si>
    <t>Andora</t>
  </si>
  <si>
    <t>ÐÐ½Ð´Ð¾Ñ€Ñ€Ð°</t>
  </si>
  <si>
    <t>Ø§Ù†ÚˆÙˆØ±Ø§</t>
  </si>
  <si>
    <t>å®‰é“å°”</t>
  </si>
  <si>
    <t>å®‰é“çˆ¾</t>
  </si>
  <si>
    <t>AGO</t>
  </si>
  <si>
    <t>Ang.</t>
  </si>
  <si>
    <t>People's Republic of Angola</t>
  </si>
  <si>
    <t>Middle Africa</t>
  </si>
  <si>
    <t>Sub-Saharan Africa</t>
  </si>
  <si>
    <t>Q916</t>
  </si>
  <si>
    <t>Ø£Ù†ØºÙˆÙ„Ø§</t>
  </si>
  <si>
    <t>à¦…à§à¦¯à¦¾à¦™à§à¦—à§‹à¦²à¦¾</t>
  </si>
  <si>
    <t>Ø¢Ù†Ú¯ÙˆÙ„Ø§</t>
  </si>
  <si>
    <t>Î‘Î½Î³ÎºÏŒÎ»Î±</t>
  </si>
  <si>
    <t>×× ×’×•×œ×”</t>
  </si>
  <si>
    <t>à¤…à¤‚à¤—à¥‹à¤²à¤¾</t>
  </si>
  <si>
    <t>ã‚¢ãƒ³ã‚´ãƒ©</t>
  </si>
  <si>
    <t>ì•™ê³¨ë¼</t>
  </si>
  <si>
    <t>ÐÐ½Ð³Ð¾Ð»Ð°</t>
  </si>
  <si>
    <t>Ø§Ù†Ú¯ÙˆÙ„Ø§</t>
  </si>
  <si>
    <t>å®‰å“¥æ‹‰</t>
  </si>
  <si>
    <t>ATA</t>
  </si>
  <si>
    <t>Indeterminate</t>
  </si>
  <si>
    <t>Ant.</t>
  </si>
  <si>
    <t>By treaty</t>
  </si>
  <si>
    <t>Multiple claims held in abeyance by treaty</t>
  </si>
  <si>
    <t>AY</t>
  </si>
  <si>
    <t>Q51</t>
  </si>
  <si>
    <t>Ø§Ù„Ù‚Ø§Ø±Ø© Ø§Ù„Ù‚Ø·Ø¨ÙŠØ© Ø§Ù„Ø¬Ù†ÙˆØ¨ÙŠØ©</t>
  </si>
  <si>
    <t>à¦…à§à¦¯à¦¾à¦¨à§à¦Ÿà¦¾à¦°à§à¦•à¦Ÿà¦¿à¦•à¦¾</t>
  </si>
  <si>
    <t>Antarktika</t>
  </si>
  <si>
    <t>AntÃ¡rtida</t>
  </si>
  <si>
    <t>Ø¬Ù†ÙˆØ¨Ú¯Ø§Ù†</t>
  </si>
  <si>
    <t>Antarctique</t>
  </si>
  <si>
    <t>Î‘Î½Ï„Î±ÏÎºÏ„Î¹ÎºÎ®</t>
  </si>
  <si>
    <t>×× ×˜××¨×§×˜×™×§×”</t>
  </si>
  <si>
    <t>à¤…à¤‚à¤Ÿà¤¾à¤°à¥à¤•à¤Ÿà¤¿à¤•à¤¾</t>
  </si>
  <si>
    <t>Antartika</t>
  </si>
  <si>
    <t>Antartide</t>
  </si>
  <si>
    <t>å—æ¥µå¤§é™¸</t>
  </si>
  <si>
    <t>ë‚¨ê·¹</t>
  </si>
  <si>
    <t>Antarktyda</t>
  </si>
  <si>
    <t>ÐÐ½Ñ‚Ð°Ñ€ÐºÑ‚Ð¸Ð´Ð°</t>
  </si>
  <si>
    <t>Antarktis</t>
  </si>
  <si>
    <t>Ø§Ù†Ù¹Ø§Ø±Ú©Ù¹Ú©Ø§</t>
  </si>
  <si>
    <t>ChÃ¢u Nam Cá»±c</t>
  </si>
  <si>
    <t>å—æžæ´²</t>
  </si>
  <si>
    <t>å—æ¥µæ´²</t>
  </si>
  <si>
    <t>Admin-0 dependency</t>
  </si>
  <si>
    <t>ATG</t>
  </si>
  <si>
    <t>Antigua and Barb.</t>
  </si>
  <si>
    <t>Ant.B.</t>
  </si>
  <si>
    <t>AC</t>
  </si>
  <si>
    <t>North America</t>
  </si>
  <si>
    <t>Americas</t>
  </si>
  <si>
    <t>Caribbean</t>
  </si>
  <si>
    <t>Latin America &amp; Caribbean</t>
  </si>
  <si>
    <t>Q781</t>
  </si>
  <si>
    <t>Ø£Ù†ØªÙŠØºÙˆØ§ ÙˆØ¨Ø§Ø±Ø¨ÙˆØ¯Ø§</t>
  </si>
  <si>
    <t>à¦…à§à¦¯à¦¾à¦¨à§à¦Ÿà¦¿à¦—à§à¦¯à¦¼à¦¾ à¦“ à¦¬à¦¾à¦°à§à¦¬à§à¦¡à¦¾</t>
  </si>
  <si>
    <t>Antigua und Barbuda</t>
  </si>
  <si>
    <t>Antigua y Barbuda</t>
  </si>
  <si>
    <t>Ø¢Ù†ØªÛŒÚ¯ÙˆØ§ Ùˆ Ø¨Ø§Ø±Ø¨ÙˆØ¯Ø§</t>
  </si>
  <si>
    <t>Antigua-et-Barbuda</t>
  </si>
  <si>
    <t>Î‘Î½Ï„Î¯Î³ÎºÎ¿Ï…Î± ÎºÎ±Î¹ ÎœÏ€Î±ÏÎ¼Ï€Î¿ÏÎ½Ï„Î±</t>
  </si>
  <si>
    <t>×× ×˜×™×’×•××” ×•×‘×¨×‘×•×“×”</t>
  </si>
  <si>
    <t>à¤…à¤£à¥à¤Ÿà¥€à¤—à¥à¤† à¤”à¤° à¤¬à¤¾à¤°à¤¬à¥‚à¤¡à¤¾</t>
  </si>
  <si>
    <t>Antigua Ã©s Barbuda</t>
  </si>
  <si>
    <t>Antigua dan Barbuda</t>
  </si>
  <si>
    <t>Antigua e Barbuda</t>
  </si>
  <si>
    <t>ã‚¢ãƒ³ãƒ†ã‚£ã‚°ã‚¢ãƒ»ãƒãƒ¼ãƒ–ãƒ¼ãƒ€</t>
  </si>
  <si>
    <t>ì•¤í‹°ê°€ ë°”ë¶€ë‹¤</t>
  </si>
  <si>
    <t>Antigua en Barbuda</t>
  </si>
  <si>
    <t>Antigua i Barbuda</t>
  </si>
  <si>
    <t>AntÃ­gua e Barbuda</t>
  </si>
  <si>
    <t>ÐÐ½Ñ‚Ð¸Ð³ÑƒÐ° Ð¸ Ð‘Ð°Ñ€Ð±ÑƒÐ´Ð°</t>
  </si>
  <si>
    <t>Antigua och Barbuda</t>
  </si>
  <si>
    <t>Antigua ve Barbuda</t>
  </si>
  <si>
    <t>ÐÐ½Ñ‚Ð¸Ð³ÑƒÐ° Ñ– Ð‘Ð°Ñ€Ð±ÑƒÐ´Ð°</t>
  </si>
  <si>
    <t>Ø§ÛŒÙ†Ù¹ÛŒÚ¯ÙˆØ§ Ùˆ Ø¨Ø§Ø±Ø¨ÙˆÚˆØ§</t>
  </si>
  <si>
    <t>Antigua vÃ  Barbuda</t>
  </si>
  <si>
    <t>å®‰æç“œå’Œå·´å¸ƒè¾¾</t>
  </si>
  <si>
    <t>å®‰åœ°å¡åŠå·´å¸ƒé”</t>
  </si>
  <si>
    <t>ARG</t>
  </si>
  <si>
    <t>Arg.</t>
  </si>
  <si>
    <t>Argentine Republic</t>
  </si>
  <si>
    <t>5. Emerging region: G20</t>
  </si>
  <si>
    <t>South America</t>
  </si>
  <si>
    <t>Q414</t>
  </si>
  <si>
    <t>Ø§Ù„Ø£Ø±Ø¬Ù†ØªÙŠÙ†</t>
  </si>
  <si>
    <t>à¦†à¦°à§à¦œà§‡à¦¨à§à¦Ÿà¦¿à¦¨à¦¾</t>
  </si>
  <si>
    <t>Argentinien</t>
  </si>
  <si>
    <t>Ø¢Ø±Ú˜Ø§Ù†ØªÛŒÙ†</t>
  </si>
  <si>
    <t>Argentine</t>
  </si>
  <si>
    <t>Î‘ÏÎ³ÎµÎ½Ï„Î¹Î½Î®</t>
  </si>
  <si>
    <t>××¨×’× ×˜×™× ×”</t>
  </si>
  <si>
    <t>à¤…à¤°à¥à¤œà¥‡à¤£à¥à¤Ÿà¥€à¤¨à¤¾</t>
  </si>
  <si>
    <t>ArgentÃ­na</t>
  </si>
  <si>
    <t>ã‚¢ãƒ«ã‚¼ãƒ³ãƒãƒ³</t>
  </si>
  <si>
    <t>ì•„ë¥´í—¨í‹°ë‚˜</t>
  </si>
  <si>
    <t>ArgentiniÃ«</t>
  </si>
  <si>
    <t>Argentyna</t>
  </si>
  <si>
    <t>ÐÑ€Ð³ÐµÐ½Ñ‚Ð¸Ð½Ð°</t>
  </si>
  <si>
    <t>Arjantin</t>
  </si>
  <si>
    <t>Ø§Ø±Ø¬Ù†Ù¹Ø§Ø¦Ù†</t>
  </si>
  <si>
    <t>é˜¿æ ¹å»·</t>
  </si>
  <si>
    <t>ARM</t>
  </si>
  <si>
    <t>Arm.</t>
  </si>
  <si>
    <t>Republic of Armenia</t>
  </si>
  <si>
    <t>Western Asia</t>
  </si>
  <si>
    <t>Q399</t>
  </si>
  <si>
    <t>Ø£Ø±Ù…ÙŠÙ†ÙŠØ§</t>
  </si>
  <si>
    <t>à¦†à¦°à§à¦®à§‡à¦¨à¦¿à¦¯à¦¼à¦¾</t>
  </si>
  <si>
    <t>Armenien</t>
  </si>
  <si>
    <t>Ø§Ø±Ù…Ù†Ø³ØªØ§Ù†</t>
  </si>
  <si>
    <t>ArmÃ©nie</t>
  </si>
  <si>
    <t>Î‘ÏÎ¼ÎµÎ½Î¯Î±</t>
  </si>
  <si>
    <t>××¨×ž× ×™×”</t>
  </si>
  <si>
    <t>à¤†à¤°à¥à¤®à¥€à¤¨à¤¿à¤¯à¤¾</t>
  </si>
  <si>
    <t>Ã–rmÃ©nyorszÃ¡g</t>
  </si>
  <si>
    <t>ã‚¢ãƒ«ãƒ¡ãƒ‹ã‚¢</t>
  </si>
  <si>
    <t>ì•„ë¥´ë©”ë‹ˆì•„</t>
  </si>
  <si>
    <t>ArmeniÃ«</t>
  </si>
  <si>
    <t>ArmÃ©nia</t>
  </si>
  <si>
    <t>ÐÑ€Ð¼ÐµÐ½Ð¸Ñ</t>
  </si>
  <si>
    <t>Ermenistan</t>
  </si>
  <si>
    <t>Ð’Ñ–Ñ€Ð¼ÐµÐ½Ñ–Ñ</t>
  </si>
  <si>
    <t>Ø¢Ø±Ù…ÛŒÙ†ÛŒØ§</t>
  </si>
  <si>
    <t>äºšç¾Žå°¼äºš</t>
  </si>
  <si>
    <t>äºžç¾Žå°¼äºž</t>
  </si>
  <si>
    <t>GB1</t>
  </si>
  <si>
    <t>Dependency</t>
  </si>
  <si>
    <t>Akrotiri Sovereign Base Area</t>
  </si>
  <si>
    <t>WSB</t>
  </si>
  <si>
    <t>Akrotiri</t>
  </si>
  <si>
    <t>Akr.</t>
  </si>
  <si>
    <t>AK</t>
  </si>
  <si>
    <t>U.K.</t>
  </si>
  <si>
    <t>U.K. Base</t>
  </si>
  <si>
    <t>No WOE equivalent.</t>
  </si>
  <si>
    <t>Q9143535</t>
  </si>
  <si>
    <t>Ø£ÙƒØ±ÙˆØªÙŠØ±ÙŠ</t>
  </si>
  <si>
    <t>à¦†à¦•à§à¦°à§‹à¦¤à¦¿à¦°à¦¿</t>
  </si>
  <si>
    <t>Ø¢Ú©Ø±ÙˆØªÛŒÛŒØ±ÛŒ</t>
  </si>
  <si>
    <t>Î”Ï…Ï„Î¹ÎºÎ® Î ÎµÏÎ¹Î¿Ï‡Î® ÎšÏ…ÏÎ¯Î±ÏÏ‡Ï‰Î½ Î’Î¬ÏƒÎµÏ‰Î½</t>
  </si>
  <si>
    <t>××§×¨×•×˜×™×¨×™</t>
  </si>
  <si>
    <t>à¤…à¤•à¥à¤°à¥‹à¤¤à¤¿à¤°à¥€</t>
  </si>
  <si>
    <t>AkrotÃ­ri</t>
  </si>
  <si>
    <t>ã‚¢ã‚¯ãƒ­ãƒ†ã‚£ãƒª</t>
  </si>
  <si>
    <t>ì•„í¬ë¡œí‹°ë¦¬</t>
  </si>
  <si>
    <t>AcrotÃ­ri</t>
  </si>
  <si>
    <t>ÐÐºÑ€Ð¾Ñ‚Ð¸Ñ€Ð¸</t>
  </si>
  <si>
    <t>AÄŸrotur</t>
  </si>
  <si>
    <t>ÐÐºÑ€Ð¾Ñ‚Ñ–Ñ€Ñ–</t>
  </si>
  <si>
    <t>Ø§ÛŒÚ©Ø±ÙˆÙ¹ÛŒØ±ÛŒ</t>
  </si>
  <si>
    <t>é˜¿å…‹ç½—è’‚é‡Œä¸»æƒåŸºåœ°åŒº</t>
  </si>
  <si>
    <t>Unrecognized</t>
  </si>
  <si>
    <t>FI1</t>
  </si>
  <si>
    <t>Country</t>
  </si>
  <si>
    <t>Aland</t>
  </si>
  <si>
    <t>ALD</t>
  </si>
  <si>
    <t>Ã…land</t>
  </si>
  <si>
    <t>Ã…land Islands</t>
  </si>
  <si>
    <t>Fin.</t>
  </si>
  <si>
    <t>1. High income: OECD</t>
  </si>
  <si>
    <t>ALA</t>
  </si>
  <si>
    <t>Northern Europe</t>
  </si>
  <si>
    <t>Q5689</t>
  </si>
  <si>
    <t>Ø¬Ø²Ø± Ø£ÙˆÙ„Ø§Ù†Ø¯</t>
  </si>
  <si>
    <t>à¦…à¦²à¦¾à¦¨à§à¦¦ à¦¦à§à¦¬à§€à¦ªà¦ªà§à¦žà§à¦œ</t>
  </si>
  <si>
    <t>Ø¬Ø²Ø§ÛŒØ± Ø§Ù„Ù†Ø¯</t>
  </si>
  <si>
    <t>ÎÎ»Î±Î½Ï„</t>
  </si>
  <si>
    <t>××•×œ× ×“</t>
  </si>
  <si>
    <t>à¤‘à¤²à¥ˆà¤£à¥à¤¡ à¤¦à¥à¤µà¥€à¤ªà¤¸à¤®à¥‚à¤¹</t>
  </si>
  <si>
    <t>Isole Ã…land</t>
  </si>
  <si>
    <t>ã‚ªãƒ¼ãƒ©ãƒ³ãƒ‰è«¸å³¶</t>
  </si>
  <si>
    <t>ì˜¬ëž€ë“œ ì œë„</t>
  </si>
  <si>
    <t>Wyspy Alandzkie</t>
  </si>
  <si>
    <t>ÐÐ»Ð°Ð½Ð´ÑÐºÐ¸Ðµ Ð¾ÑÑ‚Ñ€Ð¾Ð²Ð°</t>
  </si>
  <si>
    <t>ÐÐ»Ð°Ð½Ð´ÑÑŒÐºÑ– Ð¾ÑÑ‚Ñ€Ð¾Ð²Ð¸</t>
  </si>
  <si>
    <t>Ø¬Ø²Ø§Ø¦Ø± Ø§ÛŒÙ„Ø§Ù†Úˆ</t>
  </si>
  <si>
    <t>å¥¥å…°</t>
  </si>
  <si>
    <t>å¥§è˜­</t>
  </si>
  <si>
    <t>United States of America</t>
  </si>
  <si>
    <t>US1</t>
  </si>
  <si>
    <t>ASM</t>
  </si>
  <si>
    <t>Am. Samoa</t>
  </si>
  <si>
    <t>U.S.A.</t>
  </si>
  <si>
    <t>Oceania</t>
  </si>
  <si>
    <t>Polynesia</t>
  </si>
  <si>
    <t>East Asia &amp; Pacific</t>
  </si>
  <si>
    <t>Q16641</t>
  </si>
  <si>
    <t>Ø³Ø§Ù…ÙˆØ§ Ø§Ù„Ø£Ù…Ø±ÙŠÙƒÙŠØ©</t>
  </si>
  <si>
    <t>à¦®à¦¾à¦°à§à¦•à¦¿à¦¨ à¦¸à¦¾à¦®à§‹à¦¯à¦¼à¦¾</t>
  </si>
  <si>
    <t>Amerikanisch-Samoa</t>
  </si>
  <si>
    <t>Samoa Estadounidense</t>
  </si>
  <si>
    <t>Ø³Ø§Ù…ÙˆØ¢ÛŒ Ø¢Ù…Ø±ÛŒÚ©Ø§</t>
  </si>
  <si>
    <t>Samoa amÃ©ricaines</t>
  </si>
  <si>
    <t>Î‘Î¼ÎµÏÎ¹ÎºÎ±Î½Î¹ÎºÎ® Î£Î±Î¼ÏŒÎ±</t>
  </si>
  <si>
    <t>×¡×ž×•××” ×”××ž×¨×™×§× ×™×ª</t>
  </si>
  <si>
    <t>à¤…à¤®à¥‡à¤°à¤¿à¤•à¥€ à¤¸à¤®à¥‹à¤†</t>
  </si>
  <si>
    <t>Amerikai Szamoa</t>
  </si>
  <si>
    <t>Samoa Amerika</t>
  </si>
  <si>
    <t>Samoa Americane</t>
  </si>
  <si>
    <t>ã‚¢ãƒ¡ãƒªã‚«é ˜ã‚µãƒ¢ã‚¢</t>
  </si>
  <si>
    <t>ì•„ë©”ë¦¬ì¹¸ì‚¬ëª¨ì•„</t>
  </si>
  <si>
    <t>Amerikaans-Samoa</t>
  </si>
  <si>
    <t>Samoa AmerykaÅ„skie</t>
  </si>
  <si>
    <t>Samoa Americana</t>
  </si>
  <si>
    <t>ÐÐ¼ÐµÑ€Ð¸ÐºÐ°Ð½ÑÐºÐ¾Ðµ Ð¡Ð°Ð¼Ð¾Ð°</t>
  </si>
  <si>
    <t>Amerikanska Samoa</t>
  </si>
  <si>
    <t>Amerikan SamoasÄ±</t>
  </si>
  <si>
    <t>Ð¡Ñ…Ñ–Ð´Ð½Ðµ Ð¡Ð°Ð¼Ð¾Ð°</t>
  </si>
  <si>
    <t>Ø§Ù…Ø±ÛŒÚ©ÛŒ Ø³Ù…ÙˆÙˆØ§</t>
  </si>
  <si>
    <t>Samoa thuá»™c Má»¹</t>
  </si>
  <si>
    <t>ç¾Žå±žè¨æ‘©äºš</t>
  </si>
  <si>
    <t>ç¾Žå±¬è–©æ‘©äºž</t>
  </si>
  <si>
    <t>AIA</t>
  </si>
  <si>
    <t>AV</t>
  </si>
  <si>
    <t>Q25228</t>
  </si>
  <si>
    <t>Ø£Ù†ØºÙˆÙŠÙ„Ø§</t>
  </si>
  <si>
    <t>à¦à§à¦¯à¦¾à¦™à§à¦—à§à¦‡à¦²à¦¾</t>
  </si>
  <si>
    <t>Anguila</t>
  </si>
  <si>
    <t>Ø¢Ù†Ú¯ÙˆÛŒÙ„Ø§</t>
  </si>
  <si>
    <t>Î‘Î½Î³ÎºÎ¿Ï…Î¯Î»Î±</t>
  </si>
  <si>
    <t>×× ×’×•×•×™×œ×”</t>
  </si>
  <si>
    <t>à¤…à¤‚à¤—à¥à¤‡à¤²à¤¾</t>
  </si>
  <si>
    <t>ã‚¢ãƒ³ã‚®ãƒ©</t>
  </si>
  <si>
    <t>ì•µê·ˆë¼</t>
  </si>
  <si>
    <t>ÐÐ½Ð³Ð¸Ð»ÑŒÑ</t>
  </si>
  <si>
    <t>ÐÐ½Ð³Ñ–Ð»ÑŒÑ</t>
  </si>
  <si>
    <t>Ø§ÛŒÙ†Ú¯ÙˆÛŒÙ„Ø§</t>
  </si>
  <si>
    <t>å®‰åœ­æ‹‰</t>
  </si>
  <si>
    <t>å®‰å‰æ‹‰</t>
  </si>
  <si>
    <t>NL1</t>
  </si>
  <si>
    <t>ABW</t>
  </si>
  <si>
    <t>Neth.</t>
  </si>
  <si>
    <t>AA</t>
  </si>
  <si>
    <t>Q21203</t>
  </si>
  <si>
    <t>Ø£Ø±ÙˆØ¨Ø§</t>
  </si>
  <si>
    <t>à¦†à¦°à§à¦¬à¦¾</t>
  </si>
  <si>
    <t>Ø¢Ø±ÙˆØ¨Ø§</t>
  </si>
  <si>
    <t>Î‘ÏÎ¿ÏÎ¼Ï€Î±</t>
  </si>
  <si>
    <t>××¨×•×‘×”</t>
  </si>
  <si>
    <t>à¤…à¤°à¥‚à¤¬à¤¾</t>
  </si>
  <si>
    <t>ã‚¢ãƒ«ãƒ</t>
  </si>
  <si>
    <t>ì•„ë£¨ë°”</t>
  </si>
  <si>
    <t>ÐÑ€ÑƒÐ±Ð°</t>
  </si>
  <si>
    <t>Ø§Ø±ÙˆØ¨Ø§</t>
  </si>
  <si>
    <t>é˜¿é²å·´</t>
  </si>
  <si>
    <t>é˜¿é­¯å·´</t>
  </si>
  <si>
    <t>AU1</t>
  </si>
  <si>
    <t>Ashmore and Cartier Islands</t>
  </si>
  <si>
    <t>ATC</t>
  </si>
  <si>
    <t>Ashmore and Cartier Is.</t>
  </si>
  <si>
    <t>A.C.Is.</t>
  </si>
  <si>
    <t>Territory of Ashmore and Cartier Islands</t>
  </si>
  <si>
    <t>Auz.</t>
  </si>
  <si>
    <t>AUS</t>
  </si>
  <si>
    <t>WOE Admin-1 states provinces match.</t>
  </si>
  <si>
    <t>Australia and New Zealand</t>
  </si>
  <si>
    <t>Q133888</t>
  </si>
  <si>
    <t>Ø¬Ø²Ø± Ø£Ø´Ù…ÙˆØ± ÙˆÙƒØ§Ø±ØªÙŠÙŠØ±</t>
  </si>
  <si>
    <t>à¦†à¦¸à¦®à¦° à¦à¦¬à¦‚ à¦•à¦¾à¦°à§à¦Ÿà¦¿à¦¯à¦¼à§‡ à¦¦à§à¦¬à§€à¦ªà¦ªà§à¦žà§à¦œ</t>
  </si>
  <si>
    <t>Ashmore- und Cartierinseln</t>
  </si>
  <si>
    <t>Islas Ashmore y Cartier</t>
  </si>
  <si>
    <t>Ø¬Ø²ÛŒØ±Ù‡Ù‡Ø§ÛŒ Ø¢Ø´Ù…ÙˆØ± Ùˆ Ú©Ø§Ø±ØªÛŒØ±</t>
  </si>
  <si>
    <t>ÃŽles Ashmore-et-Cartier</t>
  </si>
  <si>
    <t>Î†ÏƒÎ¼Î¿Ï ÎºÎ±Î¹ ÎšÎ±ÏÏ„Î¹Î­ ÎÎ·ÏƒÎ¹Î¬</t>
  </si>
  <si>
    <t>××™×™ ××©×ž×•×¨ ×•×§×¨×˜×™×™×”</t>
  </si>
  <si>
    <t>à¤à¤¶à¤®à¥‹à¤° à¤”à¤° à¤•à¤¾à¤°à¥à¤Ÿà¤¿à¤¯à¤° à¤¦à¥à¤µà¥€à¤ª à¤¸à¤®à¥‚à¤¹</t>
  </si>
  <si>
    <t>Ashmore- Ã©s Cartier-szigetek</t>
  </si>
  <si>
    <t>Kepulauan Ashmore dan Cartier</t>
  </si>
  <si>
    <t>Isole Ashmore e Cartier</t>
  </si>
  <si>
    <t>ã‚¢ã‚·ãƒ¥ãƒ¢ã‚¢ãƒ»ã‚«ãƒ«ãƒ†ã‚£ã‚¨è«¸å³¶</t>
  </si>
  <si>
    <t>ì• ì‹œëª¨ì–´ ì¹´ë¥´í‹°ì— ì œë„</t>
  </si>
  <si>
    <t>Ashmore- en Cartiereilanden</t>
  </si>
  <si>
    <t>Wyspy Ashmore i Cartiera</t>
  </si>
  <si>
    <t>Ilhas Ashmore e Cartier</t>
  </si>
  <si>
    <t>ÐžÑÑ‚Ñ€Ð¾Ð²Ð° ÐÑˆÐ¼Ð¾Ñ€ Ð¸ ÐšÐ°Ñ€Ñ‚ÑŒÐµ</t>
  </si>
  <si>
    <t>Ashmore- och CartierÃ¶arna</t>
  </si>
  <si>
    <t>Ashmore ve Cartier AdalarÄ±</t>
  </si>
  <si>
    <t>ÐžÑÑ‚Ñ€Ð¾Ð²Ð¸ ÐÑˆÐ¼Ð¾Ñ€ Ñ– ÐšÐ°Ñ€Ñ‚ÑŒÑ”</t>
  </si>
  <si>
    <t>Ø¬Ø²Ø§Ø¦Ø± Ø§ÛŒØ´Ù…ÙˆØ± Ùˆ Ú©Ø§Ø±Ù¹ÛŒØ±</t>
  </si>
  <si>
    <t>Quáº§n Ä‘áº£o Ashmore vÃ  Cartier</t>
  </si>
  <si>
    <t>é˜¿ä»€èŽ«å°”å’Œå¡æ·ç¾¤å²›</t>
  </si>
  <si>
    <t>äºžä»€æ‘©åŠå¡åœ°çˆ¾ç¾¤å³¶</t>
  </si>
  <si>
    <t>AUT</t>
  </si>
  <si>
    <t>Aust.</t>
  </si>
  <si>
    <t>A</t>
  </si>
  <si>
    <t>Republic of Austria</t>
  </si>
  <si>
    <t>Western Europe</t>
  </si>
  <si>
    <t>Q40</t>
  </si>
  <si>
    <t>Ø§Ù„Ù†Ù…Ø³Ø§</t>
  </si>
  <si>
    <t>à¦…à¦¸à§à¦Ÿà§à¦°à¦¿à¦¯à¦¼à¦¾</t>
  </si>
  <si>
    <t>Ã–sterreich</t>
  </si>
  <si>
    <t>Ø§ØªØ±ÛŒØ´</t>
  </si>
  <si>
    <t>Autriche</t>
  </si>
  <si>
    <t>Î‘Ï…ÏƒÏ„ÏÎ¯Î±</t>
  </si>
  <si>
    <t>××•×¡×˜×¨×™×”</t>
  </si>
  <si>
    <t>à¤‘à¤¸à¥à¤Ÿà¥à¤°à¤¿à¤¯à¤¾</t>
  </si>
  <si>
    <t>Ausztria</t>
  </si>
  <si>
    <t>ã‚ªãƒ¼ã‚¹ãƒˆãƒªã‚¢</t>
  </si>
  <si>
    <t>ì˜¤ìŠ¤íŠ¸ë¦¬ì•„</t>
  </si>
  <si>
    <t>Oostenrijk</t>
  </si>
  <si>
    <t>Ãustria</t>
  </si>
  <si>
    <t>ÐÐ²ÑÑ‚Ñ€Ð¸Ñ</t>
  </si>
  <si>
    <t>Ã–sterrike</t>
  </si>
  <si>
    <t>Avusturya</t>
  </si>
  <si>
    <t>ÐÐ²ÑÑ‚Ñ€Ñ–Ñ</t>
  </si>
  <si>
    <t>Ø¢Ø³Ù¹Ø±ÛŒØ§</t>
  </si>
  <si>
    <t>Ão</t>
  </si>
  <si>
    <t>å¥¥åœ°åˆ©</t>
  </si>
  <si>
    <t>å¥§åœ°åˆ©</t>
  </si>
  <si>
    <t>AZE</t>
  </si>
  <si>
    <t>Aze.</t>
  </si>
  <si>
    <t>Republic of Azerbaijan</t>
  </si>
  <si>
    <t>AJ</t>
  </si>
  <si>
    <t>Q227</t>
  </si>
  <si>
    <t>Ø£Ø°Ø±Ø¨ÙŠØ¬Ø§Ù†</t>
  </si>
  <si>
    <t>à¦†à¦œà¦¾à¦°à¦¬à¦¾à¦‡à¦œà¦¾à¦¨</t>
  </si>
  <si>
    <t>Aserbaidschan</t>
  </si>
  <si>
    <t>AzerbaiyÃ¡n</t>
  </si>
  <si>
    <t>Ø¬Ù…Ù‡ÙˆØ±ÛŒ Ø¢Ø°Ø±Ø¨Ø§ÛŒØ¬Ø§Ù†</t>
  </si>
  <si>
    <t>AzerbaÃ¯djan</t>
  </si>
  <si>
    <t>Î‘Î¶ÎµÏÎ¼Ï€Î±ÏŠÏ„Î¶Î¬Î½</t>
  </si>
  <si>
    <t>××–×¨×‘×™×™×’'×Ÿ</t>
  </si>
  <si>
    <t>à¤…à¤œà¤¼à¤°à¤¬à¥ˆà¤œà¤¾à¤¨</t>
  </si>
  <si>
    <t>AzerbajdzsÃ¡n</t>
  </si>
  <si>
    <t>Azerbaigian</t>
  </si>
  <si>
    <t>ã‚¢ã‚¼ãƒ«ãƒã‚¤ã‚¸ãƒ£ãƒ³</t>
  </si>
  <si>
    <t>ì•„ì œë¥´ë°”ì´ìž”</t>
  </si>
  <si>
    <t>Azerbeidzjan</t>
  </si>
  <si>
    <t>AzerbejdÅ¼an</t>
  </si>
  <si>
    <t>AzerbaijÃ£o</t>
  </si>
  <si>
    <t>ÐÐ·ÐµÑ€Ð±Ð°Ð¹Ð´Ð¶Ð°Ð½</t>
  </si>
  <si>
    <t>Azerbajdzjan</t>
  </si>
  <si>
    <t>Azerbaycan</t>
  </si>
  <si>
    <t>Ø¢Ø°Ø±Ø¨Ø§Ø¦ÛŒØ¬Ø§Ù†</t>
  </si>
  <si>
    <t>é˜¿å¡žæ‹œç–†</t>
  </si>
  <si>
    <t>äºžå¡žæ‹œç„¶</t>
  </si>
  <si>
    <t>BHR</t>
  </si>
  <si>
    <t>Bahr.</t>
  </si>
  <si>
    <t>Kingdom of Bahrain</t>
  </si>
  <si>
    <t>Q398</t>
  </si>
  <si>
    <t>Ø§Ù„Ø¨Ø­Ø±ÙŠÙ†</t>
  </si>
  <si>
    <t>à¦¬à¦¾à¦¹à¦°à¦¾à¦‡à¦¨</t>
  </si>
  <si>
    <t>BarÃ©in</t>
  </si>
  <si>
    <t>Ø¨Ø­Ø±ÛŒÙ†</t>
  </si>
  <si>
    <t>BahreÃ¯n</t>
  </si>
  <si>
    <t>ÎœÏ€Î±Ï‡ÏÎ­Î¹Î½</t>
  </si>
  <si>
    <t>×‘×—×¨×™×™×Ÿ</t>
  </si>
  <si>
    <t>à¤¬à¤¹à¤°à¥€à¤¨</t>
  </si>
  <si>
    <t>Bahrein</t>
  </si>
  <si>
    <t>ãƒãƒ¼ãƒ¬ãƒ¼ãƒ³</t>
  </si>
  <si>
    <t>ë°”ë ˆì¸</t>
  </si>
  <si>
    <t>Bahrajn</t>
  </si>
  <si>
    <t>Ð‘Ð°Ñ…Ñ€ÐµÐ¹Ð½</t>
  </si>
  <si>
    <t>Bahreyn</t>
  </si>
  <si>
    <t>å·´æž—</t>
  </si>
  <si>
    <t>Bajo Nuevo Bank (Petrel Is.)</t>
  </si>
  <si>
    <t>BJN</t>
  </si>
  <si>
    <t>Bajo Nuevo Bank</t>
  </si>
  <si>
    <t>Bajo Nuevo Bank (Petrel Islands)</t>
  </si>
  <si>
    <t>B41</t>
  </si>
  <si>
    <t>Disputed</t>
  </si>
  <si>
    <t>Claimed by Colombia, Jamaica, Nicaragua and the United States</t>
  </si>
  <si>
    <t>USA</t>
  </si>
  <si>
    <t>COL</t>
  </si>
  <si>
    <t>Q1257783</t>
  </si>
  <si>
    <t>Ø¶ÙØ© Ø¨Ø§Ø¬Ùˆ Ù†ÙŠÙˆÙÙˆ</t>
  </si>
  <si>
    <t>à¦¬à¦¾à¦¹à§‹ à¦¨à§à¦¯à¦¼à§‡à¦¬à§‹ à¦¤à§€à¦°</t>
  </si>
  <si>
    <t>Bajo-Nuevo-Bank</t>
  </si>
  <si>
    <t>Bajo Nuevo</t>
  </si>
  <si>
    <t>Ø¨Ø§Ø¬Ùˆ Ù†ÙˆØ¦Ùˆ Ø¨Ù†Ú© (Petrel Is.)</t>
  </si>
  <si>
    <t>Banc de Bajo Nuevo</t>
  </si>
  <si>
    <t>ÎœÏ€Î¬Ï„Î¶Î¿ ÎÎ¿Ï…Î­Î²Î¿ ÎœÏ€Î±Î½Îº</t>
  </si>
  <si>
    <t>×‘××—×• × ×•××‘×• ×‘×× ×§</t>
  </si>
  <si>
    <t>à¤¬à¤¾à¤–à¥‹ à¤¨à¥à¤¯à¥à¤à¤µà¥‹ à¤¤à¤Ÿ</t>
  </si>
  <si>
    <t>Petrel-szigetek</t>
  </si>
  <si>
    <t>Tepi Bajo Nuevo</t>
  </si>
  <si>
    <t>ãƒãƒ›ãƒŒã‚¨ãƒœ</t>
  </si>
  <si>
    <t>ë°”í˜¸ ëˆ„ì—ë³´ ë±…í¬</t>
  </si>
  <si>
    <t>Ilha Baixo Novo</t>
  </si>
  <si>
    <t>Ð‘Ð°Ñ…Ð¾-ÐÑƒÑÐ²Ð¾</t>
  </si>
  <si>
    <t>Ð‘Ð°Ñ…Ð¾-ÐÑƒÐµÐ²Ð¾</t>
  </si>
  <si>
    <t>Ø¨Ø§Ø®Ùˆ Ù†ÙˆØ¦ÙˆÙˆ Ú©Ù†Ø§Ø±Û</t>
  </si>
  <si>
    <t>å·´éœåŠªåŸƒæ²ƒæµ…æ»©</t>
  </si>
  <si>
    <t>å·´éœåŠªåŸƒæ²ƒæ·ºç˜</t>
  </si>
  <si>
    <t>Admin-0 indeterminant</t>
  </si>
  <si>
    <t>BGD</t>
  </si>
  <si>
    <t>Bang.</t>
  </si>
  <si>
    <t>People's Republic of Bangladesh</t>
  </si>
  <si>
    <t>Q902</t>
  </si>
  <si>
    <t>Ø¨Ù†ØºÙ„Ø§Ø¯ÙŠØ´</t>
  </si>
  <si>
    <t>à¦¬à¦¾à¦‚à¦²à¦¾à¦¦à§‡à¦¶</t>
  </si>
  <si>
    <t>Bangladesch</t>
  </si>
  <si>
    <t>BangladÃ©s</t>
  </si>
  <si>
    <t>Ø¨Ù†Ú¯Ù„Ø§Ø¯Ø´</t>
  </si>
  <si>
    <t>ÎœÏ€Î±Î½Î³ÎºÎ»Î±Î½Ï„Î­Ï‚</t>
  </si>
  <si>
    <t>×‘× ×’×œ×“×©</t>
  </si>
  <si>
    <t>à¤¬à¤¾à¤‚à¤—à¥à¤²à¤¾à¤¦à¥‡à¤¶</t>
  </si>
  <si>
    <t>Banglades</t>
  </si>
  <si>
    <t>ãƒãƒ³ã‚°ãƒ©ãƒ‡ã‚·ãƒ¥</t>
  </si>
  <si>
    <t>ë°©ê¸€ë¼ë°ì‹œ</t>
  </si>
  <si>
    <t>Bangladesz</t>
  </si>
  <si>
    <t>Ð‘Ð°Ð½Ð³Ð»Ð°Ð´ÐµÑˆ</t>
  </si>
  <si>
    <t>BangladeÅŸ</t>
  </si>
  <si>
    <t>Ø¨Ù†Ú¯Ù„Û Ø¯ÛŒØ´</t>
  </si>
  <si>
    <t>å­ŸåŠ æ‹‰å›½</t>
  </si>
  <si>
    <t>å­ŸåŠ æ‹‰</t>
  </si>
  <si>
    <t>BRB</t>
  </si>
  <si>
    <t>Barb.</t>
  </si>
  <si>
    <t>URY</t>
  </si>
  <si>
    <t>Q244</t>
  </si>
  <si>
    <t>Ø¨Ø§Ø±Ø¨Ø§Ø¯ÙˆØ³</t>
  </si>
  <si>
    <t>à¦¬à¦¾à¦°à§à¦¬à¦¾à¦¡à§‹à¦¸</t>
  </si>
  <si>
    <t>Barbade</t>
  </si>
  <si>
    <t>ÎœÏ€Î±ÏÎ¼Ï€Î¬Î½Ï„Î¿Ï‚</t>
  </si>
  <si>
    <t>×‘×¨×‘×“×•×¡</t>
  </si>
  <si>
    <t>à¤¬à¤¾à¤°à¤¬à¤¾à¤¡à¥‹à¤¸</t>
  </si>
  <si>
    <t>ãƒãƒ«ãƒãƒ‰ã‚¹</t>
  </si>
  <si>
    <t>ë°”ë² ì´ë„ìŠ¤</t>
  </si>
  <si>
    <t>Ð‘Ð°Ñ€Ð±Ð°Ð´Ð¾Ñ</t>
  </si>
  <si>
    <t>Ø¨Ø§Ø±Ø¨Ø§ÚˆÙˆØ³</t>
  </si>
  <si>
    <t>å·´å·´å¤šæ–¯</t>
  </si>
  <si>
    <t>å·´è²å¤š</t>
  </si>
  <si>
    <t>BLR</t>
  </si>
  <si>
    <t>Bela.</t>
  </si>
  <si>
    <t>Republic of Belarus</t>
  </si>
  <si>
    <t>Eastern Europe</t>
  </si>
  <si>
    <t>Q184</t>
  </si>
  <si>
    <t>Ø¨ÙŠÙ„Ø§Ø±ÙˆØ³ÙŠØ§</t>
  </si>
  <si>
    <t>à¦¬à§‡à¦²à¦¾à¦°à§à¦¶</t>
  </si>
  <si>
    <t>Bielorrusia</t>
  </si>
  <si>
    <t>Ø¨Ù„Ø§Ø±ÙˆØ³</t>
  </si>
  <si>
    <t>BiÃ©lorussie</t>
  </si>
  <si>
    <t>Î›ÎµÏ…ÎºÎ¿ÏÏ‰ÏƒÎ¯Î±</t>
  </si>
  <si>
    <t>×‘×œ××¨×•×¡</t>
  </si>
  <si>
    <t>à¤¬à¥‡à¤²à¤¾à¤°à¥‚à¤¸</t>
  </si>
  <si>
    <t>FehÃ©roroszorszÃ¡g</t>
  </si>
  <si>
    <t>Bielorussia</t>
  </si>
  <si>
    <t>ãƒ™ãƒ©ãƒ«ãƒ¼ã‚·</t>
  </si>
  <si>
    <t>ë²¨ë¼ë£¨ìŠ¤</t>
  </si>
  <si>
    <t>Wit-Rusland</t>
  </si>
  <si>
    <t>BiaÅ‚oruÅ›</t>
  </si>
  <si>
    <t>BielorrÃºssia</t>
  </si>
  <si>
    <t>Ð‘ÐµÐ»Ð¾Ñ€ÑƒÑÑÐ¸Ñ</t>
  </si>
  <si>
    <t>Beyaz Rusya</t>
  </si>
  <si>
    <t>Ð‘Ñ–Ð»Ð¾Ñ€ÑƒÑÑŒ</t>
  </si>
  <si>
    <t>Ø¨ÛŒÙ„Ø§Ø±ÙˆØ³</t>
  </si>
  <si>
    <t>ç™½ä¿„ç½—æ–¯</t>
  </si>
  <si>
    <t>ç™½ä¿„ç¾…æ–¯</t>
  </si>
  <si>
    <t>BEL</t>
  </si>
  <si>
    <t>Belg.</t>
  </si>
  <si>
    <t>B</t>
  </si>
  <si>
    <t>Kingdom of Belgium</t>
  </si>
  <si>
    <t>Q31</t>
  </si>
  <si>
    <t>Ø¨Ù„Ø¬ÙŠÙƒØ§</t>
  </si>
  <si>
    <t>à¦¬à§‡à¦²à¦œà¦¿à¦¯à¦¼à¦¾à¦®</t>
  </si>
  <si>
    <t>Belgien</t>
  </si>
  <si>
    <t>BÃ©lgica</t>
  </si>
  <si>
    <t>Ø¨Ù„Ú˜ÛŒÚ©</t>
  </si>
  <si>
    <t>Belgique</t>
  </si>
  <si>
    <t>Î’Î­Î»Î³Î¹Î¿</t>
  </si>
  <si>
    <t>×‘×œ×’×™×”</t>
  </si>
  <si>
    <t>à¤¬à¥‡à¤²à¥à¤œà¤¿à¤¯à¤®</t>
  </si>
  <si>
    <t>Belgia</t>
  </si>
  <si>
    <t>Belgio</t>
  </si>
  <si>
    <t>ãƒ™ãƒ«ã‚®ãƒ¼</t>
  </si>
  <si>
    <t>ë²¨ê¸°ì—</t>
  </si>
  <si>
    <t>BelgiÃ«</t>
  </si>
  <si>
    <t>Ð‘ÐµÐ»ÑŒÐ³Ð¸Ñ</t>
  </si>
  <si>
    <t>BelÃ§ika</t>
  </si>
  <si>
    <t>Ð‘ÐµÐ»ÑŒÐ³Ñ–Ñ</t>
  </si>
  <si>
    <t>Ø¨Ù„Ø¬Ø¦ÛŒÙ…</t>
  </si>
  <si>
    <t>Bá»‰</t>
  </si>
  <si>
    <t>æ¯”åˆ©æ—¶</t>
  </si>
  <si>
    <t>æ¯”åˆ©æ™‚</t>
  </si>
  <si>
    <t>BLZ</t>
  </si>
  <si>
    <t>Central America</t>
  </si>
  <si>
    <t>Q242</t>
  </si>
  <si>
    <t>Ø¨Ù„ÙŠØ²</t>
  </si>
  <si>
    <t>à¦¬à§‡à¦²à¦¿à¦œ</t>
  </si>
  <si>
    <t>Belice</t>
  </si>
  <si>
    <t>Ø¨Ù„ÛŒØ²</t>
  </si>
  <si>
    <t>ÎœÏ€ÎµÎ»Î¯Î¶</t>
  </si>
  <si>
    <t>×‘×œ×™×–</t>
  </si>
  <si>
    <t>à¤¬à¥‡à¤²à¥€à¤œà¤¼</t>
  </si>
  <si>
    <t>ãƒ™ãƒªãƒ¼ã‚º</t>
  </si>
  <si>
    <t>ë²¨ë¦¬ì¦ˆ</t>
  </si>
  <si>
    <t>Ð‘ÐµÐ»Ð¸Ð·</t>
  </si>
  <si>
    <t>Ð‘ÐµÐ»Ñ–Ð·</t>
  </si>
  <si>
    <t>Ø¨ÛŒÙ„ÛŒØ²</t>
  </si>
  <si>
    <t>ä¼¯åˆ©å…¹</t>
  </si>
  <si>
    <t>è²é‡Œæ–¯</t>
  </si>
  <si>
    <t>BEN</t>
  </si>
  <si>
    <t>Republic of Benin</t>
  </si>
  <si>
    <t>Western Africa</t>
  </si>
  <si>
    <t>Q962</t>
  </si>
  <si>
    <t>Ø¨Ù†ÙŠÙ†</t>
  </si>
  <si>
    <t>à¦¬à§‡à¦¨à¦¿à¦¨</t>
  </si>
  <si>
    <t>BenÃ­n</t>
  </si>
  <si>
    <t>Ø¨Ù†ÛŒÙ†</t>
  </si>
  <si>
    <t>BÃ©nin</t>
  </si>
  <si>
    <t>ÎœÏ€ÎµÎ½Î¯Î½</t>
  </si>
  <si>
    <t>×‘× ×™×Ÿ</t>
  </si>
  <si>
    <t>à¤¬à¥‡à¤¨à¤¿à¤¨</t>
  </si>
  <si>
    <t>ãƒ™ãƒŠãƒ³</t>
  </si>
  <si>
    <t>ë² ëƒ‰</t>
  </si>
  <si>
    <t>Benim</t>
  </si>
  <si>
    <t>Ð‘ÐµÐ½Ð¸Ð½</t>
  </si>
  <si>
    <t>Ð‘ÐµÐ½Ñ–Ð½</t>
  </si>
  <si>
    <t>Ø¨ÛŒÙ†Ù†</t>
  </si>
  <si>
    <t>è´å®</t>
  </si>
  <si>
    <t>è²å—</t>
  </si>
  <si>
    <t>BTN</t>
  </si>
  <si>
    <t>Kingdom of Bhutan</t>
  </si>
  <si>
    <t>Q917</t>
  </si>
  <si>
    <t>Ø¨ÙˆØªØ§Ù†</t>
  </si>
  <si>
    <t>à¦­à§à¦Ÿà¦¾à¦¨</t>
  </si>
  <si>
    <t>ButÃ¡n</t>
  </si>
  <si>
    <t>Bhoutan</t>
  </si>
  <si>
    <t>ÎœÏ€Î¿Ï…Ï„Î¬Î½</t>
  </si>
  <si>
    <t>×‘×”×•×˜×Ÿ</t>
  </si>
  <si>
    <t>à¤­à¥‚à¤Ÿà¤¾à¤¨</t>
  </si>
  <si>
    <t>BhutÃ¡n</t>
  </si>
  <si>
    <t>ãƒ–ãƒ¼ã‚¿ãƒ³</t>
  </si>
  <si>
    <t>ë¶€íƒ„</t>
  </si>
  <si>
    <t>ButÃ£o</t>
  </si>
  <si>
    <t>Ð‘ÑƒÑ‚Ð°Ð½</t>
  </si>
  <si>
    <t>Ø¨Ú¾ÙˆÙ¹Ø§Ù†</t>
  </si>
  <si>
    <t>ä¸ä¸¹</t>
  </si>
  <si>
    <t>Bir Tawil</t>
  </si>
  <si>
    <t>BRT</t>
  </si>
  <si>
    <t>B94</t>
  </si>
  <si>
    <t>B. Tawil</t>
  </si>
  <si>
    <t>Between Egypt and Sudan</t>
  </si>
  <si>
    <t>Q620634</t>
  </si>
  <si>
    <t>Ø¨Ø¦Ø± Ø·ÙˆÙŠÙ„</t>
  </si>
  <si>
    <t>à¦¬à¦¿à¦° à¦¤à¦¾à¦‰à¦‡à¦²</t>
  </si>
  <si>
    <t>Ø¨Ø¦Ø± Ø·ÙˆÛŒÙ„</t>
  </si>
  <si>
    <t>ÎœÏ€Î¹Ï Î¤Î±Î¿Ï…Î¯Î»</t>
  </si>
  <si>
    <t>×‘×™×¨ ×˜×•×•×™×œ</t>
  </si>
  <si>
    <t>à¤¬à¥€à¤° à¤¤à¤¾à¤µà¤¿à¤²</t>
  </si>
  <si>
    <t>ãƒ“ãƒ«ãƒ»ã‚¿ã‚¦ã‚£ãƒ¼ãƒ«</t>
  </si>
  <si>
    <t>ë¹„ë¥´ íƒ€ìœŒ</t>
  </si>
  <si>
    <t>Ð‘Ð¸Ñ€-Ð¢Ð°Ð²Ð¸Ð»ÑŒ</t>
  </si>
  <si>
    <t>Ð‘Ñ–Ñ€-Ð¢Ð°Ð²Ñ–Ð»ÑŒ</t>
  </si>
  <si>
    <t>Ø¨Ø± Ù¹Ø§ÙˆÛŒÙ„</t>
  </si>
  <si>
    <t>æ¯”å°”æ³°ç»´å‹’</t>
  </si>
  <si>
    <t>æ¯”çˆ¾å¡”å¨çˆ¾</t>
  </si>
  <si>
    <t>BOL</t>
  </si>
  <si>
    <t>Plurinational State of Bolivia</t>
  </si>
  <si>
    <t>Q750</t>
  </si>
  <si>
    <t>Ø¨ÙˆÙ„ÙŠÙÙŠØ§</t>
  </si>
  <si>
    <t>à¦¬à¦²à¦¿à¦­à¦¿à¦¯à¦¼à¦¾</t>
  </si>
  <si>
    <t>Bolivien</t>
  </si>
  <si>
    <t>Ø¨ÙˆÙ„ÛŒÙˆÛŒ</t>
  </si>
  <si>
    <t>Bolivie</t>
  </si>
  <si>
    <t>Î’Î¿Î»Î¹Î²Î¯Î±</t>
  </si>
  <si>
    <t>×‘×•×œ×™×‘×™×”</t>
  </si>
  <si>
    <t>à¤¬à¥‹à¤²à¤¿à¤µà¤¿à¤¯à¤¾</t>
  </si>
  <si>
    <t>BolÃ­via</t>
  </si>
  <si>
    <t>ãƒœãƒªãƒ“ã‚¢</t>
  </si>
  <si>
    <t>ë³¼ë¦¬ë¹„ì•„</t>
  </si>
  <si>
    <t>Boliwia</t>
  </si>
  <si>
    <t>Ð‘Ð¾Ð»Ð¸Ð²Ð¸Ñ</t>
  </si>
  <si>
    <t>Bolivya</t>
  </si>
  <si>
    <t>Ð‘Ð¾Ð»Ñ–Ð²Ñ–Ñ</t>
  </si>
  <si>
    <t>Ø¨ÙˆÙ„ÛŒÙˆÛŒØ§</t>
  </si>
  <si>
    <t>çŽ»åˆ©ç»´äºš</t>
  </si>
  <si>
    <t>çŽ»åˆ©ç¶­äºž</t>
  </si>
  <si>
    <t>BIH</t>
  </si>
  <si>
    <t>B.H.</t>
  </si>
  <si>
    <t>BiH</t>
  </si>
  <si>
    <t>BK</t>
  </si>
  <si>
    <t>Q225</t>
  </si>
  <si>
    <t>Ø§Ù„Ø¨ÙˆØ³Ù†Ø© ÙˆØ§Ù„Ù‡Ø±Ø³Ùƒ</t>
  </si>
  <si>
    <t>à¦¬à¦¸à¦¨à¦¿à¦¯à¦¼à¦¾ à¦“ à¦¹à¦¾à¦°à§à¦œà§‡à¦—à§‹à¦­à¦¿à¦¨à¦¾</t>
  </si>
  <si>
    <t>Bosnien und Herzegowina</t>
  </si>
  <si>
    <t>Bosnia y Herzegovina</t>
  </si>
  <si>
    <t>Ø¨ÙˆØ³Ù†ÛŒ Ùˆ Ù‡Ø±Ø²Ú¯ÙˆÛŒÙ†</t>
  </si>
  <si>
    <t>Bosnie-HerzÃ©govine</t>
  </si>
  <si>
    <t>Î’Î¿ÏƒÎ½Î¯Î± ÎºÎ±Î¹ Î•ÏÎ¶ÎµÎ³Î¿Î²Î¯Î½Î·</t>
  </si>
  <si>
    <t>×‘×•×¡× ×™×” ×•×”×¨×¦×’×•×‘×™× ×”</t>
  </si>
  <si>
    <t>à¤¬à¥‰à¤¸à¥à¤¨à¤¿à¤¯à¤¾ à¤”à¤° à¤¹à¤°à¥à¤œà¤¼à¥‡à¤—à¥‹à¤µà¤¿à¤¨à¤¾</t>
  </si>
  <si>
    <t>Bosznia-Hercegovina</t>
  </si>
  <si>
    <t>Bosnia dan Herzegovina</t>
  </si>
  <si>
    <t>Bosnia ed Erzegovina</t>
  </si>
  <si>
    <t>ãƒœã‚¹ãƒ‹ã‚¢ãƒ»ãƒ˜ãƒ«ãƒ„ã‚§ã‚´ãƒ“ãƒŠ</t>
  </si>
  <si>
    <t>ë³´ìŠ¤ë‹ˆì•„ í—¤ë¥´ì²´ê³ ë¹„ë‚˜</t>
  </si>
  <si>
    <t>BosniÃ« en Herzegovina</t>
  </si>
  <si>
    <t>BoÅ›nia i Hercegowina</t>
  </si>
  <si>
    <t>BÃ³snia e Herzegovina</t>
  </si>
  <si>
    <t>Ð‘Ð¾ÑÐ½Ð¸Ñ Ð¸ Ð“ÐµÑ€Ñ†ÐµÐ³Ð¾Ð²Ð¸Ð½Ð°</t>
  </si>
  <si>
    <t>Bosnien och Hercegovina</t>
  </si>
  <si>
    <t>Bosna-Hersek</t>
  </si>
  <si>
    <t>Ð‘Ð¾ÑÐ½Ñ–Ñ Ñ– Ð“ÐµÑ€Ñ†ÐµÐ³Ð¾Ð²Ð¸Ð½Ð°</t>
  </si>
  <si>
    <t>Ø¨ÙˆØ³Ù†ÛŒØ§ Ùˆ ÛØ±Ø²ÛŒÚ¯ÙˆÙˆÛŒÙ†Ø§</t>
  </si>
  <si>
    <t>Bosna vÃ  Hercegovina</t>
  </si>
  <si>
    <t>æ³¢æ–¯å°¼äºšå’Œé»‘å¡žå“¥ç»´é‚£</t>
  </si>
  <si>
    <t>æ³¢å£«å°¼äºžèˆ‡èµ«å¡žå“¥ç¶­ç´</t>
  </si>
  <si>
    <t>BWA</t>
  </si>
  <si>
    <t>Bwa.</t>
  </si>
  <si>
    <t>Republic of Botswana</t>
  </si>
  <si>
    <t>BC</t>
  </si>
  <si>
    <t>Southern Africa</t>
  </si>
  <si>
    <t>Q963</t>
  </si>
  <si>
    <t>Ø¨ÙˆØªØ³ÙˆØ§Ù†Ø§</t>
  </si>
  <si>
    <t>à¦¬à¦¤à¦¸à§‹à¦¯à¦¼à¦¾à¦¨à¦¾</t>
  </si>
  <si>
    <t>Botsuana</t>
  </si>
  <si>
    <t>ÎœÏ€Î¿Ï„ÏƒÎ¿Ï…Î¬Î½Î±</t>
  </si>
  <si>
    <t>×‘×•×˜×¡×•×× ×”</t>
  </si>
  <si>
    <t>à¤¬à¥‹à¤¤à¥à¤¸à¤µà¤¾à¤¨à¤¾</t>
  </si>
  <si>
    <t>ãƒœãƒ„ãƒ¯ãƒŠ</t>
  </si>
  <si>
    <t>ë³´ì¸ ì™€ë‚˜</t>
  </si>
  <si>
    <t>Ð‘Ð¾Ñ‚ÑÐ²Ð°Ð½Ð°</t>
  </si>
  <si>
    <t>Botsvana</t>
  </si>
  <si>
    <t>Ø¨ÙˆÙ¹Ø³ÙˆØ§Ù†Ø§</t>
  </si>
  <si>
    <t>åšèŒ¨ç“¦çº³</t>
  </si>
  <si>
    <t>æ³¢æœ­é‚£</t>
  </si>
  <si>
    <t>BRA</t>
  </si>
  <si>
    <t>Federative Republic of Brazil</t>
  </si>
  <si>
    <t>3. Emerging region: BRIC</t>
  </si>
  <si>
    <t>Q155</t>
  </si>
  <si>
    <t>Ø§Ù„Ø¨Ø±Ø§Ø²ÙŠÙ„</t>
  </si>
  <si>
    <t>à¦¬à§à¦°à¦¾à¦œà¦¿à¦²</t>
  </si>
  <si>
    <t>Brasilien</t>
  </si>
  <si>
    <t>Brasil</t>
  </si>
  <si>
    <t>Ø¨Ø±Ø²ÛŒÙ„</t>
  </si>
  <si>
    <t>BrÃ©sil</t>
  </si>
  <si>
    <t>Î’ÏÎ±Î¶Î¹Î»Î¯Î±</t>
  </si>
  <si>
    <t>×‘×¨×–×™×œ</t>
  </si>
  <si>
    <t>à¤¬à¥à¤°à¤¾à¤œà¤¼à¥€à¤²</t>
  </si>
  <si>
    <t>BrazÃ­lia</t>
  </si>
  <si>
    <t>Brasile</t>
  </si>
  <si>
    <t>ãƒ–ãƒ©ã‚¸ãƒ«</t>
  </si>
  <si>
    <t>ë¸Œë¼ì§ˆ</t>
  </si>
  <si>
    <t>BraziliÃ«</t>
  </si>
  <si>
    <t>Brazylia</t>
  </si>
  <si>
    <t>Ð‘Ñ€Ð°Ð·Ð¸Ð»Ð¸Ñ</t>
  </si>
  <si>
    <t>Brezilya</t>
  </si>
  <si>
    <t>Ð‘Ñ€Ð°Ð·Ð¸Ð»Ñ–Ñ</t>
  </si>
  <si>
    <t>Ø¨Ø±Ø§Ø²ÛŒÙ„</t>
  </si>
  <si>
    <t>å·´è¥¿</t>
  </si>
  <si>
    <t>Brazilian Island</t>
  </si>
  <si>
    <t>BRI</t>
  </si>
  <si>
    <t>Brazilian I.</t>
  </si>
  <si>
    <t>B85</t>
  </si>
  <si>
    <t>Claimed by Brazil and Uruguay</t>
  </si>
  <si>
    <t>Brazil (Brazilian I.)</t>
  </si>
  <si>
    <t>Q2093778</t>
  </si>
  <si>
    <t>Ø¨Ø±Ø§Ø²ÙŠÙ„ÙŠØ§Ù† Ø¢ÙŠÙ„Ø§Ù†Ø¯</t>
  </si>
  <si>
    <t>à¦¬à§à¦°à¦¾à¦œà¦¿à¦²à¦¿à§Ÿà¦¾à¦¨ à¦†à¦‡à¦²à§à¦¯à¦¾à¦¨à§à¦¡</t>
  </si>
  <si>
    <t>Isla Brasilera</t>
  </si>
  <si>
    <t>Ø¬Ø²ÛŒØ±Ù‡ Ø¨Ø±Ø²ÛŒÙ„ÛŒ</t>
  </si>
  <si>
    <t>Ilha Brasileira</t>
  </si>
  <si>
    <t>ÎœÏ€ÏÎ±Î¶Î¯Î»Î¹Î±Î½ Î†Î¹Î»Î±Î½Ï„</t>
  </si>
  <si>
    <t>××™ ×‘×¨×–×™×œ××™</t>
  </si>
  <si>
    <t>à¤¬à¥à¤°à¤¾à¤œà¤¼à¥€à¤²à¤¿à¤¯à¤¨ à¤†à¤‡à¤²à¥ˆà¤‚à¤¡</t>
  </si>
  <si>
    <t>Brazil-sziget</t>
  </si>
  <si>
    <t>Isola brasiliana</t>
  </si>
  <si>
    <t>ãƒ–ãƒ©ã‚¸ãƒ¬ã‚¤ãƒ©å³¶</t>
  </si>
  <si>
    <t>ë¸Œë¼ì§ˆë¦¬ì•ˆ ì•„ì¼ëžœë“œ</t>
  </si>
  <si>
    <t>Ð¾ÑÑ‚Ñ€Ð¾Ð² Ð‘Ñ€Ð°Ð·Ð¸Ð»ÐµÑ€Ð°</t>
  </si>
  <si>
    <t>Isla BrasileÃ±a</t>
  </si>
  <si>
    <t>Brezilya AdasÄ±</t>
  </si>
  <si>
    <t>ÐžÑÑ‚Ñ€Ñ–Ð² Ð‘Ñ€Ð°Ð·Ð¸Ð»ÑŒÑÑŒÐºÐ¸Ð¹</t>
  </si>
  <si>
    <t>Ø¨Ø±Ø§Ø²ÛŒÙ„ÛŒÙ† Ø¢Ø¦ÛŒ</t>
  </si>
  <si>
    <t>Äáº£o Brazilian</t>
  </si>
  <si>
    <t>å·´è¥¿å²›</t>
  </si>
  <si>
    <t>å·´è¥¿å³¶</t>
  </si>
  <si>
    <t>BRN</t>
  </si>
  <si>
    <t>Brunei Darussalam</t>
  </si>
  <si>
    <t>Negara Brunei Darussalam</t>
  </si>
  <si>
    <t>BX</t>
  </si>
  <si>
    <t>South-Eastern Asia</t>
  </si>
  <si>
    <t>Q921</t>
  </si>
  <si>
    <t>Ø¨Ø±ÙˆÙ†Ø§ÙŠ</t>
  </si>
  <si>
    <t>à¦¬à§à¦°à§à¦¨à¦¾à¦‡</t>
  </si>
  <si>
    <t>BrunÃ©i</t>
  </si>
  <si>
    <t>Ø¨Ø±ÙˆÙ†Ø¦ÛŒ</t>
  </si>
  <si>
    <t>ÎœÏ€ÏÎ¿Ï…Î½Î­Î¹</t>
  </si>
  <si>
    <t>×‘×¨×•× ×™×™</t>
  </si>
  <si>
    <t>à¤¬à¥à¤°à¥à¤¨à¥‡à¤ˆ</t>
  </si>
  <si>
    <t>ãƒ–ãƒ«ãƒã‚¤</t>
  </si>
  <si>
    <t>ë¸Œë£¨ë‚˜ì´</t>
  </si>
  <si>
    <t>Ð‘Ñ€ÑƒÐ½ÐµÐ¹</t>
  </si>
  <si>
    <t>Ø¨Ø±ÙˆÙ†Ø§Ø¦ÛŒ Ø¯Ø§Ø± Ø§Ù„Ø³Ù„Ø§Ù…</t>
  </si>
  <si>
    <t>æ–‡èŽ±</t>
  </si>
  <si>
    <t>æ±¶èŠ</t>
  </si>
  <si>
    <t>BGR</t>
  </si>
  <si>
    <t>Bulg.</t>
  </si>
  <si>
    <t>Republic of Bulgaria</t>
  </si>
  <si>
    <t>BU</t>
  </si>
  <si>
    <t>Q219</t>
  </si>
  <si>
    <t>Ø¨Ù„ØºØ§Ø±ÙŠØ§</t>
  </si>
  <si>
    <t>à¦¬à§à¦²à¦—à§‡à¦°à¦¿à¦¯à¦¼à¦¾</t>
  </si>
  <si>
    <t>Bulgarien</t>
  </si>
  <si>
    <t>Ø¨Ù„ØºØ§Ø±Ø³ØªØ§Ù†</t>
  </si>
  <si>
    <t>Bulgarie</t>
  </si>
  <si>
    <t>Î’Î¿Ï…Î»Î³Î±ÏÎ¯Î±</t>
  </si>
  <si>
    <t>×‘×•×œ×’×¨×™×”</t>
  </si>
  <si>
    <t>à¤¬à¥à¤²à¥à¤—à¤¾à¤°à¤¿à¤¯à¤¾</t>
  </si>
  <si>
    <t>BulgÃ¡ria</t>
  </si>
  <si>
    <t>ãƒ–ãƒ«ã‚¬ãƒªã‚¢</t>
  </si>
  <si>
    <t>ë¶ˆê°€ë¦¬ì•„</t>
  </si>
  <si>
    <t>Bulgarije</t>
  </si>
  <si>
    <t>BuÅ‚garia</t>
  </si>
  <si>
    <t>Ð‘Ð¾Ð»Ð³Ð°Ñ€Ð¸Ñ</t>
  </si>
  <si>
    <t>Bulgaristan</t>
  </si>
  <si>
    <t>Ð‘Ð¾Ð»Ð³Ð°Ñ€Ñ–Ñ</t>
  </si>
  <si>
    <t>Ø¨Ù„ØºØ§Ø±ÛŒÛ</t>
  </si>
  <si>
    <t>ä¿åŠ åˆ©äºš</t>
  </si>
  <si>
    <t>ä¿åŠ åˆ©äºž</t>
  </si>
  <si>
    <t>BFA</t>
  </si>
  <si>
    <t>B.F.</t>
  </si>
  <si>
    <t>UV</t>
  </si>
  <si>
    <t>Q965</t>
  </si>
  <si>
    <t>Ø¨ÙˆØ±ÙƒÙŠÙ†Ø§ ÙØ§Ø³Ùˆ</t>
  </si>
  <si>
    <t>à¦¬à§à¦°à§à¦•à¦¿à¦¨à¦¾ à¦«à¦¾à¦¸à§‹</t>
  </si>
  <si>
    <t>Ø¨ÙˆØ±Ú©ÛŒÙ†Ø§ÙØ§Ø³Ùˆ</t>
  </si>
  <si>
    <t>ÎœÏ€Î¿Ï…ÏÎºÎ¯Î½Î± Î¦Î¬ÏƒÎ¿</t>
  </si>
  <si>
    <t>×‘×•×¨×§×™× ×” ×¤××¡×•</t>
  </si>
  <si>
    <t>à¤¬à¥à¤°à¥à¤•à¤¿à¤¨à¤¾ à¤«à¤¾à¤¸à¥‹</t>
  </si>
  <si>
    <t>ãƒ–ãƒ«ã‚­ãƒŠãƒ•ã‚¡ã‚½</t>
  </si>
  <si>
    <t>ë¶€ë¥´í‚¤ë‚˜íŒŒì†Œ</t>
  </si>
  <si>
    <t>Ð‘ÑƒÑ€ÐºÐ¸Ð½Ð°-Ð¤Ð°ÑÐ¾</t>
  </si>
  <si>
    <t>Ð‘ÑƒÑ€ÐºÑ–Ð½Ð°-Ð¤Ð°ÑÐ¾</t>
  </si>
  <si>
    <t>Ø¨Ø±Ú©ÛŒÙ†Ø§ ÙØ§Ø³Ùˆ</t>
  </si>
  <si>
    <t>å¸ƒåŸºçº³æ³•ç´¢</t>
  </si>
  <si>
    <t>å¸ƒåŸºç´æ³•ç´¢</t>
  </si>
  <si>
    <t>BDI</t>
  </si>
  <si>
    <t>Bur.</t>
  </si>
  <si>
    <t>Republic of Burundi</t>
  </si>
  <si>
    <t>Eastern Africa</t>
  </si>
  <si>
    <t>Q967</t>
  </si>
  <si>
    <t>Ø¨ÙˆØ±ÙˆÙ†Ø¯ÙŠ</t>
  </si>
  <si>
    <t>à¦¬à§à¦°à§à¦¨à§à¦¡à¦¿</t>
  </si>
  <si>
    <t>Ø¨ÙˆØ±ÙˆÙ†Ø¯ÛŒ</t>
  </si>
  <si>
    <t>ÎœÏ€Î¿Ï…ÏÎ¿ÏÎ½Ï„Î¹</t>
  </si>
  <si>
    <t>×‘×•×¨×•× ×“×™</t>
  </si>
  <si>
    <t>à¤¬à¥à¤°à¥à¤£à¥à¤¡à¥€</t>
  </si>
  <si>
    <t>ãƒ–ãƒ«ãƒ³ã‚¸</t>
  </si>
  <si>
    <t>ë¶€ë£¬ë””</t>
  </si>
  <si>
    <t>Ð‘ÑƒÑ€ÑƒÐ½Ð´Ð¸</t>
  </si>
  <si>
    <t>Ð‘ÑƒÑ€ÑƒÐ½Ð´Ñ–</t>
  </si>
  <si>
    <t>Ø¨Ø±ÙˆÙ†ÚˆÛŒ</t>
  </si>
  <si>
    <t>å¸ƒéš†è¿ª</t>
  </si>
  <si>
    <t>è’²éš†åœ°</t>
  </si>
  <si>
    <t>CPV</t>
  </si>
  <si>
    <t>Republic of Cabo Verde</t>
  </si>
  <si>
    <t>C.Vd.</t>
  </si>
  <si>
    <t>Q1011</t>
  </si>
  <si>
    <t>Ø§Ù„Ø±Ø£Ø³ Ø§Ù„Ø£Ø®Ø¶Ø±</t>
  </si>
  <si>
    <t>à¦•à¦¾à¦¬à§ à¦­à§‡à¦°à§à¦¦à¦¿</t>
  </si>
  <si>
    <t>Kap Verde</t>
  </si>
  <si>
    <t>Cape Verde</t>
  </si>
  <si>
    <t>Ú©ÛŒÙ¾ ÙˆØ±Ø¯</t>
  </si>
  <si>
    <t>Cap-Vert</t>
  </si>
  <si>
    <t>Î ÏÎ¬ÏƒÎ¹Î½Î¿ Î‘ÎºÏÏ‰Ï„Î®ÏÎ¹Î¿</t>
  </si>
  <si>
    <t>×›×£ ×•×¨×“×”</t>
  </si>
  <si>
    <t>à¤•à¥‡à¤ª à¤µà¤°à¥à¤¦à¥‡</t>
  </si>
  <si>
    <t>ZÃ¶ld-foki KÃ¶ztÃ¡rsasÃ¡g</t>
  </si>
  <si>
    <t>Tanjung Verde</t>
  </si>
  <si>
    <t>Capo Verde</t>
  </si>
  <si>
    <t>ã‚«ãƒ¼ãƒœãƒ™ãƒ«ãƒ‡</t>
  </si>
  <si>
    <t>ì¹´ë³´ë² ë¥´ë°</t>
  </si>
  <si>
    <t>KaapverdiÃ«</t>
  </si>
  <si>
    <t>Republika Zielonego PrzylÄ…dka</t>
  </si>
  <si>
    <t>ÐšÐ°Ð±Ð¾-Ð’ÐµÑ€Ð´Ðµ</t>
  </si>
  <si>
    <t>YeÅŸil Burun AdalarÄ±</t>
  </si>
  <si>
    <t>Ú©ÛŒÙ¾ ÙˆØ±ÚˆÛŒ</t>
  </si>
  <si>
    <t>ä½›å¾—è§’</t>
  </si>
  <si>
    <t>ç¶­å¾·è§’</t>
  </si>
  <si>
    <t>KHM</t>
  </si>
  <si>
    <t>Camb.</t>
  </si>
  <si>
    <t>Kingdom of Cambodia</t>
  </si>
  <si>
    <t>CB</t>
  </si>
  <si>
    <t>Q424</t>
  </si>
  <si>
    <t>ÙƒÙ…Ø¨ÙˆØ¯ÙŠØ§</t>
  </si>
  <si>
    <t>à¦•à¦®à§à¦¬à§‹à¦¡à¦¿à¦¯à¦¼à¦¾</t>
  </si>
  <si>
    <t>Kambodscha</t>
  </si>
  <si>
    <t>Camboya</t>
  </si>
  <si>
    <t>Ú©Ø§Ù…Ø¨ÙˆØ¬</t>
  </si>
  <si>
    <t>Cambodge</t>
  </si>
  <si>
    <t>ÎšÎ±Î¼Ï€ÏŒÏ„Î¶Î·</t>
  </si>
  <si>
    <t>×§×ž×‘×•×“×™×”</t>
  </si>
  <si>
    <t>à¤•à¤®à¥à¤¬à¥‹à¤¡à¤¿à¤¯à¤¾</t>
  </si>
  <si>
    <t>Kambodzsa</t>
  </si>
  <si>
    <t>Kamboja</t>
  </si>
  <si>
    <t>Cambogia</t>
  </si>
  <si>
    <t>ã‚«ãƒ³ãƒœã‚¸ã‚¢</t>
  </si>
  <si>
    <t>ìº„ë³´ë””ì•„</t>
  </si>
  <si>
    <t>Cambodja</t>
  </si>
  <si>
    <t>KambodÅ¼a</t>
  </si>
  <si>
    <t>Camboja</t>
  </si>
  <si>
    <t>ÐšÐ°Ð¼Ð±Ð¾Ð´Ð¶Ð°</t>
  </si>
  <si>
    <t>Kambodja</t>
  </si>
  <si>
    <t>KamboÃ§ya</t>
  </si>
  <si>
    <t>Ú©Ù…Ø¨ÙˆÚˆÛŒØ§</t>
  </si>
  <si>
    <t>Campuchia</t>
  </si>
  <si>
    <t>æŸ¬åŸ”å¯¨</t>
  </si>
  <si>
    <t>CMR</t>
  </si>
  <si>
    <t>Cam.</t>
  </si>
  <si>
    <t>Republic of Cameroon</t>
  </si>
  <si>
    <t>Q1009</t>
  </si>
  <si>
    <t>Ø§Ù„ÙƒØ§Ù…ÙŠØ±ÙˆÙ†</t>
  </si>
  <si>
    <t>à¦•à§à¦¯à¦¾à¦®à§‡à¦°à§à¦¨</t>
  </si>
  <si>
    <t>Kamerun</t>
  </si>
  <si>
    <t>CamerÃºn</t>
  </si>
  <si>
    <t>Ú©Ø§Ù…Ø±ÙˆÙ†</t>
  </si>
  <si>
    <t>Cameroun</t>
  </si>
  <si>
    <t>ÎšÎ±Î¼ÎµÏÎ¿ÏÎ½</t>
  </si>
  <si>
    <t>×§×ž×¨×•×Ÿ</t>
  </si>
  <si>
    <t>à¤•à¥ˆà¤®à¤°à¥à¤¨</t>
  </si>
  <si>
    <t>Camerun</t>
  </si>
  <si>
    <t>ã‚«ãƒ¡ãƒ«ãƒ¼ãƒ³</t>
  </si>
  <si>
    <t>ì¹´ë©”ë£¬</t>
  </si>
  <si>
    <t>Kameroen</t>
  </si>
  <si>
    <t>CamarÃµes</t>
  </si>
  <si>
    <t>ÐšÐ°Ð¼ÐµÑ€ÑƒÐ½</t>
  </si>
  <si>
    <t>Ú©ÛŒÙ…Ø±ÙˆÙ†</t>
  </si>
  <si>
    <t>å–€éº¦éš†</t>
  </si>
  <si>
    <t>å–€éº¥éš†</t>
  </si>
  <si>
    <t>CAN</t>
  </si>
  <si>
    <t>Can.</t>
  </si>
  <si>
    <t>1. Developed region: G7</t>
  </si>
  <si>
    <t>Northern America</t>
  </si>
  <si>
    <t>Q16</t>
  </si>
  <si>
    <t>ÙƒÙ†Ø¯Ø§</t>
  </si>
  <si>
    <t>à¦•à¦¾à¦¨à¦¾à¦¡à¦¾</t>
  </si>
  <si>
    <t>Kanada</t>
  </si>
  <si>
    <t>CanadÃ¡</t>
  </si>
  <si>
    <t>Ú©Ø§Ù†Ø§Ø¯Ø§</t>
  </si>
  <si>
    <t>ÎšÎ±Î½Î±Î´Î¬Ï‚</t>
  </si>
  <si>
    <t>×§× ×“×”</t>
  </si>
  <si>
    <t>à¤•à¤¨à¤¾à¤¡à¤¾</t>
  </si>
  <si>
    <t>ã‚«ãƒŠãƒ€</t>
  </si>
  <si>
    <t>ìºë‚˜ë‹¤</t>
  </si>
  <si>
    <t>ÐšÐ°Ð½Ð°Ð´Ð°</t>
  </si>
  <si>
    <t>Ú©ÛŒÙ†ÛŒÚˆØ§</t>
  </si>
  <si>
    <t>åŠ æ‹¿å¤§</t>
  </si>
  <si>
    <t>CAF</t>
  </si>
  <si>
    <t>Central African Rep.</t>
  </si>
  <si>
    <t>C.A.R.</t>
  </si>
  <si>
    <t>CT</t>
  </si>
  <si>
    <t>Q929</t>
  </si>
  <si>
    <t>Ø¬Ù…Ù‡ÙˆØ±ÙŠØ© Ø£ÙØ±ÙŠÙ‚ÙŠØ§ Ø§Ù„ÙˆØ³Ø·Ù‰</t>
  </si>
  <si>
    <t>à¦®à¦§à§à¦¯ à¦†à¦«à§à¦°à¦¿à¦•à¦¾à¦¨ à¦ªà§à¦°à¦œà¦¾à¦¤à¦¨à§à¦¤à§à¦°</t>
  </si>
  <si>
    <t>Zentralafrikanische Republik</t>
  </si>
  <si>
    <t>RepÃºblica Centroafricana</t>
  </si>
  <si>
    <t>Ø¬Ù…Ù‡ÙˆØ±ÛŒ Ø¢ÙØ±ÛŒÙ‚Ø§ÛŒ Ù…Ø±Ú©Ø²ÛŒ</t>
  </si>
  <si>
    <t>RÃ©publique centrafricaine</t>
  </si>
  <si>
    <t>ÎšÎµÎ½Ï„ÏÎ¿Î±Ï†ÏÎ¹ÎºÎ±Î½Î¹ÎºÎ® Î”Î·Î¼Î¿ÎºÏÎ±Ï„Î¯Î±</t>
  </si>
  <si>
    <t>×”×¨×¤×•×‘×œ×™×§×” ×”×ž×¨×›×–-××¤×¨×™×§××™×ª</t>
  </si>
  <si>
    <t>à¤®à¤§à¥à¤¯ à¤…à¤«à¤¼à¥à¤°à¥€à¤•à¥€ à¤—à¤£à¤°à¤¾à¤œà¥à¤¯</t>
  </si>
  <si>
    <t>KÃ¶zÃ©p-afrikai KÃ¶ztÃ¡rsasÃ¡g</t>
  </si>
  <si>
    <t>Republik Afrika Tengah</t>
  </si>
  <si>
    <t>Repubblica Centrafricana</t>
  </si>
  <si>
    <t>ä¸­å¤®ã‚¢ãƒ•ãƒªã‚«å…±å’Œå›½</t>
  </si>
  <si>
    <t>ì¤‘ì•™ì•„í”„ë¦¬ì¹´ ê³µí™”êµ­</t>
  </si>
  <si>
    <t>Centraal-Afrikaanse Republiek</t>
  </si>
  <si>
    <t>Republika ÅšrodkowoafrykaÅ„ska</t>
  </si>
  <si>
    <t>RepÃºblica Centro-Africana</t>
  </si>
  <si>
    <t>Ð¦ÐµÐ½Ñ‚Ñ€Ð°Ð»ÑŒÐ½Ð¾Ð°Ñ„Ñ€Ð¸ÐºÐ°Ð½ÑÐºÐ°Ñ Ð ÐµÑÐ¿ÑƒÐ±Ð»Ð¸ÐºÐ°</t>
  </si>
  <si>
    <t>Centralafrikanska republiken</t>
  </si>
  <si>
    <t>Orta Afrika Cumhuriyeti</t>
  </si>
  <si>
    <t>Ð¦ÐµÐ½Ñ‚Ñ€Ð°Ð»ÑŒÐ½Ð¾Ð°Ñ„Ñ€Ð¸ÐºÐ°Ð½ÑÑŒÐºÐ° Ð ÐµÑÐ¿ÑƒÐ±Ð»Ñ–ÐºÐ°</t>
  </si>
  <si>
    <t>ÙˆØ³Ø·ÛŒ Ø§ÙØ±ÛŒÙ‚ÛŒ Ø¬Ù…ÛÙˆØ±ÛŒÛ</t>
  </si>
  <si>
    <t>Cá»™ng hÃ²a Trung Phi</t>
  </si>
  <si>
    <t>ä¸­éžå…±å’Œå›½</t>
  </si>
  <si>
    <t>ä¸­éžå…±å’Œåœ‹</t>
  </si>
  <si>
    <t>TCD</t>
  </si>
  <si>
    <t>Republic of Chad</t>
  </si>
  <si>
    <t>Q657</t>
  </si>
  <si>
    <t>ØªØ´Ø§Ø¯</t>
  </si>
  <si>
    <t>à¦šà¦¾à¦¦</t>
  </si>
  <si>
    <t>Tschad</t>
  </si>
  <si>
    <t>Ú†Ø§Ø¯</t>
  </si>
  <si>
    <t>Tchad</t>
  </si>
  <si>
    <t>Î¤ÏƒÎ±Î½Ï„</t>
  </si>
  <si>
    <t>×¦'××“</t>
  </si>
  <si>
    <t>à¤šà¤¾à¤¡</t>
  </si>
  <si>
    <t>CsÃ¡d</t>
  </si>
  <si>
    <t>Ciad</t>
  </si>
  <si>
    <t>ãƒãƒ£ãƒ‰</t>
  </si>
  <si>
    <t>ì°¨ë“œ</t>
  </si>
  <si>
    <t>Tsjaad</t>
  </si>
  <si>
    <t>Czad</t>
  </si>
  <si>
    <t>Chade</t>
  </si>
  <si>
    <t>Ð§Ð°Ð´</t>
  </si>
  <si>
    <t>Ã‡ad</t>
  </si>
  <si>
    <t>Ú†Ø§Úˆ</t>
  </si>
  <si>
    <t>ä¹å¾—</t>
  </si>
  <si>
    <t>æŸ¥å¾·</t>
  </si>
  <si>
    <t>CHL</t>
  </si>
  <si>
    <t>Republic of Chile</t>
  </si>
  <si>
    <t>Q298</t>
  </si>
  <si>
    <t>ØªØ´ÙŠÙ„ÙŠ</t>
  </si>
  <si>
    <t>à¦šà¦¿à¦²à¦¿</t>
  </si>
  <si>
    <t>Ø´ÛŒÙ„ÛŒ</t>
  </si>
  <si>
    <t>Chili</t>
  </si>
  <si>
    <t>Î§Î¹Î»Î®</t>
  </si>
  <si>
    <t>×¦'×™×œ×”</t>
  </si>
  <si>
    <t>à¤šà¤¿à¤²à¥€</t>
  </si>
  <si>
    <t>Cile</t>
  </si>
  <si>
    <t>ãƒãƒª</t>
  </si>
  <si>
    <t>ì¹ ë ˆ</t>
  </si>
  <si>
    <t>Ð§Ð¸Ð»Ð¸</t>
  </si>
  <si>
    <t>Åžili</t>
  </si>
  <si>
    <t>Ð§Ð¸Ð»Ñ–</t>
  </si>
  <si>
    <t>Ú†Ù„ÛŒ</t>
  </si>
  <si>
    <t>æ™ºåˆ©</t>
  </si>
  <si>
    <t>Commonwealth of Australia</t>
  </si>
  <si>
    <t>Includes Ashmore and Cartier Islands (23424749) and Coral Sea Islands (23424790).</t>
  </si>
  <si>
    <t>Q408</t>
  </si>
  <si>
    <t>Ø£Ø³ØªØ±Ø§Ù„ÙŠØ§</t>
  </si>
  <si>
    <t>à¦…à¦¸à§à¦Ÿà§à¦°à§‡à¦²à¦¿à¦¯à¦¼à¦¾</t>
  </si>
  <si>
    <t>Australien</t>
  </si>
  <si>
    <t>Ø§Ø³ØªØ±Ø§Ù„ÛŒØ§</t>
  </si>
  <si>
    <t>Australie</t>
  </si>
  <si>
    <t>Î‘Ï…ÏƒÏ„ÏÎ±Î»Î¯Î±</t>
  </si>
  <si>
    <t>××•×¡×˜×¨×œ×™×”</t>
  </si>
  <si>
    <t>à¤‘à¤¸à¥à¤Ÿà¥à¤°à¥‡à¤²à¤¿à¤¯à¤¾</t>
  </si>
  <si>
    <t>AusztrÃ¡lia</t>
  </si>
  <si>
    <t>ã‚ªãƒ¼ã‚¹ãƒˆãƒ©ãƒªã‚¢</t>
  </si>
  <si>
    <t>ì˜¤ìŠ¤íŠ¸ë ˆì¼ë¦¬ì•„</t>
  </si>
  <si>
    <t>AustraliÃ«</t>
  </si>
  <si>
    <t>AustrÃ¡lia</t>
  </si>
  <si>
    <t>ÐÐ²ÑÑ‚Ñ€Ð°Ð»Ð¸Ñ</t>
  </si>
  <si>
    <t>Avustralya</t>
  </si>
  <si>
    <t>ÐÐ²ÑÑ‚Ñ€Ð°Ð»Ñ–Ñ</t>
  </si>
  <si>
    <t>Ø¢Ø³Ù¹Ø±ÛŒÙ„ÛŒØ§</t>
  </si>
  <si>
    <t>Ãšc</t>
  </si>
  <si>
    <t>æ¾³å¤§åˆ©äºš</t>
  </si>
  <si>
    <t>æ¾³å¤§åˆ©äºž</t>
  </si>
  <si>
    <t>KA1</t>
  </si>
  <si>
    <t>Lease</t>
  </si>
  <si>
    <t>Baykonur Cosmodrome</t>
  </si>
  <si>
    <t>KAB</t>
  </si>
  <si>
    <t>Baikonur</t>
  </si>
  <si>
    <t>Baikonur Cosmodrome</t>
  </si>
  <si>
    <t>B40</t>
  </si>
  <si>
    <t>Baykonur</t>
  </si>
  <si>
    <t>Bayk.</t>
  </si>
  <si>
    <t>Leased to Russia by Kazakhstan</t>
  </si>
  <si>
    <t>KAZ</t>
  </si>
  <si>
    <t>A subunit of Kazakhstan in WOE.</t>
  </si>
  <si>
    <t>Central Asia</t>
  </si>
  <si>
    <t>Q165413</t>
  </si>
  <si>
    <t>Ø¨Ø§ÙŠÙƒÙˆÙ†ÙˆØ±</t>
  </si>
  <si>
    <t>à¦¬à¦¾à¦‡à¦•à§à¦¨à§‹à¦°</t>
  </si>
  <si>
    <t>Ø¨Ø§ÛŒÙ‚ÙˆÙ†ÙˆØ±ØŒ Ù‚Ø²Ø§Ù‚Ø³ØªØ§Ù†</t>
  </si>
  <si>
    <t>BaÃ¯konour</t>
  </si>
  <si>
    <t>ÎœÏ€Î±ÏŠÎºÎ¿Î½Î¿ÏÏ</t>
  </si>
  <si>
    <t>×‘×™×™×§×•× ×•×¨</t>
  </si>
  <si>
    <t>à¤¬à¤¾à¤¯à¤•à¥‹à¤¨à¥‚à¤°</t>
  </si>
  <si>
    <t>Bajkonur</t>
  </si>
  <si>
    <t>BayqoÃ±yr</t>
  </si>
  <si>
    <t>ãƒã‚¤ã‚³ãƒŒãƒ¼ãƒ«</t>
  </si>
  <si>
    <t>ë°”ì´ì½”ëˆ„ë¥´</t>
  </si>
  <si>
    <t>Bajkonoer</t>
  </si>
  <si>
    <t>Ð‘Ð°Ð¹ÐºÐ¾Ð½ÑƒÑ€</t>
  </si>
  <si>
    <t>Ð‘Ð°Ð¹ÐºÐ¾Ð½Ð¸Ñ€</t>
  </si>
  <si>
    <t>Ø¨Ø§ÛŒÚ©ÙˆÙ†ÙˆØ±</t>
  </si>
  <si>
    <t>æ‹œç§‘åŠªå°”</t>
  </si>
  <si>
    <t>æ‹œç§‘åŠªçˆ¾</t>
  </si>
  <si>
    <t>Admin-0 lease</t>
  </si>
  <si>
    <t>BMU</t>
  </si>
  <si>
    <t>Berm.</t>
  </si>
  <si>
    <t>The Bermudas or Somers Isles</t>
  </si>
  <si>
    <t>Q23635</t>
  </si>
  <si>
    <t>Ø¨Ø±Ù…ÙˆØ¯Ø§</t>
  </si>
  <si>
    <t>à¦¬à¦¾à¦°à¦®à§à¦¡à¦¾</t>
  </si>
  <si>
    <t>Bermudas</t>
  </si>
  <si>
    <t>Bermudes</t>
  </si>
  <si>
    <t>Î’ÎµÏÎ¼Î¿ÏÎ´ÎµÏ‚</t>
  </si>
  <si>
    <t>×‘×¨×ž×•×“×”</t>
  </si>
  <si>
    <t>à¤¬à¤°à¤®à¥‚à¤¡à¤¾</t>
  </si>
  <si>
    <t>ãƒãƒŸãƒ¥ãƒ¼ãƒ€è«¸å³¶</t>
  </si>
  <si>
    <t>ë²„ë®¤ë‹¤</t>
  </si>
  <si>
    <t>Bermudy</t>
  </si>
  <si>
    <t>Ð‘ÐµÑ€Ð¼ÑƒÐ´ÑÐºÐ¸Ðµ ÐžÑÑ‚Ñ€Ð¾Ð²Ð°</t>
  </si>
  <si>
    <t>Ð‘ÐµÑ€Ð¼ÑƒÐ´ÑÑŒÐºÑ– Ð¾ÑÑ‚Ñ€Ð¾Ð²Ð¸</t>
  </si>
  <si>
    <t>ç™¾æ…•å¤§</t>
  </si>
  <si>
    <t>ç™¾æ…•é”</t>
  </si>
  <si>
    <t>Col.</t>
  </si>
  <si>
    <t>Republic of Colombia</t>
  </si>
  <si>
    <t>Q739</t>
  </si>
  <si>
    <t>ÙƒÙˆÙ„ÙˆÙ…Ø¨ÙŠØ§</t>
  </si>
  <si>
    <t>à¦•à¦²à¦®à§à¦¬à¦¿à¦¯à¦¼à¦¾</t>
  </si>
  <si>
    <t>Kolumbien</t>
  </si>
  <si>
    <t>Ú©Ù„Ù…Ø¨ÛŒØ§</t>
  </si>
  <si>
    <t>Colombie</t>
  </si>
  <si>
    <t>ÎšÎ¿Î»Î¿Î¼Î²Î¯Î±</t>
  </si>
  <si>
    <t>×§×•×œ×•×ž×‘×™×”</t>
  </si>
  <si>
    <t>à¤•à¥‹à¤²à¤®à¥à¤¬à¤¿à¤¯à¤¾</t>
  </si>
  <si>
    <t>Kolumbia</t>
  </si>
  <si>
    <t>Kolombia</t>
  </si>
  <si>
    <t>ã‚³ãƒ­ãƒ³ãƒ“ã‚¢</t>
  </si>
  <si>
    <t>ì½œë¡¬ë¹„ì•„</t>
  </si>
  <si>
    <t>ColÃ´mbia</t>
  </si>
  <si>
    <t>ÐšÐ¾Ð»ÑƒÐ¼Ð±Ð¸Ñ</t>
  </si>
  <si>
    <t>Kolombiya</t>
  </si>
  <si>
    <t>ÐšÐ¾Ð»ÑƒÐ¼Ð±Ñ–Ñ</t>
  </si>
  <si>
    <t>Ú©ÙˆÙ„Ù…Ø¨ÛŒØ§</t>
  </si>
  <si>
    <t>å“¥ä¼¦æ¯”äºš</t>
  </si>
  <si>
    <t>å“¥å€«æ¯”äºž</t>
  </si>
  <si>
    <t>COM</t>
  </si>
  <si>
    <t>Com.</t>
  </si>
  <si>
    <t>Union of the Comoros</t>
  </si>
  <si>
    <t>Q970</t>
  </si>
  <si>
    <t>Ø¬Ø²Ø± Ø§Ù„Ù‚Ù…Ø±</t>
  </si>
  <si>
    <t>à¦•à§‹à¦®à§‹à¦°à§‹à¦¸</t>
  </si>
  <si>
    <t>Komoren</t>
  </si>
  <si>
    <t>Comoras</t>
  </si>
  <si>
    <t>Ù…Ø¬Ù…Ø¹Ø§Ù„Ø¬Ø²Ø§ÛŒØ± Ù‚Ù…Ø±</t>
  </si>
  <si>
    <t>Comores</t>
  </si>
  <si>
    <t>ÎšÎ¿Î¼ÏŒÏÎµÏ‚</t>
  </si>
  <si>
    <t>×§×•×ž×•×¨×•</t>
  </si>
  <si>
    <t>à¤•à¥‹à¤®à¥‹à¤°à¥‹à¤¸</t>
  </si>
  <si>
    <t>Comore-szigetek</t>
  </si>
  <si>
    <t>Komoro</t>
  </si>
  <si>
    <t>Comore</t>
  </si>
  <si>
    <t>ã‚³ãƒ¢ãƒ­</t>
  </si>
  <si>
    <t>ì½”ëª¨ë¡œ</t>
  </si>
  <si>
    <t>Comoren</t>
  </si>
  <si>
    <t>Komory</t>
  </si>
  <si>
    <t>ÐšÐ¾Ð¼Ð¾Ñ€Ñ‹</t>
  </si>
  <si>
    <t>Komorerna</t>
  </si>
  <si>
    <t>Komorlar</t>
  </si>
  <si>
    <t>ÐšÐ¾Ð¼Ð¾Ñ€ÑÑŒÐºÑ– ÐžÑÑ‚Ñ€Ð¾Ð²Ð¸</t>
  </si>
  <si>
    <t>Ø§ØªØ­Ø§Ø¯ Ø§Ù„Ù‚Ù…Ø±ÛŒ</t>
  </si>
  <si>
    <t>ç§‘æ‘©ç½—</t>
  </si>
  <si>
    <t>è‘›æ‘©</t>
  </si>
  <si>
    <t>CRI</t>
  </si>
  <si>
    <t>C.R.</t>
  </si>
  <si>
    <t>Republic of Costa Rica</t>
  </si>
  <si>
    <t>CS</t>
  </si>
  <si>
    <t>Q800</t>
  </si>
  <si>
    <t>ÙƒÙˆØ³ØªØ§Ø±ÙŠÙƒØ§</t>
  </si>
  <si>
    <t>à¦•à§‹à¦¸à§à¦Ÿà¦¾ à¦°à¦¿à¦•à¦¾</t>
  </si>
  <si>
    <t>Ú©Ø§Ø³ØªØ§Ø±ÛŒÚ©Ø§</t>
  </si>
  <si>
    <t>ÎšÏŒÏƒÏ„Î± Î¡Î¯ÎºÎ±</t>
  </si>
  <si>
    <t>×§×•×¡×˜×” ×¨×™×§×”</t>
  </si>
  <si>
    <t>à¤•à¥‹à¤¸à¥à¤Ÿà¤¾ à¤°à¥€à¤•à¤¾</t>
  </si>
  <si>
    <t>Kosta Rika</t>
  </si>
  <si>
    <t>ã‚³ã‚¹ã‚¿ãƒªã‚«</t>
  </si>
  <si>
    <t>ì½”ìŠ¤íƒ€ë¦¬ì¹´</t>
  </si>
  <si>
    <t>Kostaryka</t>
  </si>
  <si>
    <t>ÐšÐ¾ÑÑ‚Ð°-Ð Ð¸ÐºÐ°</t>
  </si>
  <si>
    <t>Ú©ÙˆØ³Ù¹Ø§Ø±ÛŒÚ©Ø§</t>
  </si>
  <si>
    <t>å“¥æ–¯è¾¾é»ŽåŠ </t>
  </si>
  <si>
    <t>å“¥æ–¯å¤§é»ŽåŠ </t>
  </si>
  <si>
    <t>HRV</t>
  </si>
  <si>
    <t>Cro.</t>
  </si>
  <si>
    <t>Republic of Croatia</t>
  </si>
  <si>
    <t>Q224</t>
  </si>
  <si>
    <t>ÙƒØ±ÙˆØ§ØªÙŠØ§</t>
  </si>
  <si>
    <t>à¦•à§à¦°à§‹à¦¯à¦¼à§‡à¦¶à¦¿à¦¯à¦¼à¦¾</t>
  </si>
  <si>
    <t>Kroatien</t>
  </si>
  <si>
    <t>Croacia</t>
  </si>
  <si>
    <t>Ú©Ø±ÙˆØ§Ø³ÛŒ</t>
  </si>
  <si>
    <t>Croatie</t>
  </si>
  <si>
    <t>ÎšÏÎ¿Î±Ï„Î¯Î±</t>
  </si>
  <si>
    <t>×§×¨×•××˜×™×”</t>
  </si>
  <si>
    <t>à¤•à¥à¤°à¥‹à¤à¤¶à¤¿à¤¯à¤¾</t>
  </si>
  <si>
    <t>HorvÃ¡torszÃ¡g</t>
  </si>
  <si>
    <t>Kroasia</t>
  </si>
  <si>
    <t>Croazia</t>
  </si>
  <si>
    <t>ã‚¯ãƒ­ã‚¢ãƒã‚¢</t>
  </si>
  <si>
    <t>í¬ë¡œì•„í‹°ì•„</t>
  </si>
  <si>
    <t>KroatiÃ«</t>
  </si>
  <si>
    <t>Chorwacja</t>
  </si>
  <si>
    <t>CroÃ¡cia</t>
  </si>
  <si>
    <t>Ð¥Ð¾Ñ€Ð²Ð°Ñ‚Ð¸Ñ</t>
  </si>
  <si>
    <t>HÄ±rvatistan</t>
  </si>
  <si>
    <t>Ð¥Ð¾Ñ€Ð²Ð°Ñ‚Ñ–Ñ</t>
  </si>
  <si>
    <t>Ú©Ø±ÙˆØ´ÛŒØ§</t>
  </si>
  <si>
    <t>å…‹ç½—åœ°äºš</t>
  </si>
  <si>
    <t>å…‹ç¾…åœ°äºž</t>
  </si>
  <si>
    <t>IOT</t>
  </si>
  <si>
    <t>Br. Indian Ocean Ter.</t>
  </si>
  <si>
    <t>B69</t>
  </si>
  <si>
    <t>I.O.T.</t>
  </si>
  <si>
    <t>Admin. by U.K.; Claimed by Mauritius and Seychelles</t>
  </si>
  <si>
    <t>Seven seas (open ocean)</t>
  </si>
  <si>
    <t>Q43448</t>
  </si>
  <si>
    <t>Ø¥Ù‚Ù„ÙŠÙ… Ø§Ù„Ù…Ø­ÙŠØ· Ø§Ù„Ù‡Ù†Ø¯ÙŠ Ø§Ù„Ø¨Ø±ÙŠØ·Ø§Ù†ÙŠ</t>
  </si>
  <si>
    <t>à¦¬à§à¦°à¦¿à¦Ÿà¦¿à¦¶ à¦­à¦¾à¦°à¦¤ à¦®à¦¹à¦¾à¦¸à¦¾à¦—à¦°à§€à¦¯à¦¼ à¦à¦²à¦¾à¦•à¦¾</t>
  </si>
  <si>
    <t>Britisches Territorium im Indischen Ozean</t>
  </si>
  <si>
    <t>Territorio BritÃ¡nico del OcÃ©ano Ãndico</t>
  </si>
  <si>
    <t>Ù‚Ù„Ù…Ø±Ùˆ Ø¨Ø±ÛŒØªØ§Ù†ÛŒØ§ Ø¯Ø± Ø§Ù‚ÛŒØ§Ù†ÙˆØ³ Ù‡Ù†Ø¯</t>
  </si>
  <si>
    <t>Territoire britannique de lâ€™ocÃ©an Indien</t>
  </si>
  <si>
    <t>Î’ÏÎµÏ„Î±Î½Î¹ÎºÏŒ ÎˆÎ´Î±Ï†Î¿Ï‚ Î™Î½Î´Î¹ÎºÎ¿Ï Î©ÎºÎµÎ±Î½Î¿Ï</t>
  </si>
  <si>
    <t>×”×˜×¨×™×˜×•×¨×™×” ×”×‘×¨×™×˜×™×ª ×‘××•×§×™×™× ×•×¡ ×”×”×•×“×™</t>
  </si>
  <si>
    <t>à¤¬à¥à¤°à¤¿à¤Ÿà¤¿à¤¶ à¤¹à¤¿à¤‚à¤¦ à¤®à¤¹à¤¾à¤¸à¤¾à¤—à¤° à¤•à¥à¤·à¥‡à¤¤à¥à¤°</t>
  </si>
  <si>
    <t>Brit Indiai-Ã³ceÃ¡ni TerÃ¼let</t>
  </si>
  <si>
    <t>Wilayah Samudra Hindia Britania</t>
  </si>
  <si>
    <t>Territorio britannico dell'oceano Indiano</t>
  </si>
  <si>
    <t>ã‚¤ã‚®ãƒªã‚¹é ˜ã‚¤ãƒ³ãƒ‰æ´‹åœ°åŸŸ</t>
  </si>
  <si>
    <t>ì˜êµ­ë ¹ ì¸ë„ì–‘ ì§€ì—­</t>
  </si>
  <si>
    <t>Brits Indische Oceaanterritorium</t>
  </si>
  <si>
    <t>Brytyjskie Terytorium Oceanu Indyjskiego</t>
  </si>
  <si>
    <t>TerritÃ³rio BritÃ¢nico do Oceano Ãndico</t>
  </si>
  <si>
    <t>Ð‘Ñ€Ð¸Ñ‚Ð°Ð½ÑÐºÐ°Ñ Ñ‚ÐµÑ€Ñ€Ð¸Ñ‚Ð¾Ñ€Ð¸Ñ Ð² Ð˜Ð½Ð´Ð¸Ð¹ÑÐºÐ¾Ð¼ Ð¾ÐºÐµÐ°Ð½Ðµ</t>
  </si>
  <si>
    <t>Brittiska territoriet i Indiska oceanen</t>
  </si>
  <si>
    <t>Britanya Hint Okyanusu TopraklarÄ±</t>
  </si>
  <si>
    <t>Ð‘Ñ€Ð¸Ñ‚Ð°Ð½ÑÑŒÐºÐ° Ñ‚ÐµÑ€Ð¸Ñ‚Ð¾Ñ€Ñ–Ñ Ð² Ð†Ð½Ð´Ñ–Ð¹ÑÑŒÐºÐ¾Ð¼Ñƒ Ð¾ÐºÐµÐ°Ð½Ñ–</t>
  </si>
  <si>
    <t>Ø¨Ø±Ø·Ø§Ù†ÙˆÛŒ Ø¨Ø­Ø±ÛÙ†Ø¯ Ú©Ø§ Ø®Ø·Û</t>
  </si>
  <si>
    <t>LÃ£nh thá»• áº¤n Äá»™ DÆ°Æ¡ng thuá»™c Anh</t>
  </si>
  <si>
    <t>è‹±å±žå°åº¦æ´‹é¢†åœ°</t>
  </si>
  <si>
    <t>è‹±å±¬å°åº¦æ´‹é ˜åœ°</t>
  </si>
  <si>
    <t>VGB</t>
  </si>
  <si>
    <t>British Virgin Is.</t>
  </si>
  <si>
    <t>V.I. (Br.)</t>
  </si>
  <si>
    <t>Q25305</t>
  </si>
  <si>
    <t>Ø¬Ø²Ø± Ø§Ù„Ø¹Ø°Ø±Ø§Ø¡ Ø§Ù„Ø¨Ø±ÙŠØ·Ø§Ù†ÙŠØ©</t>
  </si>
  <si>
    <t>à¦¬à§à¦°à¦¿à¦Ÿà¦¿à¦¶ à¦­à¦¾à¦°à§à¦œà¦¿à¦¨ à¦¦à§à¦¬à§€à¦ªà¦ªà§à¦žà§à¦œ</t>
  </si>
  <si>
    <t>Britische Jungferninseln</t>
  </si>
  <si>
    <t>Islas VÃ­rgenes BritÃ¡nicas</t>
  </si>
  <si>
    <t>Ø¬Ø²Ø§ÛŒØ± ÙˆÛŒØ±Ø¬ÛŒÙ† Ø¨Ø±ÛŒØªØ§Ù†ÛŒØ§</t>
  </si>
  <si>
    <t>Ã®les Vierges britanniques</t>
  </si>
  <si>
    <t>Î’ÏÎµÏ„Î±Î½Î¹ÎºÎ­Ï‚ Î Î±ÏÎ¸Î­Î½Î¿Î¹ ÎÎ®ÏƒÎ¿Î¹</t>
  </si>
  <si>
    <t>××™×™ ×”×‘×ª×•×œ×” ×”×‘×¨×™×˜×™×™×</t>
  </si>
  <si>
    <t>à¤¬à¥à¤°à¤¿à¤Ÿà¤¿à¤¶ à¤µà¤°à¥à¤œà¤¿à¤¨ à¤¦à¥à¤µà¥€à¤ªà¤¸à¤®à¥‚à¤¹</t>
  </si>
  <si>
    <t>Brit Virgin-szigetek</t>
  </si>
  <si>
    <t>Kepulauan Virgin Britania Raya</t>
  </si>
  <si>
    <t>Isole Vergini britanniche</t>
  </si>
  <si>
    <t>ã‚¤ã‚®ãƒªã‚¹é ˜ãƒ´ã‚¡ãƒ¼ã‚¸ãƒ³è«¸å³¶</t>
  </si>
  <si>
    <t>ì˜êµ­ë ¹ ë²„ì§„ì•„ì¼ëžœë“œ</t>
  </si>
  <si>
    <t>Britse Maagdeneilanden</t>
  </si>
  <si>
    <t>Brytyjskie Wyspy Dziewicze</t>
  </si>
  <si>
    <t>Ilhas Virgens BritÃ¢nicas</t>
  </si>
  <si>
    <t>Ð‘Ñ€Ð¸Ñ‚Ð°Ð½ÑÐºÐ¸Ðµ Ð’Ð¸Ñ€Ð³Ð¸Ð½ÑÐºÐ¸Ðµ Ð¾ÑÑ‚Ñ€Ð¾Ð²Ð°</t>
  </si>
  <si>
    <t>Brittiska JungfruÃ¶arna</t>
  </si>
  <si>
    <t>Britanya Virjin AdalarÄ±</t>
  </si>
  <si>
    <t>Ð‘Ñ€Ð¸Ñ‚Ð°Ð½ÑÑŒÐºÑ– Ð’Ñ–Ñ€Ð³Ñ–Ð½ÑÑŒÐºÑ– Ð¾ÑÑ‚Ñ€Ð¾Ð²Ð¸</t>
  </si>
  <si>
    <t>Ø¨Ø±Ø·Ø§Ù†ÙˆÛŒ Ø¬Ø²Ø§Ø¦Ø± ÙˆØ±Ø¬Ù†</t>
  </si>
  <si>
    <t>Quáº§n Ä‘áº£o Virgin thuá»™c Anh</t>
  </si>
  <si>
    <t>è‹±å±žç»´å°”äº¬ç¾¤å²›</t>
  </si>
  <si>
    <t>è‹±å±¬ç¶­äº¬ç¾¤å³¶</t>
  </si>
  <si>
    <t>CYP</t>
  </si>
  <si>
    <t>Cyp.</t>
  </si>
  <si>
    <t>Republic of Cyprus</t>
  </si>
  <si>
    <t>WOE lists as subunit of united Cyprus</t>
  </si>
  <si>
    <t>Q229</t>
  </si>
  <si>
    <t>Ù‚Ø¨Ø±Øµ</t>
  </si>
  <si>
    <t>à¦¸à¦¾à¦‡à¦ªà§à¦°à¦¾à¦¸</t>
  </si>
  <si>
    <t>Republik Zypern</t>
  </si>
  <si>
    <t>Chipre</t>
  </si>
  <si>
    <t>Ù‚Ø¨Ø±Ø³</t>
  </si>
  <si>
    <t>Chypre</t>
  </si>
  <si>
    <t>ÎšÏÏ€ÏÎ¿Ï‚</t>
  </si>
  <si>
    <t>×§×¤×¨×™×¡×™×Ÿ</t>
  </si>
  <si>
    <t>à¤¸à¤¾à¤‡à¤ªà¥à¤°à¤¸</t>
  </si>
  <si>
    <t>Ciprus</t>
  </si>
  <si>
    <t>Siprus</t>
  </si>
  <si>
    <t>Cipro</t>
  </si>
  <si>
    <t>ã‚­ãƒ—ãƒ­ã‚¹</t>
  </si>
  <si>
    <t>í‚¤í”„ë¡œìŠ¤</t>
  </si>
  <si>
    <t>Cypr</t>
  </si>
  <si>
    <t>ÐšÐ¸Ð¿Ñ€</t>
  </si>
  <si>
    <t>Cypern</t>
  </si>
  <si>
    <t>KÄ±brÄ±s Cumhuriyeti</t>
  </si>
  <si>
    <t>ÐšÑ–Ð¿Ñ€</t>
  </si>
  <si>
    <t>Cá»™ng hÃ²a SÃ­p</t>
  </si>
  <si>
    <t>å¡žæµ¦è·¯æ–¯</t>
  </si>
  <si>
    <t>è³½æ™®å‹’æ–¯</t>
  </si>
  <si>
    <t>Cyprus No Mans Area</t>
  </si>
  <si>
    <t>CNM</t>
  </si>
  <si>
    <t>Cyprus U.N. Buffer Zone</t>
  </si>
  <si>
    <t>B43</t>
  </si>
  <si>
    <t>Cyprus No Mans Land</t>
  </si>
  <si>
    <t>Q116970</t>
  </si>
  <si>
    <t>Ù…Ù‚Ø§Ø·Ø¹Ø© Ø§Ù„Ø£Ù…Ù… Ø§Ù„Ù…ØªØ­Ø¯Ø© Ø§Ù„Ø¹Ø§Ø²Ù„Ø© ÙÙŠ Ù‚Ø¨Ø±Øµ</t>
  </si>
  <si>
    <t>à¦¸à¦¾à¦‡à¦ªà§à¦°à¦¾à¦¸ à¦œà¦¾à¦¤à¦¿à¦¸à¦‚à¦˜ à¦¬à¦¾à¦«à¦¾à¦° à¦œà§‹à¦¨</t>
  </si>
  <si>
    <t>UN-Pufferzone in Zypern</t>
  </si>
  <si>
    <t>United Nations Buffer Zone in Cyprus</t>
  </si>
  <si>
    <t>LÃ­nea Verde</t>
  </si>
  <si>
    <t>Ø®Ø· Ø¢ØªÛŒÙ„Ø§</t>
  </si>
  <si>
    <t>Zone tampon des Nations unies Ã  Chypre</t>
  </si>
  <si>
    <t>Î ÏÎ¬ÏƒÎ¹Î½Î· Î“ÏÎ±Î¼Î¼Î®</t>
  </si>
  <si>
    <t>×”×§×• ×”×™×¨×•×§</t>
  </si>
  <si>
    <t>à¤¸à¤‚à¤¯à¥à¤•à¥à¤¤ à¤°à¤¾à¤·à¥à¤Ÿà¥à¤° à¤¬à¤«à¤° à¤•à¥à¤·à¥‡à¤¤à¥à¤°</t>
  </si>
  <si>
    <t>ZÃ¶ld vonal</t>
  </si>
  <si>
    <t>United Nations Buffer Zone di Cyprus</t>
  </si>
  <si>
    <t>Linea Verde</t>
  </si>
  <si>
    <t>ã‚°ãƒªãƒ¼ãƒ³ãƒ©ã‚¤ãƒ³</t>
  </si>
  <si>
    <t>ìœ ì—” í‚¤í”„ë¡œìŠ¤ ì™„ì¶© ì§€ëŒ€</t>
  </si>
  <si>
    <t>VN-Bufferzone</t>
  </si>
  <si>
    <t>Zielona linia</t>
  </si>
  <si>
    <t>Linha Verde</t>
  </si>
  <si>
    <t>Ð—ÐµÐ»Ñ‘Ð½Ð°Ñ Ð»Ð¸Ð½Ð¸Ñ</t>
  </si>
  <si>
    <t>FN:s buffertzon pÃ¥ Cypern</t>
  </si>
  <si>
    <t>YeÅŸil Hat</t>
  </si>
  <si>
    <t>Ð‘ÑƒÑ„ÐµÑ€Ð½Ð° Ð·Ð¾Ð½Ð° ÐžÐžÐ Ð½Ð° ÐšÑ–Ð¿Ñ€Ñ–</t>
  </si>
  <si>
    <t>Ù‚Ø¨Ø±ØµØŒ Ø¨ÙØ± Ø²ÙˆÙ† Ø§Ù‚ÙˆØ§Ù… Ù…ØªØ­Ø¯Û</t>
  </si>
  <si>
    <t>VÃ¹ng Ä‘á»‡m LiÃªn Hiá»‡p Quá»‘c á»Ÿ Cá»™ng hÃ²a SÃ­p</t>
  </si>
  <si>
    <t>å¡žæµ¦è·¯æ–¯è”åˆå›½ç¼“å†²åŒº</t>
  </si>
  <si>
    <t>è³½æ™®å‹’æ–¯è¯åˆåœ‹ç·©è¡å€</t>
  </si>
  <si>
    <t>CZE</t>
  </si>
  <si>
    <t>Cz.</t>
  </si>
  <si>
    <t>la RÃ©publique tchÃ¨que</t>
  </si>
  <si>
    <t>ÄŒesko</t>
  </si>
  <si>
    <t>EZ</t>
  </si>
  <si>
    <t>Q213</t>
  </si>
  <si>
    <t>Ø§Ù„ØªØ´ÙŠÙƒ</t>
  </si>
  <si>
    <t>à¦šà§‡à¦• à¦ªà§à¦°à¦œà¦¾à¦¤à¦¨à§à¦¤à§à¦°</t>
  </si>
  <si>
    <t>Tschechien</t>
  </si>
  <si>
    <t>RepÃºblica Checa</t>
  </si>
  <si>
    <t>Ø¬Ù…Ù‡ÙˆØ±ÛŒ Ú†Ú©</t>
  </si>
  <si>
    <t>TchÃ©quie</t>
  </si>
  <si>
    <t>Î¤ÏƒÎµÏ‡Î¯Î±</t>
  </si>
  <si>
    <t>×¦'×›×™×”</t>
  </si>
  <si>
    <t>à¤šà¥‡à¤• à¤—à¤£à¤°à¤¾à¤œà¥à¤¯</t>
  </si>
  <si>
    <t>CsehorszÃ¡g</t>
  </si>
  <si>
    <t>Republik Ceko</t>
  </si>
  <si>
    <t>Repubblica Ceca</t>
  </si>
  <si>
    <t>ãƒã‚§ã‚³</t>
  </si>
  <si>
    <t>ì²´ì½”</t>
  </si>
  <si>
    <t>TsjechiÃ«</t>
  </si>
  <si>
    <t>Czechy</t>
  </si>
  <si>
    <t>ChÃ©quia</t>
  </si>
  <si>
    <t>Ð§ÐµÑ…Ð¸Ñ</t>
  </si>
  <si>
    <t>Tjeckien</t>
  </si>
  <si>
    <t>Ã‡ek Cumhuriyeti</t>
  </si>
  <si>
    <t>Ð§ÐµÑ…Ñ–Ñ</t>
  </si>
  <si>
    <t>Ú†ÛŒÚ© Ø¬Ù…ÛÙˆØ±ÛŒÛ</t>
  </si>
  <si>
    <t>Cá»™ng hÃ²a SÃ©c</t>
  </si>
  <si>
    <t>æ·å…‹</t>
  </si>
  <si>
    <t>æ·å…‹å…±å’Œåœ‹</t>
  </si>
  <si>
    <t>Democratic Republic of the Congo</t>
  </si>
  <si>
    <t>COD</t>
  </si>
  <si>
    <t>D.R.C.</t>
  </si>
  <si>
    <t>DRC</t>
  </si>
  <si>
    <t>Congo, Democratic Republic of the</t>
  </si>
  <si>
    <t>Congo, Dem. Rep.</t>
  </si>
  <si>
    <t>ZR</t>
  </si>
  <si>
    <t>ZAR</t>
  </si>
  <si>
    <t>Q974</t>
  </si>
  <si>
    <t>Ø¬Ù…Ù‡ÙˆØ±ÙŠØ© Ø§Ù„ÙƒÙˆÙ†ØºÙˆ Ø§Ù„Ø¯ÙŠÙ…Ù‚Ø±Ø§Ø·ÙŠØ©</t>
  </si>
  <si>
    <t>à¦—à¦£à¦¤à¦¾à¦¨à§à¦¤à§à¦°à¦¿à¦• à¦•à¦™à§à¦—à§‹ à¦ªà§à¦°à¦œà¦¾à¦¤à¦¨à§à¦¤à§à¦°</t>
  </si>
  <si>
    <t>Demokratische Republik Kongo</t>
  </si>
  <si>
    <t>RepÃºblica DemocrÃ¡tica del Congo</t>
  </si>
  <si>
    <t>Ø¬Ù…Ù‡ÙˆØ±ÛŒ Ø¯Ù…ÙˆÚ©Ø±Ø§ØªÛŒÚ© Ú©Ù†Ú¯Ùˆ</t>
  </si>
  <si>
    <t>RÃ©publique dÃ©mocratique du Congo</t>
  </si>
  <si>
    <t>Î›Î±ÏŠÎºÎ® Î”Î·Î¼Î¿ÎºÏÎ±Ï„Î¯Î± Ï„Î¿Ï… ÎšÎ¿Î½Î³ÎºÏŒ</t>
  </si>
  <si>
    <t>×”×¨×¤×•×‘×œ×™×§×” ×”×“×ž×•×§×¨×˜×™×ª ×©×œ ×§×•× ×’×•</t>
  </si>
  <si>
    <t>à¤•à¤¾à¤‚à¤—à¥‹ à¤²à¥‹à¤•à¤¤à¤¾à¤¨à¥à¤¤à¥à¤°à¤¿à¤• à¤—à¤£à¤°à¤¾à¤œà¥à¤¯</t>
  </si>
  <si>
    <t>KongÃ³i Demokratikus KÃ¶ztÃ¡rsasÃ¡g</t>
  </si>
  <si>
    <t>Republik Demokratik Kongo</t>
  </si>
  <si>
    <t>Repubblica Democratica del Congo</t>
  </si>
  <si>
    <t>ã‚³ãƒ³ã‚´æ°‘ä¸»å…±å’Œå›½</t>
  </si>
  <si>
    <t>ì½©ê³  ë¯¼ì£¼ ê³µí™”êµ­</t>
  </si>
  <si>
    <t>Congo-Kinshasa</t>
  </si>
  <si>
    <t>Demokratyczna Republika Konga</t>
  </si>
  <si>
    <t>RepÃºblica DemocrÃ¡tica do Congo</t>
  </si>
  <si>
    <t>Ð”ÐµÐ¼Ð¾ÐºÑ€Ð°Ñ‚Ð¸Ñ‡ÐµÑÐºÐ°Ñ Ð ÐµÑÐ¿ÑƒÐ±Ð»Ð¸ÐºÐ° ÐšÐ¾Ð½Ð³Ð¾</t>
  </si>
  <si>
    <t>Kongo-Kinshasa</t>
  </si>
  <si>
    <t>Demokratik Kongo Cumhuriyeti</t>
  </si>
  <si>
    <t>Ð”ÐµÐ¼Ð¾ÐºÑ€Ð°Ñ‚Ð¸Ñ‡Ð½Ð° Ð ÐµÑÐ¿ÑƒÐ±Ð»Ñ–ÐºÐ° ÐšÐ¾Ð½Ð³Ð¾</t>
  </si>
  <si>
    <t>Ø¬Ù…ÛÙˆØ±ÛŒ Ø¬Ù…ÛÙˆØ±ÛŒÛ Ú©Ø§Ù†Ú¯Ùˆ</t>
  </si>
  <si>
    <t>Cá»™ng hÃ²a DÃ¢n chá»§ Congo</t>
  </si>
  <si>
    <t>åˆšæžœæ°‘ä¸»å…±å’Œå›½</t>
  </si>
  <si>
    <t>å‰›æžœæ°‘ä¸»å…±å’Œåœ‹</t>
  </si>
  <si>
    <t>CYM</t>
  </si>
  <si>
    <t>Cym. Is.</t>
  </si>
  <si>
    <t>CJ</t>
  </si>
  <si>
    <t>Q5785</t>
  </si>
  <si>
    <t>Ø¬Ø²Ø± ÙƒØ§ÙŠÙ…Ø§Ù†</t>
  </si>
  <si>
    <t>à¦•à§‡à¦‡à¦®à§à¦¯à¦¾à¦¨ à¦¦à§à¦¬à§€à¦ªà¦ªà§à¦žà§à¦œ</t>
  </si>
  <si>
    <t>Islas CaimÃ¡n</t>
  </si>
  <si>
    <t>Ø¬Ø²Ø§ÛŒØ± Ú©ÛŒÙ…Ù†</t>
  </si>
  <si>
    <t>Ã®les CaÃ¯mans</t>
  </si>
  <si>
    <t>ÎÎ·ÏƒÎ¹Î¬ ÎšÎ±Ï‹Î¼Î¬Î½</t>
  </si>
  <si>
    <t>××™×™ ×§×™×™×ž×Ÿ</t>
  </si>
  <si>
    <t>à¤•à¥‡à¤®à¤¨ à¤¦à¥à¤µà¥€à¤ªà¤¸à¤®à¥‚à¤¹</t>
  </si>
  <si>
    <t>KajmÃ¡n-szigetek</t>
  </si>
  <si>
    <t>Kepulauan Cayman</t>
  </si>
  <si>
    <t>Isole Cayman</t>
  </si>
  <si>
    <t>ã‚±ã‚¤ãƒžãƒ³è«¸å³¶</t>
  </si>
  <si>
    <t>ì¼€ì´ë§¨ ì œë„</t>
  </si>
  <si>
    <t>Kaaimaneilanden</t>
  </si>
  <si>
    <t>Kajmany</t>
  </si>
  <si>
    <t>Ilhas CaimÃ£o</t>
  </si>
  <si>
    <t>Ð¾ÑÑ‚Ñ€Ð¾Ð²Ð° ÐšÐ°Ð¹Ð¼Ð°Ð½</t>
  </si>
  <si>
    <t>CaymanÃ¶arna</t>
  </si>
  <si>
    <t>Cayman AdalarÄ±</t>
  </si>
  <si>
    <t>ÐšÐ°Ð¹Ð¼Ð°Ð½Ð¾Ð²Ñ– Ð¾ÑÑ‚Ñ€Ð¾Ð²Ð¸</t>
  </si>
  <si>
    <t>Ø¬Ø²Ø§Ø¦Ø± Ú©ÛŒÙ…ÛŒÙ†</t>
  </si>
  <si>
    <t>Quáº§n Ä‘áº£o Cayman</t>
  </si>
  <si>
    <t>å¼€æ›¼ç¾¤å²›</t>
  </si>
  <si>
    <t>é–‹æ›¼ç¾¤å³¶</t>
  </si>
  <si>
    <t>CH1</t>
  </si>
  <si>
    <t>CHN</t>
  </si>
  <si>
    <t>People's Republic of China</t>
  </si>
  <si>
    <t>TWN</t>
  </si>
  <si>
    <t>Eastern Asia</t>
  </si>
  <si>
    <t>Q148</t>
  </si>
  <si>
    <t>Ø§Ù„ØµÙŠÙ†</t>
  </si>
  <si>
    <t>à¦—à¦£à¦šà§€à¦¨</t>
  </si>
  <si>
    <t>Volksrepublik China</t>
  </si>
  <si>
    <t>Ø¬Ù…Ù‡ÙˆØ±ÛŒ Ø®Ù„Ù‚ Ú†ÛŒÙ†</t>
  </si>
  <si>
    <t>RÃ©publique populaire de Chine</t>
  </si>
  <si>
    <t>Î›Î±ÏŠÎºÎ® Î”Î·Î¼Î¿ÎºÏÎ±Ï„Î¯Î± Ï„Î·Ï‚ ÎšÎ¯Î½Î±Ï‚</t>
  </si>
  <si>
    <t>×”×¨×¤×•×‘×œ×™×§×” ×”×¢×ž×ž×™×ª ×©×œ ×¡×™×Ÿ</t>
  </si>
  <si>
    <t>à¤šà¥€à¤¨à¥€ à¤œà¤¨à¤µà¤¾à¤¦à¥€ à¤—à¤£à¤°à¤¾à¤œà¥à¤¯</t>
  </si>
  <si>
    <t>KÃ­na</t>
  </si>
  <si>
    <t>Republik Rakyat Tiongkok</t>
  </si>
  <si>
    <t>Cina</t>
  </si>
  <si>
    <t>ä¸­è¯äººæ°‘å…±å’Œå›½</t>
  </si>
  <si>
    <t>ì¤‘í™”ì¸ë¯¼ê³µí™”êµ­</t>
  </si>
  <si>
    <t>Volksrepubliek China</t>
  </si>
  <si>
    <t>ChiÅ„ska Republika Ludowa</t>
  </si>
  <si>
    <t>ÐšÐ¸Ñ‚Ð°Ð¹ÑÐºÐ°Ñ ÐÐ°Ñ€Ð¾Ð´Ð½Ð°Ñ Ð ÐµÑÐ¿ÑƒÐ±Ð»Ð¸ÐºÐ°</t>
  </si>
  <si>
    <t>Kina</t>
  </si>
  <si>
    <t>Ã‡in Halk Cumhuriyeti</t>
  </si>
  <si>
    <t>ÐšÐ¸Ñ‚Ð°Ð¹ÑÑŒÐºÐ° ÐÐ°Ñ€Ð¾Ð´Ð½Ð° Ð ÐµÑÐ¿ÑƒÐ±Ð»Ñ–ÐºÐ°</t>
  </si>
  <si>
    <t>Ø¹ÙˆØ§Ù…ÛŒ Ø¬Ù…ÛÙˆØ±ÛŒÛ Ú†ÛŒÙ†</t>
  </si>
  <si>
    <t>Trung Quá»‘c</t>
  </si>
  <si>
    <t>ä¸­åŽäººæ°‘å…±å’Œå›½</t>
  </si>
  <si>
    <t>ä¸­è¯äººæ°‘å…±å’Œåœ‹</t>
  </si>
  <si>
    <t>FR1</t>
  </si>
  <si>
    <t>Clipperton Island</t>
  </si>
  <si>
    <t>CLP</t>
  </si>
  <si>
    <t>Clipperton I.</t>
  </si>
  <si>
    <t>Clp. I.</t>
  </si>
  <si>
    <t>Fr.</t>
  </si>
  <si>
    <t>IP</t>
  </si>
  <si>
    <t>FRA</t>
  </si>
  <si>
    <t>WOE Admin-1 states provinces (territory) match.</t>
  </si>
  <si>
    <t>Q161258</t>
  </si>
  <si>
    <t>Ø¬Ø²ÙŠØ±Ø© ÙƒÙ„ÙŠØ¨Ø±ØªÙˆÙ†</t>
  </si>
  <si>
    <t>à¦•à§à¦²à¦¿à¦ªà¦¾à¦°à¦Ÿà¦¨ à¦¦à§à¦¬à§€à¦ªà¦ªà§à¦žà§à¦œ</t>
  </si>
  <si>
    <t>Clipperton-Insel</t>
  </si>
  <si>
    <t>Isla Clipperton</t>
  </si>
  <si>
    <t>Ø¬Ø²ÛŒØ±Ù‡ Ú©Ù„ÛŒÙ¾Ø±ØªÙˆÙ†</t>
  </si>
  <si>
    <t>Ã®le Clipperton</t>
  </si>
  <si>
    <t>ÎÎ®ÏƒÎ¿Ï‚ ÎšÎ»Î¯Ï€ÎµÏÏ„Î¿Î½</t>
  </si>
  <si>
    <t>×§×œ×™×¤×¨×˜×•×Ÿ</t>
  </si>
  <si>
    <t>à¤•à¥à¤²à¤¿à¤ªà¤°à¤Ÿà¤¨ à¤¦à¥à¤µà¥€à¤ª</t>
  </si>
  <si>
    <t>Clipperton-sziget</t>
  </si>
  <si>
    <t>Pulau Clipperton</t>
  </si>
  <si>
    <t>ã‚¯ãƒªãƒƒãƒ‘ãƒ¼ãƒˆãƒ³å³¶</t>
  </si>
  <si>
    <t>í´ë¦¬í¼í„´ì„¬</t>
  </si>
  <si>
    <t>Wyspa Clippertona</t>
  </si>
  <si>
    <t>Ilha de Clipperton</t>
  </si>
  <si>
    <t>ÐšÐ»Ð¸Ð¿Ð¿ÐµÑ€Ñ‚Ð¾Ð½</t>
  </si>
  <si>
    <t>ClippertonÃ¶n</t>
  </si>
  <si>
    <t>Clipperton AdasÄ±</t>
  </si>
  <si>
    <t>ÐšÐ»Ñ–Ð¿Ð¿ÐµÑ€Ñ‚Ð¾Ð½</t>
  </si>
  <si>
    <t>Ø¬Ø²ÛŒØ±Û Ú©Ù„Ù¾Ø±Ù¹Ù†</t>
  </si>
  <si>
    <t>å…‹åˆ©ç€é¡¿å²›</t>
  </si>
  <si>
    <t>å…‹åˆ©ç€é “å³¶</t>
  </si>
  <si>
    <t>DJI</t>
  </si>
  <si>
    <t>Dji.</t>
  </si>
  <si>
    <t>Republic of Djibouti</t>
  </si>
  <si>
    <t>Q977</t>
  </si>
  <si>
    <t>Ø¬ÙŠØ¨ÙˆØªÙŠ</t>
  </si>
  <si>
    <t>à¦œà¦¿à¦¬à§à¦¤à¦¿</t>
  </si>
  <si>
    <t>Dschibuti</t>
  </si>
  <si>
    <t>Yibuti</t>
  </si>
  <si>
    <t>Ø¬ÛŒØ¨ÙˆØªÛŒ</t>
  </si>
  <si>
    <t>Î¤Î¶Î¹Î¼Ï€Î¿Ï…Ï„Î¯</t>
  </si>
  <si>
    <t>×’'×™×‘×•×˜×™</t>
  </si>
  <si>
    <t>à¤œà¤¿à¤¬à¥‚à¤¤à¥€</t>
  </si>
  <si>
    <t>Dzsibuti</t>
  </si>
  <si>
    <t>Gibuti</t>
  </si>
  <si>
    <t>ã‚¸ãƒ–ãƒ</t>
  </si>
  <si>
    <t>ì§€ë¶€í‹°</t>
  </si>
  <si>
    <t>DÅ¼ibuti</t>
  </si>
  <si>
    <t>Ð”Ð¶Ð¸Ð±ÑƒÑ‚Ð¸</t>
  </si>
  <si>
    <t>Cibuti</t>
  </si>
  <si>
    <t>Ð”Ð¶Ð¸Ð±ÑƒÑ‚Ñ–</t>
  </si>
  <si>
    <t>Ø¬Ø¨ÙˆØªÛŒ</t>
  </si>
  <si>
    <t>å‰å¸ƒæ</t>
  </si>
  <si>
    <t>å‰å¸ƒåœ°</t>
  </si>
  <si>
    <t>DMA</t>
  </si>
  <si>
    <t>D'inca</t>
  </si>
  <si>
    <t>Commonwealth of Dominica</t>
  </si>
  <si>
    <t>Q784</t>
  </si>
  <si>
    <t>Ø¯ÙˆÙ…ÙŠÙ†ÙŠÙƒØ§</t>
  </si>
  <si>
    <t>à¦¡à§‹à¦®à¦¿à¦¨à¦¿à¦•à¦¾</t>
  </si>
  <si>
    <t>Ø¯ÙˆÙ…ÛŒÙ†ÛŒÚ©Ø§</t>
  </si>
  <si>
    <t>Dominique</t>
  </si>
  <si>
    <t>Î”Î¿Î¼Î¹Î½Î¯ÎºÎ±</t>
  </si>
  <si>
    <t>×“×•×ž×™× ×™×§×”</t>
  </si>
  <si>
    <t>à¤¡à¥‹à¤®à¤¿à¤¨à¤¿à¤•à¤¾</t>
  </si>
  <si>
    <t>Dominikai KÃ¶zÃ¶ssÃ©g</t>
  </si>
  <si>
    <t>Dominika</t>
  </si>
  <si>
    <t>ãƒ‰ãƒŸãƒ‹ã‚«å›½</t>
  </si>
  <si>
    <t>ë„ë¯¸ë‹ˆì¹´ ì—°ë°©</t>
  </si>
  <si>
    <t>Ð”Ð¾Ð¼Ð¸Ð½Ð¸ÐºÐ°</t>
  </si>
  <si>
    <t>Ð”Ð¾Ð¼Ñ–Ð½Ñ–ÐºÐ°</t>
  </si>
  <si>
    <t>ÚˆÙˆÙ…ÛŒÙ†ÛŒÚ©Ø§</t>
  </si>
  <si>
    <t>å¤šç±³å°¼å…‹</t>
  </si>
  <si>
    <t>DOM</t>
  </si>
  <si>
    <t>Dominican Rep.</t>
  </si>
  <si>
    <t>Dom. Rep.</t>
  </si>
  <si>
    <t>DR</t>
  </si>
  <si>
    <t>Q786</t>
  </si>
  <si>
    <t>Ø¬Ù…Ù‡ÙˆØ±ÙŠØ© Ø§Ù„Ø¯ÙˆÙ…ÙŠÙ†ÙŠÙƒØ§Ù†</t>
  </si>
  <si>
    <t>à¦¡à§‹à¦®à¦¿à¦¨à¦¿à¦•à¦¾à¦¨ à¦ªà§à¦°à¦œà¦¾à¦¤à¦¨à§à¦¤à§à¦°</t>
  </si>
  <si>
    <t>Dominikanische Republik</t>
  </si>
  <si>
    <t>RepÃºblica Dominicana</t>
  </si>
  <si>
    <t>Ø¬Ù…Ù‡ÙˆØ±ÛŒ Ø¯ÙˆÙ…ÛŒÙ†ÛŒÚ©Ù†</t>
  </si>
  <si>
    <t>RÃ©publique dominicaine</t>
  </si>
  <si>
    <t>Î”Î¿Î¼Î¹Î½Î¹ÎºÎ±Î½Î® Î”Î·Î¼Î¿ÎºÏÎ±Ï„Î¯Î±</t>
  </si>
  <si>
    <t>×”×¨×¤×•×‘×œ×™×§×” ×”×“×•×ž×™× ×™×§× ×™×ª</t>
  </si>
  <si>
    <t>à¤¡à¥‹à¤®à¤¿à¤¨à¤¿à¤•à¤¨ à¤—à¤£à¤°à¤¾à¤œà¥à¤¯</t>
  </si>
  <si>
    <t>Dominikai KÃ¶ztÃ¡rsasÃ¡g</t>
  </si>
  <si>
    <t>Republik Dominika</t>
  </si>
  <si>
    <t>Repubblica Dominicana</t>
  </si>
  <si>
    <t>ãƒ‰ãƒŸãƒ‹ã‚«å…±å’Œå›½</t>
  </si>
  <si>
    <t>ë„ë¯¸ë‹ˆì¹´ ê³µí™”êµ­</t>
  </si>
  <si>
    <t>Dominicaanse Republiek</t>
  </si>
  <si>
    <t>Dominikana</t>
  </si>
  <si>
    <t>Ð”Ð¾Ð¼Ð¸Ð½Ð¸ÐºÐ°Ð½ÑÐºÐ°Ñ Ð ÐµÑÐ¿ÑƒÐ±Ð»Ð¸ÐºÐ°</t>
  </si>
  <si>
    <t>Dominikanska republiken</t>
  </si>
  <si>
    <t>Dominik Cumhuriyeti</t>
  </si>
  <si>
    <t>Ð”Ð¾Ð¼Ñ–Ð½Ñ–ÐºÐ°Ð½ÑÑŒÐºÐ° Ð ÐµÑÐ¿ÑƒÐ±Ð»Ñ–ÐºÐ°</t>
  </si>
  <si>
    <t>Ø¬Ù…ÛÙˆØ±ÛŒÛ ÚˆÙˆÙ…ÛŒÙ†ÛŒÚ©Ù†</t>
  </si>
  <si>
    <t>Cá»™ng hÃ²a Dominica</t>
  </si>
  <si>
    <t>å¤šç±³å°¼åŠ </t>
  </si>
  <si>
    <t>å¤šæ˜Žå°¼åŠ </t>
  </si>
  <si>
    <t>East Timor</t>
  </si>
  <si>
    <t>TLS</t>
  </si>
  <si>
    <t>T.L.</t>
  </si>
  <si>
    <t>Democratic Republic of Timor-Leste</t>
  </si>
  <si>
    <t>TP</t>
  </si>
  <si>
    <t>TMP</t>
  </si>
  <si>
    <t>Q574</t>
  </si>
  <si>
    <t>ØªÙŠÙ…ÙˆØ± Ø§Ù„Ø´Ø±Ù‚ÙŠØ©</t>
  </si>
  <si>
    <t>à¦ªà§‚à¦°à§à¦¬ à¦¤à¦¿à¦®à§à¦°</t>
  </si>
  <si>
    <t>Osttimor</t>
  </si>
  <si>
    <t>Timor Oriental</t>
  </si>
  <si>
    <t>ØªÛŒÙ…ÙˆØ± Ø´Ø±Ù‚ÛŒ</t>
  </si>
  <si>
    <t>Timor oriental</t>
  </si>
  <si>
    <t>Î‘Î½Î±Ï„Î¿Î»Î¹ÎºÏŒ Î¤Î¹Î¼ÏŒÏ</t>
  </si>
  <si>
    <t>×ž×–×¨×— ×˜×™×ž×•×¨</t>
  </si>
  <si>
    <t>à¤ªà¥‚à¤°à¥à¤µà¥€ à¤¤à¤¿à¤®à¥‹à¤°</t>
  </si>
  <si>
    <t>Kelet-Timor</t>
  </si>
  <si>
    <t>Timor Leste</t>
  </si>
  <si>
    <t>Timor Est</t>
  </si>
  <si>
    <t>æ±ãƒ†ã‚£ãƒ¢ãƒ¼ãƒ«</t>
  </si>
  <si>
    <t>ë™í‹°ëª¨ë¥´</t>
  </si>
  <si>
    <t>Oost-Timor</t>
  </si>
  <si>
    <t>Timor Wschodni</t>
  </si>
  <si>
    <t>Ð’Ð¾ÑÑ‚Ð¾Ñ‡Ð½Ñ‹Ð¹ Ð¢Ð¸Ð¼Ð¾Ñ€</t>
  </si>
  <si>
    <t>Ã–sttimor</t>
  </si>
  <si>
    <t>DoÄŸu Timor</t>
  </si>
  <si>
    <t>Ð¡Ñ…Ñ–Ð´Ð½Ð¸Ð¹ Ð¢Ð¸Ð¼Ð¾Ñ€</t>
  </si>
  <si>
    <t>Ù…Ø´Ø±Ù‚ÛŒ ØªÛŒÙ…ÙˆØ±</t>
  </si>
  <si>
    <t>ÄÃ´ng Timor</t>
  </si>
  <si>
    <t>ä¸œå¸æ±¶</t>
  </si>
  <si>
    <t>æ±å¸æ±¶</t>
  </si>
  <si>
    <t>ECU</t>
  </si>
  <si>
    <t>Ecu.</t>
  </si>
  <si>
    <t>Republic of Ecuador</t>
  </si>
  <si>
    <t>Q736</t>
  </si>
  <si>
    <t>Ø§Ù„Ø¥ÙƒÙˆØ§Ø¯ÙˆØ±</t>
  </si>
  <si>
    <t>à¦‡à¦•à§à¦¯à¦¼à§‡à¦¡à¦°</t>
  </si>
  <si>
    <t>Ø§Ú©ÙˆØ§Ø¯ÙˆØ±</t>
  </si>
  <si>
    <t>Ã‰quateur</t>
  </si>
  <si>
    <t>Î•ÎºÎ¿Ï…Î±Î´ÏŒÏ</t>
  </si>
  <si>
    <t>××§×•×•×“×•×¨</t>
  </si>
  <si>
    <t>à¤ˆà¤•à¥à¤µà¤¾à¤¡à¥‹à¤°</t>
  </si>
  <si>
    <t>Ekuador</t>
  </si>
  <si>
    <t>ã‚¨ã‚¯ã‚¢ãƒ‰ãƒ«</t>
  </si>
  <si>
    <t>ì—ì½°ë„ë¥´</t>
  </si>
  <si>
    <t>Ekwador</t>
  </si>
  <si>
    <t>Equador</t>
  </si>
  <si>
    <t>Ð­ÐºÐ²Ð°Ð´Ð¾Ñ€</t>
  </si>
  <si>
    <t>Ekvador</t>
  </si>
  <si>
    <t>Ð•ÐºÐ²Ð°Ð´Ð¾Ñ€</t>
  </si>
  <si>
    <t>Ø§ÛŒÚ©ÙˆØ§ÚˆÙˆØ±</t>
  </si>
  <si>
    <t>åŽ„ç“œå¤šå°”</t>
  </si>
  <si>
    <t>åŽ„ç“œå¤šçˆ¾</t>
  </si>
  <si>
    <t>EGY</t>
  </si>
  <si>
    <t>Arab Republic of Egypt</t>
  </si>
  <si>
    <t>Egypt, Arab Rep.</t>
  </si>
  <si>
    <t>Q79</t>
  </si>
  <si>
    <t>Ù…ØµØ±</t>
  </si>
  <si>
    <t>à¦®à¦¿à¦¶à¦°</t>
  </si>
  <si>
    <t>Ã„gypten</t>
  </si>
  <si>
    <t>Egipto</t>
  </si>
  <si>
    <t>Ã‰gypte</t>
  </si>
  <si>
    <t>Î‘Î¯Î³Ï…Ï€Ï„Î¿Ï‚</t>
  </si>
  <si>
    <t>×ž×¦×¨×™×</t>
  </si>
  <si>
    <t>à¤®à¤¿à¤¸à¥à¤°</t>
  </si>
  <si>
    <t>Egyiptom</t>
  </si>
  <si>
    <t>Mesir</t>
  </si>
  <si>
    <t>Egitto</t>
  </si>
  <si>
    <t>ã‚¨ã‚¸ãƒ—ãƒˆ</t>
  </si>
  <si>
    <t>ì´ì§‘íŠ¸</t>
  </si>
  <si>
    <t>Egypte</t>
  </si>
  <si>
    <t>Egipt</t>
  </si>
  <si>
    <t>Egito</t>
  </si>
  <si>
    <t>Ð•Ð³Ð¸Ð¿ÐµÑ‚</t>
  </si>
  <si>
    <t>Egypten</t>
  </si>
  <si>
    <t>MÄ±sÄ±r</t>
  </si>
  <si>
    <t>Ð„Ð³Ð¸Ð¿ÐµÑ‚</t>
  </si>
  <si>
    <t>Ai Cáº­p</t>
  </si>
  <si>
    <t>åŸƒåŠ</t>
  </si>
  <si>
    <t>SLV</t>
  </si>
  <si>
    <t>El. S.</t>
  </si>
  <si>
    <t>Republic of El Salvador</t>
  </si>
  <si>
    <t>Q792</t>
  </si>
  <si>
    <t>Ø§Ù„Ø³Ù„ÙØ§Ø¯ÙˆØ±</t>
  </si>
  <si>
    <t>à¦à¦² à¦¸à¦¾à¦²à¦­à¦¾à¦¦à§‹à¦°</t>
  </si>
  <si>
    <t>Ø§Ù„Ø³Ø§Ù„ÙˆØ§Ø¯ÙˆØ±</t>
  </si>
  <si>
    <t>Salvador</t>
  </si>
  <si>
    <t>Î•Î» Î£Î±Î»Î²Î±Î´ÏŒÏ</t>
  </si>
  <si>
    <t>××œ ×¡×œ×•×•×“×•×¨</t>
  </si>
  <si>
    <t>à¤…à¤² à¤¸à¤¾à¤²à¥à¤µà¤¾à¤¡à¥‹à¤°</t>
  </si>
  <si>
    <t>ã‚¨ãƒ«ã‚µãƒ«ãƒãƒ‰ãƒ«</t>
  </si>
  <si>
    <t>ì—˜ì‚´ë°”ë„ë¥´</t>
  </si>
  <si>
    <t>Salwador</t>
  </si>
  <si>
    <t>Ð¡Ð°Ð»ÑŒÐ²Ð°Ð´Ð¾Ñ€</t>
  </si>
  <si>
    <t>Ø§ÛŒÙ„ Ø³ÛŒÙ„ÙˆØ§ÚˆÙˆØ±</t>
  </si>
  <si>
    <t>è¨å°”ç“¦å¤š</t>
  </si>
  <si>
    <t>è–©çˆ¾ç“¦å¤š</t>
  </si>
  <si>
    <t>GNQ</t>
  </si>
  <si>
    <t>Eq. Guinea</t>
  </si>
  <si>
    <t>Eq. G.</t>
  </si>
  <si>
    <t>Republic of Equatorial Guinea</t>
  </si>
  <si>
    <t>EK</t>
  </si>
  <si>
    <t>Q983</t>
  </si>
  <si>
    <t>ØºÙŠÙ†ÙŠØ§ Ø§Ù„Ø§Ø³ØªÙˆØ§Ø¦ÙŠØ©</t>
  </si>
  <si>
    <t>à¦¬à¦¿à¦·à§à¦¬à§€à¦¯à¦¼ à¦—à¦¿à¦¨à¦¿</t>
  </si>
  <si>
    <t>Ã„quatorialguinea</t>
  </si>
  <si>
    <t>Guinea Ecuatorial</t>
  </si>
  <si>
    <t>Ú¯ÛŒÙ†Ù‡ Ø§Ø³ØªÙˆØ§ÛŒÛŒ</t>
  </si>
  <si>
    <t>GuinÃ©e Ã©quatoriale</t>
  </si>
  <si>
    <t>Î™ÏƒÎ·Î¼ÎµÏÎ¹Î½Î® Î“Î¿Ï…Î¹Î½Î­Î±</t>
  </si>
  <si>
    <t>×’×™× ××” ×”×ž×©×•×•× ×™×ª</t>
  </si>
  <si>
    <t>à¤­à¥‚à¤®à¤§à¥à¤¯à¤°à¥‡à¤–à¥€à¤¯ à¤—à¤¿à¤¨à¥€</t>
  </si>
  <si>
    <t>EgyenlÃ­tÅ‘i-Guinea</t>
  </si>
  <si>
    <t>Guinea Khatulistiwa</t>
  </si>
  <si>
    <t>Guinea Equatoriale</t>
  </si>
  <si>
    <t>èµ¤é“ã‚®ãƒ‹ã‚¢</t>
  </si>
  <si>
    <t>ì ë„ ê¸°ë‹ˆ</t>
  </si>
  <si>
    <t>Equatoriaal-Guinea</t>
  </si>
  <si>
    <t>Gwinea RÃ³wnikowa</t>
  </si>
  <si>
    <t>GuinÃ© Equatorial</t>
  </si>
  <si>
    <t>Ð­ÐºÐ²Ð°Ñ‚Ð¾Ñ€Ð¸Ð°Ð»ÑŒÐ½Ð°Ñ Ð“Ð²Ð¸Ð½ÐµÑ</t>
  </si>
  <si>
    <t>Ekvatorialguinea</t>
  </si>
  <si>
    <t>Ekvator Ginesi</t>
  </si>
  <si>
    <t>Ð•ÐºÐ²Ð°Ñ‚Ð¾Ñ€Ñ–Ð°Ð»ÑŒÐ½Ð° Ð“Ð²Ñ–Ð½ÐµÑ</t>
  </si>
  <si>
    <t>Ø§Ø³ØªÙˆØ§Ø¦ÛŒ Ú¯Ù†ÛŒ</t>
  </si>
  <si>
    <t>Guinea XÃ­ch Äáº¡o</t>
  </si>
  <si>
    <t>èµ¤é“å‡ å†…äºš</t>
  </si>
  <si>
    <t>èµ¤é“å¹¾å…§äºž</t>
  </si>
  <si>
    <t>ERI</t>
  </si>
  <si>
    <t>Erit.</t>
  </si>
  <si>
    <t>State of Eritrea</t>
  </si>
  <si>
    <t>Q986</t>
  </si>
  <si>
    <t>Ø¥Ø±ÙŠØªØ±ÙŠØ§</t>
  </si>
  <si>
    <t>à¦‡à¦°à¦¿à¦¤à§à¦°à¦¿à¦¯à¦¼à¦¾</t>
  </si>
  <si>
    <t>Ø§Ø±ÛŒØªØ±Ù‡</t>
  </si>
  <si>
    <t>Ã‰rythrÃ©e</t>
  </si>
  <si>
    <t>Î•ÏÏ…Î¸ÏÎ±Î¯Î±</t>
  </si>
  <si>
    <t>××¨×™×ª×¨×™××”</t>
  </si>
  <si>
    <t>à¤‡à¤°à¤¿à¤¤à¥à¤°à¤¿à¤¯à¤¾</t>
  </si>
  <si>
    <t>ã‚¨ãƒªãƒˆãƒªã‚¢</t>
  </si>
  <si>
    <t>ì—ë¦¬íŠ¸ë ˆì•„</t>
  </si>
  <si>
    <t>Erytrea</t>
  </si>
  <si>
    <t>Eritreia</t>
  </si>
  <si>
    <t>Ð­Ñ€Ð¸Ñ‚Ñ€ÐµÑ</t>
  </si>
  <si>
    <t>Eritre</t>
  </si>
  <si>
    <t>Ð•Ñ€Ð¸Ñ‚Ñ€ÐµÑ</t>
  </si>
  <si>
    <t>Ø§Ø±ÛŒØªØ±ÛŒØ§</t>
  </si>
  <si>
    <t>åŽ„ç«‹ç‰¹é‡Œäºš</t>
  </si>
  <si>
    <t>åŽ„åˆ©åž‚äºž</t>
  </si>
  <si>
    <t>EST</t>
  </si>
  <si>
    <t>Est.</t>
  </si>
  <si>
    <t>Republic of Estonia</t>
  </si>
  <si>
    <t>EN</t>
  </si>
  <si>
    <t>Q191</t>
  </si>
  <si>
    <t>Ø¥Ø³ØªÙˆÙ†ÙŠØ§</t>
  </si>
  <si>
    <t>à¦à¦¸à§à¦¤à§‹à¦¨à¦¿à¦¯à¦¼à¦¾</t>
  </si>
  <si>
    <t>Estland</t>
  </si>
  <si>
    <t>Ø§Ø³ØªÙˆÙ†ÛŒ</t>
  </si>
  <si>
    <t>Estonie</t>
  </si>
  <si>
    <t>Î•ÏƒÎ¸Î¿Î½Î¯Î±</t>
  </si>
  <si>
    <t>××¡×˜×•× ×™×”</t>
  </si>
  <si>
    <t>à¤à¤¸à¥à¤Ÿà¥‹à¤¨à¤¿à¤¯à¤¾</t>
  </si>
  <si>
    <t>Ã‰sztorszÃ¡g</t>
  </si>
  <si>
    <t>ã‚¨ã‚¹ãƒˆãƒ‹ã‚¢</t>
  </si>
  <si>
    <t>ì—ìŠ¤í† ë‹ˆì•„</t>
  </si>
  <si>
    <t>EstÃ³nia</t>
  </si>
  <si>
    <t>Ð­ÑÑ‚Ð¾Ð½Ð¸Ñ</t>
  </si>
  <si>
    <t>Estonya</t>
  </si>
  <si>
    <t>Ð•ÑÑ‚Ð¾Ð½Ñ–Ñ</t>
  </si>
  <si>
    <t>Ø§Ø³ØªÙˆÙ†ÛŒØ§</t>
  </si>
  <si>
    <t>çˆ±æ²™å°¼äºš</t>
  </si>
  <si>
    <t>æ„›æ²™å°¼äºž</t>
  </si>
  <si>
    <t>eSwatini</t>
  </si>
  <si>
    <t>SWZ</t>
  </si>
  <si>
    <t>Kingdom of eSwatini</t>
  </si>
  <si>
    <t>eSw.</t>
  </si>
  <si>
    <t>Swaziland</t>
  </si>
  <si>
    <t>WZ</t>
  </si>
  <si>
    <t>Q1050</t>
  </si>
  <si>
    <t>Ø¥Ø³ÙˆØ§ØªÙŠÙ†ÙŠ</t>
  </si>
  <si>
    <t>à¦‡à¦¸à§‹à¦¯à¦¼à¦¾à¦¤à¦¿à¦¨à¦¿</t>
  </si>
  <si>
    <t>Suazilandia</t>
  </si>
  <si>
    <t>Ø§Ø³ÙˆØ§ØªÛŒÙ†ÛŒ</t>
  </si>
  <si>
    <t>Î•ÏƒÎ¿Ï…Î±Ï„Î¯Î½Î¹</t>
  </si>
  <si>
    <t>××¡×•×•××˜×™× ×™</t>
  </si>
  <si>
    <t>à¤à¤¸à¥à¤µà¤¾à¤¤à¥€à¤¨à¥€</t>
  </si>
  <si>
    <t>SzvÃ¡zifÃ¶ld</t>
  </si>
  <si>
    <t>ã‚¨ã‚¹ãƒ¯ãƒ†ã‚£ãƒ‹</t>
  </si>
  <si>
    <t>ì—ìŠ¤ì™€í‹°ë‹ˆ</t>
  </si>
  <si>
    <t>EssuatÃ­ni</t>
  </si>
  <si>
    <t>Ð­ÑÐ²Ð°Ñ‚Ð¸Ð½Ð¸</t>
  </si>
  <si>
    <t>Esvatini</t>
  </si>
  <si>
    <t>Ð•ÑÐ²Ð°Ñ‚Ñ–Ð½Ñ–</t>
  </si>
  <si>
    <t>æ–¯å¨å£«å…°</t>
  </si>
  <si>
    <t>å²ç“¦å¸å°¼</t>
  </si>
  <si>
    <t>ETH</t>
  </si>
  <si>
    <t>Eth.</t>
  </si>
  <si>
    <t>Federal Democratic Republic of Ethiopia</t>
  </si>
  <si>
    <t>Q115</t>
  </si>
  <si>
    <t>Ø¥Ø«ÙŠÙˆØ¨ÙŠØ§</t>
  </si>
  <si>
    <t>à¦‡à¦¥à¦¿à¦“à¦ªà¦¿à¦¯à¦¼à¦¾</t>
  </si>
  <si>
    <t>Ã„thiopien</t>
  </si>
  <si>
    <t>EtiopÃ­a</t>
  </si>
  <si>
    <t>Ø§ØªÛŒÙˆÙ¾ÛŒ</t>
  </si>
  <si>
    <t>Ã‰thiopie</t>
  </si>
  <si>
    <t>Î‘Î¹Î¸Î¹Î¿Ï€Î¯Î±</t>
  </si>
  <si>
    <t>××ª×™×•×¤×™×”</t>
  </si>
  <si>
    <t>à¤‡à¤¥à¤¿à¤¯à¥‹à¤ªà¤¿à¤¯à¤¾</t>
  </si>
  <si>
    <t>EtiÃ³pia</t>
  </si>
  <si>
    <t>Etiopia</t>
  </si>
  <si>
    <t>ã‚¨ãƒã‚ªãƒ”ã‚¢</t>
  </si>
  <si>
    <t>ì—í‹°ì˜¤í”¼ì•„</t>
  </si>
  <si>
    <t>EthiopiÃ«</t>
  </si>
  <si>
    <t>Ð­Ñ„Ð¸Ð¾Ð¿Ð¸Ñ</t>
  </si>
  <si>
    <t>Etiopien</t>
  </si>
  <si>
    <t>Etiyopya</t>
  </si>
  <si>
    <t>Ð•Ñ„Ñ–Ð¾Ð¿Ñ–Ñ</t>
  </si>
  <si>
    <t>Ø§ÛŒØªÚ¾ÙˆÙ¾ÛŒØ§</t>
  </si>
  <si>
    <t>åŸƒå¡žä¿„æ¯”äºš</t>
  </si>
  <si>
    <t>è¡£ç´¢æ¯”äºž</t>
  </si>
  <si>
    <t>FSM</t>
  </si>
  <si>
    <t>Micronesia</t>
  </si>
  <si>
    <t>F.S.M.</t>
  </si>
  <si>
    <t>Micronesia, Federated States of</t>
  </si>
  <si>
    <t>Q702</t>
  </si>
  <si>
    <t>ÙˆÙ„Ø§ÙŠØ§Øª Ù…ÙŠÙƒØ±ÙˆÙ†ÙŠØ³ÙŠØ§ Ø§Ù„Ù…ØªØ­Ø¯Ø©</t>
  </si>
  <si>
    <t>à¦®à¦¾à¦‡à¦•à§à¦°à§‹à¦¨à§‡à¦¶à¦¿à¦¯à¦¼à¦¾ à¦¯à§à¦•à§à¦¤à¦°à¦¾à¦œà§à¦¯</t>
  </si>
  <si>
    <t>FÃ¶derierte Staaten von Mikronesien</t>
  </si>
  <si>
    <t>Estados Federados de Micronesia</t>
  </si>
  <si>
    <t>Ù…ÛŒÚ©Ø±ÙˆÙ†Ø²ÛŒ</t>
  </si>
  <si>
    <t>Ã‰tats fÃ©dÃ©rÃ©s de MicronÃ©sie</t>
  </si>
  <si>
    <t>ÎŸÎ¼ÏŒÏƒÏ€Î¿Î½Î´ÎµÏ‚ Î Î¿Î»Î¹Ï„ÎµÎ¯ÎµÏ‚ Ï„Î·Ï‚ ÎœÎ¹ÎºÏÎ¿Î½Î·ÏƒÎ¯Î±Ï‚</t>
  </si>
  <si>
    <t>×ž×™×§×¨×•× ×–×™×”</t>
  </si>
  <si>
    <t>à¤®à¤¾à¤‡à¤•à¥à¤°à¥‹à¤¨à¥‡à¤¶à¤¿à¤¯à¤¾ à¤•à¥‡ à¤¸à¤‚à¤˜à¥€à¤•à¥ƒà¤¤ à¤°à¤¾à¤œà¥à¤¯</t>
  </si>
  <si>
    <t>MikronÃ©ziai SzÃ¶vetsÃ©gi Ãllamok</t>
  </si>
  <si>
    <t>Mikronesia</t>
  </si>
  <si>
    <t>Stati Federati di Micronesia</t>
  </si>
  <si>
    <t>ãƒŸã‚¯ãƒ­ãƒã‚·ã‚¢é€£é‚¦</t>
  </si>
  <si>
    <t>ë¯¸í¬ë¡œë„¤ì‹œì•„ ì—°ë°©</t>
  </si>
  <si>
    <t>Mikronezja</t>
  </si>
  <si>
    <t>MicronÃ©sia</t>
  </si>
  <si>
    <t>ÐœÐ¸ÐºÑ€Ð¾Ð½ÐµÐ·Ð¸Ñ</t>
  </si>
  <si>
    <t>Mikronesiska federationen</t>
  </si>
  <si>
    <t>Mikronezya</t>
  </si>
  <si>
    <t>ÐœÑ–ÐºÑ€Ð¾Ð½ÐµÐ·Ñ–Ñ</t>
  </si>
  <si>
    <t>Ù…Ø§Ø¦ÛŒÚ©Ø±ÙˆÙ†ÛŒØ´ÛŒØ§</t>
  </si>
  <si>
    <t>å¯†å…‹ç½—å°¼è¥¿äºšè”é‚¦</t>
  </si>
  <si>
    <t>å¯†å…‹ç¾…å°¼è¥¿äºžè¯é‚¦</t>
  </si>
  <si>
    <t>FJI</t>
  </si>
  <si>
    <t>Republic of Fiji</t>
  </si>
  <si>
    <t>Melanesia</t>
  </si>
  <si>
    <t>Q712</t>
  </si>
  <si>
    <t>ÙÙŠØ¬ÙŠ</t>
  </si>
  <si>
    <t>à¦«à¦¿à¦œà¦¿</t>
  </si>
  <si>
    <t>Fidschi</t>
  </si>
  <si>
    <t>Fiyi</t>
  </si>
  <si>
    <t>ÙÛŒØ¬ÛŒ</t>
  </si>
  <si>
    <t>Fidji</t>
  </si>
  <si>
    <t>Î¦Î¯Ï„Î¶Î¹</t>
  </si>
  <si>
    <t>×¤×™×’'×™</t>
  </si>
  <si>
    <t>à¤«à¤¼à¤¿à¤œà¥€</t>
  </si>
  <si>
    <t>Fidzsi-szigetek</t>
  </si>
  <si>
    <t>Figi</t>
  </si>
  <si>
    <t>ãƒ•ã‚£ã‚¸ãƒ¼</t>
  </si>
  <si>
    <t>í”¼ì§€</t>
  </si>
  <si>
    <t>FidÅ¼i</t>
  </si>
  <si>
    <t>Ð¤Ð¸Ð´Ð¶Ð¸</t>
  </si>
  <si>
    <t>Ð¤Ñ–Ð´Ð¶Ñ–</t>
  </si>
  <si>
    <t>ÙØ¬ÛŒ</t>
  </si>
  <si>
    <t>æ–æµŽ</t>
  </si>
  <si>
    <t>æ–æ¿Ÿ</t>
  </si>
  <si>
    <t>NZ1</t>
  </si>
  <si>
    <t>COK</t>
  </si>
  <si>
    <t>Cook Is.</t>
  </si>
  <si>
    <t>Assoc. with N.Z.</t>
  </si>
  <si>
    <t>Q26988</t>
  </si>
  <si>
    <t>Ø¬Ø²Ø± ÙƒÙˆÙƒ</t>
  </si>
  <si>
    <t>à¦•à§à¦• à¦¦à§à¦¬à§€à¦ªà¦ªà§à¦žà§à¦œ</t>
  </si>
  <si>
    <t>Cookinseln</t>
  </si>
  <si>
    <t>Islas Cook</t>
  </si>
  <si>
    <t>Ø¬Ø²Ø§ÛŒØ± Ú©ÙˆÚ©</t>
  </si>
  <si>
    <t>ÃŽles Cook</t>
  </si>
  <si>
    <t>ÎÎ®ÏƒÎ¿Î¹ ÎšÎ¿Ï…Îº</t>
  </si>
  <si>
    <t>××™×™ ×§×•×§</t>
  </si>
  <si>
    <t>à¤•à¥à¤• à¤¦à¥à¤µà¥€à¤ªà¤¸à¤®à¥‚à¤¹</t>
  </si>
  <si>
    <t>Cook-szigetek</t>
  </si>
  <si>
    <t>Kepulauan Cook</t>
  </si>
  <si>
    <t>Isole Cook</t>
  </si>
  <si>
    <t>ã‚¯ãƒƒã‚¯è«¸å³¶</t>
  </si>
  <si>
    <t>ì¿¡ ì œë„</t>
  </si>
  <si>
    <t>Cookeilanden</t>
  </si>
  <si>
    <t>Wyspy Cooka</t>
  </si>
  <si>
    <t>Ilhas Cook</t>
  </si>
  <si>
    <t>ÐžÑÑ‚Ñ€Ð¾Ð²Ð° ÐšÑƒÐºÐ°</t>
  </si>
  <si>
    <t>CookÃ¶arna</t>
  </si>
  <si>
    <t>Cook AdalarÄ±</t>
  </si>
  <si>
    <t>ÐžÑÑ‚Ñ€Ð¾Ð²Ð¸ ÐšÑƒÐºÐ°</t>
  </si>
  <si>
    <t>Ø¬Ø²Ø§Ø¦Ø± Ú©Ú©</t>
  </si>
  <si>
    <t>Quáº§n Ä‘áº£o Cook</t>
  </si>
  <si>
    <t>åº“å…‹ç¾¤å²›</t>
  </si>
  <si>
    <t>åº«å…‹ç¾¤å³¶</t>
  </si>
  <si>
    <t>Coral Sea Islands</t>
  </si>
  <si>
    <t>CSI</t>
  </si>
  <si>
    <t>Coral Sea Is.</t>
  </si>
  <si>
    <t>C.S.I.</t>
  </si>
  <si>
    <t>Coral Sea Islands Territory</t>
  </si>
  <si>
    <t>Q172216</t>
  </si>
  <si>
    <t>Ø¬Ø²Ø± Ø¨Ø­Ø± Ø§Ù„Ù…Ø±Ø¬Ø§Ù†</t>
  </si>
  <si>
    <t>à¦•à§‹à¦°à¦¾à¦² à¦¸à¦¾à¦—à¦° à¦¦à§à¦¬à§€à¦ªà¦ªà§à¦žà§à¦œ</t>
  </si>
  <si>
    <t>Korallenmeerinseln</t>
  </si>
  <si>
    <t>islas del mar del Coral</t>
  </si>
  <si>
    <t>Ø¬Ø²Ø§ÛŒØ± Ú©ÙˆØ±Ø§Ù„</t>
  </si>
  <si>
    <t>ÃŽles de la mer de Corail</t>
  </si>
  <si>
    <t>ÎÎ·ÏƒÎ¹Î¬ Î˜Î¬Î»Î±ÏƒÏƒÎ±Ï‚ Ï„Ï‰Î½ ÎšÎ¿ÏÎ±Î»Î¯Ï‰Î½</t>
  </si>
  <si>
    <t>×˜×¨×™×˜×•×¨×™×™×ª ××™×™ ×™× ×”××œ×ž×•×’×™×</t>
  </si>
  <si>
    <t>à¤•à¥‹à¤°à¤² à¤¸à¤¾à¤—à¤° à¤¦à¥à¤µà¥€à¤ª à¤¸à¤®à¥‚à¤¹</t>
  </si>
  <si>
    <t>Korall-tengeri-szigetek</t>
  </si>
  <si>
    <t>Kepulauan Laut Karang</t>
  </si>
  <si>
    <t>Isole del Mar dei Coralli</t>
  </si>
  <si>
    <t>ã‚³ãƒ¼ãƒ©ãƒ«ãƒ»ã‚·ãƒ¼è«¸å³¶</t>
  </si>
  <si>
    <t>ì‚°í˜¸í•´ ì œë„</t>
  </si>
  <si>
    <t>Koraalzee-eilanden</t>
  </si>
  <si>
    <t>Wyspy Morza Koralowego</t>
  </si>
  <si>
    <t>Ilhas do Mar de Coral</t>
  </si>
  <si>
    <t>Ð¢ÐµÑ€Ñ€Ð¸Ñ‚Ð¾Ñ€Ð¸Ñ Ð¾ÑÑ‚Ñ€Ð¾Ð²Ð¾Ð² ÐšÐ¾Ñ€Ð°Ð»Ð»Ð¾Ð²Ð¾Ð³Ð¾ Ð¼Ð¾Ñ€Ñ</t>
  </si>
  <si>
    <t>KorallhavsÃ¶arna</t>
  </si>
  <si>
    <t>Mercan Denizi AdalarÄ±</t>
  </si>
  <si>
    <t>ÐžÑÑ‚Ñ€Ð¾Ð²Ð¸ ÐšÐ¾Ñ€Ð°Ð»Ð¾Ð²Ð¾Ð³Ð¾ Ð¼Ð¾Ñ€Ñ</t>
  </si>
  <si>
    <t>Ú©ÙˆØ±Ù„ Ø³Ù…Ù†Ø¯Ø±ÛŒ Ø¬Ø²Ø§Ø¦Ø±</t>
  </si>
  <si>
    <t>Quáº§n Ä‘áº£o Biá»ƒn San hÃ´</t>
  </si>
  <si>
    <t>çŠç‘šæµ·ç¾¤å²›</t>
  </si>
  <si>
    <t>çŠç‘šæµ·ç¾¤å³¶</t>
  </si>
  <si>
    <t>CU1</t>
  </si>
  <si>
    <t>Sovereignty</t>
  </si>
  <si>
    <t>CUB</t>
  </si>
  <si>
    <t>Republic of Cuba</t>
  </si>
  <si>
    <t>Q241</t>
  </si>
  <si>
    <t>ÙƒÙˆØ¨Ø§</t>
  </si>
  <si>
    <t>à¦•à¦¿à¦‰à¦¬à¦¾</t>
  </si>
  <si>
    <t>Kuba</t>
  </si>
  <si>
    <t>Ú©ÙˆØ¨Ø§</t>
  </si>
  <si>
    <t>ÎšÎ¿ÏÎ²Î±</t>
  </si>
  <si>
    <t>×§×•×‘×”</t>
  </si>
  <si>
    <t>à¤•à¥à¤¯à¥‚à¤¬à¤¾</t>
  </si>
  <si>
    <t>ã‚­ãƒ¥ãƒ¼ãƒ</t>
  </si>
  <si>
    <t>ì¿ ë°”</t>
  </si>
  <si>
    <t>ÐšÑƒÐ±Ð°</t>
  </si>
  <si>
    <t>KÃ¼ba</t>
  </si>
  <si>
    <t>Ú©ÛŒÙˆØ¨Ø§</t>
  </si>
  <si>
    <t>å¤å·´</t>
  </si>
  <si>
    <t>CuraÃ§ao</t>
  </si>
  <si>
    <t>CUW</t>
  </si>
  <si>
    <t>Cur.</t>
  </si>
  <si>
    <t>Curacao</t>
  </si>
  <si>
    <t>NT</t>
  </si>
  <si>
    <t>Expired subunits of Netherlands Antilles (23424914).</t>
  </si>
  <si>
    <t>Q25279</t>
  </si>
  <si>
    <t>ÙƒÙˆØ±Ø§Ø³Ø§Ùˆ</t>
  </si>
  <si>
    <t>à¦•à¦¿à¦‰à¦°à¦¾à¦¸à¦¾à¦“</t>
  </si>
  <si>
    <t>Curazao</t>
  </si>
  <si>
    <t>Ú©ÙˆØ±Ø§Ø³Ø§Ø¦Ùˆ</t>
  </si>
  <si>
    <t>ÎšÎ¿Ï…ÏÎ±ÏƒÎ¬Î¿</t>
  </si>
  <si>
    <t>×§×•×¨××¡××•</t>
  </si>
  <si>
    <t>à¤•à¥à¤°à¤¾à¤•à¤¾à¤“</t>
  </si>
  <si>
    <t>ã‚­ãƒ¥ãƒ©ã‚½ãƒ¼</t>
  </si>
  <si>
    <t>í€´ë¼ì†Œ</t>
  </si>
  <si>
    <t>ÐšÑŽÑ€Ð°ÑÐ°Ð¾</t>
  </si>
  <si>
    <t>Ú©ÛŒÙˆØ±Ø§Ø³Ø§Ø¤</t>
  </si>
  <si>
    <t>åº“æ‹‰ç´¢</t>
  </si>
  <si>
    <t>å¤æ‹‰ç´¢</t>
  </si>
  <si>
    <t>DN1</t>
  </si>
  <si>
    <t>DNK</t>
  </si>
  <si>
    <t>Den.</t>
  </si>
  <si>
    <t>Kingdom of Denmark</t>
  </si>
  <si>
    <t>DA</t>
  </si>
  <si>
    <t>Q35</t>
  </si>
  <si>
    <t>Ø§Ù„Ø¯Ù†Ù…Ø§Ø±Ùƒ</t>
  </si>
  <si>
    <t>à¦¡à§‡à¦¨à¦®à¦¾à¦°à§à¦•</t>
  </si>
  <si>
    <t>DÃ¤nemark</t>
  </si>
  <si>
    <t>Dinamarca</t>
  </si>
  <si>
    <t>Ø¯Ø§Ù†Ù…Ø§Ø±Ú©</t>
  </si>
  <si>
    <t>Danemark</t>
  </si>
  <si>
    <t>Î”Î±Î½Î¯Î±</t>
  </si>
  <si>
    <t>×“× ×ž×¨×§</t>
  </si>
  <si>
    <t>à¤¡à¥‡à¤¨à¤®à¤¾à¤°à¥à¤•</t>
  </si>
  <si>
    <t>DÃ¡nia</t>
  </si>
  <si>
    <t>Danimarca</t>
  </si>
  <si>
    <t>ãƒ‡ãƒ³ãƒžãƒ¼ã‚¯</t>
  </si>
  <si>
    <t>ë´ë§ˆí¬</t>
  </si>
  <si>
    <t>Denemarken</t>
  </si>
  <si>
    <t>Dania</t>
  </si>
  <si>
    <t>Ð”Ð°Ð½Ð¸Ñ</t>
  </si>
  <si>
    <t>Danmark</t>
  </si>
  <si>
    <t>Danimarka</t>
  </si>
  <si>
    <t>Ð”Ð°Ð½Ñ–Ñ</t>
  </si>
  <si>
    <t>ÚˆÙ†Ù…Ø§Ø±Ú©</t>
  </si>
  <si>
    <t>Äan Máº¡ch</t>
  </si>
  <si>
    <t>ä¸¹éº¦</t>
  </si>
  <si>
    <t>ä¸¹éº¥</t>
  </si>
  <si>
    <t>Dhekelia Sovereign Base Area</t>
  </si>
  <si>
    <t>ESB</t>
  </si>
  <si>
    <t>Dhekelia</t>
  </si>
  <si>
    <t>Dhek.</t>
  </si>
  <si>
    <t>DH</t>
  </si>
  <si>
    <t>Q9206745</t>
  </si>
  <si>
    <t>Ø¯ÙŠÙƒÙŠÙ„ÙŠØ§ ÙƒØ§Ù†ØªÙˆÙ†Ù…Ù†Øª</t>
  </si>
  <si>
    <t>à¦¦à§‡à¦–à§‡à¦²à¦¿à¦¯à¦¼à¦¾ à¦•à§à¦¯à¦¾à¦¨à§à¦Ÿà¦¨à¦®à§‡à¦¨à§à¦Ÿ</t>
  </si>
  <si>
    <t>Dekelia</t>
  </si>
  <si>
    <t>Dhekelia Cantonment</t>
  </si>
  <si>
    <t>Ø¯Ú©Ù„ÛŒØ§</t>
  </si>
  <si>
    <t>ÎÏ„ÎµÎºÎ­Î»Î¹Î± ÎšÎ¬Î½Ï„Î¿Î½Î¼ÎµÎ½Ï„</t>
  </si>
  <si>
    <t>×“×§×œ×™×”</t>
  </si>
  <si>
    <t>à¤¢à¥‡à¤•à¥‡à¤²à¤¿à¤¯à¤¾ à¤›à¤¾à¤µà¤¨à¥€</t>
  </si>
  <si>
    <t>DekÃ©lia</t>
  </si>
  <si>
    <t>Base di Dhekelia</t>
  </si>
  <si>
    <t>ãƒ‡ã‚±ãƒªã‚¢</t>
  </si>
  <si>
    <t>ë°ì¼ˆë¦¬ì•„ ì§€ì—­</t>
  </si>
  <si>
    <t>Deceleia</t>
  </si>
  <si>
    <t>Ð”ÐµÐºÐµÐ»Ð¸Ñ</t>
  </si>
  <si>
    <t>Dhekelia Kantonu</t>
  </si>
  <si>
    <t>ÐœÑƒÐ½Ñ–Ñ†Ð¸Ð¿Ð°Ð»Ñ–Ñ‚ÐµÑ‚ Ð”ÐµÐºÐµÐ»Ñ–Ñ</t>
  </si>
  <si>
    <t>Ø¯Ø­ÛŒÚ©ÛŒÙ„ÛŒØ§ Ú©Ø§Ù†ØªÙˆÙ†Ù…ÛŒÙ†Ù¹</t>
  </si>
  <si>
    <t>CÄƒn cá»© quÃ¢n sá»± Dhekelia</t>
  </si>
  <si>
    <t>æ³½å‡¯åˆ©äºšå†›è¥</t>
  </si>
  <si>
    <t>å¾·å‡±åˆ©äºžè»ç‡Ÿ</t>
  </si>
  <si>
    <t>Falkland Islands</t>
  </si>
  <si>
    <t>FLK</t>
  </si>
  <si>
    <t>Falkland Is.</t>
  </si>
  <si>
    <t>Falkland Islands / Malvinas</t>
  </si>
  <si>
    <t>B12</t>
  </si>
  <si>
    <t>Flk. Is.</t>
  </si>
  <si>
    <t>Falkland Islands (Islas Malvinas)</t>
  </si>
  <si>
    <t>Admin. by U.K.; Claimed by Argentina</t>
  </si>
  <si>
    <t>Islas Malvinas</t>
  </si>
  <si>
    <t>Q9648</t>
  </si>
  <si>
    <t>Ø¬Ø²Ø± ÙÙˆÙƒÙ„Ø§Ù†Ø¯</t>
  </si>
  <si>
    <t>à¦«à¦•à¦²à§à¦¯à¦¾à¦¨à§à¦¡ à¦¦à§à¦¬à§€à¦ªà¦ªà§à¦žà§à¦œ</t>
  </si>
  <si>
    <t>Falklandinseln</t>
  </si>
  <si>
    <t>Ø¬Ø²Ø§ÛŒØ± ÙØ§Ù„Ú©Ù„Ù†Ø¯</t>
  </si>
  <si>
    <t>Ã®les Malouines</t>
  </si>
  <si>
    <t>ÎÎ®ÏƒÎ¿Î¹ Î¦ÏŽÎºÎ»Î±Î½Ï„</t>
  </si>
  <si>
    <t>××™×™ ×¤×•×§×œ× ×“</t>
  </si>
  <si>
    <t>à¤«à¤¼à¥‰à¤•à¤²à¥ˆà¤‚à¤¡ à¤¦à¥à¤µà¥€à¤ªà¤¸à¤®à¥‚à¤¹</t>
  </si>
  <si>
    <t>Falkland-szigetek</t>
  </si>
  <si>
    <t>Kepulauan Falkland</t>
  </si>
  <si>
    <t>Isole Falkland</t>
  </si>
  <si>
    <t>ãƒ•ã‚©ãƒ¼ã‚¯ãƒ©ãƒ³ãƒ‰è«¸å³¶</t>
  </si>
  <si>
    <t>í¬í´ëžœë“œ ì œë„</t>
  </si>
  <si>
    <t>Falklandeilanden</t>
  </si>
  <si>
    <t>Falklandy</t>
  </si>
  <si>
    <t>Ilhas Malvinas</t>
  </si>
  <si>
    <t>Ð¤Ð¾Ð»ÐºÐ»ÐµÐ½Ð´ÑÐºÐ¸Ðµ Ð¾ÑÑ‚Ñ€Ð¾Ð²Ð°</t>
  </si>
  <si>
    <t>FalklandsÃ¶arna</t>
  </si>
  <si>
    <t>Falkland AdalarÄ±</t>
  </si>
  <si>
    <t>Ð¤Ð¾Ð»ÐºÐ»ÐµÐ½Ð´ÑÑŒÐºÑ– Ð¾ÑÑ‚Ñ€Ð¾Ð²Ð¸</t>
  </si>
  <si>
    <t>Ø¬Ø²Ø§Ø¦Ø± ÙØ§Ú©Ù„ÛŒÙ†Úˆ</t>
  </si>
  <si>
    <t>Quáº§n Ä‘áº£o Falkland</t>
  </si>
  <si>
    <t>ç¦å…‹å…°ç¾¤å²›</t>
  </si>
  <si>
    <t>ç¦å…‹è˜­ç¾¤å³¶</t>
  </si>
  <si>
    <t>FRO</t>
  </si>
  <si>
    <t>Faeroe Is.</t>
  </si>
  <si>
    <t>Faeroe Islands</t>
  </si>
  <si>
    <t>FÃ¸royar Is. (Faeroe Is.)</t>
  </si>
  <si>
    <t>Q4628</t>
  </si>
  <si>
    <t>Ø¬Ø²Ø± ÙØ§Ø±Ùˆ</t>
  </si>
  <si>
    <t>à¦«à§à¦¯à¦¾à¦°à§‹ à¦¦à§à¦¬à§€à¦ªà¦ªà§à¦žà§à¦œ</t>
  </si>
  <si>
    <t>FÃ¤rÃ¶er</t>
  </si>
  <si>
    <t>Islas Feroe</t>
  </si>
  <si>
    <t>Ø¬Ø²Ø§ÛŒØ± ÙØ§Ø±Ùˆ</t>
  </si>
  <si>
    <t>Ã®les FÃ©roÃ©</t>
  </si>
  <si>
    <t>ÎÎ®ÏƒÎ¿Î¹ Î¦ÎµÏÏŒÎµÏ‚</t>
  </si>
  <si>
    <t>××™×™ ×¤××¨×•</t>
  </si>
  <si>
    <t>à¤«à¤¼à¤°à¥‹ à¤¦à¥à¤µà¥€à¤ªà¤¸à¤®à¥‚à¤¹</t>
  </si>
  <si>
    <t>FerÃ¶er</t>
  </si>
  <si>
    <t>Kepulauan Faroe</t>
  </si>
  <si>
    <t>FÃ¦r Ã˜er</t>
  </si>
  <si>
    <t>ãƒ•ã‚§ãƒ­ãƒ¼è«¸å³¶</t>
  </si>
  <si>
    <t>íŽ˜ë¡œ ì œë„</t>
  </si>
  <si>
    <t>FaerÃ¶er</t>
  </si>
  <si>
    <t>Wyspy Owcze</t>
  </si>
  <si>
    <t>Ilhas Feroe</t>
  </si>
  <si>
    <t>Ð¤Ð°Ñ€ÐµÑ€ÑÐºÐ¸Ðµ Ð¾ÑÑ‚Ñ€Ð¾Ð²Ð°</t>
  </si>
  <si>
    <t>FÃ¤rÃ¶arna</t>
  </si>
  <si>
    <t>Faroe AdalarÄ±</t>
  </si>
  <si>
    <t>Ð¤Ð°Ñ€ÐµÑ€ÑÑŒÐºÑ– Ð¾ÑÑ‚Ñ€Ð¾Ð²Ð¸</t>
  </si>
  <si>
    <t>Ø¬Ø²Ø§Ø¦Ø±ÙØ§Ø±Ùˆ</t>
  </si>
  <si>
    <t>Quáº§n Ä‘áº£o Faroe</t>
  </si>
  <si>
    <t>æ³•ç½—ç¾¤å²›</t>
  </si>
  <si>
    <t>æ³•ç¾…ç¾¤å³¶</t>
  </si>
  <si>
    <t>FIN</t>
  </si>
  <si>
    <t>Republic of Finland</t>
  </si>
  <si>
    <t>Q33</t>
  </si>
  <si>
    <t>ÙÙ†Ù„Ù†Ø¯Ø§</t>
  </si>
  <si>
    <t>à¦«à¦¿à¦¨à¦²à§à¦¯à¦¾à¦¨à§à¦¡</t>
  </si>
  <si>
    <t>Finnland</t>
  </si>
  <si>
    <t>Finlandia</t>
  </si>
  <si>
    <t>ÙÙ†Ù„Ø§Ù†Ø¯</t>
  </si>
  <si>
    <t>Finlande</t>
  </si>
  <si>
    <t>Î¦Î¹Î½Î»Î±Î½Î´Î¯Î±</t>
  </si>
  <si>
    <t>×¤×™× ×œ× ×“</t>
  </si>
  <si>
    <t>à¤«à¤¼à¤¿à¤¨à¤²à¥ˆà¤£à¥à¤¡</t>
  </si>
  <si>
    <t>FinnorszÃ¡g</t>
  </si>
  <si>
    <t>ãƒ•ã‚£ãƒ³ãƒ©ãƒ³ãƒ‰</t>
  </si>
  <si>
    <t>í•€ëž€ë“œ</t>
  </si>
  <si>
    <t>FinlÃ¢ndia</t>
  </si>
  <si>
    <t>Ð¤Ð¸Ð½Ð»ÑÐ½Ð´Ð¸Ñ</t>
  </si>
  <si>
    <t>Finlandiya</t>
  </si>
  <si>
    <t>Ð¤Ñ–Ð½Ð»ÑÐ½Ð´Ñ–Ñ</t>
  </si>
  <si>
    <t>ÙÙ† Ù„ÛŒÙ†Úˆ</t>
  </si>
  <si>
    <t>Pháº§n Lan</t>
  </si>
  <si>
    <t>èŠ¬å…°</t>
  </si>
  <si>
    <t>èŠ¬è˜­</t>
  </si>
  <si>
    <t>F</t>
  </si>
  <si>
    <t>French Republic</t>
  </si>
  <si>
    <t>Includes only Metropolitan France (including Corsica)</t>
  </si>
  <si>
    <t>Q142</t>
  </si>
  <si>
    <t>ÙØ±Ù†Ø³Ø§</t>
  </si>
  <si>
    <t>à¦«à§à¦°à¦¾à¦¨à§à¦¸</t>
  </si>
  <si>
    <t>Frankreich</t>
  </si>
  <si>
    <t>Francia</t>
  </si>
  <si>
    <t>ÙØ±Ø§Ù†Ø³Ù‡</t>
  </si>
  <si>
    <t>Î“Î±Î»Î»Î¯Î±</t>
  </si>
  <si>
    <t>×¦×¨×¤×ª</t>
  </si>
  <si>
    <t>à¤«à¤¼à¥à¤°à¤¾à¤¨à¥à¤¸</t>
  </si>
  <si>
    <t>FranciaorszÃ¡g</t>
  </si>
  <si>
    <t>Prancis</t>
  </si>
  <si>
    <t>ãƒ•ãƒ©ãƒ³ã‚¹</t>
  </si>
  <si>
    <t>í”„ëž‘ìŠ¤</t>
  </si>
  <si>
    <t>Frankrijk</t>
  </si>
  <si>
    <t>Francja</t>
  </si>
  <si>
    <t>FranÃ§a</t>
  </si>
  <si>
    <t>Ð¤Ñ€Ð°Ð½Ñ†Ð¸Ñ</t>
  </si>
  <si>
    <t>Frankrike</t>
  </si>
  <si>
    <t>Fransa</t>
  </si>
  <si>
    <t>Ð¤Ñ€Ð°Ð½Ñ†Ñ–Ñ</t>
  </si>
  <si>
    <t>ÙØ±Ø§Ù†Ø³</t>
  </si>
  <si>
    <t>PhÃ¡p</t>
  </si>
  <si>
    <t>æ³•å›½</t>
  </si>
  <si>
    <t>æ³•åœ‹</t>
  </si>
  <si>
    <t>PYF</t>
  </si>
  <si>
    <t>Fr. Polynesia</t>
  </si>
  <si>
    <t>Fr. Poly.</t>
  </si>
  <si>
    <t>FP</t>
  </si>
  <si>
    <t>Q30971</t>
  </si>
  <si>
    <t>Ø¨ÙˆÙ„ÙŠÙ†Ø²ÙŠØ§ Ø§Ù„ÙØ±Ù†Ø³ÙŠØ©</t>
  </si>
  <si>
    <t>à¦«à¦°à¦¾à¦¸à¦¿ à¦ªà¦²à¦¿à¦¨à§‡à¦¶à¦¿à¦¯à¦¼à¦¾</t>
  </si>
  <si>
    <t>FranzÃ¶sisch-Polynesien</t>
  </si>
  <si>
    <t>Polinesia Francesa</t>
  </si>
  <si>
    <t>Ù¾Ù„ÛŒÙ†Ø²ÛŒ ÙØ±Ø§Ù†Ø³Ù‡</t>
  </si>
  <si>
    <t>PolynÃ©sie franÃ§aise</t>
  </si>
  <si>
    <t>Î“Î±Î»Î»Î¹ÎºÎ® Î Î¿Î»Ï…Î½Î·ÏƒÎ¯Î±</t>
  </si>
  <si>
    <t>×¤×•×œ×™× ×–×™×” ×”×¦×¨×¤×ª×™×ª</t>
  </si>
  <si>
    <t>à¤«à¤¼à¥à¤°à¤¾à¤¨à¥à¤¸à¥€à¤¸à¥€ à¤ªà¥‰à¤²à¤¿à¤¨à¥‡à¤¶à¤¿à¤¯à¤¾</t>
  </si>
  <si>
    <t>Francia PolinÃ©zia</t>
  </si>
  <si>
    <t>Polinesia Prancis</t>
  </si>
  <si>
    <t>Polinesia francese</t>
  </si>
  <si>
    <t>ãƒ•ãƒ©ãƒ³ã‚¹é ˜ãƒãƒªãƒã‚·ã‚¢</t>
  </si>
  <si>
    <t>í”„ëž‘ìŠ¤ë ¹ í´ë¦¬ë„¤ì‹œì•„</t>
  </si>
  <si>
    <t>Frans-PolynesiÃ«</t>
  </si>
  <si>
    <t>Polinezja Francuska</t>
  </si>
  <si>
    <t>PolinÃ©sia Francesa</t>
  </si>
  <si>
    <t>Ð¤Ñ€Ð°Ð½Ñ†ÑƒÐ·ÑÐºÐ°Ñ ÐŸÐ¾Ð»Ð¸Ð½ÐµÐ·Ð¸Ñ</t>
  </si>
  <si>
    <t>Franska Polynesien</t>
  </si>
  <si>
    <t>FransÄ±z PolinezyasÄ±</t>
  </si>
  <si>
    <t>Ð¤Ñ€Ð°Ð½Ñ†ÑƒÐ·ÑŒÐºÐ° ÐŸÐ¾Ð»Ñ–Ð½ÐµÐ·Ñ–Ñ</t>
  </si>
  <si>
    <t>ÙØ±Ø§Ù†Ø³ÛŒØ³ÛŒ Ù¾ÙˆÙ„ÛŒÙ†ÛŒØ´ÛŒØ§</t>
  </si>
  <si>
    <t>PolynÃ©sie thuá»™c PhÃ¡p</t>
  </si>
  <si>
    <t>æ³•å±žæ³¢åˆ©å°¼è¥¿äºš</t>
  </si>
  <si>
    <t>æ³•å±¬çŽ»é‡Œå°¼è¥¿äºž</t>
  </si>
  <si>
    <t>GAB</t>
  </si>
  <si>
    <t>Gabonese Republic</t>
  </si>
  <si>
    <t>Q1000</t>
  </si>
  <si>
    <t>Ø§Ù„ØºØ§Ø¨ÙˆÙ†</t>
  </si>
  <si>
    <t>à¦—à§à¦¯à¦¾à¦¬à¦¨</t>
  </si>
  <si>
    <t>Gabun</t>
  </si>
  <si>
    <t>GabÃ³n</t>
  </si>
  <si>
    <t>Ú¯Ø§Ø¨Ù†</t>
  </si>
  <si>
    <t>Î“ÎºÎ±Î¼Ï€ÏŒÎ½</t>
  </si>
  <si>
    <t>×’×‘×•×Ÿ</t>
  </si>
  <si>
    <t>à¤—à¤¬à¥‰à¤¨</t>
  </si>
  <si>
    <t>ã‚¬ãƒœãƒ³</t>
  </si>
  <si>
    <t>ê°€ë´‰</t>
  </si>
  <si>
    <t>GabÃ£o</t>
  </si>
  <si>
    <t>Ð“Ð°Ð±Ð¾Ð½</t>
  </si>
  <si>
    <t>Ú¯ÛŒØ¨ÙˆÙ†</t>
  </si>
  <si>
    <t>åŠ è“¬</t>
  </si>
  <si>
    <t>åŠ å½­</t>
  </si>
  <si>
    <t>Gambia</t>
  </si>
  <si>
    <t>GMB</t>
  </si>
  <si>
    <t>Republic of the Gambia</t>
  </si>
  <si>
    <t>Gambia, The</t>
  </si>
  <si>
    <t>Q1005</t>
  </si>
  <si>
    <t>ØºØ§Ù…Ø¨ÙŠØ§</t>
  </si>
  <si>
    <t>à¦—à¦¾à¦®à§à¦¬à¦¿à¦¯à¦¼à¦¾</t>
  </si>
  <si>
    <t>Ú¯Ø§Ù…Ø¨ÛŒØ§</t>
  </si>
  <si>
    <t>Gambie</t>
  </si>
  <si>
    <t>Î“ÎºÎ¬Î¼Ï€Î¹Î±</t>
  </si>
  <si>
    <t>×’×ž×‘×™×”</t>
  </si>
  <si>
    <t>à¤—à¤¾à¤®à¥à¤¬à¤¿à¤¯à¤¾</t>
  </si>
  <si>
    <t>ã‚¬ãƒ³ãƒ“ã‚¢</t>
  </si>
  <si>
    <t>ê°ë¹„ì•„</t>
  </si>
  <si>
    <t>GÃ¢mbia</t>
  </si>
  <si>
    <t>Ð“Ð°Ð¼Ð±Ð¸Ñ</t>
  </si>
  <si>
    <t>Gambiya</t>
  </si>
  <si>
    <t>Ð“Ð°Ð¼Ð±Ñ–Ñ</t>
  </si>
  <si>
    <t>Ú¯ÛŒÙ…Ø¨ÛŒØ§</t>
  </si>
  <si>
    <t>å†ˆæ¯”äºš</t>
  </si>
  <si>
    <t>ç”˜æ¯”äºž</t>
  </si>
  <si>
    <t>GEO</t>
  </si>
  <si>
    <t>Geo.</t>
  </si>
  <si>
    <t>Q230</t>
  </si>
  <si>
    <t>Ø¬ÙˆØ±Ø¬ÙŠØ§</t>
  </si>
  <si>
    <t>à¦œà¦°à§à¦œà¦¿à¦¯à¦¼à¦¾</t>
  </si>
  <si>
    <t>Georgien</t>
  </si>
  <si>
    <t>Ú¯Ø±Ø¬Ø³ØªØ§Ù†</t>
  </si>
  <si>
    <t>GÃ©orgie</t>
  </si>
  <si>
    <t>Î“ÎµÏ‰ÏÎ³Î¯Î±</t>
  </si>
  <si>
    <t>×’××•×¨×’×™×”</t>
  </si>
  <si>
    <t>à¤œà¥‰à¤°à¥à¤œà¤¿à¤¯à¤¾</t>
  </si>
  <si>
    <t>GrÃºzia</t>
  </si>
  <si>
    <t>ã‚¸ãƒ§ãƒ¼ã‚¸ã‚¢</t>
  </si>
  <si>
    <t>ì¡°ì§€ì•„</t>
  </si>
  <si>
    <t>GeorgiÃ«</t>
  </si>
  <si>
    <t>Gruzja</t>
  </si>
  <si>
    <t>GeÃ³rgia</t>
  </si>
  <si>
    <t>Ð“Ñ€ÑƒÐ·Ð¸Ñ</t>
  </si>
  <si>
    <t>GÃ¼rcistan</t>
  </si>
  <si>
    <t>Ð“Ñ€ÑƒÐ·Ñ–Ñ</t>
  </si>
  <si>
    <t>Ø¬Ø§Ø±Ø¬ÛŒØ§</t>
  </si>
  <si>
    <t>Gruzia</t>
  </si>
  <si>
    <t>æ ¼é²å‰äºš</t>
  </si>
  <si>
    <t>å–¬æ²»äºž</t>
  </si>
  <si>
    <t>DEU</t>
  </si>
  <si>
    <t>Ger.</t>
  </si>
  <si>
    <t>D</t>
  </si>
  <si>
    <t>Federal Republic of Germany</t>
  </si>
  <si>
    <t>Q183</t>
  </si>
  <si>
    <t>Ø£Ù„Ù…Ø§Ù†ÙŠØ§</t>
  </si>
  <si>
    <t>à¦œà¦¾à¦°à§à¦®à¦¾à¦¨à¦¿</t>
  </si>
  <si>
    <t>Deutschland</t>
  </si>
  <si>
    <t>Alemania</t>
  </si>
  <si>
    <t>Ø¢Ù„Ù…Ø§Ù†</t>
  </si>
  <si>
    <t>Allemagne</t>
  </si>
  <si>
    <t>Î“ÎµÏÎ¼Î±Î½Î¯Î±</t>
  </si>
  <si>
    <t>×’×¨×ž× ×™×”</t>
  </si>
  <si>
    <t>à¤œà¤°à¥à¤®à¤¨à¥€</t>
  </si>
  <si>
    <t>NÃ©metorszÃ¡g</t>
  </si>
  <si>
    <t>Jerman</t>
  </si>
  <si>
    <t>Germania</t>
  </si>
  <si>
    <t>ãƒ‰ã‚¤ãƒ„</t>
  </si>
  <si>
    <t>ë…ì¼</t>
  </si>
  <si>
    <t>Duitsland</t>
  </si>
  <si>
    <t>Niemcy</t>
  </si>
  <si>
    <t>Alemanha</t>
  </si>
  <si>
    <t>Ð“ÐµÑ€Ð¼Ð°Ð½Ð¸Ñ</t>
  </si>
  <si>
    <t>Tyskland</t>
  </si>
  <si>
    <t>Almanya</t>
  </si>
  <si>
    <t>ÐÑ–Ð¼ÐµÑ‡Ñ‡Ð¸Ð½Ð°</t>
  </si>
  <si>
    <t>Ø¬Ø±Ù…Ù†ÛŒ</t>
  </si>
  <si>
    <t>Äá»©c</t>
  </si>
  <si>
    <t>å¾·å›½</t>
  </si>
  <si>
    <t>å¾·åœ‹</t>
  </si>
  <si>
    <t>GHA</t>
  </si>
  <si>
    <t>Republic of Ghana</t>
  </si>
  <si>
    <t>Q117</t>
  </si>
  <si>
    <t>ØºØ§Ù†Ø§</t>
  </si>
  <si>
    <t>à¦˜à¦¾à¦¨à¦¾</t>
  </si>
  <si>
    <t>ØºÙ†Ø§</t>
  </si>
  <si>
    <t>Î“ÎºÎ¬Î½Î±</t>
  </si>
  <si>
    <t>×’×× ×”</t>
  </si>
  <si>
    <t>à¤˜à¤¾à¤¨à¤¾</t>
  </si>
  <si>
    <t>GhÃ¡na</t>
  </si>
  <si>
    <t>ã‚¬ãƒ¼ãƒŠ</t>
  </si>
  <si>
    <t>ê°€ë‚˜</t>
  </si>
  <si>
    <t>Gana</t>
  </si>
  <si>
    <t>Ð“Ð°Ð½Ð°</t>
  </si>
  <si>
    <t>Ú¯Ú¾Ø§Ù†Ø§</t>
  </si>
  <si>
    <t>åŠ çº³</t>
  </si>
  <si>
    <t>è¿¦ç´</t>
  </si>
  <si>
    <t>GRC</t>
  </si>
  <si>
    <t>Hellenic Republic</t>
  </si>
  <si>
    <t>Q41</t>
  </si>
  <si>
    <t>Ø§Ù„ÙŠÙˆÙ†Ø§Ù†</t>
  </si>
  <si>
    <t>à¦—à§à¦°à¦¿à¦¸</t>
  </si>
  <si>
    <t>Griechenland</t>
  </si>
  <si>
    <t>Grecia</t>
  </si>
  <si>
    <t>ÛŒÙˆÙ†Ø§Ù†</t>
  </si>
  <si>
    <t>GrÃ¨ce</t>
  </si>
  <si>
    <t>Î•Î»Î»Î¬Î´Î±</t>
  </si>
  <si>
    <t>×™×•×•×Ÿ</t>
  </si>
  <si>
    <t>à¤¯à¥‚à¤¨à¤¾à¤¨</t>
  </si>
  <si>
    <t>GÃ¶rÃ¶gorszÃ¡g</t>
  </si>
  <si>
    <t>Yunani</t>
  </si>
  <si>
    <t>ã‚®ãƒªã‚·ãƒ£</t>
  </si>
  <si>
    <t>ê·¸ë¦¬ìŠ¤</t>
  </si>
  <si>
    <t>Griekenland</t>
  </si>
  <si>
    <t>Grecja</t>
  </si>
  <si>
    <t>GrÃ©cia</t>
  </si>
  <si>
    <t>Ð“Ñ€ÐµÑ†Ð¸Ñ</t>
  </si>
  <si>
    <t>Grekland</t>
  </si>
  <si>
    <t>Yunanistan</t>
  </si>
  <si>
    <t>Ð“Ñ€ÐµÑ†Ñ–Ñ</t>
  </si>
  <si>
    <t>Hy Láº¡p</t>
  </si>
  <si>
    <t>å¸Œè…Š</t>
  </si>
  <si>
    <t>å¸Œè‡˜</t>
  </si>
  <si>
    <t>GRD</t>
  </si>
  <si>
    <t>Gren.</t>
  </si>
  <si>
    <t>GJ</t>
  </si>
  <si>
    <t>Q769</t>
  </si>
  <si>
    <t>ØºØ±ÙŠÙ†Ø§Ø¯Ø§</t>
  </si>
  <si>
    <t>à¦—à§à¦°à§‡à¦¨à¦¾à¦¡à¦¾</t>
  </si>
  <si>
    <t>Ú¯Ø±Ù†Ø§Ø¯Ø§</t>
  </si>
  <si>
    <t>Grenade</t>
  </si>
  <si>
    <t>Î“ÏÎµÎ½Î¬Î´Î±</t>
  </si>
  <si>
    <t>×’×¨× ×“×”</t>
  </si>
  <si>
    <t>à¤—à¥à¤°à¥‡à¤¨à¤¾à¤¡à¤¾</t>
  </si>
  <si>
    <t>ã‚°ãƒ¬ãƒŠãƒ€</t>
  </si>
  <si>
    <t>ê·¸ë ˆë‚˜ë‹¤</t>
  </si>
  <si>
    <t>Ð“Ñ€ÐµÐ½Ð°Ð´Ð°</t>
  </si>
  <si>
    <t>Ú¯Ø±ÛŒÙ†Ø§ÚˆØ§</t>
  </si>
  <si>
    <t>æ ¼æž—çº³è¾¾</t>
  </si>
  <si>
    <t>æ ¼ç‘žé‚£é”</t>
  </si>
  <si>
    <t>GTM</t>
  </si>
  <si>
    <t>Guat.</t>
  </si>
  <si>
    <t>Republic of Guatemala</t>
  </si>
  <si>
    <t>Q774</t>
  </si>
  <si>
    <t>ØºÙˆØ§ØªÙŠÙ…Ø§Ù„Ø§</t>
  </si>
  <si>
    <t>à¦—à§à¦¯à¦¼à¦¾à¦¤à§‡à¦®à¦¾à¦²à¦¾</t>
  </si>
  <si>
    <t>Ú¯ÙˆØ§ØªÙ…Ø§Ù„Ø§</t>
  </si>
  <si>
    <t>Î“Î¿Ï…Î±Ï„ÎµÎ¼Î¬Î»Î±</t>
  </si>
  <si>
    <t>×’×•××˜×ž×œ×”</t>
  </si>
  <si>
    <t>à¤—à¥à¤µà¤¾à¤Ÿà¥‡à¤®à¤¾à¤²à¤¾</t>
  </si>
  <si>
    <t>ã‚°ã‚¢ãƒ†ãƒžãƒ©</t>
  </si>
  <si>
    <t>ê³¼í…Œë§ë¼</t>
  </si>
  <si>
    <t>Gwatemala</t>
  </si>
  <si>
    <t>Ð“Ð²Ð°Ñ‚ÐµÐ¼Ð°Ð»Ð°</t>
  </si>
  <si>
    <t>Ú¯ÙˆØ§ØªÛŒÙ…Ø§Ù„Ø§</t>
  </si>
  <si>
    <t>å±åœ°é©¬æ‹‰</t>
  </si>
  <si>
    <t>ç“œåœ°é¦¬æ‹‰</t>
  </si>
  <si>
    <t>GIN</t>
  </si>
  <si>
    <t>Gin.</t>
  </si>
  <si>
    <t>Republic of Guinea</t>
  </si>
  <si>
    <t>GV</t>
  </si>
  <si>
    <t>Q1006</t>
  </si>
  <si>
    <t>ØºÙŠÙ†ÙŠØ§</t>
  </si>
  <si>
    <t>à¦—à¦¿à¦¨à¦¿</t>
  </si>
  <si>
    <t>Ú¯ÛŒÙ†Ù‡</t>
  </si>
  <si>
    <t>GuinÃ©e</t>
  </si>
  <si>
    <t>Î“Î¿Ï…Î¹Î½Î­Î±</t>
  </si>
  <si>
    <t>×’×™× ××”</t>
  </si>
  <si>
    <t>à¤—à¤¿à¤¨à¥€</t>
  </si>
  <si>
    <t>ã‚®ãƒ‹ã‚¢</t>
  </si>
  <si>
    <t>ê¸°ë‹ˆ</t>
  </si>
  <si>
    <t>Guinee</t>
  </si>
  <si>
    <t>Gwinea</t>
  </si>
  <si>
    <t>GuinÃ©</t>
  </si>
  <si>
    <t>Ð“Ð²Ð¸Ð½ÐµÑ</t>
  </si>
  <si>
    <t>Gine</t>
  </si>
  <si>
    <t>Ð“Ð²Ñ–Ð½ÐµÑ</t>
  </si>
  <si>
    <t>Ø¬Ù…ÛÙˆØ±ÛŒÛ Ú¯Ù†ÛŒ</t>
  </si>
  <si>
    <t>å‡ å†…äºš</t>
  </si>
  <si>
    <t>å¹¾å…§äºž</t>
  </si>
  <si>
    <t>GNB</t>
  </si>
  <si>
    <t>GnB.</t>
  </si>
  <si>
    <t>Republic of Guinea-Bissau</t>
  </si>
  <si>
    <t>PU</t>
  </si>
  <si>
    <t>Q1007</t>
  </si>
  <si>
    <t>ØºÙŠÙ†ÙŠØ§ Ø¨ÙŠØ³Ø§Ùˆ</t>
  </si>
  <si>
    <t>à¦—à¦¿à¦¨à¦¿-à¦¬à¦¿à¦¸à¦¾à¦‰</t>
  </si>
  <si>
    <t>Guinea-BisÃ¡u</t>
  </si>
  <si>
    <t>Ú¯ÛŒÙ†Ù‡ Ø¨ÛŒØ³Ø§Ø¦Ùˆ</t>
  </si>
  <si>
    <t>GuinÃ©e-Bissau</t>
  </si>
  <si>
    <t>Î“Î¿Ï…Î¹Î½Î­Î±-ÎœÏ€Î¹ÏƒÏƒÎ¬Î¿Ï…</t>
  </si>
  <si>
    <t>×’×™× ××” ×‘×™×¡××•</t>
  </si>
  <si>
    <t>à¤—à¤¿à¤¨à¥€-à¤¬à¤¿à¤¸à¤¾à¤Š</t>
  </si>
  <si>
    <t>Bissau-Guinea</t>
  </si>
  <si>
    <t>ã‚®ãƒ‹ã‚¢ãƒ“ã‚µã‚¦</t>
  </si>
  <si>
    <t>ê¸°ë‹ˆë¹„ì‚¬ìš°</t>
  </si>
  <si>
    <t>Guinee-Bissau</t>
  </si>
  <si>
    <t>Gwinea Bissau</t>
  </si>
  <si>
    <t>GuinÃ©-Bissau</t>
  </si>
  <si>
    <t>Ð“Ð²Ð¸Ð½ÐµÑ-Ð‘Ð¸ÑÐ°Ñƒ</t>
  </si>
  <si>
    <t>Gine-Bissau</t>
  </si>
  <si>
    <t>Ð“Ð²Ñ–Ð½ÐµÑ-Ð‘Ñ–ÑÐ°Ñƒ</t>
  </si>
  <si>
    <t>Ú¯Ù†ÛŒ Ø¨Ø³Ø§Ø¤</t>
  </si>
  <si>
    <t>å‡ å†…äºšæ¯”ç»</t>
  </si>
  <si>
    <t>å¹¾å…§äºžæ¯”ç´¢</t>
  </si>
  <si>
    <t>GUY</t>
  </si>
  <si>
    <t>Guy.</t>
  </si>
  <si>
    <t>Co-operative Republic of Guyana</t>
  </si>
  <si>
    <t>Q734</t>
  </si>
  <si>
    <t>ØºÙŠØ§Ù†Ø§</t>
  </si>
  <si>
    <t>à¦—à¦¾à¦¯à¦¼à¦¾à¦¨à¦¾</t>
  </si>
  <si>
    <t>Ú¯ÙˆÛŒØ§Ù†</t>
  </si>
  <si>
    <t>Î“Î¿Ï…Î¹Î¬Î½Î±</t>
  </si>
  <si>
    <t>×’×™×× ×”</t>
  </si>
  <si>
    <t>à¤—à¤¯à¤¾à¤¨à¤¾</t>
  </si>
  <si>
    <t>ã‚¬ã‚¤ã‚¢ãƒŠ</t>
  </si>
  <si>
    <t>ê°€ì´ì•„ë‚˜</t>
  </si>
  <si>
    <t>Gujana</t>
  </si>
  <si>
    <t>Guiana</t>
  </si>
  <si>
    <t>Ð“Ð°Ð¹Ð°Ð½Ð°</t>
  </si>
  <si>
    <t>Ð“Ð°ÑÐ½Ð°</t>
  </si>
  <si>
    <t>Ú¯ÛŒØ§Ù†Ø§</t>
  </si>
  <si>
    <t>åœ­äºšé‚£</t>
  </si>
  <si>
    <t>åœ­äºžé‚£</t>
  </si>
  <si>
    <t>HTI</t>
  </si>
  <si>
    <t>Republic of Haiti</t>
  </si>
  <si>
    <t>HA</t>
  </si>
  <si>
    <t>Q790</t>
  </si>
  <si>
    <t>Ù‡Ø§ÙŠØªÙŠ</t>
  </si>
  <si>
    <t>à¦¹à¦¾à¦‡à¦¤à¦¿</t>
  </si>
  <si>
    <t>HaitÃ­</t>
  </si>
  <si>
    <t>Ù‡Ø§Ø¦ÛŒØªÛŒ</t>
  </si>
  <si>
    <t>HaÃ¯ti</t>
  </si>
  <si>
    <t>Î‘ÏŠÏ„Î®</t>
  </si>
  <si>
    <t>×”××™×˜×™</t>
  </si>
  <si>
    <t>à¤¹à¥ˆà¤¤à¥€</t>
  </si>
  <si>
    <t>ãƒã‚¤ãƒ</t>
  </si>
  <si>
    <t>ì•„ì´í‹°</t>
  </si>
  <si>
    <t>Ð ÐµÑÐ¿ÑƒÐ±Ð»Ð¸ÐºÐ° Ð“Ð°Ð¸Ñ‚Ð¸</t>
  </si>
  <si>
    <t>Ð“Ð°Ñ—Ñ‚Ñ–</t>
  </si>
  <si>
    <t>ÛÛŒÙ¹ÛŒ</t>
  </si>
  <si>
    <t>æµ·åœ°</t>
  </si>
  <si>
    <t>HND</t>
  </si>
  <si>
    <t>Hond.</t>
  </si>
  <si>
    <t>Republic of Honduras</t>
  </si>
  <si>
    <t>HO</t>
  </si>
  <si>
    <t>Q783</t>
  </si>
  <si>
    <t>Ù‡Ù†Ø¯ÙˆØ±Ø§Ø³</t>
  </si>
  <si>
    <t>à¦¹à¦¨à§à¦¡à§à¦°à¦¾à¦¸</t>
  </si>
  <si>
    <t>ÎŸÎ½Î´Î¿ÏÏÎ±</t>
  </si>
  <si>
    <t>×”×•× ×“×•×¨×¡</t>
  </si>
  <si>
    <t>à¤¹à¥Œà¤£à¥à¤¡à¥à¤°à¤¸</t>
  </si>
  <si>
    <t>ãƒ›ãƒ³ã‚¸ãƒ¥ãƒ©ã‚¹</t>
  </si>
  <si>
    <t>ì˜¨ë‘ë¼ìŠ¤</t>
  </si>
  <si>
    <t>Ð“Ð¾Ð½Ð´ÑƒÑ€Ð°Ñ</t>
  </si>
  <si>
    <t>ÛÙˆÙ†ÚˆÙˆØ±Ø§Ø³</t>
  </si>
  <si>
    <t>æ´ªéƒ½æ‹‰æ–¯</t>
  </si>
  <si>
    <t>å®éƒ½æ‹‰æ–¯</t>
  </si>
  <si>
    <t>HUN</t>
  </si>
  <si>
    <t>Hun.</t>
  </si>
  <si>
    <t>Republic of Hungary</t>
  </si>
  <si>
    <t>Q28</t>
  </si>
  <si>
    <t>Ø§Ù„Ù…Ø¬Ø±</t>
  </si>
  <si>
    <t>à¦¹à¦¾à¦™à§à¦—à§‡à¦°à¦¿</t>
  </si>
  <si>
    <t>Ungarn</t>
  </si>
  <si>
    <t>HungrÃ­a</t>
  </si>
  <si>
    <t>Ù…Ø¬Ø§Ø±Ø³ØªØ§Ù†</t>
  </si>
  <si>
    <t>Hongrie</t>
  </si>
  <si>
    <t>ÎŸÏ…Î³Î³Î±ÏÎ¯Î±</t>
  </si>
  <si>
    <t>×”×•× ×’×¨×™×”</t>
  </si>
  <si>
    <t>à¤¹à¤‚à¤—à¤°à¥€</t>
  </si>
  <si>
    <t>MagyarorszÃ¡g</t>
  </si>
  <si>
    <t>Hongaria</t>
  </si>
  <si>
    <t>Ungheria</t>
  </si>
  <si>
    <t>ãƒãƒ³ã‚¬ãƒªãƒ¼</t>
  </si>
  <si>
    <t>í—ê°€ë¦¬</t>
  </si>
  <si>
    <t>Hongarije</t>
  </si>
  <si>
    <t>WÄ™gry</t>
  </si>
  <si>
    <t>Hungria</t>
  </si>
  <si>
    <t>Ð’ÐµÐ½Ð³Ñ€Ð¸Ñ</t>
  </si>
  <si>
    <t>Ungern</t>
  </si>
  <si>
    <t>Macaristan</t>
  </si>
  <si>
    <t>Ð£Ð³Ð¾Ñ€Ñ‰Ð¸Ð½Ð°</t>
  </si>
  <si>
    <t>ÛÙ†Ú¯Ø±ÛŒ</t>
  </si>
  <si>
    <t>åŒˆç‰™åˆ©</t>
  </si>
  <si>
    <t>ISL</t>
  </si>
  <si>
    <t>Republic of Iceland</t>
  </si>
  <si>
    <t>Q189</t>
  </si>
  <si>
    <t>Ø¢ÙŠØ³Ù„Ù†Ø¯Ø§</t>
  </si>
  <si>
    <t>à¦†à¦‡à¦¸à¦²à§à¦¯à¦¾à¦¨à§à¦¡</t>
  </si>
  <si>
    <t>Island</t>
  </si>
  <si>
    <t>Islandia</t>
  </si>
  <si>
    <t>Ø§ÛŒØ³Ù„Ù†Ø¯</t>
  </si>
  <si>
    <t>Islande</t>
  </si>
  <si>
    <t>Î™ÏƒÎ»Î±Î½Î´Î¯Î±</t>
  </si>
  <si>
    <t>××™×¡×œ× ×“</t>
  </si>
  <si>
    <t>à¤†à¤‡à¤¸à¤²à¥ˆà¤£à¥à¤¡</t>
  </si>
  <si>
    <t>Izland</t>
  </si>
  <si>
    <t>Islanda</t>
  </si>
  <si>
    <t>ã‚¢ã‚¤ã‚¹ãƒ©ãƒ³ãƒ‰</t>
  </si>
  <si>
    <t>ì•„ì´ìŠ¬ëž€ë“œ</t>
  </si>
  <si>
    <t>IJsland</t>
  </si>
  <si>
    <t>IslÃ¢ndia</t>
  </si>
  <si>
    <t>Ð˜ÑÐ»Ð°Ð½Ð´Ð¸Ñ</t>
  </si>
  <si>
    <t>Ä°zlanda</t>
  </si>
  <si>
    <t>Ð†ÑÐ»Ð°Ð½Ð´Ñ–Ñ</t>
  </si>
  <si>
    <t>Ø¢Ø¦Ø³ Ù„ÛŒÙ†Úˆ</t>
  </si>
  <si>
    <t>å†°å²›</t>
  </si>
  <si>
    <t>å†°å³¶</t>
  </si>
  <si>
    <t>IND</t>
  </si>
  <si>
    <t>Republic of India</t>
  </si>
  <si>
    <t>Q668</t>
  </si>
  <si>
    <t>Ø§Ù„Ù‡Ù†Ø¯</t>
  </si>
  <si>
    <t>à¦­à¦¾à¦°à¦¤</t>
  </si>
  <si>
    <t>Indien</t>
  </si>
  <si>
    <t>Ù‡Ù†Ø¯</t>
  </si>
  <si>
    <t>Inde</t>
  </si>
  <si>
    <t>Î™Î½Î´Î¯Î±</t>
  </si>
  <si>
    <t>×”×•×“×•</t>
  </si>
  <si>
    <t>à¤­à¤¾à¤°à¤¤</t>
  </si>
  <si>
    <t>ã‚¤ãƒ³ãƒ‰</t>
  </si>
  <si>
    <t>ì¸ë„</t>
  </si>
  <si>
    <t>Indie</t>
  </si>
  <si>
    <t>Ãndia</t>
  </si>
  <si>
    <t>Ð˜Ð½Ð´Ð¸Ñ</t>
  </si>
  <si>
    <t>Hindistan</t>
  </si>
  <si>
    <t>Ð†Ð½Ð´Ñ–Ñ</t>
  </si>
  <si>
    <t>Ø¨Ú¾Ø§Ø±Øª</t>
  </si>
  <si>
    <t>áº¤n Äá»™</t>
  </si>
  <si>
    <t>å°åº¦</t>
  </si>
  <si>
    <t>IDN</t>
  </si>
  <si>
    <t>Indo.</t>
  </si>
  <si>
    <t>INDO</t>
  </si>
  <si>
    <t>Republic of Indonesia</t>
  </si>
  <si>
    <t>4. Emerging region: MIKT</t>
  </si>
  <si>
    <t>Q252</t>
  </si>
  <si>
    <t>Ø¥Ù†Ø¯ÙˆÙ†ÙŠØ³ÙŠØ§</t>
  </si>
  <si>
    <t>à¦‡à¦¨à§à¦¦à§‹à¦¨à§‡à¦¶à¦¿à¦¯à¦¼à¦¾</t>
  </si>
  <si>
    <t>Indonesien</t>
  </si>
  <si>
    <t>Ø§Ù†Ø¯ÙˆÙ†Ø²ÛŒ</t>
  </si>
  <si>
    <t>IndonÃ©sie</t>
  </si>
  <si>
    <t>Î™Î½Î´Î¿Î½Î·ÏƒÎ¯Î±</t>
  </si>
  <si>
    <t>××™× ×“×•× ×–×™×”</t>
  </si>
  <si>
    <t>à¤‡à¤‚à¤¡à¥‹à¤¨à¥‡à¤¶à¤¿à¤¯à¤¾</t>
  </si>
  <si>
    <t>IndonÃ©zia</t>
  </si>
  <si>
    <t>ã‚¤ãƒ³ãƒ‰ãƒã‚·ã‚¢</t>
  </si>
  <si>
    <t>ì¸ë„ë„¤ì‹œì•„</t>
  </si>
  <si>
    <t>IndonesiÃ«</t>
  </si>
  <si>
    <t>Indonezja</t>
  </si>
  <si>
    <t>IndonÃ©sia</t>
  </si>
  <si>
    <t>Ð˜Ð½Ð´Ð¾Ð½ÐµÐ·Ð¸Ñ</t>
  </si>
  <si>
    <t>Endonezya</t>
  </si>
  <si>
    <t>Ð†Ð½Ð´Ð¾Ð½ÐµÐ·Ñ–Ñ</t>
  </si>
  <si>
    <t>Ø§Ù†ÚˆÙˆÙ†ÛŒØ´ÛŒØ§</t>
  </si>
  <si>
    <t>å°åº¦å°¼è¥¿äºš</t>
  </si>
  <si>
    <t>å°åº¦å°¼è¥¿äºž</t>
  </si>
  <si>
    <t>IRN</t>
  </si>
  <si>
    <t>Islamic Republic of Iran</t>
  </si>
  <si>
    <t>Iran, Islamic Rep.</t>
  </si>
  <si>
    <t>Q794</t>
  </si>
  <si>
    <t>Ø¥ÙŠØ±Ø§Ù†</t>
  </si>
  <si>
    <t>à¦‡à¦°à¦¾à¦¨</t>
  </si>
  <si>
    <t>IrÃ¡n</t>
  </si>
  <si>
    <t>Ø§ÛŒØ±Ø§Ù†</t>
  </si>
  <si>
    <t>Î™ÏÎ¬Î½</t>
  </si>
  <si>
    <t>××™×¨××Ÿ</t>
  </si>
  <si>
    <t>à¤ˆà¤°à¤¾à¤¨</t>
  </si>
  <si>
    <t>ã‚¤ãƒ©ãƒ³</t>
  </si>
  <si>
    <t>ì´ëž€</t>
  </si>
  <si>
    <t>IrÃ£o</t>
  </si>
  <si>
    <t>Ð˜Ñ€Ð°Ð½</t>
  </si>
  <si>
    <t>Ä°ran</t>
  </si>
  <si>
    <t>Ð†Ñ€Ð°Ð½</t>
  </si>
  <si>
    <t>ä¼Šæœ—</t>
  </si>
  <si>
    <t>IRQ</t>
  </si>
  <si>
    <t>Republic of Iraq</t>
  </si>
  <si>
    <t>IZ</t>
  </si>
  <si>
    <t>Q796</t>
  </si>
  <si>
    <t>Ø§Ù„Ø¹Ø±Ø§Ù‚</t>
  </si>
  <si>
    <t>à¦‡à¦°à¦¾à¦•</t>
  </si>
  <si>
    <t>Irak</t>
  </si>
  <si>
    <t>Ø¹Ø±Ø§Ù‚</t>
  </si>
  <si>
    <t>Î™ÏÎ¬Îº</t>
  </si>
  <si>
    <t>×¢×™×¨××§</t>
  </si>
  <si>
    <t>à¤‡à¤°à¤¾à¤•</t>
  </si>
  <si>
    <t>ã‚¤ãƒ©ã‚¯</t>
  </si>
  <si>
    <t>ì´ë¼í¬</t>
  </si>
  <si>
    <t>Iraque</t>
  </si>
  <si>
    <t>Ð˜Ñ€Ð°Ðº</t>
  </si>
  <si>
    <t>Ð†Ñ€Ð°Ðº</t>
  </si>
  <si>
    <t>ä¼Šæ‹‰å…‹</t>
  </si>
  <si>
    <t>IRL</t>
  </si>
  <si>
    <t>Ire.</t>
  </si>
  <si>
    <t>EI</t>
  </si>
  <si>
    <t>Q27</t>
  </si>
  <si>
    <t>Ø¬Ù…Ù‡ÙˆØ±ÙŠØ© Ø£ÙŠØ±Ù„Ù†Ø¯Ø§</t>
  </si>
  <si>
    <t>à¦ªà§à¦°à¦œà¦¾à¦¤à¦¨à§à¦¤à§à¦°à§€ à¦†à¦¯à¦¼à¦¾à¦°à¦²à§à¦¯à¦¾à¦¨à§à¦¡</t>
  </si>
  <si>
    <t>Irland</t>
  </si>
  <si>
    <t>Irlanda</t>
  </si>
  <si>
    <t>Ø§ÛŒØ±Ù„Ù†Ø¯</t>
  </si>
  <si>
    <t>Irlande</t>
  </si>
  <si>
    <t>Î”Î·Î¼Î¿ÎºÏÎ±Ï„Î¯Î± Ï„Î·Ï‚ Î™ÏÎ»Î±Î½Î´Î¯Î±Ï‚</t>
  </si>
  <si>
    <t>××™×¨×œ× ×“</t>
  </si>
  <si>
    <t>à¤†à¤¯à¤°à¤²à¥ˆà¤£à¥à¤¡</t>
  </si>
  <si>
    <t>ÃrorszÃ¡g</t>
  </si>
  <si>
    <t>Republik Irlandia</t>
  </si>
  <si>
    <t>ã‚¢ã‚¤ãƒ«ãƒ©ãƒ³ãƒ‰</t>
  </si>
  <si>
    <t>ì•„ì¼ëžœë“œ</t>
  </si>
  <si>
    <t>Ierland</t>
  </si>
  <si>
    <t>Irlandia</t>
  </si>
  <si>
    <t>RepÃºblica da Irlanda</t>
  </si>
  <si>
    <t>Ð˜Ñ€Ð»Ð°Ð½Ð´Ð¸Ñ</t>
  </si>
  <si>
    <t>Ä°rlanda</t>
  </si>
  <si>
    <t>Ð†Ñ€Ð»Ð°Ð½Ð´Ñ–Ñ</t>
  </si>
  <si>
    <t>Ø¬Ù…ÛÙˆØ±ÛŒÛ Ø¢Ø¦Ø±Ù„ÛŒÙ†Úˆ</t>
  </si>
  <si>
    <t>Cá»™ng hÃ²a Ireland</t>
  </si>
  <si>
    <t>çˆ±å°”å…°</t>
  </si>
  <si>
    <t>æ„›çˆ¾è˜­</t>
  </si>
  <si>
    <t>French Southern and Antarctic Lands</t>
  </si>
  <si>
    <t>ATF</t>
  </si>
  <si>
    <t>Fr. S. and Antarctic Lands</t>
  </si>
  <si>
    <t>Fr. S.A.L.</t>
  </si>
  <si>
    <t>Territory of the French Southern and Antarctic Lands</t>
  </si>
  <si>
    <t>FS</t>
  </si>
  <si>
    <t>Q129003</t>
  </si>
  <si>
    <t>Ø£Ø±Ø§Ø¶ ÙØ±Ù†Ø³ÙŠØ© Ø¬Ù†ÙˆØ¨ÙŠØ© ÙˆØ£Ù†ØªØ§Ø±ØªÙŠÙƒÙŠØ©</t>
  </si>
  <si>
    <t>à¦«à§à¦°. à¦à¦¸. à¦…à§à¦¯à¦¾à¦¨à§à¦¡ à¦…à§à¦¯à¦¾à¦¨à§à¦Ÿà¦¾à¦°à§à¦•à¦Ÿà¦¿à¦• à¦²à§à¦¯à¦¾à¦¨à§à¦¡</t>
  </si>
  <si>
    <t>FranzÃ¶sische SÃ¼d- und Antarktisgebiete</t>
  </si>
  <si>
    <t>Tierras Australes y AntÃ¡rticas Francesas</t>
  </si>
  <si>
    <t>Ø³Ø±Ø²Ù…ÛŒÙ†Ù‡Ø§ÛŒ Ø¬Ù†ÙˆØ¨ÛŒ Ùˆ Ø¬Ù†ÙˆØ¨Ú¯Ø§Ù†ÛŒ ÙØ±Ø§Ù†Ø³Ù‡</t>
  </si>
  <si>
    <t>Terres australes et antarctiques franÃ§aises</t>
  </si>
  <si>
    <t>Î“Î±Î»Î»Î¹ÎºÎ¬ ÎÏŒÏ„Î¹Î± ÎºÎ±Î¹ Î‘Î½Ï„Î±ÏÎºÏ„Î¹ÎºÎ¬ Î•Î´Î¬Ï†Î·</t>
  </si>
  <si>
    <t>×”××¨×¦×•×ª ×”×“×¨×•×ž×™×•×ª ×•×”×× ×˜××¨×§×˜×™×•×ª ×©×œ ×¦×¨×¤×ª</t>
  </si>
  <si>
    <t>à¤¦à¤•à¥à¤·à¤¿à¤£ à¤«à¥à¤°à¤¾à¤‚à¤¸à¥€à¤¸à¥€ à¤”à¤° à¤…à¤‚à¤Ÿà¤¾à¤°à¥à¤•à¤Ÿà¤¿à¤• à¤²à¥ˆà¤‚à¤¡</t>
  </si>
  <si>
    <t>Francia dÃ©li Ã©s antarktiszi terÃ¼letek</t>
  </si>
  <si>
    <t>Daratan Selatan dan Antarktika Perancis</t>
  </si>
  <si>
    <t>Terre australi e antartiche francesi</t>
  </si>
  <si>
    <t>ãƒ•ãƒ©ãƒ³ã‚¹é ˜å—æ–¹ãƒ»å—æ¥µåœ°åŸŸ</t>
  </si>
  <si>
    <t>í”„ëž‘ìŠ¤ë ¹ ë‚¨ë°© ë° ë‚¨ê·¹</t>
  </si>
  <si>
    <t>Franse Zuidelijke Gebieden</t>
  </si>
  <si>
    <t>Francuskie Terytoria PoÅ‚udniowe i Antarktyczne</t>
  </si>
  <si>
    <t>Terras Austrais e AntÃ¡rticas Francesas</t>
  </si>
  <si>
    <t>Ð¤Ñ€Ð°Ð½Ñ†ÑƒÐ·ÑÐºÐ¸Ðµ Ð®Ð¶Ð½Ñ‹Ðµ Ð¸ ÐÐ½Ñ‚Ð°Ñ€ÐºÑ‚Ð¸Ñ‡ÐµÑÐºÐ¸Ðµ Ñ‚ÐµÑ€Ñ€Ð¸Ñ‚Ð¾Ñ€Ð¸Ð¸</t>
  </si>
  <si>
    <t>Franska sydterritorierna</t>
  </si>
  <si>
    <t>FransÄ±z GÃ¼ney ve Antarktika TopraklarÄ±</t>
  </si>
  <si>
    <t>Ð¤Ñ€Ð°Ð½Ñ†ÑƒÐ·ÑŒÐºÑ– ÐŸÑ–Ð²Ð´ÐµÐ½Ð½Ñ– Ñ– ÐÐ½Ñ‚Ð°Ñ€ÐºÑ‚Ð¸Ñ‡Ð½Ñ– Ñ‚ÐµÑ€Ð¸Ñ‚Ð¾Ñ€Ñ–Ñ—</t>
  </si>
  <si>
    <t>Ø³Ø±Ø²Ù…ÛŒÙ† Ø¬Ù†ÙˆØ¨ÛŒ ÙØ±Ø§Ù†Ø³ÛŒØ³ÛŒÛ Ùˆ Ø§Ù†Ù¹Ø§Ø±Ú©Ù¹ÛŒÚ©Ø§</t>
  </si>
  <si>
    <t>VÃ¹ng Ä‘áº¥t phÃ­a Nam vÃ  chÃ¢u Nam Cá»±c thuá»™c PhÃ¡p</t>
  </si>
  <si>
    <t>æ³•å±žå—éƒ¨å’Œå—æžé¢†åœ°</t>
  </si>
  <si>
    <t>æ³•å±¬å—éƒ¨å’Œå—æ¥µé ˜åœ°</t>
  </si>
  <si>
    <t>GIB</t>
  </si>
  <si>
    <t>B55</t>
  </si>
  <si>
    <t>Gib.</t>
  </si>
  <si>
    <t>Admin. By U.K.; Claimed by Spain</t>
  </si>
  <si>
    <t>Q1410</t>
  </si>
  <si>
    <t>Ø¬Ø¨Ù„ Ø·Ø§Ø±Ù‚</t>
  </si>
  <si>
    <t>à¦œà¦¿à¦¬à§à¦°à¦¾à¦²à§à¦Ÿà¦¾à¦°</t>
  </si>
  <si>
    <t>Î“Î¹Î²ÏÎ±Î»Ï„Î¬Ï</t>
  </si>
  <si>
    <t>×’×™×‘×¨×œ×˜×¨</t>
  </si>
  <si>
    <t>à¤œà¤¿à¤¬à¥à¤°à¤¾à¤²à¥à¤Ÿà¤°</t>
  </si>
  <si>
    <t>GibraltÃ¡r</t>
  </si>
  <si>
    <t>Gibilterra</t>
  </si>
  <si>
    <t>ã‚¸ãƒ–ãƒ©ãƒ«ã‚¿ãƒ«</t>
  </si>
  <si>
    <t>ì§€ë¸Œë¡¤í„°</t>
  </si>
  <si>
    <t>Ð“Ð¸Ð±Ñ€Ð°Ð»Ñ‚Ð°Ñ€</t>
  </si>
  <si>
    <t>CebelitarÄ±k</t>
  </si>
  <si>
    <t>Ð“Ñ–Ð±Ñ€Ð°Ð»Ñ‚Ð°Ñ€</t>
  </si>
  <si>
    <t>Ø¬Ø¨Ù„ Ø§Ù„Ø·Ø§Ø±Ù‚</t>
  </si>
  <si>
    <t>ç›´å¸ƒç½—é™€</t>
  </si>
  <si>
    <t>ç›´å¸ƒç¾…é™€</t>
  </si>
  <si>
    <t>ITA</t>
  </si>
  <si>
    <t>I</t>
  </si>
  <si>
    <t>Italian Republic</t>
  </si>
  <si>
    <t>Q38</t>
  </si>
  <si>
    <t>Ø¥ÙŠØ·Ø§Ù„ÙŠØ§</t>
  </si>
  <si>
    <t>à¦‡à¦¤à¦¾à¦²à¦¿</t>
  </si>
  <si>
    <t>Italien</t>
  </si>
  <si>
    <t>Italia</t>
  </si>
  <si>
    <t>Ø§ÛŒØªØ§Ù„ÛŒØ§</t>
  </si>
  <si>
    <t>Italie</t>
  </si>
  <si>
    <t>Î™Ï„Î±Î»Î¯Î±</t>
  </si>
  <si>
    <t>××™×˜×œ×™×”</t>
  </si>
  <si>
    <t>à¤‡à¤Ÿà¤²à¥€</t>
  </si>
  <si>
    <t>OlaszorszÃ¡g</t>
  </si>
  <si>
    <t>ã‚¤ã‚¿ãƒªã‚¢</t>
  </si>
  <si>
    <t>ì´íƒˆë¦¬ì•„</t>
  </si>
  <si>
    <t>ItaliÃ«</t>
  </si>
  <si>
    <t>WÅ‚ochy</t>
  </si>
  <si>
    <t>ItÃ¡lia</t>
  </si>
  <si>
    <t>Ð˜Ñ‚Ð°Ð»Ð¸Ñ</t>
  </si>
  <si>
    <t>Ä°talya</t>
  </si>
  <si>
    <t>Ð†Ñ‚Ð°Ð»Ñ–Ñ</t>
  </si>
  <si>
    <t>Ø§Ø·Ø§Ù„ÛŒÛ</t>
  </si>
  <si>
    <t>Ã</t>
  </si>
  <si>
    <t>æ„å¤§åˆ©</t>
  </si>
  <si>
    <t>ç¾©å¤§åˆ©</t>
  </si>
  <si>
    <t>Ivory Coast</t>
  </si>
  <si>
    <t>CIV</t>
  </si>
  <si>
    <t>CÃ´te d'Ivoire</t>
  </si>
  <si>
    <t>I.C.</t>
  </si>
  <si>
    <t>Republic of Ivory Coast</t>
  </si>
  <si>
    <t>Republic of Cote D'Ivoire</t>
  </si>
  <si>
    <t>Cote D'ivoire</t>
  </si>
  <si>
    <t>IV</t>
  </si>
  <si>
    <t>Q1008</t>
  </si>
  <si>
    <t>Ø³Ø§Ø­Ù„ Ø§Ù„Ø¹Ø§Ø¬</t>
  </si>
  <si>
    <t>à¦•à§‹à¦¤ à¦¦à¦¿à¦­à§‹à¦¯à¦¼à¦¾à¦°</t>
  </si>
  <si>
    <t>ElfenbeinkÃ¼ste</t>
  </si>
  <si>
    <t>Costa de Marfil</t>
  </si>
  <si>
    <t>Ø³Ø§Ø­Ù„ Ø¹Ø§Ø¬</t>
  </si>
  <si>
    <t>Î‘ÎºÏ„Î® Î•Î»ÎµÏ†Î±Î½Ï„Î¿ÏƒÏ„Î¿Ï</t>
  </si>
  <si>
    <t>×—×•×£ ×”×©× ×”×‘</t>
  </si>
  <si>
    <t>à¤•à¥‹à¤¤ à¤¦à¤¿à¤µà¥à¤µà¤¾à¤°</t>
  </si>
  <si>
    <t>ElefÃ¡ntcsontpart</t>
  </si>
  <si>
    <t>Pantai Gading</t>
  </si>
  <si>
    <t>Costa d'Avorio</t>
  </si>
  <si>
    <t>ã‚³ãƒ¼ãƒˆã‚¸ãƒœãƒ¯ãƒ¼ãƒ«</t>
  </si>
  <si>
    <t>ì½”íŠ¸ë””ë¶€ì•„ë¥´</t>
  </si>
  <si>
    <t>Ivoorkust</t>
  </si>
  <si>
    <t>WybrzeÅ¼e KoÅ›ci SÅ‚oniowej</t>
  </si>
  <si>
    <t>Costa do Marfim</t>
  </si>
  <si>
    <t>ÐšÐ¾Ñ‚-Ð´â€™Ð˜Ð²ÑƒÐ°Ñ€</t>
  </si>
  <si>
    <t>Elfenbenskusten</t>
  </si>
  <si>
    <t>FildiÅŸi Sahili</t>
  </si>
  <si>
    <t>ÐšÐ¾Ñ‚-Ð´'Ð†Ð²ÑƒÐ°Ñ€</t>
  </si>
  <si>
    <t>Ú©ÙˆØª Ø¯Ø§ÙˆÙˆØ§Øº</t>
  </si>
  <si>
    <t>Bá» Biá»ƒn NgÃ </t>
  </si>
  <si>
    <t>ç§‘ç‰¹è¿ªç“¦</t>
  </si>
  <si>
    <t>è±¡ç‰™æµ·å²¸</t>
  </si>
  <si>
    <t>JAM</t>
  </si>
  <si>
    <t>Jam.</t>
  </si>
  <si>
    <t>J</t>
  </si>
  <si>
    <t>Q766</t>
  </si>
  <si>
    <t>Ø¬Ø§Ù…Ø§ÙŠÙƒØ§</t>
  </si>
  <si>
    <t>à¦œà§à¦¯à¦¾à¦®à¦¾à¦‡à¦•à¦¾</t>
  </si>
  <si>
    <t>Jamaika</t>
  </si>
  <si>
    <t>Ø¬Ø§Ù…Ø§Ø¦ÛŒÚ©Ø§</t>
  </si>
  <si>
    <t>JamaÃ¯que</t>
  </si>
  <si>
    <t>Î¤Î¶Î±Î¼Î¬Î¹ÎºÎ±</t>
  </si>
  <si>
    <t>×’'×ž×™×™×§×”</t>
  </si>
  <si>
    <t>à¤œà¤®à¥ˆà¤•à¤¾</t>
  </si>
  <si>
    <t>Giamaica</t>
  </si>
  <si>
    <t>ã‚¸ãƒ£ãƒžã‚¤ã‚«</t>
  </si>
  <si>
    <t>ìžë©”ì´ì¹´</t>
  </si>
  <si>
    <t>Jamajka</t>
  </si>
  <si>
    <t>Ð¯Ð¼Ð°Ð¹ÐºÐ°</t>
  </si>
  <si>
    <t>Ø¬Ù…ÛŒÚ©Ø§</t>
  </si>
  <si>
    <t>ç‰™ä¹°åŠ </t>
  </si>
  <si>
    <t>ç‰™è²·åŠ </t>
  </si>
  <si>
    <t>JPN</t>
  </si>
  <si>
    <t>JA</t>
  </si>
  <si>
    <t>Q17</t>
  </si>
  <si>
    <t>Ø§Ù„ÙŠØ§Ø¨Ø§Ù†</t>
  </si>
  <si>
    <t>à¦œà¦¾à¦ªà¦¾à¦¨</t>
  </si>
  <si>
    <t>JapÃ³n</t>
  </si>
  <si>
    <t>Ú˜Ø§Ù¾Ù†</t>
  </si>
  <si>
    <t>Japon</t>
  </si>
  <si>
    <t>Î™Î±Ï€Ï‰Î½Î¯Î±</t>
  </si>
  <si>
    <t>×™×¤×Ÿ</t>
  </si>
  <si>
    <t>à¤œà¤¾à¤ªà¤¾à¤¨</t>
  </si>
  <si>
    <t>JapÃ¡n</t>
  </si>
  <si>
    <t>Jepang</t>
  </si>
  <si>
    <t>Giappone</t>
  </si>
  <si>
    <t>æ—¥æœ¬</t>
  </si>
  <si>
    <t>ì¼ë³¸</t>
  </si>
  <si>
    <t>Japonia</t>
  </si>
  <si>
    <t>JapÃ£o</t>
  </si>
  <si>
    <t>Ð¯Ð¿Ð¾Ð½Ð¸Ñ</t>
  </si>
  <si>
    <t>Japonya</t>
  </si>
  <si>
    <t>Ð¯Ð¿Ð¾Ð½Ñ–Ñ</t>
  </si>
  <si>
    <t>Ø¬Ø§Ù¾Ø§Ù†</t>
  </si>
  <si>
    <t>Nháº­t Báº£n</t>
  </si>
  <si>
    <t>JOR</t>
  </si>
  <si>
    <t>Jord.</t>
  </si>
  <si>
    <t>Hashemite Kingdom of Jordan</t>
  </si>
  <si>
    <t>Q810</t>
  </si>
  <si>
    <t>Ø§Ù„Ø£Ø±Ø¯Ù†</t>
  </si>
  <si>
    <t>à¦œà¦°à§à¦¡à¦¾à¦¨</t>
  </si>
  <si>
    <t>Jordanien</t>
  </si>
  <si>
    <t>Jordania</t>
  </si>
  <si>
    <t>Ø§Ø±Ø¯Ù†</t>
  </si>
  <si>
    <t>Jordanie</t>
  </si>
  <si>
    <t>Î™Î¿ÏÎ´Î±Î½Î¯Î±</t>
  </si>
  <si>
    <t>×™×¨×“×Ÿ</t>
  </si>
  <si>
    <t>à¤œà¥‰à¤°à¥à¤¡à¤¨</t>
  </si>
  <si>
    <t>JordÃ¡nia</t>
  </si>
  <si>
    <t>Yordania</t>
  </si>
  <si>
    <t>Giordania</t>
  </si>
  <si>
    <t>ãƒ¨ãƒ«ãƒ€ãƒ³</t>
  </si>
  <si>
    <t>ìš”ë¥´ë‹¨</t>
  </si>
  <si>
    <t>JordaniÃ«</t>
  </si>
  <si>
    <t>JordÃ¢nia</t>
  </si>
  <si>
    <t>Ð˜Ð¾Ñ€Ð´Ð°Ð½Ð¸Ñ</t>
  </si>
  <si>
    <t>ÃœrdÃ¼n</t>
  </si>
  <si>
    <t>Ð™Ð¾Ñ€Ð´Ð°Ð½Ñ–Ñ</t>
  </si>
  <si>
    <t>çº¦æ—¦</t>
  </si>
  <si>
    <t>ç´„æ—¦</t>
  </si>
  <si>
    <t>Kashmir</t>
  </si>
  <si>
    <t>KAS</t>
  </si>
  <si>
    <t>Siachen Glacier</t>
  </si>
  <si>
    <t>B45</t>
  </si>
  <si>
    <t>Jammu and Kashmir</t>
  </si>
  <si>
    <t>Siachen</t>
  </si>
  <si>
    <t>Claimed by Pakistan and India</t>
  </si>
  <si>
    <t>PAK</t>
  </si>
  <si>
    <t>Q333946</t>
  </si>
  <si>
    <t>Ù†Ù‡Ø± Ø³ÙŠØ§ØªØ´Ù† Ø§Ù„Ø¬Ù„ÙŠØ¯ÙŠ</t>
  </si>
  <si>
    <t>à¦¸à¦¿à¦¯à¦¼à¦¾à¦šà§‡à¦¨ à¦¹à¦¿à¦®à¦¬à¦¾à¦¹</t>
  </si>
  <si>
    <t>Siachen-Gletscher</t>
  </si>
  <si>
    <t>Glaciar de Siachen</t>
  </si>
  <si>
    <t>ÛŒØ®Ú†Ø§Ù„ Ø³ÛŒØ§Ú†Ù†</t>
  </si>
  <si>
    <t>glacier de Siachen</t>
  </si>
  <si>
    <t>Î Î±Î³ÎµÏ„ÏŽÎ½Î±Ï‚ Î£Î¹Î±Ï„ÏƒÎ­Î½</t>
  </si>
  <si>
    <t>×§×¨×—×•×Ÿ ×¡×™××¦'×Ÿ</t>
  </si>
  <si>
    <t>à¤¸à¤¿à¤¯à¤¾à¤šà¥€à¤¨</t>
  </si>
  <si>
    <t>Siachen-gleccser</t>
  </si>
  <si>
    <t>ghiacciaio Siachen</t>
  </si>
  <si>
    <t>ã‚·ã‚¢ãƒã‚§ãƒ³æ°·æ²³</t>
  </si>
  <si>
    <t>ì‹œì•„ì²¸ ë¹™í•˜</t>
  </si>
  <si>
    <t>Siachengletsjer</t>
  </si>
  <si>
    <t>Lodowiec Siachen</t>
  </si>
  <si>
    <t>Ð¡Ð¸Ð°Ñ‡ÐµÐ½</t>
  </si>
  <si>
    <t>Siachen GlaciÃ¤ren</t>
  </si>
  <si>
    <t>Siachen Buzulu</t>
  </si>
  <si>
    <t>Ð¡Ñ–Ð°Ñ‡ÐµÐ½</t>
  </si>
  <si>
    <t>Ø³ÛŒØ§Ú†Ù† Ú¯Ù„ÛŒØ´ÛŒØ±</t>
  </si>
  <si>
    <t>SÃ´ng bÄƒng Siachen</t>
  </si>
  <si>
    <t>é”¡äºšç´å†°å·</t>
  </si>
  <si>
    <t>éŒ«äºžç´å†°å·</t>
  </si>
  <si>
    <t>GRL</t>
  </si>
  <si>
    <t>Grlnd.</t>
  </si>
  <si>
    <t>Q223</t>
  </si>
  <si>
    <t>Ø¬Ø±ÙŠÙ†Ù„Ø§Ù†Ø¯</t>
  </si>
  <si>
    <t>à¦—à§à¦°à¦¿à¦¨à¦²à§à¦¯à¦¾à¦¨à§à¦¡</t>
  </si>
  <si>
    <t>GrÃ¶nland</t>
  </si>
  <si>
    <t>Groenlandia</t>
  </si>
  <si>
    <t>Ú¯Ø±ÛŒÙ†Ù„Ù†Ø¯</t>
  </si>
  <si>
    <t>Groenland</t>
  </si>
  <si>
    <t>Î“ÏÎ¿Î¹Î»Î±Î½Î´Î¯Î±</t>
  </si>
  <si>
    <t>×’×¨×™× ×œ× ×“</t>
  </si>
  <si>
    <t>à¤—à¥à¤°à¥€à¤¨à¤²à¥ˆà¤£à¥à¤¡</t>
  </si>
  <si>
    <t>ã‚°ãƒªãƒ¼ãƒ³ãƒ©ãƒ³ãƒ‰</t>
  </si>
  <si>
    <t>ê·¸ë¦°ëž€ë“œ</t>
  </si>
  <si>
    <t>Grenlandia</t>
  </si>
  <si>
    <t>GroenlÃ¢ndia</t>
  </si>
  <si>
    <t>Ð“Ñ€ÐµÐ½Ð»Ð°Ð½Ð´Ð¸Ñ</t>
  </si>
  <si>
    <t>Ð“Ñ€ÐµÐ½Ð»Ð°Ð½Ð´Ñ–Ñ</t>
  </si>
  <si>
    <t>Ú¯Ø±ÛŒÙ† Ù„ÛŒÙ†Úˆ</t>
  </si>
  <si>
    <t>æ ¼é™µå…°</t>
  </si>
  <si>
    <t>æ ¼é™µè˜­</t>
  </si>
  <si>
    <t>GUM</t>
  </si>
  <si>
    <t>Territory of Guam</t>
  </si>
  <si>
    <t>Q16635</t>
  </si>
  <si>
    <t>ØºÙˆØ§Ù…</t>
  </si>
  <si>
    <t>à¦—à§à¦¯à¦¼à¦¾à¦®</t>
  </si>
  <si>
    <t>Ú¯ÙˆØ¢Ù…</t>
  </si>
  <si>
    <t>Î“ÎºÎ¿Ï…Î¬Î¼</t>
  </si>
  <si>
    <t>×’×•××</t>
  </si>
  <si>
    <t>à¤—à¥à¤†à¤®</t>
  </si>
  <si>
    <t>ã‚°ã‚¢ãƒ </t>
  </si>
  <si>
    <t>ê´Œ</t>
  </si>
  <si>
    <t>Ð“ÑƒÐ°Ð¼</t>
  </si>
  <si>
    <t>Ú¯ÙˆØ§Ù…</t>
  </si>
  <si>
    <t>å…³å²›</t>
  </si>
  <si>
    <t>é—œå³¶</t>
  </si>
  <si>
    <t>KEN</t>
  </si>
  <si>
    <t>Ken.</t>
  </si>
  <si>
    <t>Republic of Kenya</t>
  </si>
  <si>
    <t>Q114</t>
  </si>
  <si>
    <t>ÙƒÙŠÙ†ÙŠØ§</t>
  </si>
  <si>
    <t>à¦•à§‡à¦¨à¦¿à¦¯à¦¼à¦¾</t>
  </si>
  <si>
    <t>Kenia</t>
  </si>
  <si>
    <t>Ú©Ù†ÛŒØ§</t>
  </si>
  <si>
    <t>ÎšÎ­Î½Ï…Î±</t>
  </si>
  <si>
    <t>×§× ×™×”</t>
  </si>
  <si>
    <t>à¤•à¥€à¤¨à¤¿à¤¯à¤¾</t>
  </si>
  <si>
    <t>ã‚±ãƒ‹ã‚¢</t>
  </si>
  <si>
    <t>ì¼€ëƒ</t>
  </si>
  <si>
    <t>QuÃ©nia</t>
  </si>
  <si>
    <t>ÐšÐµÐ½Ð¸Ñ</t>
  </si>
  <si>
    <t>ÐšÐµÐ½Ñ–Ñ</t>
  </si>
  <si>
    <t>Ú©ÛŒÙ†ÛŒØ§</t>
  </si>
  <si>
    <t>è‚¯å°¼äºš</t>
  </si>
  <si>
    <t>è‚¯äºž</t>
  </si>
  <si>
    <t>KIR</t>
  </si>
  <si>
    <t>Kir.</t>
  </si>
  <si>
    <t>Republic of Kiribati</t>
  </si>
  <si>
    <t>Q710</t>
  </si>
  <si>
    <t>ÙƒÙŠØ±ÙŠØ¨Ø§ØªÙŠ</t>
  </si>
  <si>
    <t>à¦•à¦¿à¦°à¦¿à¦¬à¦¾à¦¸</t>
  </si>
  <si>
    <t>Ú©ÛŒØ±ÛŒØ¨Ø§ØªÛŒ</t>
  </si>
  <si>
    <t>ÎšÎ¹ÏÎ¹Î¼Ï€Î¬Ï„Î¹</t>
  </si>
  <si>
    <t>×§×™×¨×™×‘×˜×™</t>
  </si>
  <si>
    <t>à¤•à¤¿à¤°à¤¿à¤¬à¤¾à¤¤à¥€</t>
  </si>
  <si>
    <t>ã‚­ãƒªãƒã‚¹</t>
  </si>
  <si>
    <t>í‚¤ë¦¬ë°”ì‹œ</t>
  </si>
  <si>
    <t>ÐšÐ¸Ñ€Ð¸Ð±Ð°Ñ‚Ð¸</t>
  </si>
  <si>
    <t>ÐšÑ–Ñ€Ð¸Ð±Ð°Ñ‚Ñ–</t>
  </si>
  <si>
    <t>åŸºé‡Œå·´æ–¯</t>
  </si>
  <si>
    <t>å‰é‡Œå·´æ–¯</t>
  </si>
  <si>
    <t>KOS</t>
  </si>
  <si>
    <t>Kos.</t>
  </si>
  <si>
    <t>KO</t>
  </si>
  <si>
    <t>Republic of Kosovo</t>
  </si>
  <si>
    <t>KV</t>
  </si>
  <si>
    <t>KSV</t>
  </si>
  <si>
    <t>Subunit of Serbia in WOE still; should include 29389201, 29389207, 29389218, 29389209 and 29389214.</t>
  </si>
  <si>
    <t>SRB</t>
  </si>
  <si>
    <t>Q1246</t>
  </si>
  <si>
    <t>ÙƒÙˆØ³ÙˆÙÙˆ</t>
  </si>
  <si>
    <t>à¦•à¦¸à§‹à¦­à§‹</t>
  </si>
  <si>
    <t>Ú©ÙˆØ²ÙˆÙˆÙˆ</t>
  </si>
  <si>
    <t>ÎšÎ¿ÏƒÏƒÏ…Ï†Î¿Ï€Î­Î´Î¹Î¿</t>
  </si>
  <si>
    <t>×§×•×¡×•×‘×•</t>
  </si>
  <si>
    <t>à¤•à¥‹à¤¸à¥‹à¤µà¥‹ à¤—à¤£à¤°à¤¾à¤œà¥à¤¯</t>
  </si>
  <si>
    <t>KoszovÃ³</t>
  </si>
  <si>
    <t>ã‚³ã‚½ãƒœå…±å’Œå›½</t>
  </si>
  <si>
    <t>ì½”ì†Œë³´</t>
  </si>
  <si>
    <t>Kosowo</t>
  </si>
  <si>
    <t>Ð ÐµÑÐ¿ÑƒÐ±Ð»Ð¸ÐºÐ° ÐšÐ¾ÑÐ¾Ð²Ð¾</t>
  </si>
  <si>
    <t>Kosova</t>
  </si>
  <si>
    <t>ÐšÐ¾ÑÐ¾Ð²Ð¾</t>
  </si>
  <si>
    <t>Ú©ÙˆØ³ÙˆÙˆÛ</t>
  </si>
  <si>
    <t>ç§‘ç´¢æ²ƒ</t>
  </si>
  <si>
    <t>Admin-1 region</t>
  </si>
  <si>
    <t>KWT</t>
  </si>
  <si>
    <t>Kwt.</t>
  </si>
  <si>
    <t>State of Kuwait</t>
  </si>
  <si>
    <t>KU</t>
  </si>
  <si>
    <t>Q817</t>
  </si>
  <si>
    <t>Ø§Ù„ÙƒÙˆÙŠØª</t>
  </si>
  <si>
    <t>à¦•à§à¦¯à¦¼à§‡à¦¤</t>
  </si>
  <si>
    <t>Ú©ÙˆÛŒØª</t>
  </si>
  <si>
    <t>KoweÃ¯t</t>
  </si>
  <si>
    <t>ÎšÎ¿Ï…Î²Î­Î¹Ï„</t>
  </si>
  <si>
    <t>×›×•×•×™×ª</t>
  </si>
  <si>
    <t>à¤•à¥à¤µà¥ˆà¤¤</t>
  </si>
  <si>
    <t>Kuvait</t>
  </si>
  <si>
    <t>ã‚¯ã‚¦ã‚§ãƒ¼ãƒˆ</t>
  </si>
  <si>
    <t>ì¿ ì›¨ì´íŠ¸</t>
  </si>
  <si>
    <t>Koeweit</t>
  </si>
  <si>
    <t>Kuwejt</t>
  </si>
  <si>
    <t>ÐšÑƒÐ²ÐµÐ¹Ñ‚</t>
  </si>
  <si>
    <t>Kuveyt</t>
  </si>
  <si>
    <t>ç§‘å¨ç‰¹</t>
  </si>
  <si>
    <t>KGZ</t>
  </si>
  <si>
    <t>Kgz.</t>
  </si>
  <si>
    <t>Kyrgyz Republic</t>
  </si>
  <si>
    <t>Q813</t>
  </si>
  <si>
    <t>Ù‚ÙŠØ±ØºÙŠØ²Ø³ØªØ§Ù†</t>
  </si>
  <si>
    <t>à¦•à¦¿à¦°à¦—à¦¿à¦œà¦¸à§à¦¤à¦¾à¦¨</t>
  </si>
  <si>
    <t>Kirgisistan</t>
  </si>
  <si>
    <t>KirguistÃ¡n</t>
  </si>
  <si>
    <t>Ù‚Ø±Ù‚ÛŒØ²Ø³ØªØ§Ù†</t>
  </si>
  <si>
    <t>Kirghizistan</t>
  </si>
  <si>
    <t>ÎšÎ¹ÏÎ³Î¹Î¶Î¯Î±</t>
  </si>
  <si>
    <t>×§×™×¨×’×™×–×¡×˜×Ÿ</t>
  </si>
  <si>
    <t>à¤•à¤¿à¤°à¥à¤—à¤¿à¤œà¤¼à¤¸à¥à¤¤à¤¾à¤¨</t>
  </si>
  <si>
    <t>KirgizisztÃ¡n</t>
  </si>
  <si>
    <t>Kirgizstan</t>
  </si>
  <si>
    <t>ã‚­ãƒ«ã‚®ã‚¹</t>
  </si>
  <si>
    <t>í‚¤ë¥´ê¸°ìŠ¤ìŠ¤íƒ„</t>
  </si>
  <si>
    <t>KirgiziÃ«</t>
  </si>
  <si>
    <t>Kirgistan</t>
  </si>
  <si>
    <t>QuirguistÃ£o</t>
  </si>
  <si>
    <t>ÐšÐ¸Ñ€Ð³Ð¸Ð·Ð¸Ñ</t>
  </si>
  <si>
    <t>Kirgizistan</t>
  </si>
  <si>
    <t>KÄ±rgÄ±zistan</t>
  </si>
  <si>
    <t>ÐšÐ¸Ñ€Ð³Ð¸Ð·ÑÑ‚Ð°Ð½</t>
  </si>
  <si>
    <t>Ú©Ø±ØºÛŒØ²Ø³ØªØ§Ù†</t>
  </si>
  <si>
    <t>å‰å°”å‰æ–¯æ–¯å¦</t>
  </si>
  <si>
    <t>å‰çˆ¾å‰æ–¯</t>
  </si>
  <si>
    <t>LAO</t>
  </si>
  <si>
    <t>Lao PDR</t>
  </si>
  <si>
    <t>Lao People's Democratic Republic</t>
  </si>
  <si>
    <t>Q819</t>
  </si>
  <si>
    <t>Ù„Ø§ÙˆØ³</t>
  </si>
  <si>
    <t>à¦²à¦¾à¦“à¦¸</t>
  </si>
  <si>
    <t>Ù„Ø§Ø¦ÙˆØ³</t>
  </si>
  <si>
    <t>Î›Î¬Î¿Ï‚</t>
  </si>
  <si>
    <t>×œ××•×¡</t>
  </si>
  <si>
    <t>à¤²à¤¾à¤“à¤¸</t>
  </si>
  <si>
    <t>Laosz</t>
  </si>
  <si>
    <t>ãƒ©ã‚ªã‚¹</t>
  </si>
  <si>
    <t>ë¼ì˜¤ìŠ¤</t>
  </si>
  <si>
    <t>Ð›Ð°Ð¾Ñ</t>
  </si>
  <si>
    <t>Ù„Ø§Ø¤Ø³</t>
  </si>
  <si>
    <t>LÃ o</t>
  </si>
  <si>
    <t>è€æŒ</t>
  </si>
  <si>
    <t>å¯®åœ‹</t>
  </si>
  <si>
    <t>LVA</t>
  </si>
  <si>
    <t>Lat.</t>
  </si>
  <si>
    <t>Republic of Latvia</t>
  </si>
  <si>
    <t>LG</t>
  </si>
  <si>
    <t>Q211</t>
  </si>
  <si>
    <t>Ù„Ø§ØªÙÙŠØ§</t>
  </si>
  <si>
    <t>à¦²à¦¾à¦¤à¦­à¦¿à¦¯à¦¼à¦¾</t>
  </si>
  <si>
    <t>Lettland</t>
  </si>
  <si>
    <t>Letonia</t>
  </si>
  <si>
    <t>Ù„ØªÙˆÙ†ÛŒ</t>
  </si>
  <si>
    <t>Lettonie</t>
  </si>
  <si>
    <t>Î›ÎµÏ„Î¿Î½Î¯Î±</t>
  </si>
  <si>
    <t>×œ×˜×‘×™×”</t>
  </si>
  <si>
    <t>à¤²à¤¾à¤¤à¤µà¤¿à¤¯à¤¾</t>
  </si>
  <si>
    <t>LettorszÃ¡g</t>
  </si>
  <si>
    <t>Lettonia</t>
  </si>
  <si>
    <t>ãƒ©ãƒˆãƒ“ã‚¢</t>
  </si>
  <si>
    <t>ë¼íŠ¸ë¹„ì•„</t>
  </si>
  <si>
    <t>Letland</t>
  </si>
  <si>
    <t>Åotwa</t>
  </si>
  <si>
    <t>LetÃ³nia</t>
  </si>
  <si>
    <t>Ð›Ð°Ñ‚Ð²Ð¸Ñ</t>
  </si>
  <si>
    <t>Letonya</t>
  </si>
  <si>
    <t>Ð›Ð°Ñ‚Ð²Ñ–Ñ</t>
  </si>
  <si>
    <t>Ù„Ù¹ÙˆÛŒØ§</t>
  </si>
  <si>
    <t>æ‹‰è„±ç»´äºš</t>
  </si>
  <si>
    <t>æ‹‰è„«ç¶­äºž</t>
  </si>
  <si>
    <t>LBN</t>
  </si>
  <si>
    <t>Leb.</t>
  </si>
  <si>
    <t>Lebanese Republic</t>
  </si>
  <si>
    <t>LE</t>
  </si>
  <si>
    <t>Q822</t>
  </si>
  <si>
    <t>Ù„Ø¨Ù†Ø§Ù†</t>
  </si>
  <si>
    <t>à¦²à§‡à¦¬à¦¾à¦¨à¦¨</t>
  </si>
  <si>
    <t>Libanon</t>
  </si>
  <si>
    <t>LÃ­bano</t>
  </si>
  <si>
    <t>Liban</t>
  </si>
  <si>
    <t>Î›Î¯Î²Î±Î½Î¿Ï‚</t>
  </si>
  <si>
    <t>×œ×‘× ×•×Ÿ</t>
  </si>
  <si>
    <t>à¤²à¥‡à¤¬à¤¨à¤¾à¤¨</t>
  </si>
  <si>
    <t>Libano</t>
  </si>
  <si>
    <t>ãƒ¬ãƒãƒŽãƒ³</t>
  </si>
  <si>
    <t>ë ˆë°”ë…¼</t>
  </si>
  <si>
    <t>Ð›Ð¸Ð²Ð°Ð½</t>
  </si>
  <si>
    <t>LÃ¼bnan</t>
  </si>
  <si>
    <t>Ð›Ñ–Ð²Ð°Ð½</t>
  </si>
  <si>
    <t>é»Žå·´å«©</t>
  </si>
  <si>
    <t>LSO</t>
  </si>
  <si>
    <t>Les.</t>
  </si>
  <si>
    <t>Kingdom of Lesotho</t>
  </si>
  <si>
    <t>Q1013</t>
  </si>
  <si>
    <t>Ù„ÙŠØ³ÙˆØªÙˆ</t>
  </si>
  <si>
    <t>à¦²à§‡à¦¸à§‹à¦¥à§‹</t>
  </si>
  <si>
    <t>Lesoto</t>
  </si>
  <si>
    <t>Ù„Ø³ÙˆØªÙˆ</t>
  </si>
  <si>
    <t>Î›ÎµÏƒÏŒÏ„Î¿</t>
  </si>
  <si>
    <t>×œ×¡×•×˜×•</t>
  </si>
  <si>
    <t>à¤²à¥‡à¤¸à¥‹à¤¥à¥‹</t>
  </si>
  <si>
    <t>ãƒ¬ã‚½ãƒˆ</t>
  </si>
  <si>
    <t>ë ˆì†Œí† </t>
  </si>
  <si>
    <t>Ð›ÐµÑÐ¾Ñ‚Ð¾</t>
  </si>
  <si>
    <t>Ù„ÛŒØ³ÙˆØªÚ¾Ùˆ</t>
  </si>
  <si>
    <t>èŽ±ç´¢æ‰˜</t>
  </si>
  <si>
    <t>è³´ç´¢æ‰˜</t>
  </si>
  <si>
    <t>LBR</t>
  </si>
  <si>
    <t>Republic of Liberia</t>
  </si>
  <si>
    <t>Q1014</t>
  </si>
  <si>
    <t>Ù„ÙŠØ¨ÙŠØ±ÙŠØ§</t>
  </si>
  <si>
    <t>à¦²à¦¾à¦‡à¦¬à§‡à¦°à¦¿à¦¯à¦¼à¦¾</t>
  </si>
  <si>
    <t>Ù„ÛŒØ¨Ø±ÛŒØ§</t>
  </si>
  <si>
    <t>Î›Î¹Î²ÎµÏÎ¯Î±</t>
  </si>
  <si>
    <t>×œ×™×‘×¨×™×”</t>
  </si>
  <si>
    <t>à¤²à¤¾à¤‡à¤¬à¥‡à¤°à¤¿à¤¯à¤¾</t>
  </si>
  <si>
    <t>LibÃ©ria</t>
  </si>
  <si>
    <t>ãƒªãƒ™ãƒªã‚¢</t>
  </si>
  <si>
    <t>ë¼ì´ë² ë¦¬ì•„</t>
  </si>
  <si>
    <t>Ð›Ð¸Ð±ÐµÑ€Ð¸Ñ</t>
  </si>
  <si>
    <t>Liberya</t>
  </si>
  <si>
    <t>Ð›Ñ–Ð±ÐµÑ€Ñ–Ñ</t>
  </si>
  <si>
    <t>Ù„Ø§Ø¦Ø¨ÛŒØ±ÛŒØ§</t>
  </si>
  <si>
    <t>åˆ©æ¯”é‡Œäºš</t>
  </si>
  <si>
    <t>è³´æ¯”ç‘žäºž</t>
  </si>
  <si>
    <t>LBY</t>
  </si>
  <si>
    <t>Q1016</t>
  </si>
  <si>
    <t>Ù„ÙŠØ¨ÙŠØ§</t>
  </si>
  <si>
    <t>à¦²à¦¿à¦¬à¦¿à¦¯à¦¼à¦¾</t>
  </si>
  <si>
    <t>Libyen</t>
  </si>
  <si>
    <t>Libia</t>
  </si>
  <si>
    <t>Ù„ÛŒØ¨ÛŒ</t>
  </si>
  <si>
    <t>Libye</t>
  </si>
  <si>
    <t>Î›Î¹Î²ÏÎ·</t>
  </si>
  <si>
    <t>×œ×•×‘</t>
  </si>
  <si>
    <t>à¤²à¥€à¤¬à¤¿à¤¯à¤¾</t>
  </si>
  <si>
    <t>LÃ­bia</t>
  </si>
  <si>
    <t>ãƒªãƒ“ã‚¢</t>
  </si>
  <si>
    <t>ë¦¬ë¹„ì•„</t>
  </si>
  <si>
    <t>LibiÃ«</t>
  </si>
  <si>
    <t>Ð›Ð¸Ð²Ð¸Ñ</t>
  </si>
  <si>
    <t>Ð›Ñ–Ð²Ñ–Ñ</t>
  </si>
  <si>
    <t>Ù„ÛŒØ¨ÛŒØ§</t>
  </si>
  <si>
    <t>åˆ©æ¯”äºš</t>
  </si>
  <si>
    <t>åˆ©æ¯”äºž</t>
  </si>
  <si>
    <t>LIE</t>
  </si>
  <si>
    <t>Liech.</t>
  </si>
  <si>
    <t>FL</t>
  </si>
  <si>
    <t>Principality of Liechtenstein</t>
  </si>
  <si>
    <t>Q347</t>
  </si>
  <si>
    <t>Ù„ÙŠØ®ØªÙ†Ø´ØªØ§ÙŠÙ†</t>
  </si>
  <si>
    <t>à¦²à¦¿à¦¶à¦Ÿà§‡à¦¨à¦¸à§à¦Ÿà¦¾à¦‡à¦¨</t>
  </si>
  <si>
    <t>Ù„ÛŒØ®ØªÙ†Ø§Ø´ØªØ§ÛŒÙ†</t>
  </si>
  <si>
    <t>Î›Î¯Ï‡Ï„ÎµÎ½ÏƒÏ„Î±ÏŠÎ½</t>
  </si>
  <si>
    <t>×œ×™×›×˜× ×©×˜×™×™×Ÿ</t>
  </si>
  <si>
    <t>à¤²à¤¿à¤•à¥à¤Ÿà¥‡à¤¨à¥à¤¸à¥à¤Ÿà¤¾à¤‡à¤¨</t>
  </si>
  <si>
    <t>ãƒªãƒ’ãƒ†ãƒ³ã‚·ãƒ¥ã‚¿ã‚¤ãƒ³</t>
  </si>
  <si>
    <t>ë¦¬ížˆí…ìŠˆíƒ€ì¸</t>
  </si>
  <si>
    <t>Ð›Ð¸Ñ…Ñ‚ÐµÐ½ÑˆÑ‚ÐµÐ¹Ð½</t>
  </si>
  <si>
    <t>LihtenÅŸtayn</t>
  </si>
  <si>
    <t>Ð›Ñ–Ñ…Ñ‚ÐµÐ½ÑˆÑ‚ÐµÐ¹Ð½</t>
  </si>
  <si>
    <t>Ù„ÛŒØ®ØªÛŒÙ†Ø³ØªØ§Ø¦Ù†</t>
  </si>
  <si>
    <t>åˆ—æ”¯æ•¦å£«ç™»</t>
  </si>
  <si>
    <t>åˆ—æ”¯æ•¦æ–¯ç™»</t>
  </si>
  <si>
    <t>LTU</t>
  </si>
  <si>
    <t>Lith.</t>
  </si>
  <si>
    <t>Republic of Lithuania</t>
  </si>
  <si>
    <t>LH</t>
  </si>
  <si>
    <t>Q37</t>
  </si>
  <si>
    <t>Ù„ÙŠØªÙˆØ§Ù†ÙŠØ§</t>
  </si>
  <si>
    <t>à¦²à¦¿à¦¥à§à¦¯à¦¼à¦¾à¦¨à¦¿à¦¯à¦¼à¦¾</t>
  </si>
  <si>
    <t>Litauen</t>
  </si>
  <si>
    <t>Lituania</t>
  </si>
  <si>
    <t>Ù„ÛŒØªÙˆØ§Ù†ÛŒ</t>
  </si>
  <si>
    <t>Lituanie</t>
  </si>
  <si>
    <t>Î›Î¹Î¸Î¿Ï…Î±Î½Î¯Î±</t>
  </si>
  <si>
    <t>×œ×™×˜×</t>
  </si>
  <si>
    <t>à¤²à¤¿à¤¥à¥à¤†à¤¨à¤¿à¤¯à¤¾</t>
  </si>
  <si>
    <t>LitvÃ¡nia</t>
  </si>
  <si>
    <t>ãƒªãƒˆã‚¢ãƒ‹ã‚¢</t>
  </si>
  <si>
    <t>ë¦¬íˆ¬ì•„ë‹ˆì•„</t>
  </si>
  <si>
    <t>Litouwen</t>
  </si>
  <si>
    <t>Litwa</t>
  </si>
  <si>
    <t>LituÃ¢nia</t>
  </si>
  <si>
    <t>Ð›Ð¸Ñ‚Ð²Ð°</t>
  </si>
  <si>
    <t>Litvanya</t>
  </si>
  <si>
    <t>Ù„ØªÚ¾ÙˆÙˆÛŒÙ†ÛŒØ§</t>
  </si>
  <si>
    <t>Litva</t>
  </si>
  <si>
    <t>ç«‹é™¶å®›</t>
  </si>
  <si>
    <t>LUX</t>
  </si>
  <si>
    <t>Lux.</t>
  </si>
  <si>
    <t>Grand Duchy of Luxembourg</t>
  </si>
  <si>
    <t>Q32</t>
  </si>
  <si>
    <t>Ù„ÙˆÙƒØ³Ù…Ø¨ÙˆØ±Øº</t>
  </si>
  <si>
    <t>à¦²à§à¦•à§à¦¸à§‡à¦®à¦¬à§à¦°à§à¦—</t>
  </si>
  <si>
    <t>Luxemburg</t>
  </si>
  <si>
    <t>Luxemburgo</t>
  </si>
  <si>
    <t>Ù„ÙˆÚ©Ø²Ø§Ù…Ø¨ÙˆØ±Ú¯</t>
  </si>
  <si>
    <t>Î›Î¿Ï…Î¾ÎµÎ¼Î²Î¿ÏÏÎ³Î¿</t>
  </si>
  <si>
    <t>×œ×•×§×¡×ž×‘×•×¨×’</t>
  </si>
  <si>
    <t>à¤²à¤•à¥à¤œà¤¼à¤®à¤¬à¤°à¥à¤—</t>
  </si>
  <si>
    <t>Luksemburg</t>
  </si>
  <si>
    <t>Lussemburgo</t>
  </si>
  <si>
    <t>ãƒ«ã‚¯ã‚»ãƒ³ãƒ–ãƒ«ã‚¯</t>
  </si>
  <si>
    <t>ë£©ì…ˆë¶€ë¥´í¬</t>
  </si>
  <si>
    <t>Ð›ÑŽÐºÑÐµÐ¼Ð±ÑƒÑ€Ð³</t>
  </si>
  <si>
    <t>LÃ¼ksemburg</t>
  </si>
  <si>
    <t>Ù„Ú©Ø³Ù…Ø¨Ø±Ú¯</t>
  </si>
  <si>
    <t>å¢æ£®å ¡</t>
  </si>
  <si>
    <t>ç›§æ£®å ¡</t>
  </si>
  <si>
    <t>MDG</t>
  </si>
  <si>
    <t>Mad.</t>
  </si>
  <si>
    <t>Republic of Madagascar</t>
  </si>
  <si>
    <t>Q1019</t>
  </si>
  <si>
    <t>Ù…Ø¯ØºØ´Ù‚Ø±</t>
  </si>
  <si>
    <t>à¦®à¦¾à¦¦à¦¾à¦—à¦¾à¦¸à§à¦•à¦¾à¦°</t>
  </si>
  <si>
    <t>Madagaskar</t>
  </si>
  <si>
    <t>Ù…Ø§Ø¯Ø§Ú¯Ø§Ø³Ú©Ø§Ø±</t>
  </si>
  <si>
    <t>ÎœÎ±Î´Î±Î³Î±ÏƒÎºÎ¬ÏÎ·</t>
  </si>
  <si>
    <t>×ž×“×’×¡×§×¨</t>
  </si>
  <si>
    <t>à¤®à¥‡à¤¡à¤¾à¤—à¤¾à¤¸à¥à¤•à¤°</t>
  </si>
  <si>
    <t>MadagaszkÃ¡r</t>
  </si>
  <si>
    <t>ãƒžãƒ€ã‚¬ã‚¹ã‚«ãƒ«</t>
  </si>
  <si>
    <t>ë§ˆë‹¤ê°€ìŠ¤ì¹´ë¥´</t>
  </si>
  <si>
    <t>MadagÃ¡scar</t>
  </si>
  <si>
    <t>ÐœÐ°Ð´Ð°Ð³Ð°ÑÐºÐ°Ñ€</t>
  </si>
  <si>
    <t>Ù…ÚˆØºØ§Ø³Ú©Ø±</t>
  </si>
  <si>
    <t>é©¬è¾¾åŠ æ–¯åŠ </t>
  </si>
  <si>
    <t>é¦¬é”åŠ æ–¯åŠ </t>
  </si>
  <si>
    <t>MWI</t>
  </si>
  <si>
    <t>Mal.</t>
  </si>
  <si>
    <t>Republic of Malawi</t>
  </si>
  <si>
    <t>MI</t>
  </si>
  <si>
    <t>Q1020</t>
  </si>
  <si>
    <t>Ù…Ø§Ù„Ø§ÙˆÙŠ</t>
  </si>
  <si>
    <t>à¦®à¦¾à¦²à¦¾à¦‰à¦‡</t>
  </si>
  <si>
    <t>Malaui</t>
  </si>
  <si>
    <t>Ù…Ø§Ù„Ø§ÙˆÛŒ</t>
  </si>
  <si>
    <t>ÎœÎ±Î»Î¬Î¿Ï…Î¹</t>
  </si>
  <si>
    <t>×ž×œ××•×•×™</t>
  </si>
  <si>
    <t>à¤®à¤²à¤¾à¤µà¥€</t>
  </si>
  <si>
    <t>ãƒžãƒ©ã‚¦ã‚¤</t>
  </si>
  <si>
    <t>ë§ë¼ìœ„</t>
  </si>
  <si>
    <t>ÐœÐ°Ð»Ð°Ð²Ð¸</t>
  </si>
  <si>
    <t>Malavi</t>
  </si>
  <si>
    <t>ÐœÐ°Ð»Ð°Ð²Ñ–</t>
  </si>
  <si>
    <t>Ù…Ù„Ø§ÙˆÛŒ</t>
  </si>
  <si>
    <t>é©¬æ‹‰ç»´</t>
  </si>
  <si>
    <t>é¦¬æ‹‰å¨</t>
  </si>
  <si>
    <t>MYS</t>
  </si>
  <si>
    <t>Malay.</t>
  </si>
  <si>
    <t>Q833</t>
  </si>
  <si>
    <t>Ù…Ø§Ù„ÙŠØ²ÙŠØ§</t>
  </si>
  <si>
    <t>à¦®à¦¾à¦²à¦¯à¦¼à§‡à¦¶à¦¿à¦¯à¦¼à¦¾</t>
  </si>
  <si>
    <t>Malasia</t>
  </si>
  <si>
    <t>Ù…Ø§Ù„Ø²ÛŒ</t>
  </si>
  <si>
    <t>Malaisie</t>
  </si>
  <si>
    <t>ÎœÎ±Î»Î±Î¹ÏƒÎ¯Î±</t>
  </si>
  <si>
    <t>×ž×œ×–×™×”</t>
  </si>
  <si>
    <t>à¤®à¤²à¥‡à¤¶à¤¿à¤¯à¤¾</t>
  </si>
  <si>
    <t>Malajzia</t>
  </si>
  <si>
    <t>ãƒžãƒ¬ãƒ¼ã‚·ã‚¢</t>
  </si>
  <si>
    <t>ë§ë ˆì´ì‹œì•„</t>
  </si>
  <si>
    <t>MaleisiÃ«</t>
  </si>
  <si>
    <t>Malezja</t>
  </si>
  <si>
    <t>MalÃ¡sia</t>
  </si>
  <si>
    <t>ÐœÐ°Ð»Ð°Ð¹Ð·Ð¸Ñ</t>
  </si>
  <si>
    <t>Malezya</t>
  </si>
  <si>
    <t>ÐœÐ°Ð»Ð°Ð¹Ð·Ñ–Ñ</t>
  </si>
  <si>
    <t>Ù…Ù„Ø§Ø¦ÛŒØ´ÛŒØ§</t>
  </si>
  <si>
    <t>é©¬æ¥è¥¿äºš</t>
  </si>
  <si>
    <t>é¦¬ä¾†è¥¿äºž</t>
  </si>
  <si>
    <t>MDV</t>
  </si>
  <si>
    <t>Mald.</t>
  </si>
  <si>
    <t>Republic of Maldives</t>
  </si>
  <si>
    <t>Q826</t>
  </si>
  <si>
    <t>Ø§Ù„Ù…Ø§Ù„Ø¯ÙŠÙ</t>
  </si>
  <si>
    <t>à¦®à¦¾à¦²à¦¦à§à¦¬à§€à¦ª</t>
  </si>
  <si>
    <t>Malediven</t>
  </si>
  <si>
    <t>Maldivas</t>
  </si>
  <si>
    <t>Ù…Ø§Ù„Ø¯ÛŒÙˆ</t>
  </si>
  <si>
    <t>ÎœÎ±Î»Î´Î¯Î²ÎµÏ‚</t>
  </si>
  <si>
    <t>×”××™×™× ×”×ž×œ×“×™×‘×™×™×</t>
  </si>
  <si>
    <t>à¤®à¤¾à¤²à¤¦à¥€à¤µ</t>
  </si>
  <si>
    <t>MaldÃ­v-szigetek</t>
  </si>
  <si>
    <t>Maladewa</t>
  </si>
  <si>
    <t>Maldive</t>
  </si>
  <si>
    <t>ãƒ¢ãƒ«ãƒ‡ã‚£ãƒ–</t>
  </si>
  <si>
    <t>ëª°ë””ë¸Œ</t>
  </si>
  <si>
    <t>Maldiven</t>
  </si>
  <si>
    <t>Malediwy</t>
  </si>
  <si>
    <t>ÐœÐ°Ð»ÑŒÐ´Ð¸Ð²Ñ‹</t>
  </si>
  <si>
    <t>Maldiverna</t>
  </si>
  <si>
    <t>Maldivler</t>
  </si>
  <si>
    <t>ÐœÐ°Ð»ÑŒÐ´Ñ–Ð²Ð¸</t>
  </si>
  <si>
    <t>Ù…Ø§Ù„Ø¯ÛŒÙ¾</t>
  </si>
  <si>
    <t>é©¬å°”ä»£å¤«</t>
  </si>
  <si>
    <t>é¦¬çˆ¾åœ°å¤«</t>
  </si>
  <si>
    <t>MLI</t>
  </si>
  <si>
    <t>Republic of Mali</t>
  </si>
  <si>
    <t>Q912</t>
  </si>
  <si>
    <t>Ù…Ø§Ù„ÙŠ</t>
  </si>
  <si>
    <t>à¦®à¦¾à¦²à¦¿</t>
  </si>
  <si>
    <t>MalÃ­</t>
  </si>
  <si>
    <t>Ù…Ø§Ù„ÛŒ</t>
  </si>
  <si>
    <t>ÎœÎ¬Î»Î¹</t>
  </si>
  <si>
    <t>×ž××œ×™</t>
  </si>
  <si>
    <t>à¤®à¤¾à¤²à¥€</t>
  </si>
  <si>
    <t>ãƒžãƒªå…±å’Œå›½</t>
  </si>
  <si>
    <t>ë§ë¦¬</t>
  </si>
  <si>
    <t>ÐœÐ°Ð»Ð¸</t>
  </si>
  <si>
    <t>ÐœÐ°Ð»Ñ–</t>
  </si>
  <si>
    <t>é©¬é‡Œ</t>
  </si>
  <si>
    <t>é¦¬åˆ©å…±å’Œåœ‹</t>
  </si>
  <si>
    <t>MLT</t>
  </si>
  <si>
    <t>Republic of Malta</t>
  </si>
  <si>
    <t>Q233</t>
  </si>
  <si>
    <t>Ù…Ø§Ù„Ø·Ø§</t>
  </si>
  <si>
    <t>à¦®à¦¾à¦²à§à¦Ÿà¦¾</t>
  </si>
  <si>
    <t>Ù…Ø§Ù„Øª</t>
  </si>
  <si>
    <t>Malte</t>
  </si>
  <si>
    <t>ÎœÎ¬Î»Ï„Î±</t>
  </si>
  <si>
    <t>×ž×œ×˜×”</t>
  </si>
  <si>
    <t>à¤®à¤¾à¤²à¥à¤Ÿà¤¾</t>
  </si>
  <si>
    <t>MÃ¡lta</t>
  </si>
  <si>
    <t>ãƒžãƒ«ã‚¿</t>
  </si>
  <si>
    <t>ëª°íƒ€</t>
  </si>
  <si>
    <t>ÐœÐ°Ð»ÑŒÑ‚Ð°</t>
  </si>
  <si>
    <t>Ù…Ø§Ù„Ù¹Ø§</t>
  </si>
  <si>
    <t>é©¬è€³ä»–</t>
  </si>
  <si>
    <t>é¦¬è€³ä»–</t>
  </si>
  <si>
    <t>MHL</t>
  </si>
  <si>
    <t>Marshall Is.</t>
  </si>
  <si>
    <t>M. Is.</t>
  </si>
  <si>
    <t>Republic of the Marshall Islands</t>
  </si>
  <si>
    <t>Q709</t>
  </si>
  <si>
    <t>Ø¬Ø²Ø± Ù…Ø§Ø±Ø´Ø§Ù„</t>
  </si>
  <si>
    <t>à¦®à¦¾à¦°à§à¦¶à¦¾à¦² à¦¦à§à¦¬à§€à¦ªà¦ªà§à¦žà§à¦œ</t>
  </si>
  <si>
    <t>Marshallinseln</t>
  </si>
  <si>
    <t>Islas Marshall</t>
  </si>
  <si>
    <t>Ø¬Ø²Ø§ÛŒØ± Ù…Ø§Ø±Ø´Ø§Ù„</t>
  </si>
  <si>
    <t>ÃŽles Marshall</t>
  </si>
  <si>
    <t>ÎÎ·ÏƒÎ¹Î¬ ÎœÎ¬ÏÏƒÎ±Î»</t>
  </si>
  <si>
    <t>××™×™ ×ž×¨×©×œ</t>
  </si>
  <si>
    <t>à¤®à¤¾à¤°à¥à¤¶à¤² à¤¦à¥à¤µà¥€à¤ªà¤¸à¤®à¥‚à¤¹</t>
  </si>
  <si>
    <t>Marshall-szigetek</t>
  </si>
  <si>
    <t>Kepulauan Marshall</t>
  </si>
  <si>
    <t>Isole Marshall</t>
  </si>
  <si>
    <t>ãƒžãƒ¼ã‚·ãƒ£ãƒ«è«¸å³¶</t>
  </si>
  <si>
    <t>ë§ˆì…œ ì œë„</t>
  </si>
  <si>
    <t>Marshalleilanden</t>
  </si>
  <si>
    <t>Wyspy Marshalla</t>
  </si>
  <si>
    <t>Ilhas Marshall</t>
  </si>
  <si>
    <t>ÐœÐ°Ñ€ÑˆÐ°Ð»Ð»Ð¾Ð²Ñ‹ ÐžÑÑ‚Ñ€Ð¾Ð²Ð°</t>
  </si>
  <si>
    <t>MarshallÃ¶arna</t>
  </si>
  <si>
    <t>Marshall AdalarÄ±</t>
  </si>
  <si>
    <t>ÐœÐ°Ñ€ÑˆÐ°Ð»Ð»Ð¾Ð²Ñ– ÐžÑÑ‚Ñ€Ð¾Ð²Ð¸</t>
  </si>
  <si>
    <t>Ø¬Ø²Ø§Ø¦Ø± Ù…Ø§Ø±Ø´Ù„</t>
  </si>
  <si>
    <t>Quáº§n Ä‘áº£o Marshall</t>
  </si>
  <si>
    <t>é©¬ç»å°”ç¾¤å²›</t>
  </si>
  <si>
    <t>é¦¬ç´¹çˆ¾ç¾¤å³¶</t>
  </si>
  <si>
    <t>MRT</t>
  </si>
  <si>
    <t>Mrt.</t>
  </si>
  <si>
    <t>Islamic Republic of Mauritania</t>
  </si>
  <si>
    <t>Q1025</t>
  </si>
  <si>
    <t>Ù…ÙˆØ±ÙŠØªØ§Ù†ÙŠØ§</t>
  </si>
  <si>
    <t>à¦®à§Œà¦°à¦¿à¦¤à¦¾à¦¨à¦¿à¦¯à¦¼à¦¾</t>
  </si>
  <si>
    <t>Mauretanien</t>
  </si>
  <si>
    <t>Ù…ÙˆØ±ÛŒØªØ§Ù†ÛŒ</t>
  </si>
  <si>
    <t>Mauritanie</t>
  </si>
  <si>
    <t>ÎœÎ±Ï…ÏÎ¹Ï„Î±Î½Î¯Î±</t>
  </si>
  <si>
    <t>×ž××•×¨×™×˜× ×™×”</t>
  </si>
  <si>
    <t>à¤®à¥‰à¤°à¥€à¤¤à¤¾à¤¨à¤¿à¤¯à¤¾</t>
  </si>
  <si>
    <t>MauritÃ¡nia</t>
  </si>
  <si>
    <t>ãƒ¢ãƒ¼ãƒªã‚¿ãƒ‹ã‚¢</t>
  </si>
  <si>
    <t>ëª¨ë¦¬íƒ€ë‹ˆ</t>
  </si>
  <si>
    <t>MauritaniÃ«</t>
  </si>
  <si>
    <t>Mauretania</t>
  </si>
  <si>
    <t>MauritÃ¢nia</t>
  </si>
  <si>
    <t>ÐœÐ°Ð²Ñ€Ð¸Ñ‚Ð°Ð½Ð¸Ñ</t>
  </si>
  <si>
    <t>Moritanya</t>
  </si>
  <si>
    <t>ÐœÐ°Ð²Ñ€Ð¸Ñ‚Ð°Ð½Ñ–Ñ</t>
  </si>
  <si>
    <t>Ù…ÙˆØ±ÛŒØªØ§Ù†ÛŒÛ</t>
  </si>
  <si>
    <t>æ¯›é‡Œå¡”å°¼äºš</t>
  </si>
  <si>
    <t>èŒ…åˆ©å¡”å°¼äºž</t>
  </si>
  <si>
    <t>MUS</t>
  </si>
  <si>
    <t>Mus.</t>
  </si>
  <si>
    <t>Republic of Mauritius</t>
  </si>
  <si>
    <t>Q1027</t>
  </si>
  <si>
    <t>Ù…ÙˆØ±ÙŠØ´ÙŠÙˆØ³</t>
  </si>
  <si>
    <t>à¦®à¦°à¦¿à¦¶à¦¾à¦¸</t>
  </si>
  <si>
    <t>Mauricio</t>
  </si>
  <si>
    <t>Ù…ÙˆØ±ÛŒØ³</t>
  </si>
  <si>
    <t>Maurice</t>
  </si>
  <si>
    <t>ÎœÎ±Ï…ÏÎ¯ÎºÎ¹Î¿Ï‚</t>
  </si>
  <si>
    <t>×ž××•×¨×™×¦×™×•×¡</t>
  </si>
  <si>
    <t>à¤®à¥‰à¤°à¤¿à¤¶à¤¸</t>
  </si>
  <si>
    <t>ãƒ¢ãƒ¼ãƒªã‚·ãƒ£ã‚¹</t>
  </si>
  <si>
    <t>ëª¨ë¦¬ì…”ìŠ¤</t>
  </si>
  <si>
    <t>MaurÃ­cia</t>
  </si>
  <si>
    <t>ÐœÐ°Ð²Ñ€Ð¸ÐºÐ¸Ð¹</t>
  </si>
  <si>
    <t>ÐœÐ°Ð²Ñ€Ð¸ÐºÑ–Ð¹</t>
  </si>
  <si>
    <t>Ù…ÙˆØ±ÛŒØ´Ø³</t>
  </si>
  <si>
    <t>æ¯›é‡Œæ±‚æ–¯</t>
  </si>
  <si>
    <t>æ¨¡é‡Œè¥¿æ–¯</t>
  </si>
  <si>
    <t>MEX</t>
  </si>
  <si>
    <t>Mex.</t>
  </si>
  <si>
    <t>United Mexican States</t>
  </si>
  <si>
    <t>Q96</t>
  </si>
  <si>
    <t>Ø§Ù„Ù…ÙƒØ³ÙŠÙƒ</t>
  </si>
  <si>
    <t>à¦®à§‡à¦•à§à¦¸à¦¿à¦•à§‹</t>
  </si>
  <si>
    <t>Mexiko</t>
  </si>
  <si>
    <t>MÃ©xico</t>
  </si>
  <si>
    <t>Ù…Ú©Ø²ÛŒÚ©</t>
  </si>
  <si>
    <t>Mexique</t>
  </si>
  <si>
    <t>ÎœÎµÎ¾Î¹ÎºÏŒ</t>
  </si>
  <si>
    <t>×ž×§×¡×™×§×•</t>
  </si>
  <si>
    <t>à¤®à¥‡à¤•à¥à¤¸à¤¿à¤•à¥‹</t>
  </si>
  <si>
    <t>MexikÃ³</t>
  </si>
  <si>
    <t>Meksiko</t>
  </si>
  <si>
    <t>Messico</t>
  </si>
  <si>
    <t>ãƒ¡ã‚­ã‚·ã‚³</t>
  </si>
  <si>
    <t>ë©•ì‹œì½”</t>
  </si>
  <si>
    <t>Meksyk</t>
  </si>
  <si>
    <t>ÐœÐµÐºÑÐ¸ÐºÐ°</t>
  </si>
  <si>
    <t>Meksika</t>
  </si>
  <si>
    <t>Ù…ÛŒÚ©Ø³ÛŒÚ©Ùˆ</t>
  </si>
  <si>
    <t>å¢¨è¥¿å“¥</t>
  </si>
  <si>
    <t>MDA</t>
  </si>
  <si>
    <t>Mda.</t>
  </si>
  <si>
    <t>Republic of Moldova</t>
  </si>
  <si>
    <t>Q217</t>
  </si>
  <si>
    <t>Ù…ÙˆÙ„Ø¯ÙˆÙØ§</t>
  </si>
  <si>
    <t>à¦®à¦²à¦¦à§‹à¦­à¦¾</t>
  </si>
  <si>
    <t>Republik Moldau</t>
  </si>
  <si>
    <t>Moldavia</t>
  </si>
  <si>
    <t>Ù…ÙˆÙ„Ø¯Ø§ÙˆÛŒ</t>
  </si>
  <si>
    <t>Moldavie</t>
  </si>
  <si>
    <t>ÎœÎ¿Î»Î´Î±Î²Î¯Î±</t>
  </si>
  <si>
    <t>×ž×•×œ×“×•×‘×”</t>
  </si>
  <si>
    <t>à¤®à¥‰à¤²à¥à¤¡à¥‹à¤µà¤¾</t>
  </si>
  <si>
    <t>ãƒ¢ãƒ«ãƒ‰ãƒ</t>
  </si>
  <si>
    <t>ëª°ë„ë°”</t>
  </si>
  <si>
    <t>MoldaviÃ«</t>
  </si>
  <si>
    <t>MoÅ‚dawia</t>
  </si>
  <si>
    <t>MoldÃ¡via</t>
  </si>
  <si>
    <t>ÐœÐ¾Ð»Ð´Ð°Ð²Ð¸Ñ</t>
  </si>
  <si>
    <t>Moldavien</t>
  </si>
  <si>
    <t>ÐœÐ¾Ð»Ð´Ð¾Ð²Ð°</t>
  </si>
  <si>
    <t>Ù…Ø§Ù„Ø¯ÙˆÙˆØ§</t>
  </si>
  <si>
    <t>æ‘©å°”å¤šç“¦</t>
  </si>
  <si>
    <t>æ‘©çˆ¾å¤šç“¦</t>
  </si>
  <si>
    <t>MCO</t>
  </si>
  <si>
    <t>Mco.</t>
  </si>
  <si>
    <t>Principality of Monaco</t>
  </si>
  <si>
    <t>Q235</t>
  </si>
  <si>
    <t>Ù…ÙˆÙ†Ø§ÙƒÙˆ</t>
  </si>
  <si>
    <t>à¦®à§‹à¦¨à¦¾à¦•à§‹</t>
  </si>
  <si>
    <t>MÃ³naco</t>
  </si>
  <si>
    <t>Ù…ÙˆÙ†Ø§Ú©Ùˆ</t>
  </si>
  <si>
    <t>ÎœÎ¿Î½Î±ÎºÏŒ</t>
  </si>
  <si>
    <t>×ž×•× ×§×•</t>
  </si>
  <si>
    <t>à¤®à¥‹à¤¨à¥ˆà¤•à¥‹</t>
  </si>
  <si>
    <t>Monako</t>
  </si>
  <si>
    <t>Principato di Monaco</t>
  </si>
  <si>
    <t>ãƒ¢ãƒŠã‚³</t>
  </si>
  <si>
    <t>ëª¨ë‚˜ì½”</t>
  </si>
  <si>
    <t>ÐœÐ¾Ð½Ð°ÐºÐ¾</t>
  </si>
  <si>
    <t>æ‘©çº³å“¥</t>
  </si>
  <si>
    <t>æ‘©ç´å“¥</t>
  </si>
  <si>
    <t>MNG</t>
  </si>
  <si>
    <t>Mong.</t>
  </si>
  <si>
    <t>Q711</t>
  </si>
  <si>
    <t>Ù…Ù†ØºÙˆÙ„ÙŠØ§</t>
  </si>
  <si>
    <t>à¦®à¦™à§à¦—à§‹à¦²à¦¿à¦¯à¦¼à¦¾</t>
  </si>
  <si>
    <t>Mongolei</t>
  </si>
  <si>
    <t>Ù…ØºÙˆÙ„Ø³ØªØ§Ù†</t>
  </si>
  <si>
    <t>Mongolie</t>
  </si>
  <si>
    <t>ÎœÎ¿Î³Î³Î¿Î»Î¯Î±</t>
  </si>
  <si>
    <t>×ž×•× ×’×•×œ×™×”</t>
  </si>
  <si>
    <t>à¤®à¤‚à¤—à¥‹à¤²à¤¿à¤¯à¤¾</t>
  </si>
  <si>
    <t>MongÃ³lia</t>
  </si>
  <si>
    <t>ãƒ¢ãƒ³ã‚´ãƒ«å›½</t>
  </si>
  <si>
    <t>ëª½ê³¨</t>
  </si>
  <si>
    <t>MongoliÃ«</t>
  </si>
  <si>
    <t>ÐœÐ¾Ð½Ð³Ð¾Ð»Ð¸Ñ</t>
  </si>
  <si>
    <t>Mongoliet</t>
  </si>
  <si>
    <t>MoÄŸolistan</t>
  </si>
  <si>
    <t>ÐœÐ¾Ð½Ð³Ð¾Ð»Ñ–Ñ</t>
  </si>
  <si>
    <t>Ù…Ù†Ú¯ÙˆÙ„ÛŒØ§</t>
  </si>
  <si>
    <t>MÃ´ng Cá»•</t>
  </si>
  <si>
    <t>è’™å¤å›½</t>
  </si>
  <si>
    <t>è’™å¤åœ‹</t>
  </si>
  <si>
    <t>MNE</t>
  </si>
  <si>
    <t>Mont.</t>
  </si>
  <si>
    <t>MJ</t>
  </si>
  <si>
    <t>Q236</t>
  </si>
  <si>
    <t>Ø§Ù„Ø¬Ø¨Ù„ Ø§Ù„Ø£Ø³ÙˆØ¯</t>
  </si>
  <si>
    <t>à¦®à¦¨à§à¦Ÿà¦¿à¦¨à¦¿à¦—à§à¦°à§‹</t>
  </si>
  <si>
    <t>Ù…ÙˆÙ†ØªÙ‡Ù†Ú¯Ø±Ùˆ</t>
  </si>
  <si>
    <t>MontÃ©nÃ©gro</t>
  </si>
  <si>
    <t>ÎœÎ±Ï…ÏÎ¿Î²Î¿ÏÎ½Î¹Î¿</t>
  </si>
  <si>
    <t>×ž×•× ×˜× ×’×¨×•</t>
  </si>
  <si>
    <t>à¤®à¥‰à¤¨à¥à¤Ÿà¥‡à¤¨à¥€à¤—à¥à¤°à¥‹</t>
  </si>
  <si>
    <t>MontenegrÃ³</t>
  </si>
  <si>
    <t>ãƒ¢ãƒ³ãƒ†ãƒã‚°ãƒ­</t>
  </si>
  <si>
    <t>ëª¬í…Œë„¤ê·¸ë¡œ</t>
  </si>
  <si>
    <t>CzarnogÃ³ra</t>
  </si>
  <si>
    <t>Ð§ÐµÑ€Ð½Ð¾Ð³Ð¾Ñ€Ð¸Ñ</t>
  </si>
  <si>
    <t>KaradaÄŸ</t>
  </si>
  <si>
    <t>Ð§Ð¾Ñ€Ð½Ð¾Ð³Ð¾Ñ€Ñ–Ñ</t>
  </si>
  <si>
    <t>Ù…ÙˆÙ†Ù¹ÛŒÙ†ÛŒÚ¯Ø±Ùˆ</t>
  </si>
  <si>
    <t>é»‘å±±</t>
  </si>
  <si>
    <t>è’™ç‰¹å…§å“¥ç¾…</t>
  </si>
  <si>
    <t>MAR</t>
  </si>
  <si>
    <t>Mor.</t>
  </si>
  <si>
    <t>Kingdom of Morocco</t>
  </si>
  <si>
    <t>Q1028</t>
  </si>
  <si>
    <t>Ø§Ù„Ù…ØºØ±Ø¨</t>
  </si>
  <si>
    <t>à¦®à¦°à¦•à§à¦•à§‹</t>
  </si>
  <si>
    <t>Marokko</t>
  </si>
  <si>
    <t>Marruecos</t>
  </si>
  <si>
    <t>Ù…Ø±Ø§Ú©Ø´</t>
  </si>
  <si>
    <t>Maroc</t>
  </si>
  <si>
    <t>ÎœÎ±ÏÏŒÎºÎ¿</t>
  </si>
  <si>
    <t>×ž×¨×•×§×•</t>
  </si>
  <si>
    <t>à¤®à¥‹à¤°à¤•à¥à¤•à¥‹</t>
  </si>
  <si>
    <t>MarokkÃ³</t>
  </si>
  <si>
    <t>Maroko</t>
  </si>
  <si>
    <t>Marocco</t>
  </si>
  <si>
    <t>ãƒ¢ãƒ­ãƒƒã‚³</t>
  </si>
  <si>
    <t>ëª¨ë¡œì½”</t>
  </si>
  <si>
    <t>Marrocos</t>
  </si>
  <si>
    <t>ÐœÐ°Ñ€Ð¾ÐºÐºÐ¾</t>
  </si>
  <si>
    <t>Marocko</t>
  </si>
  <si>
    <t>Fas</t>
  </si>
  <si>
    <t>æ‘©æ´›å“¥</t>
  </si>
  <si>
    <t>MOZ</t>
  </si>
  <si>
    <t>Moz.</t>
  </si>
  <si>
    <t>Republic of Mozambique</t>
  </si>
  <si>
    <t>Q1029</t>
  </si>
  <si>
    <t>Ù…ÙˆØ²Ù…Ø¨ÙŠÙ‚</t>
  </si>
  <si>
    <t>à¦®à§‹à¦œà¦¾à¦®à§à¦¬à¦¿à¦•</t>
  </si>
  <si>
    <t>Mosambik</t>
  </si>
  <si>
    <t>Ù…ÙˆØ²Ø§Ù…Ø¨ÛŒÚ©</t>
  </si>
  <si>
    <t>ÎœÎ¿Î¶Î±Î¼Î²Î¯ÎºÎ·</t>
  </si>
  <si>
    <t>×ž×•×–×ž×‘×™×§</t>
  </si>
  <si>
    <t>à¤®à¥‹à¤œà¤¼à¤¾à¤®à¥à¤¬à¥€à¤•</t>
  </si>
  <si>
    <t>Mozambik</t>
  </si>
  <si>
    <t>Mozambico</t>
  </si>
  <si>
    <t>ãƒ¢ã‚¶ãƒ³ãƒ“ãƒ¼ã‚¯</t>
  </si>
  <si>
    <t>ëª¨ìž ë¹„í¬</t>
  </si>
  <si>
    <t>MoÃ§ambique</t>
  </si>
  <si>
    <t>ÐœÐ¾Ð·Ð°Ð¼Ð±Ð¸Ðº</t>
  </si>
  <si>
    <t>ÐœÐ¾Ð·Ð°Ð¼Ð±Ñ–Ðº</t>
  </si>
  <si>
    <t>Ù…ÙˆØ²Ù…Ø¨ÛŒÙ‚</t>
  </si>
  <si>
    <t>èŽ«æ¡‘æ¯”å…‹</t>
  </si>
  <si>
    <t>èŽ«ä¸‰æ¯”å…‹</t>
  </si>
  <si>
    <t>MMR</t>
  </si>
  <si>
    <t>Myan.</t>
  </si>
  <si>
    <t>Republic of the Union of Myanmar</t>
  </si>
  <si>
    <t>Burma</t>
  </si>
  <si>
    <t>Q836</t>
  </si>
  <si>
    <t>Ù…ÙŠØ§Ù†Ù…Ø§Ø±</t>
  </si>
  <si>
    <t>à¦®à¦¿à¦¯à¦¼à¦¾à¦¨à¦®à¦¾à¦°</t>
  </si>
  <si>
    <t>Birmania</t>
  </si>
  <si>
    <t>Ù…ÛŒØ§Ù†Ù…Ø§Ø±</t>
  </si>
  <si>
    <t>Birmanie</t>
  </si>
  <si>
    <t>ÎœÎ¹Î±Î½Î¼Î¬Ï</t>
  </si>
  <si>
    <t>×ž×™×× ×ž×¨</t>
  </si>
  <si>
    <t>à¤®à¥à¤¯à¤¾à¤¨à¥à¤®à¤¾à¤°</t>
  </si>
  <si>
    <t>Mianmar</t>
  </si>
  <si>
    <t>ãƒŸãƒ£ãƒ³ãƒžãƒ¼</t>
  </si>
  <si>
    <t>ë¯¸ì–€ë§ˆ</t>
  </si>
  <si>
    <t>Mjanma</t>
  </si>
  <si>
    <t>ÐœÑŒÑÐ½Ð¼Ð°</t>
  </si>
  <si>
    <t>Ðœ'ÑÐ½Ð¼Ð°</t>
  </si>
  <si>
    <t>Myanma</t>
  </si>
  <si>
    <t>ç¼…ç”¸</t>
  </si>
  <si>
    <t>ç·¬ç”¸</t>
  </si>
  <si>
    <t>NAM</t>
  </si>
  <si>
    <t>Nam.</t>
  </si>
  <si>
    <t>Republic of Namibia</t>
  </si>
  <si>
    <t>WA</t>
  </si>
  <si>
    <t>Q1030</t>
  </si>
  <si>
    <t>Ù†Ø§Ù…ÙŠØ¨ÙŠØ§</t>
  </si>
  <si>
    <t>à¦¨à¦¾à¦®à¦¿à¦¬à¦¿à¦¯à¦¼à¦¾</t>
  </si>
  <si>
    <t>Ù†Ø§Ù…ÛŒØ¨ÛŒØ§</t>
  </si>
  <si>
    <t>Namibie</t>
  </si>
  <si>
    <t>ÎÎ±Î¼Î¯Î¼Ï€Î¹Î±</t>
  </si>
  <si>
    <t>× ×ž×™×‘×™×”</t>
  </si>
  <si>
    <t>à¤¨à¤¾à¤®à¥€à¤¬à¤¿à¤¯à¤¾</t>
  </si>
  <si>
    <t>NamÃ­bia</t>
  </si>
  <si>
    <t>ãƒŠãƒŸãƒ“ã‚¢</t>
  </si>
  <si>
    <t>ë‚˜ë¯¸ë¹„ì•„</t>
  </si>
  <si>
    <t>NamibiÃ«</t>
  </si>
  <si>
    <t>ÐÐ°Ð¼Ð¸Ð±Ð¸Ñ</t>
  </si>
  <si>
    <t>Namibya</t>
  </si>
  <si>
    <t>ÐÐ°Ð¼Ñ–Ð±Ñ–Ñ</t>
  </si>
  <si>
    <t>Ù†Ù…ÛŒØ¨ÛŒØ§</t>
  </si>
  <si>
    <t>çº³ç±³æ¯”äºš</t>
  </si>
  <si>
    <t>ç´ç±³æ¯”äºž</t>
  </si>
  <si>
    <t>NRU</t>
  </si>
  <si>
    <t>Republic of Nauru</t>
  </si>
  <si>
    <t>Q697</t>
  </si>
  <si>
    <t>Ù†Ø§ÙˆØ±Ùˆ</t>
  </si>
  <si>
    <t>à¦¨à¦¾à¦‰à¦°à§</t>
  </si>
  <si>
    <t>Ù†Ø§Ø¦ÙˆØ±Ùˆ</t>
  </si>
  <si>
    <t>ÎÎ±Î¿Ï…ÏÎ¿Ï</t>
  </si>
  <si>
    <t>× ××•×¨×•</t>
  </si>
  <si>
    <t>à¤¨à¥Œà¤°à¥</t>
  </si>
  <si>
    <t>ãƒŠã‚¦ãƒ«</t>
  </si>
  <si>
    <t>ë‚˜ìš°ë£¨</t>
  </si>
  <si>
    <t>ÐÐ°ÑƒÑ€Ñƒ</t>
  </si>
  <si>
    <t>ç‘™é²</t>
  </si>
  <si>
    <t>è«¾é­¯</t>
  </si>
  <si>
    <t>NPL</t>
  </si>
  <si>
    <t>Q837</t>
  </si>
  <si>
    <t>Ù†ÙŠØ¨Ø§Ù„</t>
  </si>
  <si>
    <t>à¦¨à§‡à¦ªà¦¾à¦²</t>
  </si>
  <si>
    <t>Ù†Ù¾Ø§Ù„</t>
  </si>
  <si>
    <t>NÃ©pal</t>
  </si>
  <si>
    <t>ÎÎµÏ€Î¬Î»</t>
  </si>
  <si>
    <t>× ×¤××œ</t>
  </si>
  <si>
    <t>à¤¨à¥‡à¤ªà¤¾à¤²</t>
  </si>
  <si>
    <t>NepÃ¡l</t>
  </si>
  <si>
    <t>ãƒãƒ‘ãƒ¼ãƒ«</t>
  </si>
  <si>
    <t>ë„¤íŒ”</t>
  </si>
  <si>
    <t>ÐÐµÐ¿Ð°Ð»</t>
  </si>
  <si>
    <t>Ù†ÛŒÙ¾Ø§Ù„</t>
  </si>
  <si>
    <t>å°¼æ³Šå°”</t>
  </si>
  <si>
    <t>å°¼æ³Šçˆ¾</t>
  </si>
  <si>
    <t>GGY</t>
  </si>
  <si>
    <t>Channel Islands</t>
  </si>
  <si>
    <t>Guern.</t>
  </si>
  <si>
    <t>Bailiwick of Guernsey</t>
  </si>
  <si>
    <t>U.K. crown dependency</t>
  </si>
  <si>
    <t>GK</t>
  </si>
  <si>
    <t>JG</t>
  </si>
  <si>
    <t>CHI</t>
  </si>
  <si>
    <t>Q25230</t>
  </si>
  <si>
    <t>ØºÙŠØ±Ù†Ø²ÙŠ</t>
  </si>
  <si>
    <t>à¦—à¦¾à¦°à§à¦¨à¦¸à¦¿</t>
  </si>
  <si>
    <t>Ú¯Ø±Ù†Ø²ÛŒ</t>
  </si>
  <si>
    <t>Guernesey</t>
  </si>
  <si>
    <t>Î“ÎºÎ­ÏÎ½ÏƒÎµÏŠ</t>
  </si>
  <si>
    <t>×’×¨× ×–×™</t>
  </si>
  <si>
    <t>à¤—à¥à¤µà¥‡à¤°à¥à¤¨à¤¸à¥‡</t>
  </si>
  <si>
    <t>Guernsey BailiffsÃ©g</t>
  </si>
  <si>
    <t>ã‚¬ãƒ¼ãƒ³ã‚¸ãƒ¼</t>
  </si>
  <si>
    <t>ê±´ì§€ì„¬</t>
  </si>
  <si>
    <t>Ð“ÐµÑ€Ð½ÑÐ¸</t>
  </si>
  <si>
    <t>Ð“ÐµÑ€Ð½ÑÑ–</t>
  </si>
  <si>
    <t>æ ¹è¥¿</t>
  </si>
  <si>
    <t>Heard Island and McDonald Islands</t>
  </si>
  <si>
    <t>HMD</t>
  </si>
  <si>
    <t>Heard I. and McDonald Is.</t>
  </si>
  <si>
    <t>Heard I. and McDonald Islands</t>
  </si>
  <si>
    <t>H.M.Is.</t>
  </si>
  <si>
    <t>Territory of Heard Island and McDonald Islands</t>
  </si>
  <si>
    <t>Q131198</t>
  </si>
  <si>
    <t>Ø¬Ø²ÙŠØ±Ø© Ù‡ÙŠØ±Ø¯ ÙˆØ¬Ø²Ø± Ù…Ø§ÙƒØ¯ÙˆÙ†Ø§Ù„Ø¯</t>
  </si>
  <si>
    <t>à¦¹à¦¾à¦°à§à¦¡ à¦¦à§à¦¬à§€à¦ª à¦à¦¬à¦‚ à¦®à§à¦¯à¦¾à¦•à¦¡à§‹à¦¨à¦¾à¦²à§à¦¡ à¦¦à§à¦¬à§€à¦ªà¦ªà§à¦žà§à¦œ</t>
  </si>
  <si>
    <t>Heard und McDonaldinseln</t>
  </si>
  <si>
    <t>Islas Heard y McDonald</t>
  </si>
  <si>
    <t>Ø¬Ø²ÛŒØ±Ù‡ Ù‡Ø±Ø¯ Ùˆ Ø¬Ø²Ø§ÛŒØ± Ù…Ú©Ø¯ÙˆÙ†Ø§Ù„Ø¯</t>
  </si>
  <si>
    <t>Ã®les Heard-et-MacDonald</t>
  </si>
  <si>
    <t>ÎÎ®ÏƒÎ¿Î¹ Î§ÎµÏÎ½Ï„ ÎºÎ±Î¹ ÎœÎ±ÎºÎ½Ï„ÏŒÎ½Î±Î»Î½Ï„</t>
  </si>
  <si>
    <t>×”××™ ×”×¨×“ ×•××™×™ ×ž×§×“×•× ×œ×“</t>
  </si>
  <si>
    <t>à¤¹à¤°à¥à¤¡ à¤¦à¥à¤µà¥€à¤ª à¤”à¤° à¤®à¥ˆà¤•à¤¡à¥‹à¤¨à¤¾à¤²à¥à¤¡ à¤¦à¥à¤µà¥€à¤ª</t>
  </si>
  <si>
    <t>Heard-sziget Ã©s McDonald-szigetek</t>
  </si>
  <si>
    <t>Pulau Heard dan Kepulauan McDonald</t>
  </si>
  <si>
    <t>Isole Heard e McDonald</t>
  </si>
  <si>
    <t>ãƒãƒ¼ãƒ‰å³¶ã¨ãƒžã‚¯ãƒ‰ãƒŠãƒ«ãƒ‰è«¸å³¶</t>
  </si>
  <si>
    <t>í—ˆë“œ ë§¥ë„ë„ë“œ ì œë„</t>
  </si>
  <si>
    <t>Heard en McDonaldeilanden</t>
  </si>
  <si>
    <t>Wyspy Heard i McDonalda</t>
  </si>
  <si>
    <t>Ilha Heard e Ilhas McDonald</t>
  </si>
  <si>
    <t>ÐžÑÑ‚Ñ€Ð¾Ð² Ð¥ÐµÑ€Ð´ Ð¸ Ð¾ÑÑ‚Ñ€Ð¾Ð²Ð° ÐœÐ°ÐºÐ´Ð¾Ð½Ð°Ð»ÑŒÐ´</t>
  </si>
  <si>
    <t>Heard- och McDonaldÃ¶arna</t>
  </si>
  <si>
    <t>Heard AdasÄ± ve McDonald AdalarÄ±</t>
  </si>
  <si>
    <t>ÐžÑÑ‚Ñ€Ñ–Ð² Ð“ÐµÑ€Ð´ Ñ– Ð¾ÑÑ‚Ñ€Ð¾Ð²Ð¸ ÐœÐ°ÐºÐ´Ð¾Ð½Ð°Ð»ÑŒÐ´</t>
  </si>
  <si>
    <t>Ø¬Ø²ÛŒØ±Û ÛØ±Úˆ Ùˆ Ø¬Ø²Ø§Ø¦Ø± Ù…Ú©ÚˆÙˆÙ†Ù„Úˆ</t>
  </si>
  <si>
    <t>Äáº£o Heard vÃ  quáº§n Ä‘áº£o McDonald</t>
  </si>
  <si>
    <t>èµ«å¾·å²›å’Œéº¦å…‹å”çº³ç¾¤å²›</t>
  </si>
  <si>
    <t>èµ«å¾·å³¶å’Œéº¥å…‹å”ç´ç¾¤å³¶</t>
  </si>
  <si>
    <t>Hong Kong S.A.R.</t>
  </si>
  <si>
    <t>HKG</t>
  </si>
  <si>
    <t>H.K.</t>
  </si>
  <si>
    <t>Hong Kong Special Administrative Region, PRC</t>
  </si>
  <si>
    <t>Cn.</t>
  </si>
  <si>
    <t>Hong Kong SAR, China</t>
  </si>
  <si>
    <t>Q8646</t>
  </si>
  <si>
    <t>Ù‡ÙˆÙ†Øº ÙƒÙˆÙ†Øº</t>
  </si>
  <si>
    <t>à¦¹à¦‚à¦•à¦‚</t>
  </si>
  <si>
    <t>Hongkong</t>
  </si>
  <si>
    <t>Ù‡Ù†Ú¯ Ú©Ù†Ú¯</t>
  </si>
  <si>
    <t>Î§Î¿Î½Î³Îº ÎšÎ¿Î½Î³Îº</t>
  </si>
  <si>
    <t>×”×•× ×’ ×§×•× ×’</t>
  </si>
  <si>
    <t>à¤¹à¤¾à¤‚à¤—à¤•à¤¾à¤‚à¤—</t>
  </si>
  <si>
    <t>é¦™æ¸¯</t>
  </si>
  <si>
    <t>í™ì½©</t>
  </si>
  <si>
    <t>Ð“Ð¾Ð½ÐºÐ¾Ð½Ð³</t>
  </si>
  <si>
    <t>ÛØ§Ù†Ú¯ Ú©Ø§Ù†Ú¯</t>
  </si>
  <si>
    <t>Há»“ng KÃ´ng</t>
  </si>
  <si>
    <t>Indian Ocean Territories</t>
  </si>
  <si>
    <t>IOA</t>
  </si>
  <si>
    <t>Indian Ocean Ter.</t>
  </si>
  <si>
    <t>Ind. Oc. Ter.</t>
  </si>
  <si>
    <t>Grouping of Christmas Island (23424869) and Cocos or Keeling Islands (23424784)</t>
  </si>
  <si>
    <t>Q4824275</t>
  </si>
  <si>
    <t>Ø£Ù‚Ø§Ù„ÙŠÙ… Ø§Ù„Ù…Ø­ÙŠØ· Ø§Ù„Ù‡Ù†Ø¯ÙŠ Ø§Ù„Ø£Ø³ØªØ±Ø§Ù„ÙŠØ©</t>
  </si>
  <si>
    <t>à¦…à¦¸à§à¦Ÿà§à¦°à§‡à¦²à§€à¦¯à¦¼ à¦­à¦¾à¦°à¦¤ à¦®à¦¹à¦¾à¦¸à¦¾à¦—à¦° à¦…à¦žà§à¦šà¦²</t>
  </si>
  <si>
    <t>Australische Territorien im Indischen Ozean</t>
  </si>
  <si>
    <t>Australian Indian Ocean Territories</t>
  </si>
  <si>
    <t>Territorios Australianos del OcÃ©ano Ãndico</t>
  </si>
  <si>
    <t>Ø³Ø±Ø²Ù…ÛŒÙ†Ù‡Ø§ÛŒ Ø§Ù‚ÛŒØ§Ù†ÙˆØ³ Ù‡Ù†Ø¯ Ø§Ø³ØªØ±Ø§Ù„ÛŒØ§</t>
  </si>
  <si>
    <t>Territoires extÃ©rieurs australiens de l'OcÃ©an Indien</t>
  </si>
  <si>
    <t>Î‘Ï…ÏƒÏ„ÏÎ±Î»Î­Î¶Î¹ÎºÎ¿ ÎˆÎ´Î±Ï†Î¿Ï‚ Î™Î½Î´Î¹ÎºÎ¿Ï Î©ÎºÎµÎ±Î½Î¿Ï</t>
  </si>
  <si>
    <t>×˜×¨×™×˜×•×¨×™×” ×©×œ ×”××•×§×™×™× ×•×¡ ×”×”×•×“×™</t>
  </si>
  <si>
    <t>à¤¹à¤¿à¤‚à¤¦ à¤®à¤¹à¤¾à¤¸à¤¾à¤—à¤° à¤•à¥‡ à¤‘à¤¸à¥à¤Ÿà¥à¤°à¥‡à¤²à¤¿à¤¯à¤¾à¤ˆ à¤•à¥à¤·à¥‡à¤¤à¥à¤°</t>
  </si>
  <si>
    <t>AusztrÃ¡l Indiai-Ã³ceÃ¡ni TerÃ¼let</t>
  </si>
  <si>
    <t>Wilayah Samudra Hindia Australia</t>
  </si>
  <si>
    <t>ã‚ªãƒ¼ã‚¹ãƒˆãƒ©ãƒªã‚¢é ˜ã‚¤ãƒ³ãƒ‰æ´‹åœ°åŸŸ</t>
  </si>
  <si>
    <t>í˜¸ì£¼ë ¹ ì¸ë„ì–‘ ì§€ì—­</t>
  </si>
  <si>
    <t>Australische territoria van de Indische Oceaan</t>
  </si>
  <si>
    <t>Australijskie Terytorium Oceanu Indyjskiego</t>
  </si>
  <si>
    <t>TerritÃ³rios australianos do Oceano Ãndico</t>
  </si>
  <si>
    <t>ÐÐ²ÑÑ‚Ñ€Ð°Ð»Ð¸Ð¹ÑÐºÐ¸Ðµ Ñ‚ÐµÑ€Ñ€Ð¸Ñ‚Ð¾Ñ€Ð¸Ð¸ Ð² Ð˜Ð½Ð´Ð¸Ð¹ÑÐºÐ¾Ð¼ Ð¾ÐºÐµÐ°Ð½Ðµ</t>
  </si>
  <si>
    <t>Australienska indiska oceanens havsomrÃ¥de</t>
  </si>
  <si>
    <t>ÐÐ²ÑÑ‚Ñ€Ð°Ð»Ñ–Ð¹ÑÑŒÐºÑ– Ñ‚ÐµÑ€Ð¸Ñ‚Ð¾Ñ€Ñ–Ñ— Ð² Ð†Ð½Ð´Ñ–Ð¹ÑÑŒÐºÐ¾Ð¼Ñƒ Ð¾ÐºÐµÐ°Ð½Ñ–</t>
  </si>
  <si>
    <t>Ø¢Ø³Ù’Ù¹Ù’Ø±ÛŒÙ„ÙÛŒÙŽÙ† Ø§Ù†ÚˆÛŒÙ† Ø§ÙˆØ´ÛŒÙ† ØªÛŒØ±ÛŒØªÙˆØ±ÛŒÛŒØ³</t>
  </si>
  <si>
    <t>VÃ¹ng lÃ£nh thá»• áº¤n Äá»™ DÆ°Æ¡ng thuá»™c Ãšc</t>
  </si>
  <si>
    <t>æ¾³å±¬å°åº¦æ´‹é ˜åœ°</t>
  </si>
  <si>
    <t>IMN</t>
  </si>
  <si>
    <t>IoMan</t>
  </si>
  <si>
    <t>IMY</t>
  </si>
  <si>
    <t>Q9676</t>
  </si>
  <si>
    <t>Ø¬Ø²ÙŠØ±Ø© Ù…Ø§Ù†</t>
  </si>
  <si>
    <t>à¦†à¦‡à¦² à¦…à¦¬ à¦®à§à¦¯à¦¾à¦¨</t>
  </si>
  <si>
    <t>Isla de Man</t>
  </si>
  <si>
    <t>Ø¬Ø²ÛŒØ±Ù‡ Ù…Ù†</t>
  </si>
  <si>
    <t>Ã®le de Man</t>
  </si>
  <si>
    <t>ÎÎ®ÏƒÎ¿Ï‚ Ï„Î¿Ï… ÎœÎ±Î½</t>
  </si>
  <si>
    <t>×”××™ ×ž××Ÿ</t>
  </si>
  <si>
    <t>à¤†à¤‡à¤² à¤‘à¤«à¤¼ à¤®à¥ˆà¤¨</t>
  </si>
  <si>
    <t>Man</t>
  </si>
  <si>
    <t>Pulau Man</t>
  </si>
  <si>
    <t>Isola di Man</t>
  </si>
  <si>
    <t>ãƒžãƒ³å³¶</t>
  </si>
  <si>
    <t>ë§¨ì„¬</t>
  </si>
  <si>
    <t>Wyspa Man</t>
  </si>
  <si>
    <t>Ilha de Man</t>
  </si>
  <si>
    <t>Ð¾ÑÑ‚Ñ€Ð¾Ð² ÐœÑÐ½</t>
  </si>
  <si>
    <t>Man AdasÄ±</t>
  </si>
  <si>
    <t>ÐžÑÑ‚Ñ€Ñ–Ð² ÐœÐµÐ½</t>
  </si>
  <si>
    <t>Ø¢Ø¦Ù„ Ø¢Ù Ù…ÛŒÙ†</t>
  </si>
  <si>
    <t>Äáº£o Man</t>
  </si>
  <si>
    <t>é©¬æ©å²›</t>
  </si>
  <si>
    <t>æ›¼å³¶</t>
  </si>
  <si>
    <t>IS1</t>
  </si>
  <si>
    <t>ISR</t>
  </si>
  <si>
    <t>Isr.</t>
  </si>
  <si>
    <t>State of Israel</t>
  </si>
  <si>
    <t>PSX</t>
  </si>
  <si>
    <t>Q801</t>
  </si>
  <si>
    <t>Ø¥Ø³Ø±Ø§Ø¦ÙŠÙ„</t>
  </si>
  <si>
    <t>à¦‡à¦¸à¦°à¦¾à¦¯à¦¼à§‡à¦²</t>
  </si>
  <si>
    <t>Ø§Ø³Ø±Ø§Ø¦ÛŒÙ„</t>
  </si>
  <si>
    <t>IsraÃ«l</t>
  </si>
  <si>
    <t>Î™ÏƒÏÎ±Î®Î»</t>
  </si>
  <si>
    <t>×™×©×¨××œ</t>
  </si>
  <si>
    <t>à¤‡à¤œà¤¼à¤°à¤¾à¤‡à¤²</t>
  </si>
  <si>
    <t>Izrael</t>
  </si>
  <si>
    <t>Israele</t>
  </si>
  <si>
    <t>ã‚¤ã‚¹ãƒ©ã‚¨ãƒ«</t>
  </si>
  <si>
    <t>ì´ìŠ¤ë¼ì—˜</t>
  </si>
  <si>
    <t>Ð˜Ð·Ñ€Ð°Ð¸Ð»ÑŒ</t>
  </si>
  <si>
    <t>Ä°srail</t>
  </si>
  <si>
    <t>Ð†Ð·Ñ€Ð°Ñ—Ð»ÑŒ</t>
  </si>
  <si>
    <t>ä»¥è‰²åˆ—</t>
  </si>
  <si>
    <t>JEY</t>
  </si>
  <si>
    <t>Jey.</t>
  </si>
  <si>
    <t>Bailiwick of Jersey</t>
  </si>
  <si>
    <t>Q785</t>
  </si>
  <si>
    <t>Ø¬ÙŠØ±Ø²ÙŠ</t>
  </si>
  <si>
    <t>à¦œà¦¾à¦°à§à¦¸à¦¿</t>
  </si>
  <si>
    <t>Ø¬Ø±Ø²ÛŒ</t>
  </si>
  <si>
    <t>Î¤Î¶Î­ÏÏƒÎµÏŠ</t>
  </si>
  <si>
    <t>×’'×¨×–×™</t>
  </si>
  <si>
    <t>à¤œà¤°à¥à¤¸à¥€</t>
  </si>
  <si>
    <t>baliato di Jersey</t>
  </si>
  <si>
    <t>ã‚¸ãƒ£ãƒ¼ã‚¸ãƒ¼</t>
  </si>
  <si>
    <t>ì €ì§€ì„¬</t>
  </si>
  <si>
    <t>Ð”Ð¶ÐµÑ€ÑÐ¸</t>
  </si>
  <si>
    <t>Ð”Ð¶ÐµÑ€ÑÑ–</t>
  </si>
  <si>
    <t>æ³½è¥¿</t>
  </si>
  <si>
    <t>æ¾¤è¥¿</t>
  </si>
  <si>
    <t>NIC</t>
  </si>
  <si>
    <t>Nic.</t>
  </si>
  <si>
    <t>Republic of Nicaragua</t>
  </si>
  <si>
    <t>Q811</t>
  </si>
  <si>
    <t>Ù†ÙŠÙƒØ§Ø±Ø§ØºÙˆØ§</t>
  </si>
  <si>
    <t>à¦¨à¦¿à¦•à¦¾à¦°à¦¾à¦—à§à¦¯à¦¼à¦¾</t>
  </si>
  <si>
    <t>Ù†ÛŒÚ©Ø§Ø±Ø§Ú¯ÙˆØ¦Ù‡</t>
  </si>
  <si>
    <t>ÎÎ¹ÎºÎ±ÏÎ¬Î³Î¿Ï…Î±</t>
  </si>
  <si>
    <t>× ×™×§×¨×’×•××”</t>
  </si>
  <si>
    <t>à¤¨à¤¿à¤•à¤¾à¤°à¤¾à¤—à¥à¤†</t>
  </si>
  <si>
    <t>Nikaragua</t>
  </si>
  <si>
    <t>ãƒ‹ã‚«ãƒ©ã‚°ã‚¢</t>
  </si>
  <si>
    <t>ë‹ˆì¹´ë¼ê³¼</t>
  </si>
  <si>
    <t>NicarÃ¡gua</t>
  </si>
  <si>
    <t>ÐÐ¸ÐºÐ°Ñ€Ð°Ð³ÑƒÐ°</t>
  </si>
  <si>
    <t>ÐÑ–ÐºÐ°Ñ€Ð°Ð³ÑƒÐ°</t>
  </si>
  <si>
    <t>Ù†Ú©Ø§Ø±Ø§Ú¯ÙˆØ§</t>
  </si>
  <si>
    <t>å°¼åŠ æ‹‰ç“œ</t>
  </si>
  <si>
    <t>NER</t>
  </si>
  <si>
    <t>Republic of Niger</t>
  </si>
  <si>
    <t>Q1032</t>
  </si>
  <si>
    <t>Ø§Ù„Ù†ÙŠØ¬Ø±</t>
  </si>
  <si>
    <t>à¦¨à¦¾à¦‡à¦œà¦¾à¦°</t>
  </si>
  <si>
    <t>NÃ­ger</t>
  </si>
  <si>
    <t>Ù†ÛŒØ¬Ø±</t>
  </si>
  <si>
    <t>ÎÎ¯Î³Î·ÏÎ±Ï‚</t>
  </si>
  <si>
    <t>× ×™×–'×¨</t>
  </si>
  <si>
    <t>à¤¨à¤¾à¤‡à¤œà¤°</t>
  </si>
  <si>
    <t>ãƒ‹ã‚¸ã‚§ãƒ¼ãƒ«</t>
  </si>
  <si>
    <t>ë‹ˆì œë¥´</t>
  </si>
  <si>
    <t>ÐÐ¸Ð³ÐµÑ€</t>
  </si>
  <si>
    <t>Nijer</t>
  </si>
  <si>
    <t>ÐÑ–Ð³ÐµÑ€</t>
  </si>
  <si>
    <t>Ù†Ø§Ø¦Ø¬Ø±</t>
  </si>
  <si>
    <t>å°¼æ—¥å°”</t>
  </si>
  <si>
    <t>å°¼æ—¥</t>
  </si>
  <si>
    <t>NGA</t>
  </si>
  <si>
    <t>Federal Republic of Nigeria</t>
  </si>
  <si>
    <t>Q1033</t>
  </si>
  <si>
    <t>Ù†ÙŠØ¬ÙŠØ±ÙŠØ§</t>
  </si>
  <si>
    <t>à¦¨à¦¾à¦‡à¦œà§‡à¦°à¦¿à¦¯à¦¼à¦¾</t>
  </si>
  <si>
    <t>Ù†ÛŒØ¬Ø±ÛŒÙ‡</t>
  </si>
  <si>
    <t>ÎÎ¹Î³Î·ÏÎ¯Î±</t>
  </si>
  <si>
    <t>× ×™×’×¨×™×”</t>
  </si>
  <si>
    <t>à¤¨à¤¾à¤ˆà¤œà¥€à¤°à¤¿à¤¯à¤¾</t>
  </si>
  <si>
    <t>NigÃ©ria</t>
  </si>
  <si>
    <t>ãƒŠã‚¤ã‚¸ã‚§ãƒªã‚¢</t>
  </si>
  <si>
    <t>ë‚˜ì´ì§€ë¦¬ì•„</t>
  </si>
  <si>
    <t>ÐÐ¸Ð³ÐµÑ€Ð¸Ñ</t>
  </si>
  <si>
    <t>Nijerya</t>
  </si>
  <si>
    <t>ÐÑ–Ð³ÐµÑ€Ñ–Ñ</t>
  </si>
  <si>
    <t>Ù†Ø§Ø¦Ø¬ÛŒØ±ÛŒØ§</t>
  </si>
  <si>
    <t>å°¼æ—¥åˆ©äºš</t>
  </si>
  <si>
    <t>å¥ˆåŠåˆ©äºž</t>
  </si>
  <si>
    <t>PRK</t>
  </si>
  <si>
    <t>Dem. Rep. Korea</t>
  </si>
  <si>
    <t>N.K.</t>
  </si>
  <si>
    <t>Democratic People's Republic of Korea</t>
  </si>
  <si>
    <t>Korea, North</t>
  </si>
  <si>
    <t>Korea, Dem. Rep.</t>
  </si>
  <si>
    <t>Q423</t>
  </si>
  <si>
    <t>ÙƒÙˆØ±ÙŠØ§ Ø§Ù„Ø´Ù…Ø§Ù„ÙŠØ©</t>
  </si>
  <si>
    <t>à¦‰à¦¤à§à¦¤à¦° à¦•à§‹à¦°à¦¿à¦¯à¦¼à¦¾</t>
  </si>
  <si>
    <t>Nordkorea</t>
  </si>
  <si>
    <t>Corea del Norte</t>
  </si>
  <si>
    <t>Ú©Ø±Ù‡ Ø´Ù…Ø§Ù„ÛŒ</t>
  </si>
  <si>
    <t>CorÃ©e du Nord</t>
  </si>
  <si>
    <t>Î’ÏŒÏÎµÎ¹Î± ÎšÎ¿ÏÎ­Î±</t>
  </si>
  <si>
    <t>×§×•×¨×™××” ×”×¦×¤×•× ×™×ª</t>
  </si>
  <si>
    <t>à¤‰à¤¤à¥à¤¤à¤° à¤•à¥‹à¤°à¤¿à¤¯à¤¾</t>
  </si>
  <si>
    <t>Ã‰szak-Korea</t>
  </si>
  <si>
    <t>Korea Utara</t>
  </si>
  <si>
    <t>Corea del Nord</t>
  </si>
  <si>
    <t>æœé®®æ°‘ä¸»ä¸»ç¾©äººæ°‘å…±å’Œå›½</t>
  </si>
  <si>
    <t>ì¡°ì„ ë¯¼ì£¼ì£¼ì˜ì¸ë¯¼ê³µí™”êµ­</t>
  </si>
  <si>
    <t>Noord-Korea</t>
  </si>
  <si>
    <t>Korea PÃ³Å‚nocna</t>
  </si>
  <si>
    <t>Coreia do Norte</t>
  </si>
  <si>
    <t>ÐšÐÐ”Ð </t>
  </si>
  <si>
    <t>Kuzey Kore</t>
  </si>
  <si>
    <t>ÐšÐ¾Ñ€ÐµÐ¹ÑÑŒÐºÐ° ÐÐ°Ñ€Ð¾Ð´Ð½Ð¾-Ð”ÐµÐ¼Ð¾ÐºÑ€Ð°Ñ‚Ð¸Ñ‡Ð½Ð° Ð ÐµÑÐ¿ÑƒÐ±Ð»Ñ–ÐºÐ°</t>
  </si>
  <si>
    <t>Ø´Ù…Ø§Ù„ÛŒ Ú©ÙˆØ±ÛŒØ§</t>
  </si>
  <si>
    <t>Cá»™ng hÃ²a DÃ¢n chá»§ NhÃ¢n dÃ¢n Triá»u TiÃªn</t>
  </si>
  <si>
    <t>æœé²œæ°‘ä¸»ä¸»ä¹‰äººæ°‘å…±å’Œå›½</t>
  </si>
  <si>
    <t>æœé®®æ°‘ä¸»ä¸»ç¾©äººæ°‘å…±å’Œåœ‹</t>
  </si>
  <si>
    <t>North Macedonia</t>
  </si>
  <si>
    <t>MKD</t>
  </si>
  <si>
    <t>N. Mac.</t>
  </si>
  <si>
    <t>NM</t>
  </si>
  <si>
    <t>Republic of North Macedonia</t>
  </si>
  <si>
    <t>Q221</t>
  </si>
  <si>
    <t>Ù…Ù‚Ø¯ÙˆÙ†ÙŠØ§ Ø§Ù„Ø´Ù…Ø§Ù„ÙŠØ©</t>
  </si>
  <si>
    <t>à¦‰à¦¤à§à¦¤à¦° à¦®à§‡à¦¸à¦¿à¦¡à§‹à¦¨à¦¿à¦¯à¦¼à¦¾</t>
  </si>
  <si>
    <t>Nordmazedonien</t>
  </si>
  <si>
    <t>Macedonia del Norte</t>
  </si>
  <si>
    <t>Ù…Ù‚Ø¯ÙˆÙ†ÛŒÙ‡ Ø´Ù…Ø§Ù„ÛŒ</t>
  </si>
  <si>
    <t>MacÃ©doine du Nord</t>
  </si>
  <si>
    <t>Î’ÏŒÏÎµÎ¹Î± ÎœÎ±ÎºÎµÎ´Î¿Î½Î¯Î±</t>
  </si>
  <si>
    <t>×ž×§×“×•× ×™×” ×”×¦×¤×•× ×™×ª</t>
  </si>
  <si>
    <t>à¤‰à¤¤à¥à¤¤à¤° à¤®à¥ˆà¤¸à¤¿à¤¡à¥‹à¤¨à¤¿à¤¯à¤¾</t>
  </si>
  <si>
    <t>Ã‰szak-MacedÃ³nia</t>
  </si>
  <si>
    <t>Republik Makedonia Utara</t>
  </si>
  <si>
    <t>Macedonia del Nord</t>
  </si>
  <si>
    <t>åŒ—ãƒžã‚±ãƒ‰ãƒ‹ã‚¢</t>
  </si>
  <si>
    <t>ë¶ë§ˆì¼€ë„ë‹ˆì•„</t>
  </si>
  <si>
    <t>Noord-MacedoniÃ«</t>
  </si>
  <si>
    <t>Macedonia PÃ³Å‚nocna</t>
  </si>
  <si>
    <t>MacedÃ³nia do Norte</t>
  </si>
  <si>
    <t>Ð¡ÐµÐ²ÐµÑ€Ð½Ð°Ñ ÐœÐ°ÐºÐµÐ´Ð¾Ð½Ð¸Ñ</t>
  </si>
  <si>
    <t>Nordmakedonien</t>
  </si>
  <si>
    <t>Kuzey Makedonya</t>
  </si>
  <si>
    <t>ÐŸÑ–Ð²Ð½Ñ–Ñ‡Ð½Ð° ÐœÐ°ÐºÐµÐ´Ð¾Ð½Ñ–Ñ</t>
  </si>
  <si>
    <t>Ø´Ù…Ø§Ù„ÛŒ Ù…Ù‚Ø¯ÙˆÙ†ÛŒÛ</t>
  </si>
  <si>
    <t>Báº¯c Macedonia</t>
  </si>
  <si>
    <t>åŒ—é©¬å…¶é¡¿</t>
  </si>
  <si>
    <t>åŒ—é¦¬å…¶é “</t>
  </si>
  <si>
    <t>Northern Cyprus</t>
  </si>
  <si>
    <t>CYN</t>
  </si>
  <si>
    <t>N. Cyprus</t>
  </si>
  <si>
    <t>N. Cy.</t>
  </si>
  <si>
    <t>Turkish Republic of Northern Cyprus</t>
  </si>
  <si>
    <t>Self admin.</t>
  </si>
  <si>
    <t>Self admin.; Claimed by Cyprus</t>
  </si>
  <si>
    <t>Cyprus, Northern</t>
  </si>
  <si>
    <t>Q23681</t>
  </si>
  <si>
    <t>Ù‚Ø¨Ø±Øµ Ø§Ù„Ø´Ù…Ø§Ù„ÙŠØ©</t>
  </si>
  <si>
    <t>à¦‰à¦¤à§à¦¤à¦° à¦¸à¦¾à¦‡à¦ªà§à¦°à¦¾à¦¸</t>
  </si>
  <si>
    <t>TÃ¼rkische Republik Nordzypern</t>
  </si>
  <si>
    <t>RepÃºblica Turca del Norte de Chipre</t>
  </si>
  <si>
    <t>Ø¬Ù…Ù‡ÙˆØ±ÛŒ ØªØ±Ú© Ù‚Ø¨Ø±Ø³ Ø´Ù…Ø§Ù„ÛŒ</t>
  </si>
  <si>
    <t>Chypre du Nord</t>
  </si>
  <si>
    <t>Î¤Î¿Ï…ÏÎºÎ¹ÎºÎ® Î”Î·Î¼Î¿ÎºÏÎ±Ï„Î¯Î± Ï„Î·Ï‚ Î’ÏŒÏÎµÎ¹Î±Ï‚ ÎšÏÏ€ÏÎ¿Ï…</t>
  </si>
  <si>
    <t>×”×¨×¤×•×‘×œ×™×§×” ×”×˜×•×¨×§×™×ª ×©×œ ×¦×¤×•×Ÿ ×§×¤×¨×™×¡×™×Ÿ</t>
  </si>
  <si>
    <t>à¤‰à¤¤à¥à¤¤à¤°à¥€ à¤¸à¤¾à¤‡à¤ªà¥à¤°à¤¸</t>
  </si>
  <si>
    <t>Ã‰szak-Ciprus</t>
  </si>
  <si>
    <t>Republik Turki Siprus Utara</t>
  </si>
  <si>
    <t>Cipro del Nord</t>
  </si>
  <si>
    <t>åŒ—ã‚­ãƒ—ãƒ­ã‚¹ãƒ»ãƒˆãƒ«ã‚³å…±å’Œå›½</t>
  </si>
  <si>
    <t>ë¶í‚¤í”„ë¡œìŠ¤</t>
  </si>
  <si>
    <t>Noord-Cyprus</t>
  </si>
  <si>
    <t>Cypr PÃ³Å‚nocny</t>
  </si>
  <si>
    <t>RepÃºblica Turca do Chipre do Norte</t>
  </si>
  <si>
    <t>Ð¢ÑƒÑ€ÐµÑ†ÐºÐ°Ñ Ð ÐµÑÐ¿ÑƒÐ±Ð»Ð¸ÐºÐ° Ð¡ÐµÐ²ÐµÑ€Ð½Ð¾Ð³Ð¾ ÐšÐ¸Ð¿Ñ€Ð°</t>
  </si>
  <si>
    <t>Nordcypern</t>
  </si>
  <si>
    <t>Kuzey KÄ±brÄ±s TÃ¼rk Cumhuriyeti</t>
  </si>
  <si>
    <t>Ð¢ÑƒÑ€ÐµÑ†ÑŒÐºÐ° Ð ÐµÑÐ¿ÑƒÐ±Ð»Ñ–ÐºÐ° ÐŸÑ–Ð²Ð½Ñ–Ñ‡Ð½Ð¾Ð³Ð¾ ÐšÑ–Ð¿Ñ€Ñƒ</t>
  </si>
  <si>
    <t>ØªØ±Ú© Ø¬Ù…ÛÙˆØ±ÛŒÛ Ø´Ù…Ø§Ù„ÛŒ Ù‚Ø¨Ø±Øµ</t>
  </si>
  <si>
    <t>Báº¯c SÃ­p</t>
  </si>
  <si>
    <t>åŒ—å¡žæµ¦è·¯æ–¯åœŸè€³å…¶å…±å’Œå›½</t>
  </si>
  <si>
    <t>åŒ—è³½æ™®å‹’æ–¯åœŸè€³å…¶å…±å’Œåœ‹</t>
  </si>
  <si>
    <t>Admin-0 breakaway and disputed</t>
  </si>
  <si>
    <t>NOR</t>
  </si>
  <si>
    <t>Nor.</t>
  </si>
  <si>
    <t>N</t>
  </si>
  <si>
    <t>Kingdom of Norway</t>
  </si>
  <si>
    <t>Does not include Svalbard, Jan Mayen, or Bouvet Islands (28289410).</t>
  </si>
  <si>
    <t>Q20</t>
  </si>
  <si>
    <t>Ø§Ù„Ù†Ø±ÙˆÙŠØ¬</t>
  </si>
  <si>
    <t>à¦¨à¦°à¦“à¦¯à¦¼à§‡</t>
  </si>
  <si>
    <t>Norwegen</t>
  </si>
  <si>
    <t>Noruega</t>
  </si>
  <si>
    <t>Ù†Ø±ÙˆÚ˜</t>
  </si>
  <si>
    <t>NorvÃ¨ge</t>
  </si>
  <si>
    <t>ÎÎ¿ÏÎ²Î·Î³Î¯Î±</t>
  </si>
  <si>
    <t>× ×•×¨×•×•×’×™×”</t>
  </si>
  <si>
    <t>à¤¨à¥‰à¤°à¥à¤µà¥‡</t>
  </si>
  <si>
    <t>NorvÃ©gia</t>
  </si>
  <si>
    <t>Norwegia</t>
  </si>
  <si>
    <t>Norvegia</t>
  </si>
  <si>
    <t>ãƒŽãƒ«ã‚¦ã‚§ãƒ¼</t>
  </si>
  <si>
    <t>ë…¸ë¥´ì›¨ì´</t>
  </si>
  <si>
    <t>Noorwegen</t>
  </si>
  <si>
    <t>ÐÐ¾Ñ€Ð²ÐµÐ³Ð¸Ñ</t>
  </si>
  <si>
    <t>Norge</t>
  </si>
  <si>
    <t>NorveÃ§</t>
  </si>
  <si>
    <t>ÐÐ¾Ñ€Ð²ÐµÐ³Ñ–Ñ</t>
  </si>
  <si>
    <t>Ù†Ø§Ø±ÙˆÛ’</t>
  </si>
  <si>
    <t>Na Uy</t>
  </si>
  <si>
    <t>æŒªå¨</t>
  </si>
  <si>
    <t>OMN</t>
  </si>
  <si>
    <t>Sultanate of Oman</t>
  </si>
  <si>
    <t>Q842</t>
  </si>
  <si>
    <t>Ø³Ù„Ø·Ù†Ø© Ø¹Ù…Ø§Ù†</t>
  </si>
  <si>
    <t>à¦“à¦®à¦¾à¦¨</t>
  </si>
  <si>
    <t>OmÃ¡n</t>
  </si>
  <si>
    <t>Ø¹Ù…Ø§Ù†</t>
  </si>
  <si>
    <t>ÎŸÎ¼Î¬Î½</t>
  </si>
  <si>
    <t>×¢×•×ž××Ÿ</t>
  </si>
  <si>
    <t>à¤“à¤®à¤¾à¤¨</t>
  </si>
  <si>
    <t>ã‚ªãƒžãƒ¼ãƒ³</t>
  </si>
  <si>
    <t>ì˜¤ë§Œ</t>
  </si>
  <si>
    <t>OmÃ£</t>
  </si>
  <si>
    <t>ÐžÐ¼Ð°Ð½</t>
  </si>
  <si>
    <t>Umman</t>
  </si>
  <si>
    <t>é˜¿æ›¼</t>
  </si>
  <si>
    <t>Pak.</t>
  </si>
  <si>
    <t>Islamic Republic of Pakistan</t>
  </si>
  <si>
    <t>Q843</t>
  </si>
  <si>
    <t>Ø¨Ø§ÙƒØ³ØªØ§Ù†</t>
  </si>
  <si>
    <t>à¦ªà¦¾à¦•à¦¿à¦¸à§à¦¤à¦¾à¦¨</t>
  </si>
  <si>
    <t>PakistÃ¡n</t>
  </si>
  <si>
    <t>Ù¾Ø§Ú©Ø³ØªØ§Ù†</t>
  </si>
  <si>
    <t>Î Î±ÎºÎ¹ÏƒÏ„Î¬Î½</t>
  </si>
  <si>
    <t>×¤×§×™×¡×˜×Ÿ</t>
  </si>
  <si>
    <t>à¤ªà¤¾à¤•à¤¿à¤¸à¥à¤¤à¤¾à¤¨</t>
  </si>
  <si>
    <t>PakisztÃ¡n</t>
  </si>
  <si>
    <t>ãƒ‘ã‚­ã‚¹ã‚¿ãƒ³</t>
  </si>
  <si>
    <t>íŒŒí‚¤ìŠ¤íƒ„</t>
  </si>
  <si>
    <t>PaquistÃ£o</t>
  </si>
  <si>
    <t>ÐŸÐ°ÐºÐ¸ÑÑ‚Ð°Ð½</t>
  </si>
  <si>
    <t>å·´åŸºæ–¯å¦</t>
  </si>
  <si>
    <t>PLW</t>
  </si>
  <si>
    <t>Republic of Palau</t>
  </si>
  <si>
    <t>Q695</t>
  </si>
  <si>
    <t>Ø¨Ø§Ù„Ø§Ùˆ</t>
  </si>
  <si>
    <t>à¦ªà¦¾à¦²à¦¾à¦‰</t>
  </si>
  <si>
    <t>Palaos</t>
  </si>
  <si>
    <t>Ù¾Ø§Ù„Ø§Ø¦Ùˆ</t>
  </si>
  <si>
    <t>Î Î±Î»Î¬Î¿Ï…</t>
  </si>
  <si>
    <t>×¤×œ××•</t>
  </si>
  <si>
    <t>à¤ªà¤²à¤¾à¤‰</t>
  </si>
  <si>
    <t>ãƒ‘ãƒ©ã‚ª</t>
  </si>
  <si>
    <t>íŒ”ë¼ìš°</t>
  </si>
  <si>
    <t>ÐŸÐ°Ð»Ð°Ñƒ</t>
  </si>
  <si>
    <t>Ð ÐµÑÐ¿ÑƒÐ±Ð»Ñ–ÐºÐ° ÐŸÐ°Ð»Ð°Ñƒ</t>
  </si>
  <si>
    <t>Ù¾Ù„Ø§Ø¤</t>
  </si>
  <si>
    <t>å¸•åŠ³</t>
  </si>
  <si>
    <t>å¸›ç‰</t>
  </si>
  <si>
    <t>PAN</t>
  </si>
  <si>
    <t>Pan.</t>
  </si>
  <si>
    <t>Republic of Panama</t>
  </si>
  <si>
    <t>Q804</t>
  </si>
  <si>
    <t>Ø¨Ù†Ù…Ø§</t>
  </si>
  <si>
    <t>à¦ªà¦¾à¦¨à¦¾à¦®à¦¾</t>
  </si>
  <si>
    <t>PanamÃ¡</t>
  </si>
  <si>
    <t>Ù¾Ø§Ù†Ø§Ù…Ø§</t>
  </si>
  <si>
    <t>Î Î±Î½Î±Î¼Î¬Ï‚</t>
  </si>
  <si>
    <t>×¤× ×ž×”</t>
  </si>
  <si>
    <t>à¤ªà¤¨à¤¾à¤®à¤¾</t>
  </si>
  <si>
    <t>ãƒ‘ãƒŠãƒž</t>
  </si>
  <si>
    <t>íŒŒë‚˜ë§ˆ</t>
  </si>
  <si>
    <t>ÐŸÐ°Ð½Ð°Ð¼Ð°</t>
  </si>
  <si>
    <t>å·´æ‹¿é©¬</t>
  </si>
  <si>
    <t>å·´æ‹¿é¦¬</t>
  </si>
  <si>
    <t>PNG</t>
  </si>
  <si>
    <t>PN1</t>
  </si>
  <si>
    <t>P.N.G.</t>
  </si>
  <si>
    <t>Independent State of Papua New Guinea</t>
  </si>
  <si>
    <t>PP</t>
  </si>
  <si>
    <t>Q691</t>
  </si>
  <si>
    <t>Ø¨Ø§Ø¨ÙˆØ§ ØºÙŠÙ†ÙŠØ§ Ø§Ù„Ø¬Ø¯ÙŠØ¯Ø©</t>
  </si>
  <si>
    <t>à¦ªà¦¾à¦ªà§à¦¯à¦¼à¦¾ à¦¨à¦¿à¦‰à¦—à¦¿à¦¨à¦¿</t>
  </si>
  <si>
    <t>Papua-Neuguinea</t>
  </si>
  <si>
    <t>PapÃºa Nueva Guinea</t>
  </si>
  <si>
    <t>Ù¾Ø§Ù¾ÙˆØ¢ Ú¯ÛŒÙ†Ù‡ Ù†Ùˆ</t>
  </si>
  <si>
    <t>Papouasie-Nouvelle-GuinÃ©e</t>
  </si>
  <si>
    <t>Î Î±Ï€Î¿ÏÎ± ÎÎ­Î± Î“Î¿Ï…Î¹Î½Î­Î±</t>
  </si>
  <si>
    <t>×¤×¤×•××” ×’×™× ××” ×”×—×“×©×”</t>
  </si>
  <si>
    <t>à¤ªà¤¾à¤ªà¥à¤† à¤¨à¥à¤¯à¥‚ à¤—à¤¿à¤¨à¥€</t>
  </si>
  <si>
    <t>PÃ¡pua Ãšj-Guinea</t>
  </si>
  <si>
    <t>Papua Nugini</t>
  </si>
  <si>
    <t>Papua Nuova Guinea</t>
  </si>
  <si>
    <t>ãƒ‘ãƒ—ã‚¢ãƒ‹ãƒ¥ãƒ¼ã‚®ãƒ‹ã‚¢</t>
  </si>
  <si>
    <t>íŒŒí‘¸ì•„ë‰´ê¸°ë‹ˆ</t>
  </si>
  <si>
    <t>Papoea-Nieuw-Guinea</t>
  </si>
  <si>
    <t>Papua-Nowa Gwinea</t>
  </si>
  <si>
    <t>Papua-Nova GuinÃ©</t>
  </si>
  <si>
    <t>ÐŸÐ°Ð¿ÑƒÐ° â€” ÐÐ¾Ð²Ð°Ñ Ð“Ð²Ð¸Ð½ÐµÑ</t>
  </si>
  <si>
    <t>Papua Nya Guinea</t>
  </si>
  <si>
    <t>Papua Yeni Gine</t>
  </si>
  <si>
    <t>ÐŸÐ°Ð¿ÑƒÐ° ÐÐ¾Ð²Ð° Ð“Ð²Ñ–Ð½ÐµÑ</t>
  </si>
  <si>
    <t>Ù¾Ø§Ù¾ÙˆØ§ Ù†ÛŒÙˆ Ú¯Ù†ÛŒ</t>
  </si>
  <si>
    <t>å·´å¸ƒäºšæ–°å‡ å†…äºš</t>
  </si>
  <si>
    <t>å·´å¸ƒäºžç´å¹¾å…§äºž</t>
  </si>
  <si>
    <t>PRY</t>
  </si>
  <si>
    <t>Para.</t>
  </si>
  <si>
    <t>Republic of Paraguay</t>
  </si>
  <si>
    <t>Q733</t>
  </si>
  <si>
    <t>Ø¨Ø§Ø±Ø§ØºÙˆØ§ÙŠ</t>
  </si>
  <si>
    <t>à¦ªà§à¦¯à¦¾à¦°à¦¾à¦—à§à¦¯à¦¼à§‡</t>
  </si>
  <si>
    <t>Ù¾Ø§Ø±Ø§Ú¯ÙˆØ¦Ù‡</t>
  </si>
  <si>
    <t>Î Î±ÏÎ±Î³Î¿Ï…Î¬Î·</t>
  </si>
  <si>
    <t>×¤×¨×’×•×•××™</t>
  </si>
  <si>
    <t>à¤ªà¥ˆà¤°à¤¾à¤—à¥à¤µà¥‡</t>
  </si>
  <si>
    <t>ãƒ‘ãƒ©ã‚°ã‚¢ã‚¤</t>
  </si>
  <si>
    <t>íŒŒë¼ê³¼ì´</t>
  </si>
  <si>
    <t>Paragwaj</t>
  </si>
  <si>
    <t>Paraguai</t>
  </si>
  <si>
    <t>ÐŸÐ°Ñ€Ð°Ð³Ð²Ð°Ð¹</t>
  </si>
  <si>
    <t>Ù¾ÛŒØ±Ø§Ú¯ÙˆØ¦Û’</t>
  </si>
  <si>
    <t>å·´æ‹‰åœ­</t>
  </si>
  <si>
    <t>PER</t>
  </si>
  <si>
    <t>Republic of Peru</t>
  </si>
  <si>
    <t>Q419</t>
  </si>
  <si>
    <t>Ø¨ÙŠØ±Ùˆ</t>
  </si>
  <si>
    <t>à¦ªà§‡à¦°à§</t>
  </si>
  <si>
    <t>PerÃº</t>
  </si>
  <si>
    <t>Ù¾Ø±Ùˆ</t>
  </si>
  <si>
    <t>PÃ©rou</t>
  </si>
  <si>
    <t>Î ÎµÏÎ¿Ï</t>
  </si>
  <si>
    <t>×¤×¨×•</t>
  </si>
  <si>
    <t>à¤ªà¥‡à¤°à¥‚</t>
  </si>
  <si>
    <t>PerÃ¹</t>
  </si>
  <si>
    <t>ãƒšãƒ«ãƒ¼</t>
  </si>
  <si>
    <t>íŽ˜ë£¨</t>
  </si>
  <si>
    <t>ÐŸÐµÑ€Ñƒ</t>
  </si>
  <si>
    <t>Ù¾ÛŒØ±Ùˆ</t>
  </si>
  <si>
    <t>ç§˜é²</t>
  </si>
  <si>
    <t>ç§˜é­¯</t>
  </si>
  <si>
    <t>PHL</t>
  </si>
  <si>
    <t>Phil.</t>
  </si>
  <si>
    <t>Republic of the Philippines</t>
  </si>
  <si>
    <t>RP</t>
  </si>
  <si>
    <t>Q928</t>
  </si>
  <si>
    <t>Ø§Ù„ÙÙ„Ø¨ÙŠÙ†</t>
  </si>
  <si>
    <t>à¦«à¦¿à¦²à¦¿à¦ªà¦¾à¦‡à¦¨</t>
  </si>
  <si>
    <t>Philippinen</t>
  </si>
  <si>
    <t>Filipinas</t>
  </si>
  <si>
    <t>ÙÛŒÙ„ÛŒÙ¾ÛŒÙ†</t>
  </si>
  <si>
    <t>Î¦Î¹Î»Î¹Ï€Ï€Î¯Î½ÎµÏ‚</t>
  </si>
  <si>
    <t>×”×¤×™×œ×™×¤×™× ×™×</t>
  </si>
  <si>
    <t>à¤«à¤¼à¤¿à¤²à¥€à¤ªà¥€à¤¨à¥à¤¸</t>
  </si>
  <si>
    <t>FÃ¼lÃ¶p-szigetek</t>
  </si>
  <si>
    <t>Filipina</t>
  </si>
  <si>
    <t>Filippine</t>
  </si>
  <si>
    <t>ãƒ•ã‚£ãƒªãƒ”ãƒ³</t>
  </si>
  <si>
    <t>í•„ë¦¬í•€</t>
  </si>
  <si>
    <t>Filipijnen</t>
  </si>
  <si>
    <t>Filipiny</t>
  </si>
  <si>
    <t>Ð¤Ð¸Ð»Ð¸Ð¿Ð¿Ð¸Ð½Ñ‹</t>
  </si>
  <si>
    <t>Filippinerna</t>
  </si>
  <si>
    <t>Filipinler</t>
  </si>
  <si>
    <t>Ð¤Ñ–Ð»Ñ–Ð¿Ð¿Ñ–Ð½Ð¸</t>
  </si>
  <si>
    <t>ÙÙ„Ù¾Ø§Ø¦Ù†</t>
  </si>
  <si>
    <t>è²å¾‹å®¾</t>
  </si>
  <si>
    <t>è²å¾‹è³“</t>
  </si>
  <si>
    <t>POL</t>
  </si>
  <si>
    <t>Pol.</t>
  </si>
  <si>
    <t>Republic of Poland</t>
  </si>
  <si>
    <t>Q36</t>
  </si>
  <si>
    <t>Ø¨ÙˆÙ„Ù†Ø¯Ø§</t>
  </si>
  <si>
    <t>à¦ªà§‹à¦²à§à¦¯à¦¾à¦¨à§à¦¡</t>
  </si>
  <si>
    <t>Polen</t>
  </si>
  <si>
    <t>Polonia</t>
  </si>
  <si>
    <t>Ù„Ù‡Ø³ØªØ§Ù†</t>
  </si>
  <si>
    <t>Pologne</t>
  </si>
  <si>
    <t>Î Î¿Î»Ï‰Î½Î¯Î±</t>
  </si>
  <si>
    <t>×¤×•×œ×™×Ÿ</t>
  </si>
  <si>
    <t>à¤ªà¥‹à¤²à¥ˆà¤‚à¤¡</t>
  </si>
  <si>
    <t>LengyelorszÃ¡g</t>
  </si>
  <si>
    <t>Polandia</t>
  </si>
  <si>
    <t>ãƒãƒ¼ãƒ©ãƒ³ãƒ‰</t>
  </si>
  <si>
    <t>í´ëž€ë“œ</t>
  </si>
  <si>
    <t>Polska</t>
  </si>
  <si>
    <t>PolÃ³nia</t>
  </si>
  <si>
    <t>ÐŸÐ¾Ð»ÑŒÑˆÐ°</t>
  </si>
  <si>
    <t>Polonya</t>
  </si>
  <si>
    <t>ÐŸÐ¾Ð»ÑŒÑ‰Ð°</t>
  </si>
  <si>
    <t>Ù¾ÙˆÙ„ÛŒÙ†Úˆ</t>
  </si>
  <si>
    <t>Ba Lan</t>
  </si>
  <si>
    <t>æ³¢å…°</t>
  </si>
  <si>
    <t>æ³¢è˜­</t>
  </si>
  <si>
    <t>PRT</t>
  </si>
  <si>
    <t>PR1</t>
  </si>
  <si>
    <t>Port.</t>
  </si>
  <si>
    <t>Portuguese Republic</t>
  </si>
  <si>
    <t>PO</t>
  </si>
  <si>
    <t>Q45</t>
  </si>
  <si>
    <t>Ø§Ù„Ø¨Ø±ØªØºØ§Ù„</t>
  </si>
  <si>
    <t>à¦ªà¦°à§à¦¤à§à¦—à¦¾à¦²</t>
  </si>
  <si>
    <t>Ù¾Ø±ØªØºØ§Ù„</t>
  </si>
  <si>
    <t>Î Î¿ÏÏ„Î¿Î³Î±Î»Î¯Î±</t>
  </si>
  <si>
    <t>×¤×•×¨×˜×•×’×œ</t>
  </si>
  <si>
    <t>à¤ªà¥à¤°à¥à¤¤à¤—à¤¾à¤²</t>
  </si>
  <si>
    <t>PortugÃ¡lia</t>
  </si>
  <si>
    <t>Portogallo</t>
  </si>
  <si>
    <t>ãƒãƒ«ãƒˆã‚¬ãƒ«</t>
  </si>
  <si>
    <t>í¬ë¥´íˆ¬ê°ˆ</t>
  </si>
  <si>
    <t>Portugalia</t>
  </si>
  <si>
    <t>ÐŸÐ¾Ñ€Ñ‚ÑƒÐ³Ð°Ð»Ð¸Ñ</t>
  </si>
  <si>
    <t>Portekiz</t>
  </si>
  <si>
    <t>ÐŸÐ¾Ñ€Ñ‚ÑƒÐ³Ð°Ð»Ñ–Ñ</t>
  </si>
  <si>
    <t>Ù¾Ø±ØªÚ¯Ø§Ù„</t>
  </si>
  <si>
    <t>Bá»“ ÄÃ o Nha</t>
  </si>
  <si>
    <t>è‘¡è„ç‰™</t>
  </si>
  <si>
    <t>QAT</t>
  </si>
  <si>
    <t>State of Qatar</t>
  </si>
  <si>
    <t>Q846</t>
  </si>
  <si>
    <t>Ù‚Ø·Ø±</t>
  </si>
  <si>
    <t>à¦•à¦¾à¦¤à¦¾à¦°</t>
  </si>
  <si>
    <t>Katar</t>
  </si>
  <si>
    <t>Catar</t>
  </si>
  <si>
    <t>ÎšÎ±Ï„Î¬Ï</t>
  </si>
  <si>
    <t>×§×˜×¨</t>
  </si>
  <si>
    <t>à¤•à¤¼à¤¤à¤°</t>
  </si>
  <si>
    <t>ã‚«ã‚¿ãƒ¼ãƒ«</t>
  </si>
  <si>
    <t>ì¹´íƒ€ë¥´</t>
  </si>
  <si>
    <t>ÐšÐ°Ñ‚Ð°Ñ€</t>
  </si>
  <si>
    <t>å¡å¡”å°”</t>
  </si>
  <si>
    <t>å¡é”</t>
  </si>
  <si>
    <t>Republic of Serbia</t>
  </si>
  <si>
    <t>Serb.</t>
  </si>
  <si>
    <t>RI</t>
  </si>
  <si>
    <t>YF</t>
  </si>
  <si>
    <t>Expired WOE also contains Kosovo.</t>
  </si>
  <si>
    <t>Q403</t>
  </si>
  <si>
    <t>ØµØ±Ø¨ÙŠØ§</t>
  </si>
  <si>
    <t>à¦¸à¦¾à¦°à§à¦¬à¦¿à¦¯à¦¼à¦¾</t>
  </si>
  <si>
    <t>Serbien</t>
  </si>
  <si>
    <t>ØµØ±Ø¨Ø³ØªØ§Ù†</t>
  </si>
  <si>
    <t>Serbie</t>
  </si>
  <si>
    <t>Î£ÎµÏÎ²Î¯Î±</t>
  </si>
  <si>
    <t>×¡×¨×‘×™×”</t>
  </si>
  <si>
    <t>à¤¸à¤°à¥à¤¬à¤¿à¤¯à¤¾</t>
  </si>
  <si>
    <t>Szerbia</t>
  </si>
  <si>
    <t>ã‚»ãƒ«ãƒ“ã‚¢</t>
  </si>
  <si>
    <t>ì„¸ë¥´ë¹„ì•„</t>
  </si>
  <si>
    <t>ServiÃ«</t>
  </si>
  <si>
    <t>SÃ©rvia</t>
  </si>
  <si>
    <t>Ð¡ÐµÑ€Ð±Ð¸Ñ</t>
  </si>
  <si>
    <t>SÄ±rbistan</t>
  </si>
  <si>
    <t>Ð¡ÐµÑ€Ð±Ñ–Ñ</t>
  </si>
  <si>
    <t>Ø³Ø±Ø¨ÛŒØ§</t>
  </si>
  <si>
    <t>å¡žå°”ç»´äºš</t>
  </si>
  <si>
    <t>å¡žçˆ¾ç¶­äºž</t>
  </si>
  <si>
    <t>Republic of the Congo</t>
  </si>
  <si>
    <t>COG</t>
  </si>
  <si>
    <t>Rep. Congo</t>
  </si>
  <si>
    <t>Congo, Republic of the</t>
  </si>
  <si>
    <t>Congo, Rep.</t>
  </si>
  <si>
    <t>Q971</t>
  </si>
  <si>
    <t>Ø¬Ù…Ù‡ÙˆØ±ÙŠØ© Ø§Ù„ÙƒÙˆÙ†ØºÙˆ</t>
  </si>
  <si>
    <t>à¦•à¦™à§à¦—à§‹ à¦ªà§à¦°à¦œà¦¾à¦¤à¦¨à§à¦¤à§à¦°</t>
  </si>
  <si>
    <t>Republik Kongo</t>
  </si>
  <si>
    <t>RepÃºblica del Congo</t>
  </si>
  <si>
    <t>Ø¬Ù…Ù‡ÙˆØ±ÛŒ Ú©Ù†Ú¯Ùˆ</t>
  </si>
  <si>
    <t>RÃ©publique du Congo</t>
  </si>
  <si>
    <t>Î”Î·Î¼Î¿ÎºÏÎ±Ï„Î¯Î± Ï„Î¿Ï… ÎšÎ¿Î½Î³ÎºÏŒ</t>
  </si>
  <si>
    <t>×”×¨×¤×•×‘×œ×™×§×” ×©×œ ×§×•× ×’×•</t>
  </si>
  <si>
    <t>à¤•à¤¾à¤‚à¤—à¥‹ à¤—à¤£à¤°à¤¾à¤œà¥à¤¯</t>
  </si>
  <si>
    <t>KongÃ³i KÃ¶ztÃ¡rsasÃ¡g</t>
  </si>
  <si>
    <t>Repubblica del Congo</t>
  </si>
  <si>
    <t>ã‚³ãƒ³ã‚´å…±å’Œå›½</t>
  </si>
  <si>
    <t>ì½©ê³  ê³µí™”êµ­</t>
  </si>
  <si>
    <t>Congo-Brazzaville</t>
  </si>
  <si>
    <t>Kongo</t>
  </si>
  <si>
    <t>RepÃºblica do Congo</t>
  </si>
  <si>
    <t>Ð ÐµÑÐ¿ÑƒÐ±Ð»Ð¸ÐºÐ° ÐšÐ¾Ð½Ð³Ð¾</t>
  </si>
  <si>
    <t>Kongo-Brazzaville</t>
  </si>
  <si>
    <t>Kongo Cumhuriyeti</t>
  </si>
  <si>
    <t>Ð ÐµÑÐ¿ÑƒÐ±Ð»Ñ–ÐºÐ° ÐšÐ¾Ð½Ð³Ð¾</t>
  </si>
  <si>
    <t>Ø¬Ù…ÛÙˆØ±ÛŒÛ Ú©Ø§Ù†Ú¯Ùˆ</t>
  </si>
  <si>
    <t>Cá»™ng hÃ²a Congo</t>
  </si>
  <si>
    <t>åˆšæžœå…±å’Œå›½</t>
  </si>
  <si>
    <t>å‰›æžœå…±å’Œåœ‹</t>
  </si>
  <si>
    <t>ROU</t>
  </si>
  <si>
    <t>Rom.</t>
  </si>
  <si>
    <t>ROM</t>
  </si>
  <si>
    <t>Q218</t>
  </si>
  <si>
    <t>Ø±ÙˆÙ…Ø§Ù†ÙŠØ§</t>
  </si>
  <si>
    <t>à¦°à§‹à¦®à¦¾à¦¨à¦¿à¦¯à¦¼à¦¾</t>
  </si>
  <si>
    <t>RumÃ¤nien</t>
  </si>
  <si>
    <t>Rumania</t>
  </si>
  <si>
    <t>Ø±ÙˆÙ…Ø§Ù†ÛŒ</t>
  </si>
  <si>
    <t>Roumanie</t>
  </si>
  <si>
    <t>Î¡Î¿Ï…Î¼Î±Î½Î¯Î±</t>
  </si>
  <si>
    <t>×¨×•×ž× ×™×”</t>
  </si>
  <si>
    <t>à¤°à¥‹à¤®à¤¾à¤¨à¤¿à¤¯à¤¾</t>
  </si>
  <si>
    <t>RomÃ¡nia</t>
  </si>
  <si>
    <t>ãƒ«ãƒ¼ãƒžãƒ‹ã‚¢</t>
  </si>
  <si>
    <t>ë£¨ë§ˆë‹ˆì•„</t>
  </si>
  <si>
    <t>RoemeniÃ«</t>
  </si>
  <si>
    <t>Rumunia</t>
  </si>
  <si>
    <t>RomÃ©nia</t>
  </si>
  <si>
    <t>Ð ÑƒÐ¼Ñ‹Ð½Ð¸Ñ</t>
  </si>
  <si>
    <t>Romanya</t>
  </si>
  <si>
    <t>Ð ÑƒÐ¼ÑƒÐ½Ñ–Ñ</t>
  </si>
  <si>
    <t>Ø±ÙˆÙ…Ø§Ù†ÛŒÛ</t>
  </si>
  <si>
    <t>ç½—é©¬å°¼äºš</t>
  </si>
  <si>
    <t>ç¾…é¦¬å°¼äºž</t>
  </si>
  <si>
    <t>RUS</t>
  </si>
  <si>
    <t>Russian Federation</t>
  </si>
  <si>
    <t>Rus.</t>
  </si>
  <si>
    <t>Q159</t>
  </si>
  <si>
    <t>Ø±ÙˆØ³ÙŠØ§</t>
  </si>
  <si>
    <t>à¦°à¦¾à¦¶à¦¿à¦¯à¦¼à¦¾</t>
  </si>
  <si>
    <t>Russland</t>
  </si>
  <si>
    <t>Rusia</t>
  </si>
  <si>
    <t>Ø±ÙˆØ³ÛŒÙ‡</t>
  </si>
  <si>
    <t>Russie</t>
  </si>
  <si>
    <t>Î¡Ï‰ÏƒÎ¯Î±</t>
  </si>
  <si>
    <t>×¨×•×¡×™×”</t>
  </si>
  <si>
    <t>à¤°à¥‚à¤¸</t>
  </si>
  <si>
    <t>OroszorszÃ¡g</t>
  </si>
  <si>
    <t>ãƒ­ã‚·ã‚¢</t>
  </si>
  <si>
    <t>ëŸ¬ì‹œì•„</t>
  </si>
  <si>
    <t>Rusland</t>
  </si>
  <si>
    <t>Rosja</t>
  </si>
  <si>
    <t>RÃºssia</t>
  </si>
  <si>
    <t>Ð Ð¾ÑÑÐ¸Ñ</t>
  </si>
  <si>
    <t>Ryssland</t>
  </si>
  <si>
    <t>Rusya</t>
  </si>
  <si>
    <t>Ð Ð¾ÑÑ–Ñ</t>
  </si>
  <si>
    <t>Ø±ÙˆØ³</t>
  </si>
  <si>
    <t>Nga</t>
  </si>
  <si>
    <t>ä¿„ç½—æ–¯</t>
  </si>
  <si>
    <t>ä¿„ç¾…æ–¯</t>
  </si>
  <si>
    <t>RWA</t>
  </si>
  <si>
    <t>Rwa.</t>
  </si>
  <si>
    <t>Republic of Rwanda</t>
  </si>
  <si>
    <t>Q1037</t>
  </si>
  <si>
    <t>Ø±ÙˆØ§Ù†Ø¯Ø§</t>
  </si>
  <si>
    <t>à¦°à§à¦¯à¦¼à¦¾à¦¨à§à¦¡à¦¾</t>
  </si>
  <si>
    <t>Ruanda</t>
  </si>
  <si>
    <t>Î¡Î¿Ï…Î¬Î½Ï„Î±</t>
  </si>
  <si>
    <t>×¨×•×× ×“×”</t>
  </si>
  <si>
    <t>à¤°à¤µà¤¾à¤£à¥à¤¡à¤¾</t>
  </si>
  <si>
    <t>ãƒ«ãƒ¯ãƒ³ãƒ€</t>
  </si>
  <si>
    <t>ë¥´ì™„ë‹¤</t>
  </si>
  <si>
    <t>Ð ÑƒÐ°Ð½Ð´Ð°</t>
  </si>
  <si>
    <t>Ø±ÙˆØ§Ù†ÚˆØ§</t>
  </si>
  <si>
    <t>å¢æ—ºè¾¾</t>
  </si>
  <si>
    <t>ç›§æ—ºé”</t>
  </si>
  <si>
    <t>SÃ£o TomÃ© and Principe</t>
  </si>
  <si>
    <t>STP</t>
  </si>
  <si>
    <t>S.T.P.</t>
  </si>
  <si>
    <t>Democratic Republic of SÃ£o TomÃ© and Principe</t>
  </si>
  <si>
    <t>Q1039</t>
  </si>
  <si>
    <t>Ø³Ø§Ùˆ ØªÙˆÙ…ÙŠ ÙˆØ¨Ø±ÙŠÙ†Ø³ÙŠØ¨</t>
  </si>
  <si>
    <t>à¦¸à¦¾à¦à¦‰ à¦¤à§à¦®à¦¿ à¦“ à¦ªà§à¦°à¦¿à¦¨à§à¦¸à¦¿à¦ªà¦¿</t>
  </si>
  <si>
    <t>SÃ£o TomÃ© und PrÃ­ncipe</t>
  </si>
  <si>
    <t>SÃ£o TomÃ© and PrÃ­ncipe</t>
  </si>
  <si>
    <t>Santo TomÃ© y PrÃ­ncipe</t>
  </si>
  <si>
    <t>Ø³Ø§Ø¦ÙˆØªÙˆÙ…Ù‡ Ùˆ Ù¾Ø±ÛŒÙ†Ø³ÛŒÙ¾</t>
  </si>
  <si>
    <t>Sao TomÃ©-et-Principe</t>
  </si>
  <si>
    <t>Î£Î¬Î¿ Î¤Î¿Î¼Î­ ÎºÎ±Î¹ Î ÏÎ¯Î½ÏƒÎ¹Ï€Îµ</t>
  </si>
  <si>
    <t>×¡××• ×˜×•×ž×” ×•×¤×¨×™× ×¡×™×¤×”</t>
  </si>
  <si>
    <t>à¤¸à¤¾à¤“ à¤¤à¥‹à¤®à¥‡ à¤”à¤° à¤ªà¥à¤°à¤¿à¤¨à¥à¤¸à¤¿à¤ªà¥€</t>
  </si>
  <si>
    <t>SÃ£o TomÃ© Ã©s PrÃ­ncipe</t>
  </si>
  <si>
    <t>Sao Tome dan Principe</t>
  </si>
  <si>
    <t>SÃ£o TomÃ© e PrÃ­ncipe</t>
  </si>
  <si>
    <t>ã‚µãƒ³ãƒˆãƒ¡ãƒ»ãƒ—ãƒªãƒ³ã‚·ãƒš</t>
  </si>
  <si>
    <t>ìƒíˆ¬ë©” í”„ë¦°ì‹œíŽ˜</t>
  </si>
  <si>
    <t>Sao TomÃ© en Principe</t>
  </si>
  <si>
    <t>Wyspy ÅšwiÄ™tego Tomasza i KsiÄ…Å¼Ä™ca</t>
  </si>
  <si>
    <t>Ð¡Ð°Ð½-Ð¢Ð¾Ð¼Ðµ Ð¸ ÐŸÑ€Ð¸Ð½ÑÐ¸Ð¿Ð¸</t>
  </si>
  <si>
    <t>SÃ£o TomÃ© och PrÃ­ncipe</t>
  </si>
  <si>
    <t>SÃ£o TomÃ© ve PrÃ­ncipe</t>
  </si>
  <si>
    <t>Ð¡Ð°Ð½-Ð¢Ð¾Ð¼Ðµ Ñ– ÐŸÑ€Ð¸Ð½ÑÑ–Ð¿Ñ–</t>
  </si>
  <si>
    <t>Ø³Ø§Ø¤ Ù¹ÙˆÙ…Û’ Ùˆ Ù¾Ø±Ù†Ø³Ù¾Û’</t>
  </si>
  <si>
    <t>SÃ£o TomÃ© vÃ  PrÃ­ncipe</t>
  </si>
  <si>
    <t>åœ£å¤šç¾Žå’Œæ™®æž—è¥¿æ¯”</t>
  </si>
  <si>
    <t>è–å¤šç¾Žæ™®æž—è¥¿æ¯”</t>
  </si>
  <si>
    <t>KNA</t>
  </si>
  <si>
    <t>St. Kitts and Nevis</t>
  </si>
  <si>
    <t>St.K.N.</t>
  </si>
  <si>
    <t>Federation of Saint Kitts and Nevis</t>
  </si>
  <si>
    <t>Q763</t>
  </si>
  <si>
    <t>Ø³Ø§Ù†Øª ÙƒÙŠØªØ³ ÙˆÙ†ÙŠÙÙŠØ³</t>
  </si>
  <si>
    <t>à¦¸à§‡à¦¨à§à¦Ÿ à¦•à¦¿à¦Ÿà§à¦¸ à¦“ à¦¨à§‡à¦­à¦¿à¦¸</t>
  </si>
  <si>
    <t>St. Kitts und Nevis</t>
  </si>
  <si>
    <t>San CristÃ³bal y Nieves</t>
  </si>
  <si>
    <t>Ø³Ù†Øª Ú©ÛŒØªØ³ Ùˆ Ù†ÙˆÛŒØ³</t>
  </si>
  <si>
    <t>Saint-Christophe-et-NiÃ©vÃ¨s</t>
  </si>
  <si>
    <t>Î†Î³Î¹Î¿Ï‚ Î§ÏÎ¹ÏƒÏ„ÏŒÏ†Î¿ÏÎ¿Ï‚ ÎºÎ±Î¹ ÎÎ­Î²Î¹Ï‚</t>
  </si>
  <si>
    <t>×¡× ×˜ ×§×™×˜×¡ ×•× ×•×•×™×¡</t>
  </si>
  <si>
    <t>à¤¸à¤¨à¥à¤¤ à¤•à¤¿à¤Ÿà¥à¤¸ à¤”à¤° à¤¨à¥‡à¤µà¤¿à¤¸</t>
  </si>
  <si>
    <t>Saint Kitts Ã©s Nevis</t>
  </si>
  <si>
    <t>Saint Kitts dan Nevis</t>
  </si>
  <si>
    <t>Saint Kitts e Nevis</t>
  </si>
  <si>
    <t>ã‚»ãƒ³ãƒˆã‚¯ãƒªã‚¹ãƒˆãƒ•ã‚¡ãƒ¼ãƒ»ãƒã‚¤ãƒ“ã‚¹</t>
  </si>
  <si>
    <t>ì„¸ì¸íŠ¸í‚¤ì¸  ë„¤ë¹„ìŠ¤</t>
  </si>
  <si>
    <t>Saint Kitts en Nevis</t>
  </si>
  <si>
    <t>Saint Kitts i Nevis</t>
  </si>
  <si>
    <t>SÃ£o CristÃ³vÃ£o e Nevis</t>
  </si>
  <si>
    <t>Ð¡ÐµÐ½Ñ‚-ÐšÐ¸Ñ‚Ñ Ð¸ ÐÐµÐ²Ð¸Ñ</t>
  </si>
  <si>
    <t>Saint Kitts och Nevis</t>
  </si>
  <si>
    <t>Saint Kitts ve Nevis</t>
  </si>
  <si>
    <t>Ð¡ÐµÐ½Ñ‚-ÐšÑ–Ñ‚Ñ‚Ñ Ñ– ÐÐµÐ²Ñ–Ñ</t>
  </si>
  <si>
    <t>Ø³ÛŒÙ†Ù¹ Ú©ÛŒÙ¹Ø² Ùˆ Ù†Ø§ÙˆÛŒØ³</t>
  </si>
  <si>
    <t>Saint Kitts vÃ  Nevis</t>
  </si>
  <si>
    <t>åœ£åŸºèŒ¨å’Œå°¼ç»´æ–¯</t>
  </si>
  <si>
    <t>è–å…‹é‡Œæ–¯å¤šç¦èˆ‡å°¼ç¶­æ–¯</t>
  </si>
  <si>
    <t>LCA</t>
  </si>
  <si>
    <t>S.L.</t>
  </si>
  <si>
    <t>St. Lucia</t>
  </si>
  <si>
    <t>Q760</t>
  </si>
  <si>
    <t>Ø³Ø§Ù†Øª Ù„ÙˆØ³ÙŠØ§</t>
  </si>
  <si>
    <t>à¦¸à§‡à¦¨à§à¦Ÿ à¦²à§à¦¸à¦¿à¦¯à¦¼à¦¾</t>
  </si>
  <si>
    <t>Santa LucÃ­a</t>
  </si>
  <si>
    <t>Ø³Ù†Øª Ù„ÙˆØ³ÛŒØ§</t>
  </si>
  <si>
    <t>Sainte-Lucie</t>
  </si>
  <si>
    <t>Î‘Î³Î¯Î± Î›Î¿Ï…ÎºÎ¯Î±</t>
  </si>
  <si>
    <t>×¡× ×˜ ×œ×•×¡×™×”</t>
  </si>
  <si>
    <t>à¤¸à¥‡à¤‚à¤Ÿ à¤²à¥‚à¤¸à¤¿à¤¯à¤¾</t>
  </si>
  <si>
    <t>ã‚»ãƒ³ãƒˆãƒ«ã‚·ã‚¢</t>
  </si>
  <si>
    <t>ì„¸ì¸íŠ¸ë£¨ì‹œì•„</t>
  </si>
  <si>
    <t>Santa LÃºcia</t>
  </si>
  <si>
    <t>Ð¡ÐµÐ½Ñ‚-Ð›ÑŽÑÐ¸Ñ</t>
  </si>
  <si>
    <t>Ð¡ÐµÐ½Ñ‚-Ð›ÑŽÑÑ–Ñ</t>
  </si>
  <si>
    <t>Ø³ÛŒÙ†Ù¹ Ù„ÙˆØ³ÛŒØ§</t>
  </si>
  <si>
    <t>åœ£å¢è¥¿äºš</t>
  </si>
  <si>
    <t>è–éœ²è¥¿äºž</t>
  </si>
  <si>
    <t>VCT</t>
  </si>
  <si>
    <t>St. Vin. and Gren.</t>
  </si>
  <si>
    <t>St.V.G.</t>
  </si>
  <si>
    <t>St. Vincent and the Grenadines</t>
  </si>
  <si>
    <t>Q757</t>
  </si>
  <si>
    <t>Ø³Ø§Ù†Øª ÙÙŠÙ†Ø³Ù†Øª ÙˆØ§Ù„ØºØ±ÙŠÙ†Ø§Ø¯ÙŠÙ†</t>
  </si>
  <si>
    <t>à¦¸à§‡à¦¨à§à¦Ÿ à¦­à¦¿à¦¨à¦¸à§‡à¦¨à§à¦Ÿ à¦“ à¦—à§à¦°à§‡à¦¨à¦¾à¦¡à¦¾à¦‡à¦¨</t>
  </si>
  <si>
    <t>St. Vincent und die Grenadinen</t>
  </si>
  <si>
    <t>San Vicente y las Granadinas</t>
  </si>
  <si>
    <t>Ø³Ù†Øª ÙˆÛŒÙ†Ø³Ù†Øª Ùˆ Ú¯Ø±Ù†Ø§Ø¯ÛŒÙ†Ù‡Ø§</t>
  </si>
  <si>
    <t>Saint-Vincent-et-les-Grenadines</t>
  </si>
  <si>
    <t>Î†Î³Î¹Î¿Ï‚ Î’Î¹ÎºÎ­Î½Ï„Î¹Î¿Ï‚ ÎºÎ±Î¹ Î“ÏÎµÎ½Î±Î´Î¯Î½ÎµÏ‚</t>
  </si>
  <si>
    <t>×¡× ×˜ ×•×™× ×¡× ×˜ ×•×”×’×¨× ×“×™× ×™×</t>
  </si>
  <si>
    <t>à¤¸à¤¨à¥à¤¤ à¤µà¤¿à¤¨à¥à¤¸à¥‡à¤£à¥à¤Ÿ à¤”à¤° à¤—à¥à¤°à¥‡à¤¨à¤¾à¤¡à¤¾à¤‡à¤¨à¥à¤¸</t>
  </si>
  <si>
    <t>Saint Vincent Ã©s a Grenadine-szigetek</t>
  </si>
  <si>
    <t>Saint Vincent dan Grenadine</t>
  </si>
  <si>
    <t>Saint Vincent e Grenadine</t>
  </si>
  <si>
    <t>ã‚»ãƒ³ãƒˆãƒ“ãƒ³ã‚»ãƒ³ãƒˆãƒ»ã‚°ãƒ¬ãƒŠãƒ‡ã‚£ãƒ¼ãƒ³</t>
  </si>
  <si>
    <t>ì„¸ì¸íŠ¸ë¹ˆì„¼íŠ¸ ê·¸ë ˆë‚˜ë”˜</t>
  </si>
  <si>
    <t>Saint Vincent en de Grenadines</t>
  </si>
  <si>
    <t>Saint Vincent i Grenadyny</t>
  </si>
  <si>
    <t>SÃ£o Vicente e Granadinas</t>
  </si>
  <si>
    <t>Ð¡ÐµÐ½Ñ‚-Ð’Ð¸Ð½ÑÐµÐ½Ñ‚ Ð¸ Ð“Ñ€ÐµÐ½Ð°Ð´Ð¸Ð½Ñ‹</t>
  </si>
  <si>
    <t>Saint Vincent och Grenadinerna</t>
  </si>
  <si>
    <t>Saint Vincent ve Grenadinler</t>
  </si>
  <si>
    <t>Ð¡ÐµÐ½Ñ‚-Ð’Ñ–Ð½ÑÐµÐ½Ñ‚ Ñ– Ð“Ñ€ÐµÐ½Ð°Ð´Ð¸Ð½Ð¸</t>
  </si>
  <si>
    <t>Ø³ÛŒÙ†Ù¹ ÙˆÛŒÙ†Ø³ÛŒÙ†Ù¹ Ùˆ Ú¯Ø±ÛŒÙ†Ø§ÚˆØ§Ø¦Ù†Ø²</t>
  </si>
  <si>
    <t>Saint Vincent vÃ  Grenadines</t>
  </si>
  <si>
    <t>åœ£æ–‡æ£®ç‰¹å’Œæ ¼æž—çº³ä¸æ–¯</t>
  </si>
  <si>
    <t>è–æ–‡æ£®åŠæ ¼ç‘žé‚£ä¸</t>
  </si>
  <si>
    <t>WSM</t>
  </si>
  <si>
    <t>Independent State of Samoa</t>
  </si>
  <si>
    <t>Q683</t>
  </si>
  <si>
    <t>Ø³Ø§Ù…ÙˆØ§</t>
  </si>
  <si>
    <t>à¦¸à¦¾à¦®à§‹à¦¯à¦¼à¦¾</t>
  </si>
  <si>
    <t>Ø³Ø§Ù…ÙˆØ¢</t>
  </si>
  <si>
    <t>Î£Î±Î¼ÏŒÎ±</t>
  </si>
  <si>
    <t>×¡×ž×•××”</t>
  </si>
  <si>
    <t>à¤¸à¤®à¥‹à¤†</t>
  </si>
  <si>
    <t>Szamoa</t>
  </si>
  <si>
    <t>ã‚µãƒ¢ã‚¢</t>
  </si>
  <si>
    <t>ì‚¬ëª¨ì•„</t>
  </si>
  <si>
    <t>Ð¡Ð°Ð¼Ð¾Ð°</t>
  </si>
  <si>
    <t>Ø³Ø§Ù…ÙˆÙˆØ§</t>
  </si>
  <si>
    <t>è¨æ‘©äºš</t>
  </si>
  <si>
    <t>è–©æ‘©äºž</t>
  </si>
  <si>
    <t>SMR</t>
  </si>
  <si>
    <t>S.M.</t>
  </si>
  <si>
    <t>RSM</t>
  </si>
  <si>
    <t>Republic of San Marino</t>
  </si>
  <si>
    <t>Q238</t>
  </si>
  <si>
    <t>Ø³Ø§Ù† Ù…Ø§Ø±ÙŠÙ†Ùˆ</t>
  </si>
  <si>
    <t>à¦¸à¦¾à¦¨ à¦®à¦¾à¦°à¦¿à¦¨à§‹</t>
  </si>
  <si>
    <t>Ø³Ø§Ù† Ù…Ø§Ø±ÛŒÙ†Ùˆ</t>
  </si>
  <si>
    <t>Saint-Marin</t>
  </si>
  <si>
    <t>Î†Î³Î¹Î¿Ï‚ ÎœÎ±ÏÎ¯Î½Î¿Ï‚</t>
  </si>
  <si>
    <t>×¡×Ÿ ×ž×¨×™× ×•</t>
  </si>
  <si>
    <t>à¤¸à¤¾à¤¨ à¤®à¤¾à¤°à¤¿à¤¨à¥‹</t>
  </si>
  <si>
    <t>ã‚µãƒ³ãƒžãƒªãƒŽ</t>
  </si>
  <si>
    <t>ì‚°ë§ˆë¦¬ë…¸</t>
  </si>
  <si>
    <t>Ð¡Ð°Ð½-ÐœÐ°Ñ€Ð¸Ð½Ð¾</t>
  </si>
  <si>
    <t>åœ£é©¬åŠ›è¯º</t>
  </si>
  <si>
    <t>è–é¦¬åŠ›è«¾</t>
  </si>
  <si>
    <t>SAU</t>
  </si>
  <si>
    <t>Saud.</t>
  </si>
  <si>
    <t>Kingdom of Saudi Arabia</t>
  </si>
  <si>
    <t>Q851</t>
  </si>
  <si>
    <t>Ø§Ù„Ø³Ø¹ÙˆØ¯ÙŠØ©</t>
  </si>
  <si>
    <t>à¦¸à§Œà¦¦à¦¿ à¦†à¦°à¦¬</t>
  </si>
  <si>
    <t>Saudi-Arabien</t>
  </si>
  <si>
    <t>Arabia Saudita</t>
  </si>
  <si>
    <t>Ø¹Ø±Ø¨Ø³ØªØ§Ù† Ø³Ø¹ÙˆØ¯ÛŒ</t>
  </si>
  <si>
    <t>Arabie saoudite</t>
  </si>
  <si>
    <t>Î£Î±Î¿Ï…Î´Î¹ÎºÎ® Î‘ÏÎ±Î²Î¯Î±</t>
  </si>
  <si>
    <t>×¢×¨×‘ ×”×¡×¢×•×“×™×ª</t>
  </si>
  <si>
    <t>à¤¸à¤‰à¤¦à¥€ à¤…à¤°à¤¬</t>
  </si>
  <si>
    <t>SzaÃºd-ArÃ¡bia</t>
  </si>
  <si>
    <t>Arab Saudi</t>
  </si>
  <si>
    <t>ã‚µã‚¦ã‚¸ã‚¢ãƒ©ãƒ“ã‚¢</t>
  </si>
  <si>
    <t>ì‚¬ìš°ë””ì•„ë¼ë¹„ì•„</t>
  </si>
  <si>
    <t>Saoedi-ArabiÃ«</t>
  </si>
  <si>
    <t>Arabia Saudyjska</t>
  </si>
  <si>
    <t>ArÃ¡bia Saudita</t>
  </si>
  <si>
    <t>Ð¡Ð°ÑƒÐ´Ð¾Ð²ÑÐºÐ°Ñ ÐÑ€Ð°Ð²Ð¸Ñ</t>
  </si>
  <si>
    <t>Saudiarabien</t>
  </si>
  <si>
    <t>Suudi Arabistan</t>
  </si>
  <si>
    <t>Ð¡Ð°ÑƒÐ´Ñ–Ð²ÑÑŒÐºÐ° ÐÑ€Ð°Ð²Ñ–Ñ</t>
  </si>
  <si>
    <t>Ø³Ø¹ÙˆØ¯ÛŒ Ø¹Ø±Ø¨</t>
  </si>
  <si>
    <t>áº¢ Ráº­p Saudi</t>
  </si>
  <si>
    <t>æ²™ç‰¹é˜¿æ‹‰ä¼¯</t>
  </si>
  <si>
    <t>æ²™çƒåœ°é˜¿æ‹‰ä¼¯</t>
  </si>
  <si>
    <t>Scarborough Reef</t>
  </si>
  <si>
    <t>SCR</t>
  </si>
  <si>
    <t>B70</t>
  </si>
  <si>
    <t>S.R.</t>
  </si>
  <si>
    <t>Q628716</t>
  </si>
  <si>
    <t>Ø³ÙƒØ§Ø±Ø¨ÙˆØ±Ùˆ Ø´ÙˆÙ„</t>
  </si>
  <si>
    <t>à¦¸à§à¦•à¦¾à¦°à¦¬à§‹à¦°à§‹ à¦¸à§‹à¦¯à¦¼à¦¾à¦²</t>
  </si>
  <si>
    <t>Scarborough-Riff</t>
  </si>
  <si>
    <t>Scarborough Shoal</t>
  </si>
  <si>
    <t>Bajo de Masinloc</t>
  </si>
  <si>
    <t>Ø³Ø¯ Ø³Ø§Ø­Ù„ÛŒ Ø§Ø³Ú©Ø§Ø±Ø¨Ø±Ùˆ</t>
  </si>
  <si>
    <t>RÃ©cif de Scarborough</t>
  </si>
  <si>
    <t>ÎŽÏ†Î±Î»Î¿Ï‚ Î£ÎºÎ¬ÏÎ¼Ï€Î¿ÏÎ¿</t>
  </si>
  <si>
    <t>×¡×§×¨×‘×•×¨×• ×©×•××œ</t>
  </si>
  <si>
    <t>à¤¸à¥à¤•à¤¾à¤°à¤¬à¤°à¥‹ à¤¶à¥‹à¤²</t>
  </si>
  <si>
    <t>Scarborough-zÃ¡tony</t>
  </si>
  <si>
    <t>Gosong Scarborough</t>
  </si>
  <si>
    <t>ã‚¹ã‚«ãƒœãƒ­ãƒ¼ç¤</t>
  </si>
  <si>
    <t>ìŠ¤ì¹´ë²„ëŸ¬ ì•”ì´ˆ</t>
  </si>
  <si>
    <t>Scarborough-rif</t>
  </si>
  <si>
    <t>Huangyan Dao</t>
  </si>
  <si>
    <t>Recife de Masinloc</t>
  </si>
  <si>
    <t>Ð¡ÐºÐ°Ñ€Ð±Ð¾Ñ€Ð¾-Ð¨Ð¾Ð»</t>
  </si>
  <si>
    <t>Scarboroughrevet</t>
  </si>
  <si>
    <t>Ð¡ÐºÐ°Ñ€Ð±Ð¾Ñ€Ð¾</t>
  </si>
  <si>
    <t>Ø³Ú©ÛŒØ±Ø¨ÙˆØ±Ùˆ Ø´ÙˆØ§Ù„</t>
  </si>
  <si>
    <t>BÃ£i cáº¡n Scarborough</t>
  </si>
  <si>
    <t>é»„å²©å²›</t>
  </si>
  <si>
    <t>æ°‘ä¸»ç¤</t>
  </si>
  <si>
    <t>SEN</t>
  </si>
  <si>
    <t>Sen.</t>
  </si>
  <si>
    <t>Republic of Senegal</t>
  </si>
  <si>
    <t>Q1041</t>
  </si>
  <si>
    <t>Ø§Ù„Ø³Ù†ØºØ§Ù„</t>
  </si>
  <si>
    <t>à¦¸à§‡à¦¨à§‡à¦—à¦¾à¦²</t>
  </si>
  <si>
    <t>Ø³Ù†Ú¯Ø§Ù„</t>
  </si>
  <si>
    <t>SÃ©nÃ©gal</t>
  </si>
  <si>
    <t>Î£ÎµÎ½ÎµÎ³Î¬Î»Î·</t>
  </si>
  <si>
    <t>×¡× ×’×œ</t>
  </si>
  <si>
    <t>à¤¸à¥‡à¤¨à¥‡à¤—à¤²</t>
  </si>
  <si>
    <t>SzenegÃ¡l</t>
  </si>
  <si>
    <t>ã‚»ãƒã‚¬ãƒ«</t>
  </si>
  <si>
    <t>ì„¸ë„¤ê°ˆ</t>
  </si>
  <si>
    <t>Ð¡ÐµÐ½ÐµÐ³Ð°Ð»</t>
  </si>
  <si>
    <t>Ø³ÛŒÙ†ÛŒÚ¯Ø§Ù„</t>
  </si>
  <si>
    <t>å¡žå†…åŠ å°”</t>
  </si>
  <si>
    <t>å¡žå…§åŠ çˆ¾</t>
  </si>
  <si>
    <t>Serranilla Bank</t>
  </si>
  <si>
    <t>SER</t>
  </si>
  <si>
    <t>B42</t>
  </si>
  <si>
    <t>S.B.</t>
  </si>
  <si>
    <t>Claimed by Colombia, Honduras, Nicaragua, and the United States</t>
  </si>
  <si>
    <t>Q1169008</t>
  </si>
  <si>
    <t>Ø¶ÙØ© Ø³ÙŠØ±Ø§Ù†ÙŠÙ„Ø§</t>
  </si>
  <si>
    <t>à¦¸à§‡à¦°à¦¾à¦¨à¦¿à¦²à¦¾ à¦¤à§€à¦°</t>
  </si>
  <si>
    <t>Isla Serranilla</t>
  </si>
  <si>
    <t>Ø¬Ø²ÛŒØ±Ù‡ ØµØ®Ø±Ù‡ Ø³Ø±Ø§Ù†ÛŒÙ„Ø§</t>
  </si>
  <si>
    <t>Banc de Serranilla</t>
  </si>
  <si>
    <t>ÎÎ·ÏƒÎ¯ Î£ÎµÏÏÎ±Î½Î¯Î»Î»Î± ÎœÏ€Î±Î½Îº</t>
  </si>
  <si>
    <t>×’×“×ª ×¡×¨× ×™×œ×”</t>
  </si>
  <si>
    <t>à¤¸à¥‡à¤°à¤¾à¤¨à¤¿à¤²à¤¾ à¤¤à¤Ÿ</t>
  </si>
  <si>
    <t>Serranilla-sziget</t>
  </si>
  <si>
    <t>Tepi Serranilla</t>
  </si>
  <si>
    <t>isola Serranilla</t>
  </si>
  <si>
    <t>ã‚»ãƒ©ãƒ‹ãƒ£ãƒ»ãƒãƒ³ã‚¯</t>
  </si>
  <si>
    <t>ì„¸ë¼ëƒ ë±…í¬</t>
  </si>
  <si>
    <t>Serranilla</t>
  </si>
  <si>
    <t>Ilha Serranilla</t>
  </si>
  <si>
    <t>Ð¡ÐµÑ€Ñ€Ð°Ð½Ð¸Ð»ÑŒÑ-Ð‘Ð°Ð½Ðº</t>
  </si>
  <si>
    <t>Ð¡ÐµÑ€Ñ€Ð°Ð½Ñ–Ð»ÑŒÑ</t>
  </si>
  <si>
    <t>Ø³ÛŒØ±Ø§Ù†ÛŒÙ„Ø§ Ú©Ù†Ø§Ø±Û</t>
  </si>
  <si>
    <t>å¡žæ‹‰å°¼æ‹‰æµ…æ»©</t>
  </si>
  <si>
    <t>å¡žæ‹‰å°¼æ‹‰æ·ºç˜</t>
  </si>
  <si>
    <t>SYC</t>
  </si>
  <si>
    <t>Syc.</t>
  </si>
  <si>
    <t>Republic of Seychelles</t>
  </si>
  <si>
    <t>Q1042</t>
  </si>
  <si>
    <t>Ø³ÙŠØ´Ù„</t>
  </si>
  <si>
    <t>à¦¸à§‡à¦¶à§‡à¦²à¦¸</t>
  </si>
  <si>
    <t>Seychellen</t>
  </si>
  <si>
    <t>Ø³ÛŒØ´Ù„</t>
  </si>
  <si>
    <t>Î£ÎµÏ‹Ï‡Î­Î»Î»ÎµÏ‚</t>
  </si>
  <si>
    <t>×¡×™×™×©×œ</t>
  </si>
  <si>
    <t>à¤¸à¥‡à¤¶à¥‡à¤²à¥à¤¸</t>
  </si>
  <si>
    <t>Seychelle-szigetek</t>
  </si>
  <si>
    <t>ã‚»ãƒ¼ã‚·ã‚§ãƒ«</t>
  </si>
  <si>
    <t>ì„¸ì´ì…¸</t>
  </si>
  <si>
    <t>Seszele</t>
  </si>
  <si>
    <t>Ð¡ÐµÐ¹ÑˆÐµÐ»ÑŒÑÐºÐ¸Ðµ ÐžÑÑ‚Ñ€Ð¾Ð²Ð°</t>
  </si>
  <si>
    <t>Seychellerna</t>
  </si>
  <si>
    <t>SeyÅŸeller</t>
  </si>
  <si>
    <t>Ð¡ÐµÐ¹ÑˆÐµÐ»ÑŒÑÑŒÐºÑ– ÐžÑÑ‚Ñ€Ð¾Ð²Ð¸</t>
  </si>
  <si>
    <t>Ø³ÛŒØ´ÛŒÙ„Ø²</t>
  </si>
  <si>
    <t>å¡žèˆŒå°”</t>
  </si>
  <si>
    <t>å¡žå¸­çˆ¾</t>
  </si>
  <si>
    <t>SLE</t>
  </si>
  <si>
    <t>Republic of Sierra Leone</t>
  </si>
  <si>
    <t>Q1044</t>
  </si>
  <si>
    <t>Ø³ÙŠØ±Ø§Ù„ÙŠÙˆÙ†</t>
  </si>
  <si>
    <t>à¦¸à¦¿à¦¯à¦¼à§‡à¦°à¦¾ à¦²à¦¿à¦“à¦¨</t>
  </si>
  <si>
    <t>Sierra Leona</t>
  </si>
  <si>
    <t>Ø³ÛŒØ±Ø§Ù„Ø¦ÙˆÙ†</t>
  </si>
  <si>
    <t>Î£Î¹Î­ÏÎ± Î›ÎµÏŒÎ½Îµ</t>
  </si>
  <si>
    <t>×¡×™×™×¨×” ×œ××•×Ÿ</t>
  </si>
  <si>
    <t>à¤¸à¤¿à¤à¤°à¤¾ à¤²à¤¿à¤¯à¥‹à¤¨</t>
  </si>
  <si>
    <t>ã‚·ã‚¨ãƒ©ãƒ¬ã‚ªãƒ</t>
  </si>
  <si>
    <t>ì‹œì—ë¼ë¦¬ì˜¨</t>
  </si>
  <si>
    <t>Serra Leoa</t>
  </si>
  <si>
    <t>Ð¡ÑŒÐµÑ€Ñ€Ð°-Ð›ÐµÐ¾Ð½Ðµ</t>
  </si>
  <si>
    <t>Ð¡ÑŒÑ”Ñ€Ñ€Ð°-Ð›ÐµÐ¾Ð½Ðµ</t>
  </si>
  <si>
    <t>Ø³ÛŒØ±Ø§Ù„ÛŒÙˆÙ†</t>
  </si>
  <si>
    <t>å¡žæ‹‰åˆ©æ˜‚</t>
  </si>
  <si>
    <t>ç…å­å±±</t>
  </si>
  <si>
    <t>SGP</t>
  </si>
  <si>
    <t>Sing.</t>
  </si>
  <si>
    <t>Republic of Singapore</t>
  </si>
  <si>
    <t>Q334</t>
  </si>
  <si>
    <t>Ø³Ù†ØºØ§ÙÙˆØ±Ø©</t>
  </si>
  <si>
    <t>à¦¸à¦¿à¦™à§à¦—à¦¾à¦ªà§à¦°</t>
  </si>
  <si>
    <t>Singapur</t>
  </si>
  <si>
    <t>Ø³Ù†Ú¯Ø§Ù¾ÙˆØ±</t>
  </si>
  <si>
    <t>Singapour</t>
  </si>
  <si>
    <t>Î£Î¹Î³ÎºÎ±Ï€Î¿ÏÏÎ·</t>
  </si>
  <si>
    <t>×¡×™× ×’×¤×•×¨</t>
  </si>
  <si>
    <t>à¤¸à¤¿à¤‚à¤—à¤¾à¤ªà¥à¤°</t>
  </si>
  <si>
    <t>SzingapÃºr</t>
  </si>
  <si>
    <t>Singapura</t>
  </si>
  <si>
    <t>ã‚·ãƒ³ã‚¬ãƒãƒ¼ãƒ«</t>
  </si>
  <si>
    <t>ì‹±ê°€í¬ë¥´</t>
  </si>
  <si>
    <t>Ð¡Ð¸Ð½Ð³Ð°Ð¿ÑƒÑ€</t>
  </si>
  <si>
    <t>Ð¡Ñ–Ð½Ð³Ð°Ð¿ÑƒÑ€</t>
  </si>
  <si>
    <t>æ–°åŠ å¡</t>
  </si>
  <si>
    <t>SVK</t>
  </si>
  <si>
    <t>Svk.</t>
  </si>
  <si>
    <t>Slovak Republic</t>
  </si>
  <si>
    <t>LO</t>
  </si>
  <si>
    <t>Q214</t>
  </si>
  <si>
    <t>Ø³Ù„ÙˆÙØ§ÙƒÙŠØ§</t>
  </si>
  <si>
    <t>à¦¸à§à¦²à§‹à¦­à¦¾à¦•à¦¿à¦¯à¦¼à¦¾</t>
  </si>
  <si>
    <t>Slowakei</t>
  </si>
  <si>
    <t>Eslovaquia</t>
  </si>
  <si>
    <t>Ø§Ø³Ù„ÙˆØ§Ú©ÛŒ</t>
  </si>
  <si>
    <t>Slovaquie</t>
  </si>
  <si>
    <t>Î£Î»Î¿Î²Î±ÎºÎ¯Î±</t>
  </si>
  <si>
    <t>×¡×œ×•×‘×§×™×”</t>
  </si>
  <si>
    <t>à¤¸à¥à¤²à¥‹à¤µà¤¾à¤•à¤¿à¤¯à¤¾</t>
  </si>
  <si>
    <t>SzlovÃ¡kia</t>
  </si>
  <si>
    <t>Slowakia</t>
  </si>
  <si>
    <t>Slovacchia</t>
  </si>
  <si>
    <t>ã‚¹ãƒ­ãƒã‚­ã‚¢</t>
  </si>
  <si>
    <t>ìŠ¬ë¡œë°”í‚¤ì•„</t>
  </si>
  <si>
    <t>Slowakije</t>
  </si>
  <si>
    <t>SÅ‚owacja</t>
  </si>
  <si>
    <t>EslovÃ¡quia</t>
  </si>
  <si>
    <t>Ð¡Ð»Ð¾Ð²Ð°ÐºÐ¸Ñ</t>
  </si>
  <si>
    <t>Slovakien</t>
  </si>
  <si>
    <t>Slovakya</t>
  </si>
  <si>
    <t>Ð¡Ð»Ð¾Ð²Ð°Ñ‡Ñ‡Ð¸Ð½Ð°</t>
  </si>
  <si>
    <t>Ø³Ù„ÙˆÙˆØ§Ú©ÛŒÛ</t>
  </si>
  <si>
    <t>æ–¯æ´›ä¼å…‹</t>
  </si>
  <si>
    <t>SVN</t>
  </si>
  <si>
    <t>Slo.</t>
  </si>
  <si>
    <t>SLO</t>
  </si>
  <si>
    <t>Republic of Slovenia</t>
  </si>
  <si>
    <t>Q215</t>
  </si>
  <si>
    <t>Ø³Ù„ÙˆÙÙŠÙ†ÙŠØ§</t>
  </si>
  <si>
    <t>à¦¸à§à¦²à§‹à¦­à§‡à¦¨à¦¿à¦¯à¦¼à¦¾</t>
  </si>
  <si>
    <t>Slowenien</t>
  </si>
  <si>
    <t>Eslovenia</t>
  </si>
  <si>
    <t>Ø§Ø³Ù„ÙˆÙˆÙ†ÛŒ</t>
  </si>
  <si>
    <t>SlovÃ©nie</t>
  </si>
  <si>
    <t>Î£Î»Î¿Î²ÎµÎ½Î¯Î±</t>
  </si>
  <si>
    <t>×¡×œ×•×‘× ×™×”</t>
  </si>
  <si>
    <t>à¤¸à¥à¤²à¥‹à¤µà¥‡à¤¨à¤¿à¤¯à¤¾</t>
  </si>
  <si>
    <t>SzlovÃ©nia</t>
  </si>
  <si>
    <t>ã‚¹ãƒ­ãƒ™ãƒ‹ã‚¢</t>
  </si>
  <si>
    <t>ìŠ¬ë¡œë² ë‹ˆì•„</t>
  </si>
  <si>
    <t>SloveniÃ«</t>
  </si>
  <si>
    <t>SÅ‚owenia</t>
  </si>
  <si>
    <t>EslovÃ©nia</t>
  </si>
  <si>
    <t>Ð¡Ð»Ð¾Ð²ÐµÐ½Ð¸Ñ</t>
  </si>
  <si>
    <t>Slovenien</t>
  </si>
  <si>
    <t>Slovenya</t>
  </si>
  <si>
    <t>Ð¡Ð»Ð¾Ð²ÐµÐ½Ñ–Ñ</t>
  </si>
  <si>
    <t>Ø³Ù„ÙˆÙˆÛŒÙ†ÛŒØ§</t>
  </si>
  <si>
    <t>æ–¯æ´›æ–‡å°¼äºš</t>
  </si>
  <si>
    <t>æ–¯æ´›ç¶­å°¼äºž</t>
  </si>
  <si>
    <t>SLB</t>
  </si>
  <si>
    <t>Solomon Is.</t>
  </si>
  <si>
    <t>S. Is.</t>
  </si>
  <si>
    <t>BP</t>
  </si>
  <si>
    <t>Q685</t>
  </si>
  <si>
    <t>Ø¬Ø²Ø± Ø³Ù„ÙŠÙ…Ø§Ù†</t>
  </si>
  <si>
    <t>à¦¸à¦²à§‹à¦®à¦¨ à¦¦à§à¦¬à§€à¦ªà¦ªà§à¦žà§à¦œ</t>
  </si>
  <si>
    <t>Salomonen</t>
  </si>
  <si>
    <t>Islas SalomÃ³n</t>
  </si>
  <si>
    <t>Ø¬Ø²Ø§ÛŒØ± Ø³Ù„ÛŒÙ…Ø§Ù†</t>
  </si>
  <si>
    <t>ÃŽles Salomon</t>
  </si>
  <si>
    <t>ÎÎ·ÏƒÎ¹Î¬ Î£Î¿Î»Î¿Î¼ÏŽÎ½Ï„Î±</t>
  </si>
  <si>
    <t>××™×™ ×©×œ×ž×”</t>
  </si>
  <si>
    <t>à¤¸à¥‹à¤²à¥‹à¤®à¤¨ à¤¦à¥à¤µà¥€à¤ªà¤¸à¤®à¥‚à¤¹</t>
  </si>
  <si>
    <t>Salamon-szigetek</t>
  </si>
  <si>
    <t>Kepulauan Solomon</t>
  </si>
  <si>
    <t>Isole Salomone</t>
  </si>
  <si>
    <t>ã‚½ãƒ­ãƒ¢ãƒ³è«¸å³¶</t>
  </si>
  <si>
    <t>ì†”ë¡œëª¬ ì œë„</t>
  </si>
  <si>
    <t>Salomonseilanden</t>
  </si>
  <si>
    <t>Wyspy Salomona</t>
  </si>
  <si>
    <t>Ilhas SalomÃ£o</t>
  </si>
  <si>
    <t>Ð¡Ð¾Ð»Ð¾Ð¼Ð¾Ð½Ð¾Ð²Ñ‹ ÐžÑÑ‚Ñ€Ð¾Ð²Ð°</t>
  </si>
  <si>
    <t>SalomonÃ¶arna</t>
  </si>
  <si>
    <t>Solomon AdalarÄ±</t>
  </si>
  <si>
    <t>Ð¡Ð¾Ð»Ð¾Ð¼Ð¾Ð½Ð¾Ð²Ñ– ÐžÑÑ‚Ñ€Ð¾Ð²Ð¸</t>
  </si>
  <si>
    <t>Ø¬Ø²Ø§Ø¦Ø± Ø³Ù„ÛŒÙ…Ø§Ù†</t>
  </si>
  <si>
    <t>Quáº§n Ä‘áº£o Solomon</t>
  </si>
  <si>
    <t>æ‰€ç½—é—¨ç¾¤å²›</t>
  </si>
  <si>
    <t>ç´¢ç¾…é–€ç¾¤å³¶</t>
  </si>
  <si>
    <t>SOM</t>
  </si>
  <si>
    <t>Som.</t>
  </si>
  <si>
    <t>Federal Republic of Somalia</t>
  </si>
  <si>
    <t>Includes Somaliland (2347021, 2347020, 2347017 and portion of 2347016)</t>
  </si>
  <si>
    <t>Q1045</t>
  </si>
  <si>
    <t>Ø§Ù„ØµÙˆÙ…Ø§Ù„</t>
  </si>
  <si>
    <t>à¦¸à§‹à¦®à¦¾à¦²à¦¿à¦¯à¦¼à¦¾</t>
  </si>
  <si>
    <t>Ø³ÙˆÙ…Ø§Ù„ÛŒ</t>
  </si>
  <si>
    <t>Somalie</t>
  </si>
  <si>
    <t>Î£Î¿Î¼Î±Î»Î¯Î±</t>
  </si>
  <si>
    <t>×¡×•×ž×œ×™×”</t>
  </si>
  <si>
    <t>à¤¸à¥‹à¤®à¤¾à¤²à¤¿à¤¯à¤¾</t>
  </si>
  <si>
    <t>SzomÃ¡lia</t>
  </si>
  <si>
    <t>ã‚½ãƒžãƒªã‚¢</t>
  </si>
  <si>
    <t>ì†Œë§ë¦¬ì•„</t>
  </si>
  <si>
    <t>SomaliÃ«</t>
  </si>
  <si>
    <t>SomÃ¡lia</t>
  </si>
  <si>
    <t>Ð¡Ð¾Ð¼Ð°Ð»Ð¸</t>
  </si>
  <si>
    <t>Somali</t>
  </si>
  <si>
    <t>Ð¡Ð¾Ð¼Ð°Ð»Ñ–</t>
  </si>
  <si>
    <t>ØµÙˆÙ…Ø§Ù„ÛŒÛ</t>
  </si>
  <si>
    <t>ç´¢é©¬é‡Œ</t>
  </si>
  <si>
    <t>ç´¢é¦¬åˆ©äºž</t>
  </si>
  <si>
    <t>Somaliland</t>
  </si>
  <si>
    <t>SOL</t>
  </si>
  <si>
    <t>Solnd.</t>
  </si>
  <si>
    <t>Republic of Somaliland</t>
  </si>
  <si>
    <t>Self admin.; Claimed by Somalia</t>
  </si>
  <si>
    <t>Includes old states of 2347021, 2347020, 2347017 and portion of 2347016.</t>
  </si>
  <si>
    <t>Q34754</t>
  </si>
  <si>
    <t>ØµÙˆÙ…Ø§Ù„ÙŠÙ„Ø§Ù†Ø¯</t>
  </si>
  <si>
    <t>à¦¸à§‹à¦®à¦¾à¦²à¦¿à¦²à§à¦¯à¦¾à¦¨à§à¦¡</t>
  </si>
  <si>
    <t>Somalilandia</t>
  </si>
  <si>
    <t>Ø³ÙˆÙ…Ø§Ù„ÛŒÙ„Ù†Ø¯</t>
  </si>
  <si>
    <t>Î£Î¿Î¼Î±Î»Î¹Î»Î¬Î½Î´Î·</t>
  </si>
  <si>
    <t>×¡×•×ž×œ×™×œ× ×“</t>
  </si>
  <si>
    <t>à¤¸à¥‹à¤®à¤¾à¤²à¥€à¤¦à¥‡à¤¶</t>
  </si>
  <si>
    <t>SzomÃ¡lifÃ¶ld</t>
  </si>
  <si>
    <t>ã‚½ãƒžãƒªãƒ©ãƒ³ãƒ‰</t>
  </si>
  <si>
    <t>ì†Œë§ë¦´ëž€ë“œ</t>
  </si>
  <si>
    <t>SomalilÃ¢ndia</t>
  </si>
  <si>
    <t>Ð¡Ð¾Ð¼Ð°Ð»Ð¸Ð»ÐµÐ½Ð´</t>
  </si>
  <si>
    <t>Ð¡Ð¾Ð¼Ð°Ð»Ñ–Ð»ÐµÐ½Ð´</t>
  </si>
  <si>
    <t>ØµÙˆÙ…Ø§Ù„ÛŒ Ù„ÛŒÙ†Úˆ</t>
  </si>
  <si>
    <t>ç´¢é©¬é‡Œå…°</t>
  </si>
  <si>
    <t>ç´¢é¦¬åˆ©è˜­</t>
  </si>
  <si>
    <t>ZAF</t>
  </si>
  <si>
    <t>S.Af.</t>
  </si>
  <si>
    <t>Republic of South Africa</t>
  </si>
  <si>
    <t>SF</t>
  </si>
  <si>
    <t>Q258</t>
  </si>
  <si>
    <t>Ø¬Ù†ÙˆØ¨ Ø£ÙØ±ÙŠÙ‚ÙŠØ§</t>
  </si>
  <si>
    <t>à¦¦à¦•à§à¦·à¦¿à¦£ à¦†à¦«à§à¦°à¦¿à¦•à¦¾</t>
  </si>
  <si>
    <t>SÃ¼dafrika</t>
  </si>
  <si>
    <t>SudÃ¡frica</t>
  </si>
  <si>
    <t>Ø¢ÙØ±ÛŒÙ‚Ø§ÛŒ Ø¬Ù†ÙˆØ¨ÛŒ</t>
  </si>
  <si>
    <t>Afrique du Sud</t>
  </si>
  <si>
    <t>ÎÏŒÏ„Î¹Î± Î‘Ï†ÏÎ¹ÎºÎ®</t>
  </si>
  <si>
    <t>×“×¨×•× ××¤×¨×™×§×”</t>
  </si>
  <si>
    <t>à¤¦à¤•à¥à¤·à¤¿à¤£ à¤…à¤«à¤¼à¥à¤°à¥€à¤•à¤¾</t>
  </si>
  <si>
    <t>DÃ©l-afrikai KÃ¶ztÃ¡rsasÃ¡g</t>
  </si>
  <si>
    <t>Afrika Selatan</t>
  </si>
  <si>
    <t>Sudafrica</t>
  </si>
  <si>
    <t>å—ã‚¢ãƒ•ãƒªã‚«å…±å’Œå›½</t>
  </si>
  <si>
    <t>ë‚¨ì•„í”„ë¦¬ì¹´ ê³µí™”êµ­</t>
  </si>
  <si>
    <t>Zuid-Afrika</t>
  </si>
  <si>
    <t>PoÅ‚udniowa Afryka</t>
  </si>
  <si>
    <t>Ãfrica do Sul</t>
  </si>
  <si>
    <t>Ð®ÐÐ </t>
  </si>
  <si>
    <t>Sydafrika</t>
  </si>
  <si>
    <t>GÃ¼ney Afrika Cumhuriyeti</t>
  </si>
  <si>
    <t>ÐŸÑ–Ð²Ð´ÐµÐ½Ð½Ð¾-ÐÑ„Ñ€Ð¸ÐºÐ°Ð½ÑÑŒÐºÐ° Ð ÐµÑÐ¿ÑƒÐ±Ð»Ñ–ÐºÐ°</t>
  </si>
  <si>
    <t>Ø¬Ù†ÙˆØ¨ÛŒ Ø§ÙØ±ÛŒÙ‚Ø§</t>
  </si>
  <si>
    <t>Cá»™ng hÃ²a Nam Phi</t>
  </si>
  <si>
    <t>å—éž</t>
  </si>
  <si>
    <t>KOR</t>
  </si>
  <si>
    <t>Republic of Korea</t>
  </si>
  <si>
    <t>S.K.</t>
  </si>
  <si>
    <t>Korea, South</t>
  </si>
  <si>
    <t>Korea, Rep.</t>
  </si>
  <si>
    <t>KS</t>
  </si>
  <si>
    <t>Q884</t>
  </si>
  <si>
    <t>ÙƒÙˆØ±ÙŠØ§ Ø§Ù„Ø¬Ù†ÙˆØ¨ÙŠØ©</t>
  </si>
  <si>
    <t>à¦¦à¦•à§à¦·à¦¿à¦£ à¦•à§‹à¦°à¦¿à¦¯à¦¼à¦¾</t>
  </si>
  <si>
    <t>SÃ¼dkorea</t>
  </si>
  <si>
    <t>Corea del Sur</t>
  </si>
  <si>
    <t>Ú©Ø±Ù‡ Ø¬Ù†ÙˆØ¨ÛŒ</t>
  </si>
  <si>
    <t>CorÃ©e du Sud</t>
  </si>
  <si>
    <t>ÎÏŒÏ„Î¹Î± ÎšÎ¿ÏÎ­Î±</t>
  </si>
  <si>
    <t>×§×•×¨×™××” ×”×“×¨×•×ž×™×ª</t>
  </si>
  <si>
    <t>à¤¦à¤•à¥à¤·à¤¿à¤£ à¤•à¥‹à¤°à¤¿à¤¯à¤¾</t>
  </si>
  <si>
    <t>DÃ©l-Korea</t>
  </si>
  <si>
    <t>Korea Selatan</t>
  </si>
  <si>
    <t>Corea del Sud</t>
  </si>
  <si>
    <t>å¤§éŸ“æ°‘å›½</t>
  </si>
  <si>
    <t>ëŒ€í•œë¯¼êµ­</t>
  </si>
  <si>
    <t>Zuid-Korea</t>
  </si>
  <si>
    <t>Korea PoÅ‚udniowa</t>
  </si>
  <si>
    <t>Coreia do Sul</t>
  </si>
  <si>
    <t>Ð ÐµÑÐ¿ÑƒÐ±Ð»Ð¸ÐºÐ° ÐšÐ¾Ñ€ÐµÑ</t>
  </si>
  <si>
    <t>Sydkorea</t>
  </si>
  <si>
    <t>GÃ¼ney Kore</t>
  </si>
  <si>
    <t>ÐŸÑ–Ð²Ð´ÐµÐ½Ð½Ð° ÐšÐ¾Ñ€ÐµÑ</t>
  </si>
  <si>
    <t>Ø¬Ù†ÙˆØ¨ÛŒ Ú©ÙˆØ±ÛŒØ§</t>
  </si>
  <si>
    <t>HÃ n Quá»‘c</t>
  </si>
  <si>
    <t>å¤§éŸ©æ°‘å›½</t>
  </si>
  <si>
    <t>å¤§éŸ“æ°‘åœ‹</t>
  </si>
  <si>
    <t>SDS</t>
  </si>
  <si>
    <t>S. Sudan</t>
  </si>
  <si>
    <t>S. Sud.</t>
  </si>
  <si>
    <t>Republic of South Sudan</t>
  </si>
  <si>
    <t>SSD</t>
  </si>
  <si>
    <t>Includes states of 20069899, 20069897, 20069898, 20069901, 20069909, and 20069908 but maybe more?</t>
  </si>
  <si>
    <t>Q958</t>
  </si>
  <si>
    <t>Ø¬Ù†ÙˆØ¨ Ø§Ù„Ø³ÙˆØ¯Ø§Ù†</t>
  </si>
  <si>
    <t>à¦¦à¦•à§à¦·à¦¿à¦£ à¦¸à§à¦¦à¦¾à¦¨</t>
  </si>
  <si>
    <t>SÃ¼dsudan</t>
  </si>
  <si>
    <t>SudÃ¡n del Sur</t>
  </si>
  <si>
    <t>Ø³ÙˆØ¯Ø§Ù† Ø¬Ù†ÙˆØ¨ÛŒ</t>
  </si>
  <si>
    <t>Soudan du Sud</t>
  </si>
  <si>
    <t>ÎÏŒÏ„Î¹Î¿ Î£Î¿Ï…Î´Î¬Î½</t>
  </si>
  <si>
    <t>×“×¨×•× ×¡×•×“××Ÿ</t>
  </si>
  <si>
    <t>à¤¦à¤•à¥à¤·à¤¿à¤£ à¤¸à¥‚à¤¡à¤¾à¤¨</t>
  </si>
  <si>
    <t>DÃ©l-SzudÃ¡n</t>
  </si>
  <si>
    <t>Sudan Selatan</t>
  </si>
  <si>
    <t>Sudan del Sud</t>
  </si>
  <si>
    <t>å—ã‚¹ãƒ¼ãƒ€ãƒ³</t>
  </si>
  <si>
    <t>ë‚¨ìˆ˜ë‹¨</t>
  </si>
  <si>
    <t>Zuid-Soedan</t>
  </si>
  <si>
    <t>Sudan PoÅ‚udniowy</t>
  </si>
  <si>
    <t>SudÃ£o do Sul</t>
  </si>
  <si>
    <t>Ð®Ð¶Ð½Ñ‹Ð¹ Ð¡ÑƒÐ´Ð°Ð½</t>
  </si>
  <si>
    <t>Sydsudan</t>
  </si>
  <si>
    <t>GÃ¼ney Sudan</t>
  </si>
  <si>
    <t>ÐŸÑ–Ð²Ð´ÐµÐ½Ð½Ð¸Ð¹ Ð¡ÑƒÐ´Ð°Ð½</t>
  </si>
  <si>
    <t>Ø¬Ù†ÙˆØ¨ÛŒ Ø³ÙˆÚˆØ§Ù†</t>
  </si>
  <si>
    <t>Nam Sudan</t>
  </si>
  <si>
    <t>å—è‹ä¸¹</t>
  </si>
  <si>
    <t>å—è˜‡ä¸¹</t>
  </si>
  <si>
    <t>Southern Patagonian Ice Field</t>
  </si>
  <si>
    <t>SPI</t>
  </si>
  <si>
    <t>B97</t>
  </si>
  <si>
    <t>S.Pat. Ice Field</t>
  </si>
  <si>
    <t>Claimed by Chile and Argentina; under survey</t>
  </si>
  <si>
    <t>Q1031467</t>
  </si>
  <si>
    <t>Ù‚Ù„ Ø§Ù„Ø«Ù„Ø¬ Ø§Ù„Ø¨Ø§ØªØ§ØºÙˆÙ†ÙŠ Ø§Ù„Ø¬Ù†ÙˆØ¨ÙŠ</t>
  </si>
  <si>
    <t>à¦¸à¦¾à¦¦à¦¾à¦°à§à¦¨ à¦ªà¦¾à¦Ÿà¦¾à¦—à§‹à¦¨à¦¿à§Ÿà¦¾à¦¨ à¦†à¦‡à¦¸ à¦«à¦¿à¦²à§à¦¡</t>
  </si>
  <si>
    <t>SÃ¼dpatagonisches Eisfeld</t>
  </si>
  <si>
    <t>Campo de hielo PatagÃ³nico Sur</t>
  </si>
  <si>
    <t>Ù…ÛŒØ¯Ø§Ù† ÛŒØ®Ú†Ø§Ù„ÛŒ Ù¾Ø§ØªØ§Ú¯ÙˆÙ†ÛŒØ§ÛŒ Ø¬Ù†ÙˆØ¨ÛŒ</t>
  </si>
  <si>
    <t>champ de glace Sud de Patagonie</t>
  </si>
  <si>
    <t>Î£Î¬Î¿Ï…Î¸ÎµÏÎ½ Î Î±Ï„Î±Î³ÎºÏŒÎ½Î¹Î±Î½ Î†Î¹Ï‚ Î¦Î¹Î»Î½Ï„</t>
  </si>
  <si>
    <t>×©×“×” ×”×§×¨×— ×”×¤×˜×’×•× ×™ ×”×“×¨×•×ž×™</t>
  </si>
  <si>
    <t>à¤¸à¤¾à¤‰à¤¦à¤°à¥à¤¨ à¤ªà¤¾à¤Ÿà¤¾à¤—à¥‹à¤¨à¤¿à¤¯à¤¨ à¤†à¤‡à¤¸ à¤«à¤¼à¥€à¤²à¥à¤¡</t>
  </si>
  <si>
    <t>DÃ©l-patagÃ³niai jÃ©gmezÅ‘</t>
  </si>
  <si>
    <t>Padang Es Patagonia Selatan</t>
  </si>
  <si>
    <t>campo di ghiaccio Patagonico Sud</t>
  </si>
  <si>
    <t>å—ãƒ‘ã‚¿ã‚´ãƒ‹ã‚¢æ°·åŽŸ</t>
  </si>
  <si>
    <t>ì‚¬ìš°ë˜ íŒŒíƒ€ê³ ë‹ˆì•ˆ ì•„ì´ìŠ¤ í•„ë“œ</t>
  </si>
  <si>
    <t>PoÅ‚udniowy LÄ…dolÃ³d PatagoÅ„ski</t>
  </si>
  <si>
    <t>Campo de gelo do sul da PatagÃ³nia</t>
  </si>
  <si>
    <t>Ð®Ð¶Ð½Ð¾Ðµ ÐŸÐ°Ñ‚Ð°Ð³Ð¾Ð½ÑÐºÐ¾Ðµ Ð»ÐµÐ´Ð½Ð¸ÐºÐ¾Ð²Ð¾Ðµ Ð¿Ð»Ð°Ñ‚Ð¾</t>
  </si>
  <si>
    <t>SÃ¶dra patagoniska isfÃ¤ltet</t>
  </si>
  <si>
    <t>Campo de Hielo Sur</t>
  </si>
  <si>
    <t>ÐŸÑ–Ð²Ð´ÐµÐ½Ð½Ð¾-ÐŸÐ°Ñ‚Ð°Ð³Ð¾Ð½ÑÑŒÐºÐµ Ð»ÑŒÐ¾Ð´Ð¾Ð²Ð¸ÐºÐ¾Ð²Ðµ Ð¿Ð¾Ð»Ðµ</t>
  </si>
  <si>
    <t>Ø³Ø§Ø¤Ø¯Ø±Ù† Ù¾ÛŒÙ¹Ø§Ú¯ÙˆÙ†ÛŒÙ† Ø¢Ø¦Ø³ ÙÛŒÙ„Úˆ</t>
  </si>
  <si>
    <t>CÃ¡nh Ä‘á»“ng bÄƒng Nam Patagonia</t>
  </si>
  <si>
    <t>å—å·´å¡”å“¥å°¼äºžå†°åŽŸ</t>
  </si>
  <si>
    <t>ESP</t>
  </si>
  <si>
    <t>Sp.</t>
  </si>
  <si>
    <t>E</t>
  </si>
  <si>
    <t>Kingdom of Spain</t>
  </si>
  <si>
    <t>SP</t>
  </si>
  <si>
    <t>Q29</t>
  </si>
  <si>
    <t>Ø¥Ø³Ø¨Ø§Ù†ÙŠØ§</t>
  </si>
  <si>
    <t>à¦¸à§à¦ªà§‡à¦¨</t>
  </si>
  <si>
    <t>Spanien</t>
  </si>
  <si>
    <t>EspaÃ±a</t>
  </si>
  <si>
    <t>Ø§Ø³Ù¾Ø§Ù†ÛŒØ§</t>
  </si>
  <si>
    <t>Espagne</t>
  </si>
  <si>
    <t>Î™ÏƒÏ€Î±Î½Î¯Î±</t>
  </si>
  <si>
    <t>×¡×¤×¨×“</t>
  </si>
  <si>
    <t>à¤¸à¥à¤ªà¥‡à¤¨</t>
  </si>
  <si>
    <t>SpanyolorszÃ¡g</t>
  </si>
  <si>
    <t>Spanyol</t>
  </si>
  <si>
    <t>Spagna</t>
  </si>
  <si>
    <t>ã‚¹ãƒšã‚¤ãƒ³</t>
  </si>
  <si>
    <t>ìŠ¤íŽ˜ì¸</t>
  </si>
  <si>
    <t>Spanje</t>
  </si>
  <si>
    <t>Hiszpania</t>
  </si>
  <si>
    <t>Espanha</t>
  </si>
  <si>
    <t>Ð˜ÑÐ¿Ð°Ð½Ð¸Ñ</t>
  </si>
  <si>
    <t>Ä°spanya</t>
  </si>
  <si>
    <t>Ð†ÑÐ¿Ð°Ð½Ñ–Ñ</t>
  </si>
  <si>
    <t>ÛØ³Ù¾Ø§Ù†ÛŒÛ</t>
  </si>
  <si>
    <t>TÃ¢y Ban Nha</t>
  </si>
  <si>
    <t>è¥¿ç­ç‰™</t>
  </si>
  <si>
    <t>Spratly Islands</t>
  </si>
  <si>
    <t>PGA</t>
  </si>
  <si>
    <t>Spratly Is.</t>
  </si>
  <si>
    <t>B46</t>
  </si>
  <si>
    <t>Claimed by China, Taiwan, Malaysia, the Philippines, and Brunei</t>
  </si>
  <si>
    <t>VNM</t>
  </si>
  <si>
    <t>Q43296</t>
  </si>
  <si>
    <t>Ø¬Ø²ÙŠØ±Ø© ÙˆÙŠÙƒ</t>
  </si>
  <si>
    <t>à¦“à¦¯à¦¼à§‡à¦• à¦¦à§à¦¬à§€à¦ªà¦ªà§à¦žà§à¦œ</t>
  </si>
  <si>
    <t>Wake</t>
  </si>
  <si>
    <t>Isla Wake</t>
  </si>
  <si>
    <t>Ø¬Ø²ÛŒØ±Ù‡ ÙˆÛŒÚ©</t>
  </si>
  <si>
    <t>ÎÎ®ÏƒÎ¿Ï‚ ÎŸÏ…Î­Î·Îº</t>
  </si>
  <si>
    <t>×•×™×™×§</t>
  </si>
  <si>
    <t>à¤µà¥‡à¤• à¤¦à¥à¤µà¥€à¤ª</t>
  </si>
  <si>
    <t>Wake-sziget</t>
  </si>
  <si>
    <t>Pulau Wake</t>
  </si>
  <si>
    <t>isola di Wake</t>
  </si>
  <si>
    <t>ã‚¦ã‚§ãƒ¼ã‚¯å³¶</t>
  </si>
  <si>
    <t>ì›¨ì´í¬ì„¬</t>
  </si>
  <si>
    <t>Ilha Wake</t>
  </si>
  <si>
    <t>Ð£ÑÐ¹Ðº</t>
  </si>
  <si>
    <t>Wake AdasÄ±</t>
  </si>
  <si>
    <t>Ð’ÐµÐ¹Ðº</t>
  </si>
  <si>
    <t>Ø¬Ø²ÛŒØ±Û ÙˆÛŒÚ©</t>
  </si>
  <si>
    <t>Äáº£o Wake</t>
  </si>
  <si>
    <t>å¨å…‹å²›</t>
  </si>
  <si>
    <t>å¨å…‹å³¶</t>
  </si>
  <si>
    <t>LKA</t>
  </si>
  <si>
    <t>Sri L.</t>
  </si>
  <si>
    <t>Democratic Socialist Republic of Sri Lanka</t>
  </si>
  <si>
    <t>Q854</t>
  </si>
  <si>
    <t>Ø³Ø±ÙŠÙ„Ø§Ù†ÙƒØ§</t>
  </si>
  <si>
    <t>à¦¶à§à¦°à§€à¦²à¦™à§à¦•à¦¾</t>
  </si>
  <si>
    <t>Ø³Ø±ÛŒÙ„Ø§Ù†Ú©Ø§</t>
  </si>
  <si>
    <t>Î£ÏÎ¹ Î›Î¬Î½ÎºÎ±</t>
  </si>
  <si>
    <t>×¡×¨×™ ×œ× ×§×”</t>
  </si>
  <si>
    <t>à¤¶à¥à¤°à¥€à¤²à¤‚à¤•à¤¾</t>
  </si>
  <si>
    <t>SrÃ­ Lanka</t>
  </si>
  <si>
    <t>ã‚¹ãƒªãƒ©ãƒ³ã‚«</t>
  </si>
  <si>
    <t>ìŠ¤ë¦¬ëž‘ì¹´</t>
  </si>
  <si>
    <t>Ð¨Ñ€Ð¸-Ð›Ð°Ð½ÐºÐ°</t>
  </si>
  <si>
    <t>Ð¨Ñ€Ñ–-Ð›Ð°Ð½ÐºÐ°</t>
  </si>
  <si>
    <t>Ø³Ø±ÛŒ Ù„Ù†Ú©Ø§</t>
  </si>
  <si>
    <t>æ–¯é‡Œå…°å¡</t>
  </si>
  <si>
    <t>æ–¯é‡Œè˜­å¡</t>
  </si>
  <si>
    <t>SDN</t>
  </si>
  <si>
    <t>Republic of the Sudan</t>
  </si>
  <si>
    <t>SU</t>
  </si>
  <si>
    <t>Almost all FLickr photos are in the north.</t>
  </si>
  <si>
    <t>SDZ</t>
  </si>
  <si>
    <t>Q1049</t>
  </si>
  <si>
    <t>Ø§Ù„Ø³ÙˆØ¯Ø§Ù†</t>
  </si>
  <si>
    <t>à¦¸à§à¦¦à¦¾à¦¨</t>
  </si>
  <si>
    <t>SudÃ¡n</t>
  </si>
  <si>
    <t>Ø³ÙˆØ¯Ø§Ù†</t>
  </si>
  <si>
    <t>Soudan</t>
  </si>
  <si>
    <t>Î£Î¿Ï…Î´Î¬Î½</t>
  </si>
  <si>
    <t>×¡×•×“××Ÿ</t>
  </si>
  <si>
    <t>à¤¸à¥‚à¤¡à¤¾à¤¨</t>
  </si>
  <si>
    <t>SzudÃ¡n</t>
  </si>
  <si>
    <t>ã‚¹ãƒ¼ãƒ€ãƒ³</t>
  </si>
  <si>
    <t>ìˆ˜ë‹¨</t>
  </si>
  <si>
    <t>Soedan</t>
  </si>
  <si>
    <t>SudÃ£o</t>
  </si>
  <si>
    <t>Ð¡ÑƒÐ´Ð°Ð½</t>
  </si>
  <si>
    <t>Ø³ÙˆÚˆØ§Ù†</t>
  </si>
  <si>
    <t>è‹ä¸¹</t>
  </si>
  <si>
    <t>è˜‡ä¸¹</t>
  </si>
  <si>
    <t>SUR</t>
  </si>
  <si>
    <t>Sur.</t>
  </si>
  <si>
    <t>Republic of Suriname</t>
  </si>
  <si>
    <t>NS</t>
  </si>
  <si>
    <t>Q730</t>
  </si>
  <si>
    <t>Ø³ÙˆØ±ÙŠÙ†Ø§Ù…</t>
  </si>
  <si>
    <t>à¦¸à§à¦°à¦¿à¦¨à¦¾à¦®</t>
  </si>
  <si>
    <t>Surinam</t>
  </si>
  <si>
    <t>Ø³ÙˆØ±ÛŒÙ†Ø§Ù…</t>
  </si>
  <si>
    <t>Î£Î¿Ï…ÏÎ¹Î½Î¬Î¼</t>
  </si>
  <si>
    <t>×¡×•×¨×™× ××</t>
  </si>
  <si>
    <t>à¤¸à¥‚à¤°à¥€à¤¨à¤¾à¤®</t>
  </si>
  <si>
    <t>ã‚¹ãƒªãƒŠãƒ </t>
  </si>
  <si>
    <t>ìˆ˜ë¦¬ë‚¨</t>
  </si>
  <si>
    <t>Ð¡ÑƒÑ€Ð¸Ð½Ð°Ð¼</t>
  </si>
  <si>
    <t>Ø³Ø±ÛŒÙ†Ø§Ù…</t>
  </si>
  <si>
    <t>è‹é‡Œå—</t>
  </si>
  <si>
    <t>è˜‡åˆ©å—</t>
  </si>
  <si>
    <t>SWE</t>
  </si>
  <si>
    <t>Swe.</t>
  </si>
  <si>
    <t>S</t>
  </si>
  <si>
    <t>Kingdom of Sweden</t>
  </si>
  <si>
    <t>SW</t>
  </si>
  <si>
    <t>Q34</t>
  </si>
  <si>
    <t>Ø§Ù„Ø³ÙˆÙŠØ¯</t>
  </si>
  <si>
    <t>à¦¸à§à¦‡à¦¡à§‡à¦¨</t>
  </si>
  <si>
    <t>Schweden</t>
  </si>
  <si>
    <t>Suecia</t>
  </si>
  <si>
    <t>Ø³ÙˆØ¦Ø¯</t>
  </si>
  <si>
    <t>SuÃ¨de</t>
  </si>
  <si>
    <t>Î£Î¿Ï…Î·Î´Î¯Î±</t>
  </si>
  <si>
    <t>×©×•×•×“×™×”</t>
  </si>
  <si>
    <t>à¤¸à¥à¤µà¥€à¤¡à¤¨</t>
  </si>
  <si>
    <t>SvÃ©dorszÃ¡g</t>
  </si>
  <si>
    <t>Swedia</t>
  </si>
  <si>
    <t>Svezia</t>
  </si>
  <si>
    <t>ã‚¹ã‚¦ã‚§ãƒ¼ãƒ‡ãƒ³</t>
  </si>
  <si>
    <t>ìŠ¤ì›¨ë´</t>
  </si>
  <si>
    <t>Zweden</t>
  </si>
  <si>
    <t>Szwecja</t>
  </si>
  <si>
    <t>SuÃ©cia</t>
  </si>
  <si>
    <t>Ð¨Ð²ÐµÑ†Ð¸Ñ</t>
  </si>
  <si>
    <t>Sverige</t>
  </si>
  <si>
    <t>Ä°sveÃ§</t>
  </si>
  <si>
    <t>Ð¨Ð²ÐµÑ†Ñ–Ñ</t>
  </si>
  <si>
    <t>Ø³ÙˆÛŒÚˆÙ†</t>
  </si>
  <si>
    <t>Thá»¥y Äiá»ƒn</t>
  </si>
  <si>
    <t>ç‘žå…¸</t>
  </si>
  <si>
    <t>CHE</t>
  </si>
  <si>
    <t>Switz.</t>
  </si>
  <si>
    <t>Swiss Confederation</t>
  </si>
  <si>
    <t>Q39</t>
  </si>
  <si>
    <t>Ø³ÙˆÙŠØ³Ø±Ø§</t>
  </si>
  <si>
    <t>à¦¸à§à¦‡à¦œà¦¾à¦°à¦²à§à¦¯à¦¾à¦¨à§à¦¡</t>
  </si>
  <si>
    <t>Schweiz</t>
  </si>
  <si>
    <t>Suiza</t>
  </si>
  <si>
    <t>Ø³ÙˆØ¦ÛŒØ³</t>
  </si>
  <si>
    <t>Suisse</t>
  </si>
  <si>
    <t>Î•Î»Î²ÎµÏ„Î¯Î±</t>
  </si>
  <si>
    <t>×©×•×•×™×™×¥</t>
  </si>
  <si>
    <t>à¤¸à¥à¤µà¤¿à¤Ÿà¥à¤œà¤¼à¤°à¤²à¥ˆà¤£à¥à¤¡</t>
  </si>
  <si>
    <t>SvÃ¡jc</t>
  </si>
  <si>
    <t>Swiss</t>
  </si>
  <si>
    <t>Svizzera</t>
  </si>
  <si>
    <t>ã‚¹ã‚¤ã‚¹</t>
  </si>
  <si>
    <t>ìŠ¤ìœ„ìŠ¤</t>
  </si>
  <si>
    <t>Zwitserland</t>
  </si>
  <si>
    <t>Szwajcaria</t>
  </si>
  <si>
    <t>SuÃ­Ã§a</t>
  </si>
  <si>
    <t>Ð¨Ð²ÐµÐ¹Ñ†Ð°Ñ€Ð¸Ñ</t>
  </si>
  <si>
    <t>Ä°sviÃ§re</t>
  </si>
  <si>
    <t>Ð¨Ð²ÐµÐ¹Ñ†Ð°Ñ€Ñ–Ñ</t>
  </si>
  <si>
    <t>Ø³ÙˆÛŒÙ¹Ø²Ø±Ù„ÛŒÙ†Úˆ</t>
  </si>
  <si>
    <t>Thá»¥y SÄ©</t>
  </si>
  <si>
    <t>ç‘žå£«</t>
  </si>
  <si>
    <t>SYR</t>
  </si>
  <si>
    <t>Syrian Arab Republic</t>
  </si>
  <si>
    <t>Q858</t>
  </si>
  <si>
    <t>Ø³ÙˆØ±ÙŠØ§</t>
  </si>
  <si>
    <t>à¦¸à¦¿à¦°à¦¿à¦¯à¦¼à¦¾</t>
  </si>
  <si>
    <t>Syrien</t>
  </si>
  <si>
    <t>Siria</t>
  </si>
  <si>
    <t>Ø³ÙˆØ±ÛŒÙ‡</t>
  </si>
  <si>
    <t>Syrie</t>
  </si>
  <si>
    <t>Î£Ï…ÏÎ¯Î±</t>
  </si>
  <si>
    <t>×¡×•×¨×™×”</t>
  </si>
  <si>
    <t>à¤¸à¥€à¤°à¤¿à¤¯à¤¾</t>
  </si>
  <si>
    <t>SzÃ­ria</t>
  </si>
  <si>
    <t>Suriah</t>
  </si>
  <si>
    <t>ã‚·ãƒªã‚¢</t>
  </si>
  <si>
    <t>ì‹œë¦¬ì•„</t>
  </si>
  <si>
    <t>SyriÃ«</t>
  </si>
  <si>
    <t>SÃ­ria</t>
  </si>
  <si>
    <t>Ð¡Ð¸Ñ€Ð¸Ñ</t>
  </si>
  <si>
    <t>Suriye</t>
  </si>
  <si>
    <t>Ð¡Ð¸Ñ€Ñ–Ñ</t>
  </si>
  <si>
    <t>Ø³ÙˆØ±ÛŒÛ</t>
  </si>
  <si>
    <t>å™åˆ©äºš</t>
  </si>
  <si>
    <t>æ•˜åˆ©äºž</t>
  </si>
  <si>
    <t>Self admin.; Claimed by China</t>
  </si>
  <si>
    <t>Q865</t>
  </si>
  <si>
    <t>ØªØ§ÙŠÙˆØ§Ù†</t>
  </si>
  <si>
    <t>à¦¤à¦¾à¦‡à¦“à¦¯à¦¼à¦¾à¦¨</t>
  </si>
  <si>
    <t>Republik China</t>
  </si>
  <si>
    <t>RepÃºblica de China</t>
  </si>
  <si>
    <t>ØªØ§ÛŒÙˆØ§Ù†</t>
  </si>
  <si>
    <t>TaÃ¯wan</t>
  </si>
  <si>
    <t>Î”Î·Î¼Î¿ÎºÏÎ±Ï„Î¯Î± Ï„Î·Ï‚ ÎšÎ¯Î½Î±Ï‚</t>
  </si>
  <si>
    <t>×˜××™×•×•××Ÿ</t>
  </si>
  <si>
    <t>à¤šà¥€à¤¨à¥€ à¤—à¤£à¤°à¤¾à¤œà¥à¤¯</t>
  </si>
  <si>
    <t>KÃ­nai KÃ¶ztÃ¡rsasÃ¡g</t>
  </si>
  <si>
    <t>ä¸­è¯æ°‘å›½</t>
  </si>
  <si>
    <t>ì¤‘í™”ë¯¼êµ­</t>
  </si>
  <si>
    <t>Republika ChiÅ„ska</t>
  </si>
  <si>
    <t>Ð¢Ð°Ð¹Ð²Ð°Ð½ÑŒ</t>
  </si>
  <si>
    <t>Ã‡in Cumhuriyeti</t>
  </si>
  <si>
    <t>Ð ÐµÑÐ¿ÑƒÐ±Ð»Ñ–ÐºÐ° ÐšÐ¸Ñ‚Ð°Ð¹</t>
  </si>
  <si>
    <t>ØªØ§Ø¦ÛŒÙˆØ§Ù†</t>
  </si>
  <si>
    <t>ÄÃ i Loan</t>
  </si>
  <si>
    <t>ä¸­åŽæ°‘å›½</t>
  </si>
  <si>
    <t>ä¸­è¯æ°‘åœ‹</t>
  </si>
  <si>
    <t>Admin-1 states provinces</t>
  </si>
  <si>
    <t>TJK</t>
  </si>
  <si>
    <t>Tjk.</t>
  </si>
  <si>
    <t>Republic of Tajikistan</t>
  </si>
  <si>
    <t>TI</t>
  </si>
  <si>
    <t>Q863</t>
  </si>
  <si>
    <t>Ø·Ø§Ø¬ÙŠÙƒØ³ØªØ§Ù†</t>
  </si>
  <si>
    <t>à¦¤à¦¾à¦œà¦¿à¦•à¦¿à¦¸à§à¦¤à¦¾à¦¨</t>
  </si>
  <si>
    <t>Tadschikistan</t>
  </si>
  <si>
    <t>TayikistÃ¡n</t>
  </si>
  <si>
    <t>ØªØ§Ø¬ÛŒÚ©Ø³ØªØ§Ù†</t>
  </si>
  <si>
    <t>Tadjikistan</t>
  </si>
  <si>
    <t>Î¤Î±Ï„Î¶Î¹ÎºÎ¹ÏƒÏ„Î¬Î½</t>
  </si>
  <si>
    <t>×˜×’×³×™×§×™×¡×˜×Ÿ</t>
  </si>
  <si>
    <t>à¤¤à¤¾à¤œà¤¿à¤•à¤¿à¤¸à¥à¤¤à¤¾à¤¨</t>
  </si>
  <si>
    <t>TÃ¡dzsikisztÃ¡n</t>
  </si>
  <si>
    <t>Tagikistan</t>
  </si>
  <si>
    <t>ã‚¿ã‚¸ã‚­ã‚¹ã‚¿ãƒ³</t>
  </si>
  <si>
    <t>íƒ€ì§€í‚¤ìŠ¤íƒ„</t>
  </si>
  <si>
    <t>Tadzjikistan</t>
  </si>
  <si>
    <t>TadÅ¼ykistan</t>
  </si>
  <si>
    <t>TajiquistÃ£o</t>
  </si>
  <si>
    <t>Ð¢Ð°Ð´Ð¶Ð¸ÐºÐ¸ÑÑ‚Ð°Ð½</t>
  </si>
  <si>
    <t>Tacikistan</t>
  </si>
  <si>
    <t>ØªØ§Ø¬Ú©Ø³ØªØ§Ù†</t>
  </si>
  <si>
    <t>å¡”å‰å…‹æ–¯å¦</t>
  </si>
  <si>
    <t>å¡”å‰å…‹</t>
  </si>
  <si>
    <t>THA</t>
  </si>
  <si>
    <t>Thai.</t>
  </si>
  <si>
    <t>Kingdom of Thailand</t>
  </si>
  <si>
    <t>Q869</t>
  </si>
  <si>
    <t>ØªØ§ÙŠÙ„Ø§Ù†Ø¯</t>
  </si>
  <si>
    <t>à¦¥à¦¾à¦‡à¦²à§à¦¯à¦¾à¦¨à§à¦¡</t>
  </si>
  <si>
    <t>Tailandia</t>
  </si>
  <si>
    <t>ØªØ§ÛŒÙ„Ù†Ø¯</t>
  </si>
  <si>
    <t>ThaÃ¯lande</t>
  </si>
  <si>
    <t>Î¤Î±ÏŠÎ»Î¬Î½Î´Î·</t>
  </si>
  <si>
    <t>×ª××™×œ× ×“</t>
  </si>
  <si>
    <t>à¤¥à¤¾à¤ˆà¤²à¥ˆà¤£à¥à¤¡</t>
  </si>
  <si>
    <t>ThaifÃ¶ld</t>
  </si>
  <si>
    <t>Thailandia</t>
  </si>
  <si>
    <t>ã‚¿ã‚¤çŽ‹å›½</t>
  </si>
  <si>
    <t>íƒœêµ­</t>
  </si>
  <si>
    <t>Tajlandia</t>
  </si>
  <si>
    <t>TailÃ¢ndia</t>
  </si>
  <si>
    <t>Ð¢Ð°Ð¸Ð»Ð°Ð½Ð´</t>
  </si>
  <si>
    <t>Tayland</t>
  </si>
  <si>
    <t>Ð¢Ð°Ñ—Ð»Ð°Ð½Ð´</t>
  </si>
  <si>
    <t>ØªÚ¾Ø§Ø¦ÛŒ Ù„ÛŒÙ†Úˆ</t>
  </si>
  <si>
    <t>ThÃ¡i Lan</t>
  </si>
  <si>
    <t>æ³°å›½</t>
  </si>
  <si>
    <t>æ³°åœ‹</t>
  </si>
  <si>
    <t>BHS</t>
  </si>
  <si>
    <t>Bahamas</t>
  </si>
  <si>
    <t>Bhs.</t>
  </si>
  <si>
    <t>Commonwealth of the Bahamas</t>
  </si>
  <si>
    <t>Bahamas, The</t>
  </si>
  <si>
    <t>Q778</t>
  </si>
  <si>
    <t>Ø¨Ø§Ù‡Ø§Ù…Ø§Ø³</t>
  </si>
  <si>
    <t>à¦¬à¦¾à¦¹à¦¾à¦®à¦¾ à¦¦à§à¦¬à§€à¦ªà¦ªà§à¦žà§à¦œ</t>
  </si>
  <si>
    <t>Ø¨Ø§Ù‡Ø§Ù…Ø§</t>
  </si>
  <si>
    <t>ÎœÏ€Î±Ï‡Î¬Î¼ÎµÏ‚</t>
  </si>
  <si>
    <t>××™×™ ×‘×”××ž×”</t>
  </si>
  <si>
    <t>à¤¬à¤¹à¤¾à¤®à¤¾à¤¸</t>
  </si>
  <si>
    <t>Bahama-szigetek</t>
  </si>
  <si>
    <t>Bahama</t>
  </si>
  <si>
    <t>ãƒãƒãƒž</t>
  </si>
  <si>
    <t>ë°”í•˜ë§ˆ</t>
  </si>
  <si>
    <t>Bahama's</t>
  </si>
  <si>
    <t>Bahamy</t>
  </si>
  <si>
    <t>Ð‘Ð°Ð³Ð°Ð¼ÑÐºÐ¸Ðµ ÐžÑÑ‚Ñ€Ð¾Ð²Ð°</t>
  </si>
  <si>
    <t>Bahamalar</t>
  </si>
  <si>
    <t>Ð‘Ð°Ð³Ð°Ð¼ÑÑŒÐºÑ– ÐžÑÑ‚Ñ€Ð¾Ð²Ð¸</t>
  </si>
  <si>
    <t>Ø¨ÛØ§Ù…Ø§Ø³</t>
  </si>
  <si>
    <t>å·´å“ˆé©¬</t>
  </si>
  <si>
    <t>å·´å“ˆé¦¬</t>
  </si>
  <si>
    <t>TGO</t>
  </si>
  <si>
    <t>Togolese Republic</t>
  </si>
  <si>
    <t>RÃ©publique Togolaise</t>
  </si>
  <si>
    <t>Q945</t>
  </si>
  <si>
    <t>ØªÙˆØºÙˆ</t>
  </si>
  <si>
    <t>à¦Ÿà§‹à¦—à§‹</t>
  </si>
  <si>
    <t>ØªÙˆÚ¯Ùˆ</t>
  </si>
  <si>
    <t>Î¤ÏŒÎ³ÎºÎ¿</t>
  </si>
  <si>
    <t>×˜×•×’×•</t>
  </si>
  <si>
    <t>à¤Ÿà¥‹à¤—à¥‹</t>
  </si>
  <si>
    <t>ãƒˆãƒ¼ã‚´</t>
  </si>
  <si>
    <t>í† ê³ </t>
  </si>
  <si>
    <t>Ð¢Ð¾Ð³Ð¾</t>
  </si>
  <si>
    <t>Ù¹ÙˆÚ¯Ùˆ</t>
  </si>
  <si>
    <t>å¤šå“¥</t>
  </si>
  <si>
    <t>TON</t>
  </si>
  <si>
    <t>Tongo</t>
  </si>
  <si>
    <t>Kingdom of Tonga</t>
  </si>
  <si>
    <t>Q678</t>
  </si>
  <si>
    <t>ØªÙˆÙ†ØºØ§</t>
  </si>
  <si>
    <t>à¦Ÿà§‹à¦™à§à¦—à¦¾</t>
  </si>
  <si>
    <t>ØªÙˆÙ†Ú¯Ø§</t>
  </si>
  <si>
    <t>Î¤ÏŒÎ½Î³ÎºÎ±</t>
  </si>
  <si>
    <t>×˜×•× ×’×”</t>
  </si>
  <si>
    <t>à¤Ÿà¥‹à¤‚à¤—à¤¾</t>
  </si>
  <si>
    <t>ãƒˆãƒ³ã‚¬</t>
  </si>
  <si>
    <t>í†µê°€</t>
  </si>
  <si>
    <t>Ð¢Ð¾Ð½Ð³Ð°</t>
  </si>
  <si>
    <t>Ù¹ÙˆÙ†Ú¯Ø§</t>
  </si>
  <si>
    <t>æ±¤åŠ </t>
  </si>
  <si>
    <t>æ±åŠ </t>
  </si>
  <si>
    <t>TTO</t>
  </si>
  <si>
    <t>Tr.T.</t>
  </si>
  <si>
    <t>Republic of Trinidad and Tobago</t>
  </si>
  <si>
    <t>Q754</t>
  </si>
  <si>
    <t>ØªØ±ÙŠÙ†ÙŠØ¯Ø§Ø¯ ÙˆØªÙˆØ¨Ø§ØºÙˆ</t>
  </si>
  <si>
    <t>à¦¤à§à¦°à¦¿à¦¨à¦¿à¦¦à¦¾à¦¦ à¦“ à¦Ÿà§‹à¦¬à¦¾à¦—à§‹</t>
  </si>
  <si>
    <t>Trinidad und Tobago</t>
  </si>
  <si>
    <t>Trinidad y Tobago</t>
  </si>
  <si>
    <t>ØªØ±ÛŒÙ†ÛŒØ¯Ø§Ø¯ Ùˆ ØªÙˆØ¨Ø§Ú¯Ùˆ</t>
  </si>
  <si>
    <t>TrinitÃ©-et-Tobago</t>
  </si>
  <si>
    <t>Î¤ÏÎ¹Î½Î¹Î½Ï„Î¬Î½Ï„ ÎºÎ±Î¹ Î¤Î¿Î¼Ï€Î¬Î³ÎºÎ¿</t>
  </si>
  <si>
    <t>×˜×¨×™× ×™×“×“ ×•×˜×•×‘×’×•</t>
  </si>
  <si>
    <t>à¤¤à¥à¤°à¤¿à¤¨à¤¿à¤¦à¤¾à¤¦ à¤”à¤° à¤Ÿà¥‹à¤¬à¥ˆà¤—à¥‹</t>
  </si>
  <si>
    <t>Trinidad Ã©s Tobago</t>
  </si>
  <si>
    <t>Trinidad dan Tobago</t>
  </si>
  <si>
    <t>Trinidad e Tobago</t>
  </si>
  <si>
    <t>ãƒˆãƒªãƒ‹ãƒ€ãƒ¼ãƒ‰ãƒ»ãƒˆãƒã‚´</t>
  </si>
  <si>
    <t>íŠ¸ë¦¬ë‹ˆë‹¤ë“œ í† ë°”ê³ </t>
  </si>
  <si>
    <t>Trinidad en Tobago</t>
  </si>
  <si>
    <t>Trynidad i Tobago</t>
  </si>
  <si>
    <t>Ð¢Ñ€Ð¸Ð½Ð¸Ð´Ð°Ð´ Ð¸ Ð¢Ð¾Ð±Ð°Ð³Ð¾</t>
  </si>
  <si>
    <t>Trinidad och Tobago</t>
  </si>
  <si>
    <t>Trinidad ve Tobago</t>
  </si>
  <si>
    <t>Ð¢Ñ€Ð¸Ð½Ñ–Ð´Ð°Ð´ Ñ– Ð¢Ð¾Ð±Ð°Ð³Ð¾</t>
  </si>
  <si>
    <t>Ù¹Ø±ÛŒÙ†ÛŒÚˆØ§Úˆ Ùˆ Ù¹ÙˆØ¨Ø§Ú¯Ùˆ</t>
  </si>
  <si>
    <t>Trinidad vÃ  Tobago</t>
  </si>
  <si>
    <t>ç‰¹ç«‹å°¼è¾¾å’Œå¤šå·´å“¥</t>
  </si>
  <si>
    <t>åƒé‡Œé”åŠæ‰˜å·´å“¥</t>
  </si>
  <si>
    <t>TUN</t>
  </si>
  <si>
    <t>Tun.</t>
  </si>
  <si>
    <t>Republic of Tunisia</t>
  </si>
  <si>
    <t>TS</t>
  </si>
  <si>
    <t>Q948</t>
  </si>
  <si>
    <t>ØªÙˆÙ†Ø³</t>
  </si>
  <si>
    <t>à¦¤à¦¿à¦‰à¦¨à¦¿à¦¸à¦¿à¦¯à¦¼à¦¾</t>
  </si>
  <si>
    <t>Tunesien</t>
  </si>
  <si>
    <t>TÃºnez</t>
  </si>
  <si>
    <t>Tunisie</t>
  </si>
  <si>
    <t>Î¤Ï…Î½Î·ÏƒÎ¯Î±</t>
  </si>
  <si>
    <t>×ª×•× ×™×¡×™×”</t>
  </si>
  <si>
    <t>à¤Ÿà¥à¤¯à¥‚à¤¨à¤¿à¤¶à¤¿à¤¯à¤¾</t>
  </si>
  <si>
    <t>TunÃ©zia</t>
  </si>
  <si>
    <t>ãƒãƒ¥ãƒ‹ã‚¸ã‚¢</t>
  </si>
  <si>
    <t>íŠ€ë‹ˆì§€</t>
  </si>
  <si>
    <t>TunesiÃ«</t>
  </si>
  <si>
    <t>Tunezja</t>
  </si>
  <si>
    <t>TunÃ­sia</t>
  </si>
  <si>
    <t>Ð¢ÑƒÐ½Ð¸Ñ</t>
  </si>
  <si>
    <t>Tunisien</t>
  </si>
  <si>
    <t>Tunus</t>
  </si>
  <si>
    <t>Ð¢ÑƒÐ½Ñ–Ñ</t>
  </si>
  <si>
    <t>Tuy-ni-di</t>
  </si>
  <si>
    <t>çªå°¼æ–¯</t>
  </si>
  <si>
    <t>çªå°¼è¥¿äºž</t>
  </si>
  <si>
    <t>TUR</t>
  </si>
  <si>
    <t>Tur.</t>
  </si>
  <si>
    <t>Republic of Turkey</t>
  </si>
  <si>
    <t>TU</t>
  </si>
  <si>
    <t>Q43</t>
  </si>
  <si>
    <t>ØªØ±ÙƒÙŠØ§</t>
  </si>
  <si>
    <t>à¦¤à§à¦°à¦¸à§à¦•</t>
  </si>
  <si>
    <t>TÃ¼rkei</t>
  </si>
  <si>
    <t>TurquÃ­a</t>
  </si>
  <si>
    <t>ØªØ±Ú©ÛŒÙ‡</t>
  </si>
  <si>
    <t>Turquie</t>
  </si>
  <si>
    <t>Î¤Î¿Ï…ÏÎºÎ¯Î±</t>
  </si>
  <si>
    <t>×˜×•×¨×§×™×”</t>
  </si>
  <si>
    <t>à¤¤à¥à¤°à¥à¤•à¥€</t>
  </si>
  <si>
    <t>TÃ¶rÃ¶korszÃ¡g</t>
  </si>
  <si>
    <t>Turki</t>
  </si>
  <si>
    <t>Turchia</t>
  </si>
  <si>
    <t>ãƒˆãƒ«ã‚³</t>
  </si>
  <si>
    <t>í„°í‚¤</t>
  </si>
  <si>
    <t>Turkije</t>
  </si>
  <si>
    <t>Turcja</t>
  </si>
  <si>
    <t>Turquia</t>
  </si>
  <si>
    <t>Ð¢ÑƒÑ€Ñ†Ð¸Ñ</t>
  </si>
  <si>
    <t>Turkiet</t>
  </si>
  <si>
    <t>TÃ¼rkiye</t>
  </si>
  <si>
    <t>Ð¢ÑƒÑ€ÐµÑ‡Ñ‡Ð¸Ð½Ð°</t>
  </si>
  <si>
    <t>ØªØ±Ú©ÛŒ</t>
  </si>
  <si>
    <t>Thá»• NhÄ© Ká»³</t>
  </si>
  <si>
    <t>åœŸè€³å…¶</t>
  </si>
  <si>
    <t>TKM</t>
  </si>
  <si>
    <t>Turkm.</t>
  </si>
  <si>
    <t>TX</t>
  </si>
  <si>
    <t>Q874</t>
  </si>
  <si>
    <t>ØªØ±ÙƒÙ…Ø§Ù†Ø³ØªØ§Ù†</t>
  </si>
  <si>
    <t>à¦¤à§à¦°à§à¦•à¦®à§‡à¦¨à¦¿à¦¸à§à¦¤à¦¾à¦¨</t>
  </si>
  <si>
    <t>TurkmenistÃ¡n</t>
  </si>
  <si>
    <t>ØªØ±Ú©Ù…Ù†Ø³ØªØ§Ù†</t>
  </si>
  <si>
    <t>TurkmÃ©nistan</t>
  </si>
  <si>
    <t>Î¤Î¿Ï…ÏÎºÎ¼ÎµÎ½Î¹ÏƒÏ„Î¬Î½</t>
  </si>
  <si>
    <t>×˜×•×¨×§×ž× ×™×¡×˜×Ÿ</t>
  </si>
  <si>
    <t>à¤¤à¥à¤°à¥à¤•à¤®à¥‡à¤¨à¤¿à¤¸à¥à¤¤à¤¾à¤¨</t>
  </si>
  <si>
    <t>TÃ¼rkmenisztÃ¡n</t>
  </si>
  <si>
    <t>ãƒˆãƒ«ã‚¯ãƒ¡ãƒ‹ã‚¹ã‚¿ãƒ³</t>
  </si>
  <si>
    <t>íˆ¬ë¥´í¬ë©”ë‹ˆìŠ¤íƒ„</t>
  </si>
  <si>
    <t>TurquemenistÃ£o</t>
  </si>
  <si>
    <t>Ð¢ÑƒÑ€ÐºÐ¼ÐµÐ½Ð¸Ñ</t>
  </si>
  <si>
    <t>TÃ¼rkmenistan</t>
  </si>
  <si>
    <t>Ð¢ÑƒÑ€ÐºÐ¼ÐµÐ½Ñ–ÑÑ‚Ð°Ð½</t>
  </si>
  <si>
    <t>ØªØ±Ú©Ù…Ø§Ù†Ø³ØªØ§Ù†</t>
  </si>
  <si>
    <t>åœŸåº“æ›¼æ–¯å¦</t>
  </si>
  <si>
    <t>åœŸåº«æ›¼</t>
  </si>
  <si>
    <t>TUV</t>
  </si>
  <si>
    <t>Tuv.</t>
  </si>
  <si>
    <t>Q672</t>
  </si>
  <si>
    <t>ØªÙˆÙØ§Ù„Ùˆ</t>
  </si>
  <si>
    <t>à¦Ÿà§à¦­à¦¾à¦²à§</t>
  </si>
  <si>
    <t>ØªÙˆÙˆØ§Ù„Ùˆ</t>
  </si>
  <si>
    <t>Î¤Î¿Ï…Î²Î±Î»Î¿Ï</t>
  </si>
  <si>
    <t>×˜×•×‘××œ×•</t>
  </si>
  <si>
    <t>à¤¤à¥à¤µà¤¾à¤²à¥‚</t>
  </si>
  <si>
    <t>ãƒ„ãƒãƒ«</t>
  </si>
  <si>
    <t>íˆ¬ë°œë£¨</t>
  </si>
  <si>
    <t>Ð¢ÑƒÐ²Ð°Ð»Ñƒ</t>
  </si>
  <si>
    <t>å›¾ç“¦å¢</t>
  </si>
  <si>
    <t>åç“¦é­¯</t>
  </si>
  <si>
    <t>UGA</t>
  </si>
  <si>
    <t>Uga.</t>
  </si>
  <si>
    <t>Republic of Uganda</t>
  </si>
  <si>
    <t>Q1036</t>
  </si>
  <si>
    <t>Ø£ÙˆØºÙ†Ø¯Ø§</t>
  </si>
  <si>
    <t>à¦‰à¦—à¦¾à¦¨à§à¦¡à¦¾</t>
  </si>
  <si>
    <t>Ø§ÙˆÚ¯Ø§Ù†Ø¯Ø§</t>
  </si>
  <si>
    <t>Ouganda</t>
  </si>
  <si>
    <t>ÎŸÏ…Î³ÎºÎ¬Î½Ï„Î±</t>
  </si>
  <si>
    <t>××•×’× ×“×”</t>
  </si>
  <si>
    <t>à¤¯à¥à¤—à¤¾à¤£à¥à¤¡à¤¾</t>
  </si>
  <si>
    <t>ã‚¦ã‚¬ãƒ³ãƒ€</t>
  </si>
  <si>
    <t>ìš°ê°„ë‹¤</t>
  </si>
  <si>
    <t>Oeganda</t>
  </si>
  <si>
    <t>Ð£Ð³Ð°Ð½Ð´Ð°</t>
  </si>
  <si>
    <t>ÛŒÙˆÚ¯Ù†ÚˆØ§</t>
  </si>
  <si>
    <t>ä¹Œå¹²è¾¾</t>
  </si>
  <si>
    <t>çƒå¹²é”</t>
  </si>
  <si>
    <t>UKR</t>
  </si>
  <si>
    <t>Ukr.</t>
  </si>
  <si>
    <t>UP</t>
  </si>
  <si>
    <t>Q212</t>
  </si>
  <si>
    <t>Ø£ÙˆÙƒØ±Ø§Ù†ÙŠØ§</t>
  </si>
  <si>
    <t>à¦‡à¦‰à¦•à§à¦°à§‡à¦¨</t>
  </si>
  <si>
    <t>Ucrania</t>
  </si>
  <si>
    <t>Ø§ÙˆÚ©Ø±Ø§ÛŒÙ†</t>
  </si>
  <si>
    <t>ÎŸÏ…ÎºÏÎ±Î½Î¯Î±</t>
  </si>
  <si>
    <t>××•×§×¨××™× ×”</t>
  </si>
  <si>
    <t>à¤¯à¥à¤•à¥à¤°à¥‡à¤¨</t>
  </si>
  <si>
    <t>Ukrajna</t>
  </si>
  <si>
    <t>Ukraina</t>
  </si>
  <si>
    <t>Ucraina</t>
  </si>
  <si>
    <t>ã‚¦ã‚¯ãƒ©ã‚¤ãƒŠ</t>
  </si>
  <si>
    <t>ìš°í¬ë¼ì´ë‚˜</t>
  </si>
  <si>
    <t>OekraÃ¯ne</t>
  </si>
  <si>
    <t>UcrÃ¢nia</t>
  </si>
  <si>
    <t>Ð£ÐºÑ€Ð°Ð¸Ð½Ð°</t>
  </si>
  <si>
    <t>Ukrayna</t>
  </si>
  <si>
    <t>Ð£ÐºÑ€Ð°Ñ—Ð½Ð°</t>
  </si>
  <si>
    <t>ÛŒÙˆÚ©Ø±ÛŒÙ†</t>
  </si>
  <si>
    <t>ä¹Œå…‹å…°</t>
  </si>
  <si>
    <t>çƒå…‹è˜­</t>
  </si>
  <si>
    <t>ARE</t>
  </si>
  <si>
    <t>U.A.E.</t>
  </si>
  <si>
    <t>Q878</t>
  </si>
  <si>
    <t>Ø§Ù„Ø¥Ù…Ø§Ø±Ø§Øª Ø§Ù„Ø¹Ø±Ø¨ÙŠØ© Ø§Ù„Ù…ØªØ­Ø¯Ø©</t>
  </si>
  <si>
    <t>à¦¸à¦‚à¦¯à§à¦•à§à¦¤ à¦†à¦°à¦¬ à¦†à¦®à¦¿à¦°à¦¾à¦¤</t>
  </si>
  <si>
    <t>Vereinigte Arabische Emirate</t>
  </si>
  <si>
    <t>Emiratos Ãrabes Unidos</t>
  </si>
  <si>
    <t>Ø§Ù…Ø§Ø±Ø§Øª Ù…ØªØ­Ø¯Ù‡ Ø¹Ø±Ø¨ÛŒ</t>
  </si>
  <si>
    <t>Ã‰mirats arabes unis</t>
  </si>
  <si>
    <t>Î—Î½Ï‰Î¼Î­Î½Î± Î‘ÏÎ±Î²Î¹ÎºÎ¬ Î•Î¼Î¹ÏÎ¬Ï„Î±</t>
  </si>
  <si>
    <t>××™×—×•×“ ×”××ž×™×¨×•×™×•×ª ×”×¢×¨×‘×™×•×ª</t>
  </si>
  <si>
    <t>à¤¸à¤‚à¤¯à¥à¤•à¥à¤¤ à¤…à¤°à¤¬ à¤…à¤®à¥€à¤°à¤¾à¤¤</t>
  </si>
  <si>
    <t>EgyesÃ¼lt Arab EmÃ­rsÃ©gek</t>
  </si>
  <si>
    <t>Uni Emirat Arab</t>
  </si>
  <si>
    <t>Emirati Arabi Uniti</t>
  </si>
  <si>
    <t>ã‚¢ãƒ©ãƒ–é¦–é•·å›½é€£é‚¦</t>
  </si>
  <si>
    <t>ì•„ëžì—ë¯¸ë¦¬íŠ¸</t>
  </si>
  <si>
    <t>Verenigde Arabische Emiraten</t>
  </si>
  <si>
    <t>Zjednoczone Emiraty Arabskie</t>
  </si>
  <si>
    <t>Emirados Ãrabes Unidos</t>
  </si>
  <si>
    <t>ÐžÐ±ÑŠÐµÐ´Ð¸Ð½Ñ‘Ð½Ð½Ñ‹Ðµ ÐÑ€Ð°Ð±ÑÐºÐ¸Ðµ Ð­Ð¼Ð¸Ñ€Ð°Ñ‚Ñ‹</t>
  </si>
  <si>
    <t>FÃ¶renade Arabemiraten</t>
  </si>
  <si>
    <t>BirleÅŸik Arap Emirlikleri</t>
  </si>
  <si>
    <t>ÐžÐ±'Ñ”Ð´Ð½Ð°Ð½Ñ– ÐÑ€Ð°Ð±ÑÑŒÐºÑ– Ð•Ð¼Ñ–Ñ€Ð°Ñ‚Ð¸</t>
  </si>
  <si>
    <t>Ù…ØªØ­Ø¯Û Ø¹Ø±Ø¨ Ø§Ù…Ø§Ø±Ø§Øª</t>
  </si>
  <si>
    <t>CÃ¡c Tiá»ƒu vÆ°Æ¡ng quá»‘c áº¢ Ráº­p Thá»‘ng nháº¥t</t>
  </si>
  <si>
    <t>é˜¿æ‹‰ä¼¯è”åˆé…‹é•¿å›½</t>
  </si>
  <si>
    <t>é˜¿æ‹‰ä¼¯è¯åˆå¤§å…¬åœ‹</t>
  </si>
  <si>
    <t>Kaz.</t>
  </si>
  <si>
    <t>Republic of Kazakhstan</t>
  </si>
  <si>
    <t>Includes Baykonur Cosmodrome as an Admin-1 states provinces</t>
  </si>
  <si>
    <t>Q232</t>
  </si>
  <si>
    <t>ÙƒØ§Ø²Ø§Ø®Ø³ØªØ§Ù†</t>
  </si>
  <si>
    <t>à¦•à¦¾à¦œà¦¾à¦–à¦¸à§à¦¤à¦¾à¦¨</t>
  </si>
  <si>
    <t>Kasachstan</t>
  </si>
  <si>
    <t>KazajistÃ¡n</t>
  </si>
  <si>
    <t>Ù‚Ø²Ø§Ù‚Ø³ØªØ§Ù†</t>
  </si>
  <si>
    <t>ÎšÎ±Î¶Î±ÎºÏƒÏ„Î¬Î½</t>
  </si>
  <si>
    <t>×§×–×—×¡×˜×Ÿ</t>
  </si>
  <si>
    <t>à¤•à¤œà¤¼à¤¾à¤–à¤¼à¤¿à¤¸à¥à¤¤à¤¾à¤¨</t>
  </si>
  <si>
    <t>KazahsztÃ¡n</t>
  </si>
  <si>
    <t>Kazakistan</t>
  </si>
  <si>
    <t>ã‚«ã‚¶ãƒ•ã‚¹ã‚¿ãƒ³</t>
  </si>
  <si>
    <t>ì¹´ìžíìŠ¤íƒ„</t>
  </si>
  <si>
    <t>Kazachstan</t>
  </si>
  <si>
    <t>CazaquistÃ£o</t>
  </si>
  <si>
    <t>ÐšÐ°Ð·Ð°Ñ…ÑÑ‚Ð°Ð½</t>
  </si>
  <si>
    <t>Kazakstan</t>
  </si>
  <si>
    <t>Ù‚Ø§Ø²Ù‚Ø³ØªØ§Ù†</t>
  </si>
  <si>
    <t>å“ˆè¨å…‹æ–¯å¦</t>
  </si>
  <si>
    <t>å“ˆè–©å…‹</t>
  </si>
  <si>
    <t>Macao S.A.R</t>
  </si>
  <si>
    <t>MAC</t>
  </si>
  <si>
    <t>Mac.</t>
  </si>
  <si>
    <t>Macao Special Administrative Region, PRC</t>
  </si>
  <si>
    <t>Macao SAR, China</t>
  </si>
  <si>
    <t>Q14773</t>
  </si>
  <si>
    <t>Ù…Ø§ÙƒØ§Ùˆ</t>
  </si>
  <si>
    <t>à¦®à¦¾à¦•à¦¾à¦“</t>
  </si>
  <si>
    <t>Ù…Ø§Ú©Ø§Ø¦Ùˆ</t>
  </si>
  <si>
    <t>ÎœÎ±ÎºÎ¬Î¿Ï…</t>
  </si>
  <si>
    <t>×ž×§××•</t>
  </si>
  <si>
    <t>à¤®à¤•à¤¾à¤‰</t>
  </si>
  <si>
    <t>MakaÃ³</t>
  </si>
  <si>
    <t>Makau</t>
  </si>
  <si>
    <t>ãƒžã‚«ã‚ª</t>
  </si>
  <si>
    <t>ë§ˆì¹´ì˜¤</t>
  </si>
  <si>
    <t>ÐœÐ°ÐºÐ°Ð¾</t>
  </si>
  <si>
    <t>Makao</t>
  </si>
  <si>
    <t>ÐÐ¾Ð¼Ð¸Ð½ÑŒ</t>
  </si>
  <si>
    <t>Ù…Ú©Ø§Ø¤</t>
  </si>
  <si>
    <t>Ma Cao</t>
  </si>
  <si>
    <t>æ¾³é—¨</t>
  </si>
  <si>
    <t>æ¾³é–€</t>
  </si>
  <si>
    <t>MSR</t>
  </si>
  <si>
    <t>Monts.</t>
  </si>
  <si>
    <t>Q13353</t>
  </si>
  <si>
    <t>Ù…ÙˆÙ†ØªØ³Ø±Ø§Øª</t>
  </si>
  <si>
    <t>à¦®à¦¨à§à¦Ÿà¦¸à§‡à¦°à¦¾à¦Ÿ</t>
  </si>
  <si>
    <t>ÎœÎ¿Î½Ï„ÏƒÎµÏÏÎ¬Ï„</t>
  </si>
  <si>
    <t>×ž×•× ×˜×¡×¨××˜</t>
  </si>
  <si>
    <t>à¤®à¥‰à¤£à¥à¤Ÿà¤¸à¥‡à¤°à¤¾à¤Ÿ</t>
  </si>
  <si>
    <t>ãƒ¢ãƒ³ãƒˆã‚»ãƒ©ãƒˆ</t>
  </si>
  <si>
    <t>ëª¬íŠ¸ì„¸ëž«</t>
  </si>
  <si>
    <t>ÐœÐ¾Ð½Ñ‚ÑÐµÑ€Ñ€Ð°Ñ‚</t>
  </si>
  <si>
    <t>Ù…Ø§Ù†Ù¹Ø³Ø±ÛŒÙ¹</t>
  </si>
  <si>
    <t>è’™ç‰¹å¡žæ‹‰ç‰¹</t>
  </si>
  <si>
    <t>è’™å“²è‡˜</t>
  </si>
  <si>
    <t>NLD</t>
  </si>
  <si>
    <t>Kingdom of the Netherlands</t>
  </si>
  <si>
    <t>Doesn't include new former units of Netherlands Antilles (24549811, 24549808, and 24549809)</t>
  </si>
  <si>
    <t>Q55</t>
  </si>
  <si>
    <t>Ù‡ÙˆÙ„Ù†Ø¯Ø§</t>
  </si>
  <si>
    <t>à¦¨à§‡à¦¦à¦¾à¦°à¦²à§à¦¯à¦¾à¦¨à§à¦¡à¦¸</t>
  </si>
  <si>
    <t>Niederlande</t>
  </si>
  <si>
    <t>PaÃ­ses Bajos</t>
  </si>
  <si>
    <t>Ù‡Ù„Ù†Ø¯</t>
  </si>
  <si>
    <t>Pays-Bas</t>
  </si>
  <si>
    <t>ÎŸÎ»Î»Î±Î½Î´Î¯Î±</t>
  </si>
  <si>
    <t>×”×•×œ× ×“</t>
  </si>
  <si>
    <t>à¤¨à¥€à¤¦à¤°à¤²à¥ˆà¤£à¥à¤¡</t>
  </si>
  <si>
    <t>Hollandia</t>
  </si>
  <si>
    <t>Belanda</t>
  </si>
  <si>
    <t>Paesi Bassi</t>
  </si>
  <si>
    <t>ã‚ªãƒ©ãƒ³ãƒ€</t>
  </si>
  <si>
    <t>ë„¤ëœëž€ë“œ</t>
  </si>
  <si>
    <t>Nederland</t>
  </si>
  <si>
    <t>Holandia</t>
  </si>
  <si>
    <t>PaÃ­ses Baixos</t>
  </si>
  <si>
    <t>ÐÐ¸Ð´ÐµÑ€Ð»Ð°Ð½Ð´Ñ‹</t>
  </si>
  <si>
    <t>NederlÃ¤nderna</t>
  </si>
  <si>
    <t>Hollanda</t>
  </si>
  <si>
    <t>ÐÑ–Ð´ÐµÑ€Ð»Ð°Ð½Ð´Ð¸</t>
  </si>
  <si>
    <t>Ù†ÛŒØ¯Ø±Ù„ÛŒÙ†ÚˆØ²</t>
  </si>
  <si>
    <t>HÃ  Lan</t>
  </si>
  <si>
    <t>è·å…°</t>
  </si>
  <si>
    <t>è·è˜­</t>
  </si>
  <si>
    <t>NCL</t>
  </si>
  <si>
    <t>New C.</t>
  </si>
  <si>
    <t>Nouvelle-CalÃ©donie</t>
  </si>
  <si>
    <t>Q33788</t>
  </si>
  <si>
    <t>ÙƒØ§Ù„ÙŠØ¯ÙˆÙ†ÙŠØ§ Ø§Ù„Ø¬Ø¯ÙŠØ¯Ø©</t>
  </si>
  <si>
    <t>à¦¨à¦¤à§à¦¨ à¦•à§à¦¯à¦¾à¦²à¦¿à¦¡à§‹à¦¨à¦¿à¦¯à¦¼à¦¾</t>
  </si>
  <si>
    <t>Neukaledonien</t>
  </si>
  <si>
    <t>Nueva Caledonia</t>
  </si>
  <si>
    <t>Ú©Ø§Ù„Ø¯ÙˆÙ†ÛŒØ§ÛŒ Ø¬Ø¯ÛŒØ¯</t>
  </si>
  <si>
    <t>ÎÎ­Î± ÎšÎ±Î»Î·Î´Î¿Î½Î¯Î±</t>
  </si>
  <si>
    <t>×§×œ×“×•× ×™×” ×”×—×“×©×”</t>
  </si>
  <si>
    <t>à¤¨à¤¯à¤¾ à¤•à¥ˆà¤²à¥‡à¤¡à¥‹à¤¨à¤¿à¤¯à¤¾</t>
  </si>
  <si>
    <t>Ãšj-KaledÃ³nia</t>
  </si>
  <si>
    <t>Kaledonia Baru</t>
  </si>
  <si>
    <t>Nuova Caledonia</t>
  </si>
  <si>
    <t>ãƒ‹ãƒ¥ãƒ¼ã‚«ãƒ¬ãƒ‰ãƒ‹ã‚¢</t>
  </si>
  <si>
    <t>ëˆ„ë²¨ì¹¼ë ˆë„ë‹ˆ</t>
  </si>
  <si>
    <t>Nieuw-CaledoniÃ«</t>
  </si>
  <si>
    <t>Nowa Kaledonia</t>
  </si>
  <si>
    <t>Nova CaledÃ³nia</t>
  </si>
  <si>
    <t>ÐÐ¾Ð²Ð°Ñ ÐšÐ°Ð»ÐµÐ´Ð¾Ð½Ð¸Ñ</t>
  </si>
  <si>
    <t>Nya Kaledonien</t>
  </si>
  <si>
    <t>Yeni Kaledonya</t>
  </si>
  <si>
    <t>ÐÐ¾Ð²Ð° ÐšÐ°Ð»ÐµÐ´Ð¾Ð½Ñ–Ñ</t>
  </si>
  <si>
    <t>Ù†ÛŒÙˆ Ú©ÛŒÙ„ÛŒÚˆÙˆÙ†ÛŒØ§</t>
  </si>
  <si>
    <t>æ–°å–€é‡Œå¤šå°¼äºš</t>
  </si>
  <si>
    <t>æ–°å–€é‡Œå¤šå°¼äºž</t>
  </si>
  <si>
    <t>NZL</t>
  </si>
  <si>
    <t>N.Z.</t>
  </si>
  <si>
    <t>Q664</t>
  </si>
  <si>
    <t>Ù†ÙŠÙˆØ²ÙŠÙ„Ù†Ø¯Ø§</t>
  </si>
  <si>
    <t>à¦¨à¦¿à¦‰à¦œà¦¿à¦²à§à¦¯à¦¾à¦¨à§à¦¡</t>
  </si>
  <si>
    <t>Neuseeland</t>
  </si>
  <si>
    <t>Nueva Zelanda</t>
  </si>
  <si>
    <t>Ù†ÛŒÙˆØ²ÛŒÙ„Ù†Ø¯</t>
  </si>
  <si>
    <t>Nouvelle-ZÃ©lande</t>
  </si>
  <si>
    <t>ÎÎ­Î± Î–Î·Î»Î±Î½Î´Î¯Î±</t>
  </si>
  <si>
    <t>× ×™×• ×–×™×œ× ×“</t>
  </si>
  <si>
    <t>à¤¨à¥à¤¯à¥‚à¤œà¤¼à¥€à¤²à¥ˆà¤£à¥à¤¡</t>
  </si>
  <si>
    <t>Ãšj-ZÃ©land</t>
  </si>
  <si>
    <t>Selandia Baru</t>
  </si>
  <si>
    <t>Nuova Zelanda</t>
  </si>
  <si>
    <t>ãƒ‹ãƒ¥ãƒ¼ã‚¸ãƒ¼ãƒ©ãƒ³ãƒ‰</t>
  </si>
  <si>
    <t>ë‰´ì§ˆëžœë“œ</t>
  </si>
  <si>
    <t>Nieuw-Zeeland</t>
  </si>
  <si>
    <t>Nowa Zelandia</t>
  </si>
  <si>
    <t>Nova ZelÃ¢ndia</t>
  </si>
  <si>
    <t>ÐÐ¾Ð²Ð°Ñ Ð—ÐµÐ»Ð°Ð½Ð´Ð¸Ñ</t>
  </si>
  <si>
    <t>Nya Zeeland</t>
  </si>
  <si>
    <t>Yeni Zelanda</t>
  </si>
  <si>
    <t>ÐÐ¾Ð²Ð° Ð—ÐµÐ»Ð°Ð½Ð´Ñ–Ñ</t>
  </si>
  <si>
    <t>Ù†ÛŒÙˆØ²ÛŒ Ù„ÛŒÙ†Úˆ</t>
  </si>
  <si>
    <t>æ–°è¥¿å…°</t>
  </si>
  <si>
    <t>æ–°è¥¿è˜­</t>
  </si>
  <si>
    <t>NIU</t>
  </si>
  <si>
    <t>Q34020</t>
  </si>
  <si>
    <t>Ù†ÙŠÙŠÙˆÙŠ</t>
  </si>
  <si>
    <t>à¦¨à¦¿à¦‰à¦¯à¦¼à§‡</t>
  </si>
  <si>
    <t>Ù†ÛŒÙˆÙˆÛŒ</t>
  </si>
  <si>
    <t>ÎÎ¹Î¿ÏÎµ</t>
  </si>
  <si>
    <t>× ×™×•××”</t>
  </si>
  <si>
    <t>à¤¨à¤¿à¤‰à¤</t>
  </si>
  <si>
    <t>ãƒ‹ã‚¦ã‚¨</t>
  </si>
  <si>
    <t>ë‹ˆìš°ì—</t>
  </si>
  <si>
    <t>ÐÐ¸ÑƒÑ</t>
  </si>
  <si>
    <t>ÐÑ–ÑƒÐµ</t>
  </si>
  <si>
    <t>Ù†ÛŒÙˆÙˆÛ’</t>
  </si>
  <si>
    <t>çº½åŸƒ</t>
  </si>
  <si>
    <t>ç´åŸƒ</t>
  </si>
  <si>
    <t>NFK</t>
  </si>
  <si>
    <t>Nfk. I.</t>
  </si>
  <si>
    <t>Territory of Norfolk Island</t>
  </si>
  <si>
    <t>Q31057</t>
  </si>
  <si>
    <t>Ø¬Ø²ÙŠØ±Ø© Ù†ÙˆØ±ÙÙˆÙ„Ùƒ</t>
  </si>
  <si>
    <t>à¦¨à¦°à¦«à§‹à¦• à¦¦à§à¦¬à§€à¦ª</t>
  </si>
  <si>
    <t>Norfolkinsel</t>
  </si>
  <si>
    <t>Isla Norfolk</t>
  </si>
  <si>
    <t>Ø¬Ø²ÛŒØ±Ù‡ Ù†ÙˆØ±ÙÚ©</t>
  </si>
  <si>
    <t>ÃŽle Norfolk</t>
  </si>
  <si>
    <t>ÎÏŒÏÏ†Î¿Î»Îº</t>
  </si>
  <si>
    <t>× ×•×¨×¤×•×§</t>
  </si>
  <si>
    <t>à¤¨à¥‰à¤°à¥à¤«à¤¼à¥‹à¤• à¤¦à¥à¤µà¥€à¤ª</t>
  </si>
  <si>
    <t>Norfolk-sziget</t>
  </si>
  <si>
    <t>Pulau Norfolk</t>
  </si>
  <si>
    <t>Isola Norfolk</t>
  </si>
  <si>
    <t>ãƒŽãƒ¼ãƒ•ã‚©ãƒ¼ã‚¯å³¶</t>
  </si>
  <si>
    <t>ë…¸í½ì„¬</t>
  </si>
  <si>
    <t>Ilha Norfolk</t>
  </si>
  <si>
    <t>ÐÐ¾Ñ€Ñ„Ð¾Ð»Ðº</t>
  </si>
  <si>
    <t>NorfolkÃ¶n</t>
  </si>
  <si>
    <t>Norfolk AdasÄ±</t>
  </si>
  <si>
    <t>Ð¾ÑÑ‚Ñ€Ñ–Ð² ÐÐ¾Ñ€Ñ„Ð¾Ð»Ðº</t>
  </si>
  <si>
    <t>Ø¬Ø²ÛŒØ±Û Ù†Ø§Ø±ÙÙˆÙ„Ú©</t>
  </si>
  <si>
    <t>Äáº£o Norfolk</t>
  </si>
  <si>
    <t>è¯ºç¦å…‹å²›</t>
  </si>
  <si>
    <t>è«¾ç¦å…‹å³¶</t>
  </si>
  <si>
    <t>MNP</t>
  </si>
  <si>
    <t>N. Mariana Is.</t>
  </si>
  <si>
    <t>N.M.I.</t>
  </si>
  <si>
    <t>Commonwealth of the Northern Mariana Islands</t>
  </si>
  <si>
    <t>CQ</t>
  </si>
  <si>
    <t>Q16644</t>
  </si>
  <si>
    <t>Ø¬Ø²Ø± Ù…Ø§Ø±ÙŠØ§Ù†Ø§ Ø§Ù„Ø´Ù…Ø§Ù„ÙŠØ©</t>
  </si>
  <si>
    <t>à¦‰à¦¤à§à¦¤à¦° à¦®à¦¾à¦°à¦¿à¦¯à¦¼à¦¾à¦¨à¦¾ à¦¦à§à¦¬à§€à¦ªà¦ªà§à¦žà§à¦œ</t>
  </si>
  <si>
    <t>NÃ¶rdliche Marianen</t>
  </si>
  <si>
    <t>Islas Marianas del Norte</t>
  </si>
  <si>
    <t>Ø¬Ø²Ø§ÛŒØ± Ù…Ø§Ø±ÛŒØ§Ù†Ø§ÛŒ Ø´Ù…Ø§Ù„ÛŒ</t>
  </si>
  <si>
    <t>Ã®les Mariannes du Nord</t>
  </si>
  <si>
    <t>Î’ÏŒÏÎµÎ¹ÎµÏ‚ ÎœÎ±ÏÎ¹Î¬Î½ÎµÏ‚ ÎÎ®ÏƒÎ¿Î¹</t>
  </si>
  <si>
    <t>××™×™ ×ž×¨×™×× ×” ×”×¦×¤×•× ×™×™×</t>
  </si>
  <si>
    <t>à¤‰à¤¤à¥à¤¤à¤°à¥€ à¤®à¤¾à¤°à¤¿à¤¯à¤¾à¤¨à¤¾ à¤¦à¥à¤µà¥€à¤ª</t>
  </si>
  <si>
    <t>Ã‰szaki-Mariana-szigetek</t>
  </si>
  <si>
    <t>Kepulauan Mariana Utara</t>
  </si>
  <si>
    <t>Isole Marianne Settentrionali</t>
  </si>
  <si>
    <t>åŒ—ãƒžãƒªã‚¢ãƒŠè«¸å³¶</t>
  </si>
  <si>
    <t>ë¶ë§ˆë¦¬ì•„ë‚˜ ì œë„</t>
  </si>
  <si>
    <t>Noordelijke Marianen</t>
  </si>
  <si>
    <t>Mariany PÃ³Å‚nocne</t>
  </si>
  <si>
    <t>Ilhas Marianas do Norte</t>
  </si>
  <si>
    <t>Ð¡ÐµÐ²ÐµÑ€Ð½Ñ‹Ðµ ÐœÐ°Ñ€Ð¸Ð°Ð½ÑÐºÐ¸Ðµ Ð¾ÑÑ‚Ñ€Ð¾Ð²Ð°</t>
  </si>
  <si>
    <t>Nordmarianerna</t>
  </si>
  <si>
    <t>Kuzey Mariana AdalarÄ±</t>
  </si>
  <si>
    <t>ÐŸÑ–Ð²Ð½Ñ–Ñ‡Ð½Ñ– ÐœÐ°Ñ€Ñ–Ð°Ð½ÑÑŒÐºÑ– Ð¾ÑÑ‚Ñ€Ð¾Ð²Ð¸</t>
  </si>
  <si>
    <t>Ø¬Ø²Ø§Ø¦Ø± Ø´Ù…Ø§Ù„ÛŒ Ù…Ø§Ø±ÛŒØ§Ù†Ø§</t>
  </si>
  <si>
    <t>Quáº§n Ä‘áº£o Báº¯c Mariana</t>
  </si>
  <si>
    <t>åŒ—é©¬é‡Œäºšçº³ç¾¤å²›</t>
  </si>
  <si>
    <t>åŒ—é¦¬é‡Œäºžç´ç¾¤å³¶</t>
  </si>
  <si>
    <t>Palestine</t>
  </si>
  <si>
    <t>Pal.</t>
  </si>
  <si>
    <t>PAL</t>
  </si>
  <si>
    <t>West Bank and Gaza</t>
  </si>
  <si>
    <t>Partial self-admin.</t>
  </si>
  <si>
    <t>Palestine (West Bank and Gaza)</t>
  </si>
  <si>
    <t>PSE</t>
  </si>
  <si>
    <t>GZ</t>
  </si>
  <si>
    <t>WBG</t>
  </si>
  <si>
    <t>Q23792</t>
  </si>
  <si>
    <t>ÙÙ„Ø³Ø·ÙŠÙ†</t>
  </si>
  <si>
    <t>à¦«à¦¿à¦²à¦¿à¦¸à§à¦¤à¦¿à¦¨ à¦…à¦žà§à¦šà¦²</t>
  </si>
  <si>
    <t>PalÃ¤stina</t>
  </si>
  <si>
    <t>Palestina</t>
  </si>
  <si>
    <t>ÙÙ„Ø³Ø·ÛŒÙ†</t>
  </si>
  <si>
    <t>Î Î±Î»Î±Î¹ÏƒÏ„Î¯Î½Î·</t>
  </si>
  <si>
    <t>××¨×¥ ×™×©×¨××œ</t>
  </si>
  <si>
    <t>à¤«à¤¼à¤¿à¤²à¤¿à¤¸à¥à¤¤à¥€à¤¨à¥€ à¤°à¤¾à¤œà¥à¤¯à¤•à¥à¤·à¥‡à¤¤à¥à¤°</t>
  </si>
  <si>
    <t>Palesztina</t>
  </si>
  <si>
    <t>ãƒ‘ãƒ¬ã‚¹ãƒãƒŠ</t>
  </si>
  <si>
    <t>íŒ”ë ˆìŠ¤íƒ€ì¸</t>
  </si>
  <si>
    <t>Palestyna</t>
  </si>
  <si>
    <t>ÐŸÐ°Ð»ÐµÑÑ‚Ð¸Ð½Ð°</t>
  </si>
  <si>
    <t>Filistin</t>
  </si>
  <si>
    <t>å·´å‹’æ–¯å¦</t>
  </si>
  <si>
    <t>å·´å‹’æ–¯å¦åœ°å€</t>
  </si>
  <si>
    <t>Pitcairn Islands</t>
  </si>
  <si>
    <t>PCN</t>
  </si>
  <si>
    <t>Pitcairn Is.</t>
  </si>
  <si>
    <t>Pit. Is.</t>
  </si>
  <si>
    <t>Pitcairn, Henderson, Ducie and Oeno Islands</t>
  </si>
  <si>
    <t>PC</t>
  </si>
  <si>
    <t>Q35672</t>
  </si>
  <si>
    <t>Ø¬Ø²Ø± Ø¨ÙŠØªÙƒÙŠØ±Ù†</t>
  </si>
  <si>
    <t>à¦ªà§€à¦Ÿà¦•à§‡à¦¯à¦¼à¦¾à¦°à§à¦¨ à¦¦à§à¦¬à§€à¦ªà¦ªà§à¦žà§à¦œ</t>
  </si>
  <si>
    <t>Pitcairninseln</t>
  </si>
  <si>
    <t>Islas Pitcairn</t>
  </si>
  <si>
    <t>Ø¬Ø²Ø§ÛŒØ± Ù¾ÛŒØªÚ©Ø±Ù†</t>
  </si>
  <si>
    <t>Iles Pitcairn</t>
  </si>
  <si>
    <t>ÎÎ®ÏƒÎ¿Î¹ Î Î¯Ï„ÎºÎµÏÎ½</t>
  </si>
  <si>
    <t>×¤×™×˜×§×¨×Ÿ</t>
  </si>
  <si>
    <t>à¤ªà¤¿à¤Ÿà¤•à¥‡à¤°à¥à¤¨ à¤¦à¥à¤µà¥€à¤ªà¤¸à¤®à¥‚à¤¹</t>
  </si>
  <si>
    <t>Pitcairn-szigetek</t>
  </si>
  <si>
    <t>Kepulauan Pitcairn</t>
  </si>
  <si>
    <t>Isole Pitcairn</t>
  </si>
  <si>
    <t>ãƒ”ãƒˆã‚±ã‚¢ãƒ³è«¸å³¶</t>
  </si>
  <si>
    <t>í•ì¼€ì–¸ ì œë„</t>
  </si>
  <si>
    <t>Pitcairneilanden</t>
  </si>
  <si>
    <t>Ilhas Pitcairn</t>
  </si>
  <si>
    <t>ÐžÑÑ‚Ñ€Ð¾Ð²Ð° ÐŸÐ¸Ñ‚ÐºÑÑ€Ð½</t>
  </si>
  <si>
    <t>PitcairnÃ¶arna</t>
  </si>
  <si>
    <t>Pitcairn AdalarÄ±</t>
  </si>
  <si>
    <t>ÐŸÑ–Ñ‚ÐºÐµÑ€Ð½</t>
  </si>
  <si>
    <t>Ø¬Ø²Ø§Ø¦Ø± Ù¾Ù¹Ú©ÛŒØ±Ù†</t>
  </si>
  <si>
    <t>Quáº§n Ä‘áº£o Pitcairn</t>
  </si>
  <si>
    <t>çš®ç‰¹å‡¯æ©ç¾¤å²›</t>
  </si>
  <si>
    <t>çš®ç‰¹è‚¯ç¾¤å³¶</t>
  </si>
  <si>
    <t>PRI</t>
  </si>
  <si>
    <t>P.R.</t>
  </si>
  <si>
    <t>Commonwealth of Puerto Rico</t>
  </si>
  <si>
    <t>RQ</t>
  </si>
  <si>
    <t>Q1183</t>
  </si>
  <si>
    <t>Ø¨ÙˆØ±ØªÙˆØ±ÙŠÙƒÙˆ</t>
  </si>
  <si>
    <t>à¦ªà§à¦¯à¦¼à§‡à¦°à§à¦¤à§‹ à¦°à¦¿à¦•à§‹</t>
  </si>
  <si>
    <t>Ù¾ÙˆØ±ØªÙˆØ±ÛŒÚ©Ùˆ</t>
  </si>
  <si>
    <t>Porto Rico</t>
  </si>
  <si>
    <t>Î Î¿Ï…Î­ÏÏ„Î¿ Î¡Î¯ÎºÎ¿</t>
  </si>
  <si>
    <t>×¤×•××¨×˜×• ×¨×™×§×•</t>
  </si>
  <si>
    <t>à¤ªà¥‹à¤°à¥à¤Ÿà¥‹ à¤°à¥€à¤•à¥‹</t>
  </si>
  <si>
    <t>Puerto Riko</t>
  </si>
  <si>
    <t>ãƒ—ã‚¨ãƒ«ãƒˆãƒªã‚³</t>
  </si>
  <si>
    <t>í‘¸ì—ë¥´í† ë¦¬ì½”</t>
  </si>
  <si>
    <t>Portoryko</t>
  </si>
  <si>
    <t>ÐŸÑƒÑÑ€Ñ‚Ð¾-Ð Ð¸ÐºÐ¾</t>
  </si>
  <si>
    <t>Porto Riko</t>
  </si>
  <si>
    <t>ÐŸÑƒÐµÑ€Ñ‚Ð¾-Ð Ð¸ÐºÐ¾</t>
  </si>
  <si>
    <t>Ù¾ÙˆØ±Ù¹Ùˆ Ø±ÛŒÚ©Ùˆ</t>
  </si>
  <si>
    <t>æ³¢å¤šé»Žå„</t>
  </si>
  <si>
    <t>BLM</t>
  </si>
  <si>
    <t>St-BarthÃ©lemy</t>
  </si>
  <si>
    <t>Saint-BarthÃ©lemy</t>
  </si>
  <si>
    <t>St. B.</t>
  </si>
  <si>
    <t>TB</t>
  </si>
  <si>
    <t>Q25362</t>
  </si>
  <si>
    <t>Ø³Ø§Ù† Ø¨Ø§Ø±ØªÙŠÙ„Ù…ÙŠ</t>
  </si>
  <si>
    <t>à¦¸à§‡à¦¨à§à¦Ÿ-à¦¬à¦¾à¦°à§à¦¥à§‡à¦²à§‡à¦®à¦¿</t>
  </si>
  <si>
    <t>Saint BarthÃ©lemy</t>
  </si>
  <si>
    <t>San BartolomÃ©</t>
  </si>
  <si>
    <t>Ø³Ù†Øª Ø¨Ø§Ø±Ø«Ù„Ù…ÛŒ</t>
  </si>
  <si>
    <t>Î†Î³Î¹Î¿Ï‚ Î’Î±ÏÎ¸Î¿Î»Î¿Î¼Î±Î¯Î¿Ï‚</t>
  </si>
  <si>
    <t>×¡×Ÿ ×‘×¨×ª×œ×ž×™</t>
  </si>
  <si>
    <t>à¤¸à¥‡à¤‚à¤Ÿ à¤¬à¤¾à¤°à¥à¤¥à¥‡à¤²à¥‡à¤®à¥€</t>
  </si>
  <si>
    <t>ã‚µãƒ³ãƒ»ãƒãƒ«ãƒ†ãƒ«ãƒŸãƒ¼å³¶</t>
  </si>
  <si>
    <t>ìƒë°”ë¥´í…”ë ˆë¯¸</t>
  </si>
  <si>
    <t>Coletividade de SÃ£o Bartolomeu</t>
  </si>
  <si>
    <t>Ð¡ÐµÐ½-Ð‘Ð°Ñ€Ñ‚ÐµÐ»ÐµÐ¼Ð¸</t>
  </si>
  <si>
    <t>Ð¡ÐµÐ½-Ð‘Ð°Ñ€Ñ‚ÐµÐ»ÑŒÐ¼Ñ–</t>
  </si>
  <si>
    <t>Ø³ÛŒÙ†Ù¹ Ø¨Ø§Ø±ØªÚ¾ÛŒÙ…Ù„Û’</t>
  </si>
  <si>
    <t>åœ£å·´æ³°å‹’ç±³</t>
  </si>
  <si>
    <t>è–å·´ç‘Ÿç±³</t>
  </si>
  <si>
    <t>SHN</t>
  </si>
  <si>
    <t>St.H.</t>
  </si>
  <si>
    <t>Saint Helena, Ascension, and Tristan da Cunha</t>
  </si>
  <si>
    <t>St. Helena</t>
  </si>
  <si>
    <t>Q34497</t>
  </si>
  <si>
    <t>Ø³Ø§Ù†Øª Ù‡ÙŠÙ„ÙŠÙ†Ø§</t>
  </si>
  <si>
    <t>à¦¸à§‡à¦¨à§à¦Ÿ à¦¹à§‡à¦²à§‡à¦¨à¦¾</t>
  </si>
  <si>
    <t>Isla Santa Elena</t>
  </si>
  <si>
    <t>Ø³ÛŒÙ†Øª Ù‡Ù„ÛŒÙ†Ø§</t>
  </si>
  <si>
    <t>Sainte-HÃ©lÃ¨ne</t>
  </si>
  <si>
    <t>ÎÎ®ÏƒÎ¿Ï‚ Î‘Î³Î¯Î±Ï‚ Î•Î»Î­Î½Î·Ï‚</t>
  </si>
  <si>
    <t>×¡× ×˜ ×”×œ× ×”</t>
  </si>
  <si>
    <t>à¤¸à¤¨à¥à¤¤ à¤¹à¥‡à¤²à¥‡à¤¨à¤¾</t>
  </si>
  <si>
    <t>Szent Ilona</t>
  </si>
  <si>
    <t>Sant'Elena</t>
  </si>
  <si>
    <t>ã‚»ãƒ³ãƒˆãƒ˜ãƒ¬ãƒŠ</t>
  </si>
  <si>
    <t>ì„¸ì¸íŠ¸í—¬ë ˆë‚˜</t>
  </si>
  <si>
    <t>Sint-Helena</t>
  </si>
  <si>
    <t>Wyspa ÅšwiÄ™tej Heleny</t>
  </si>
  <si>
    <t>Santa Helena</t>
  </si>
  <si>
    <t>ÐžÑÑ‚Ñ€Ð¾Ð² Ð¡Ð²ÑÑ‚Ð¾Ð¹ Ð•Ð»ÐµÐ½Ñ‹</t>
  </si>
  <si>
    <t>Sankta Helena</t>
  </si>
  <si>
    <t>ÐžÑÑ‚Ñ€Ñ–Ð² Ð¡Ð²ÑÑ‚Ð¾Ñ— Ð„Ð»ÐµÐ½Ð¸</t>
  </si>
  <si>
    <t>Ø³ÛŒÙ†Ù¹ ÛÙ„ÛŒÙ†Ø§</t>
  </si>
  <si>
    <t>åœ£èµ«å‹’æ‹¿</t>
  </si>
  <si>
    <t>è–èµ«å‹’æ‹¿</t>
  </si>
  <si>
    <t>Saint Martin</t>
  </si>
  <si>
    <t>MAF</t>
  </si>
  <si>
    <t>Saint-Martin</t>
  </si>
  <si>
    <t>St. M.</t>
  </si>
  <si>
    <t>Saint-Martin (French part)</t>
  </si>
  <si>
    <t>St. Martin (French part)</t>
  </si>
  <si>
    <t>RN</t>
  </si>
  <si>
    <t>Q126125</t>
  </si>
  <si>
    <t>ØªØ¬Ù…Ø¹ Ø³Ø§Ù† Ù…Ø§Ø±ØªÙŠÙ†</t>
  </si>
  <si>
    <t>à¦¸à§‡à¦¨à§à¦Ÿ-à¦®à¦¾à¦°à§à¦Ÿà¦¿à¦¨</t>
  </si>
  <si>
    <t>San MartÃ­n</t>
  </si>
  <si>
    <t>Ø³Ù†Øª Ù…Ø§Ø±ØªÛŒÙ† ÙØ±Ø§Ù†Ø³Ù‡</t>
  </si>
  <si>
    <t>Î†Î³Î¹Î¿Ï‚ ÎœÎ±ÏÏ„Î¯Î½Î¿Ï‚</t>
  </si>
  <si>
    <t>×¡×Ÿ ×ž×¨×˜×Ÿ</t>
  </si>
  <si>
    <t>à¤¸à¥‡à¤‚à¤Ÿ à¤®à¤¾à¤°à¥à¤Ÿà¤¿à¤¨ à¤•à¥€ à¤¸à¤¾à¤®à¥‚à¤¹à¤¿à¤•à¤¤à¤¾</t>
  </si>
  <si>
    <t>ã‚µãƒ³ãƒ»ãƒžãƒ«ã‚¿ãƒ³</t>
  </si>
  <si>
    <t>ìƒë§ˆë¥´íƒ±</t>
  </si>
  <si>
    <t>Sint-Maarten</t>
  </si>
  <si>
    <t>SÃ£o Martinho</t>
  </si>
  <si>
    <t>Ð¡ÐµÐ½-ÐœÐ°Ñ€Ñ‚ÐµÐ½</t>
  </si>
  <si>
    <t>Ø³ÛŒÙ†Ù¹ Ù…Ø§Ø±Ù¹Ù†</t>
  </si>
  <si>
    <t>æ³•å±žåœ£é©¬ä¸</t>
  </si>
  <si>
    <t>æ³•å±¬è–é¦¬ä¸</t>
  </si>
  <si>
    <t>SPM</t>
  </si>
  <si>
    <t>St. Pierre and Miquelon</t>
  </si>
  <si>
    <t>St. P.M.</t>
  </si>
  <si>
    <t>Q34617</t>
  </si>
  <si>
    <t>Ø³Ø§Ù† Ø¨ÙŠÙŠØ± ÙˆÙ…ÙŠÙƒÙ„ÙˆÙ†</t>
  </si>
  <si>
    <t>à¦¸à¦¾à¦ à¦ªà¦¿à¦¯à¦¼à§‡à¦° à¦“ à¦®à¦¿à¦•à¦²à§‹à¦</t>
  </si>
  <si>
    <t>Saint-Pierre und Miquelon</t>
  </si>
  <si>
    <t>San Pedro y MiquelÃ³n</t>
  </si>
  <si>
    <t>Ø³Ù† Ù¾ÛŒØ± Ùˆ Ù…ÛŒÚ©Ù„Ù†</t>
  </si>
  <si>
    <t>Î£Î±Î¹Î½-Î Î¹ÎµÏ ÎºÎ±Î¹ ÎœÎ¹ÎºÎµÎ»ÏŒÎ½</t>
  </si>
  <si>
    <t>×¡×Ÿ-×¤×™×™×¨ ×•×ž×™×§×œ×•×Ÿ</t>
  </si>
  <si>
    <t>à¤¸à¤¨à¥à¤¤ à¤ªà¤¿à¤¯à¤° à¤”à¤° à¤®à¤¿à¤•à¤²à¤¾à¤¨</t>
  </si>
  <si>
    <t>Saint-Pierre Ã©s Miquelon</t>
  </si>
  <si>
    <t>Saint Pierre dan Miquelon</t>
  </si>
  <si>
    <t>Saint-Pierre e Miquelon</t>
  </si>
  <si>
    <t>ã‚µãƒ³ãƒ”ã‚¨ãƒ¼ãƒ«å³¶ãƒ»ãƒŸã‚¯ãƒ­ãƒ³å³¶</t>
  </si>
  <si>
    <t>ìƒí”¼ì—ë¥´ ë¯¸í´ë¡±</t>
  </si>
  <si>
    <t>Saint-Pierre en Miquelon</t>
  </si>
  <si>
    <t>Saint-Pierre i Miquelon</t>
  </si>
  <si>
    <t>Ð¡ÐµÐ½-ÐŸÑŒÐµÑ€ Ð¸ ÐœÐ¸ÐºÐµÐ»Ð¾Ð½</t>
  </si>
  <si>
    <t>Saint-Pierre och Miquelon</t>
  </si>
  <si>
    <t>Saint Pierre ve Miquelon</t>
  </si>
  <si>
    <t>Ð¡ÐµÐ½-ÐŸ'Ñ”Ñ€ Ñ– ÐœÑ–ÐºÐµÐ»Ð¾Ð½</t>
  </si>
  <si>
    <t>Ø³ÛŒÙ†Ù¹ Ù¾ÛŒØ¦Ø± Ùˆ Ù…ÛŒÚ©ÛŒÙ„ÙˆÙ†</t>
  </si>
  <si>
    <t>Saint-Pierre vÃ  Miquelon</t>
  </si>
  <si>
    <t>åœ£çš®åŸƒå°”å’Œå¯†å…‹éš†</t>
  </si>
  <si>
    <t>è–çš®åŸƒèˆ‡å¯†å…‹éš†ç¾¤å³¶</t>
  </si>
  <si>
    <t>SXM</t>
  </si>
  <si>
    <t>St. Maarten (Dutch part)</t>
  </si>
  <si>
    <t>Q26273</t>
  </si>
  <si>
    <t>Ø³ÙŠÙ†Øª Ù…Ø§Ø±ØªÙ†</t>
  </si>
  <si>
    <t>à¦¸à¦¿à¦¨à§à¦Ÿ à¦®à¦¾à¦°à§à¦Ÿà§‡à¦¨</t>
  </si>
  <si>
    <t>Ø³ÛŒÙ†Øª Ù…Ø§Ø±ØªÙ†</t>
  </si>
  <si>
    <t>×¡× ×˜ ×ž××¨×˜×Ÿ</t>
  </si>
  <si>
    <t>à¤¸à¤¿à¤‚à¤Ÿ à¤®à¤¾à¤°à¥à¤Ÿà¥‡à¤¨</t>
  </si>
  <si>
    <t>ã‚·ãƒ³ãƒˆãƒ»ãƒžãƒ¼ãƒ«ãƒ†ãƒ³</t>
  </si>
  <si>
    <t>ì‹ íŠ¸ë§ˆë¥´í„´</t>
  </si>
  <si>
    <t>Ð¡Ð¸Ð½Ñ‚-ÐœÐ°Ñ€Ñ‚ÐµÐ½</t>
  </si>
  <si>
    <t>Ð¡Ñ–Ð½Ñ‚-ÐœÐ°Ñ€Ñ‚ÐµÐ½</t>
  </si>
  <si>
    <t>Ø³Ù†Ù¹ Ù…Ø§Ø±Ù¹Ù†</t>
  </si>
  <si>
    <t>è·å±žåœ£é©¬ä¸</t>
  </si>
  <si>
    <t>è·å±¬è–é¦¬ä¸</t>
  </si>
  <si>
    <t>South Georgia and the Islands</t>
  </si>
  <si>
    <t>SGS</t>
  </si>
  <si>
    <t>S. Geo. and the Is.</t>
  </si>
  <si>
    <t>S.G. &amp; Is.</t>
  </si>
  <si>
    <t>Q35086</t>
  </si>
  <si>
    <t>Ø¬ÙˆØ±Ø¬ÙŠØ§ Ø§Ù„Ø¬Ù†ÙˆØ¨ÙŠØ© ÙˆØ¬Ø²Ø± Ø³Ø§Ù†Ø¯ÙˆÙŠØªØ´ Ø§Ù„Ø¬Ù†ÙˆØ¨ÙŠØ©</t>
  </si>
  <si>
    <t>à¦¦à¦•à§à¦·à¦¿à¦£ à¦œà¦°à§à¦œà¦¿à¦¯à¦¼à¦¾ à¦“ à¦¦à¦•à§à¦·à¦¿à¦£ à¦¸à§à¦¯à¦¨à§à¦¡à¦‰à¦‡à¦š à¦¦à§à¦¬à§€à¦ªà¦ªà§à¦žà§à¦œ</t>
  </si>
  <si>
    <t>SÃ¼dgeorgien und die SÃ¼dlichen Sandwichinseln</t>
  </si>
  <si>
    <t>Islas Georgias del Sur y Sandwich del Sur</t>
  </si>
  <si>
    <t>Ø¬Ø²Ø§ÛŒØ± Ø¬ÙˆØ±Ø¬ÛŒØ§ÛŒ Ø¬Ù†ÙˆØ¨ÛŒ Ùˆ Ø³Ø§Ù†Ø¯ÙˆÛŒÚ† Ø¬Ù†ÙˆØ¨ÛŒ</t>
  </si>
  <si>
    <t>GÃ©orgie du Sud-et-les ÃŽles Sandwich du Sud</t>
  </si>
  <si>
    <t>ÎÎ®ÏƒÎ¿Î¹ ÎÏŒÏ„Î¹Î± Î“ÎµÏ‰ÏÎ³Î¯Î± ÎºÎ±Î¹ ÎÏŒÏ„Î¹ÎµÏ‚ Î£Î¬Î½Ï„Î¿Ï…Î¹Ï„Ï‚</t>
  </si>
  <si>
    <t>××™×™ ×’'×•×¨×’'×™×” ×”×“×¨×•×ž×™×ª ×•××™×™ ×¡× ×“×•×•×™×¥' ×”×“×¨×•×ž×™×™×</t>
  </si>
  <si>
    <t>à¤¦à¤•à¥à¤·à¤¿à¤£ à¤œà¥‰à¤°à¥à¤œà¤¿à¤¯à¤¾ à¤à¤µà¤‚ à¤¦à¤•à¥à¤·à¤¿à¤£ à¤¸à¥ˆà¤‚à¤¡à¤µà¤¿à¤š à¤¦à¥à¤µà¥€à¤ª à¤¸à¤®à¥‚à¤¹</t>
  </si>
  <si>
    <t>DÃ©li-Georgia Ã©s DÃ©li-Sandwich-szigetek</t>
  </si>
  <si>
    <t>Georgia Selatan dan Kepulauan Sandwich Selatan</t>
  </si>
  <si>
    <t>Georgia del Sud e isole Sandwich meridionali</t>
  </si>
  <si>
    <t>ã‚µã‚¦ã‚¹ã‚¸ãƒ§ãƒ¼ã‚¸ã‚¢ãƒ»ã‚µã‚¦ã‚¹ã‚µãƒ³ãƒ‰ã‚¦ã‚£ãƒƒãƒè«¸å³¶</t>
  </si>
  <si>
    <t>ì‚¬ìš°ìŠ¤ì¡°ì§€ì•„ ì‚¬ìš°ìŠ¤ìƒŒë“œìœ„ì¹˜ ì œë„</t>
  </si>
  <si>
    <t>Zuid-Georgia en de Zuidelijke Sandwicheilanden</t>
  </si>
  <si>
    <t>Georgia PoÅ‚udniowa i Sandwich PoÅ‚udniowy</t>
  </si>
  <si>
    <t>Ilhas GeÃ³rgia do Sul e Sandwich do Sul</t>
  </si>
  <si>
    <t>Ð®Ð¶Ð½Ð°Ñ Ð“ÐµÐ¾Ñ€Ð³Ð¸Ñ Ð¸ Ð®Ð¶Ð½Ñ‹Ðµ Ð¡Ð°Ð½Ð´Ð²Ð¸Ñ‡ÐµÐ²Ñ‹ Ð¾ÑÑ‚Ñ€Ð¾Ð²Ð°</t>
  </si>
  <si>
    <t>Sydgeorgien och SydsandwichÃ¶arna</t>
  </si>
  <si>
    <t>GÃ¼ney Georgia ve GÃ¼ney Sandwich AdalarÄ±</t>
  </si>
  <si>
    <t>ÐŸÑ–Ð²Ð´ÐµÐ½Ð½Ð° Ð”Ð¶Ð¾Ñ€Ð´Ð¶Ñ–Ñ Ñ‚Ð° ÐŸÑ–Ð²Ð´ÐµÐ½Ð½Ñ– Ð¡Ð°Ð½Ð´Ð²Ñ–Ñ‡ÐµÐ²Ñ– Ð¾ÑÑ‚Ñ€Ð¾Ð²Ð¸</t>
  </si>
  <si>
    <t>Ø¬Ù†ÙˆØ¨ÛŒ Ø¬Ø§Ø±Ø¬ÛŒØ§ Ùˆ Ø¬Ø²Ø§Ø¦Ø± Ø¬Ù†ÙˆØ¨ÛŒ Ø³ÛŒÙ†ÚˆÙˆÚ†</t>
  </si>
  <si>
    <t>Nam Georgia vÃ  Quáº§n Ä‘áº£o Nam Sandwich</t>
  </si>
  <si>
    <t>å—ä¹”æ²»äºšå’Œå—æ¡‘å¨å¥‡ç¾¤å²›</t>
  </si>
  <si>
    <t>å—å–¬æ²»äºžèˆ‡å—æ¡‘å¨å¥‡</t>
  </si>
  <si>
    <t>United Republic of Tanzania</t>
  </si>
  <si>
    <t>TZA</t>
  </si>
  <si>
    <t>Tanz.</t>
  </si>
  <si>
    <t>Q924</t>
  </si>
  <si>
    <t>ØªÙ†Ø²Ø§Ù†ÙŠØ§</t>
  </si>
  <si>
    <t>à¦¤à¦¾à¦¨à¦œà¦¾à¦¨à¦¿à¦¯à¦¼à¦¾</t>
  </si>
  <si>
    <t>Tansania</t>
  </si>
  <si>
    <t>ØªØ§Ù†Ø²Ø§Ù†ÛŒØ§</t>
  </si>
  <si>
    <t>Tanzanie</t>
  </si>
  <si>
    <t>Î¤Î±Î½Î¶Î±Î½Î¯Î±</t>
  </si>
  <si>
    <t>×˜× ×–× ×™×”</t>
  </si>
  <si>
    <t>à¤¤à¤‚à¤œà¤¼à¤¾à¤¨à¤¿à¤¯à¤¾</t>
  </si>
  <si>
    <t>TanzÃ¡nia</t>
  </si>
  <si>
    <t>ã‚¿ãƒ³ã‚¶ãƒ‹ã‚¢</t>
  </si>
  <si>
    <t>íƒ„ìžë‹ˆì•„</t>
  </si>
  <si>
    <t>TanzÃ¢nia</t>
  </si>
  <si>
    <t>Ð¢Ð°Ð½Ð·Ð°Ð½Ð¸Ñ</t>
  </si>
  <si>
    <t>Tanzanya</t>
  </si>
  <si>
    <t>Ð¢Ð°Ð½Ð·Ð°Ð½Ñ–Ñ</t>
  </si>
  <si>
    <t>ØªÙ†Ø²Ø§Ù†ÛŒÛ</t>
  </si>
  <si>
    <t>å¦æ¡‘å°¼äºš</t>
  </si>
  <si>
    <t>å¦å°šå°¼äºž</t>
  </si>
  <si>
    <t>TCA</t>
  </si>
  <si>
    <t>Turks and Caicos Is.</t>
  </si>
  <si>
    <t>T.C. Is.</t>
  </si>
  <si>
    <t>Q18221</t>
  </si>
  <si>
    <t>Ø¬Ø²Ø± ØªÙˆØ±ÙƒØ³ ÙˆÙƒØ§ÙŠÙƒÙˆØ³</t>
  </si>
  <si>
    <t>à¦Ÿà¦¾à¦°à§à¦•à¦¸ à¦“ à¦•à§‡à¦‡à¦•à§‹à¦¸ à¦¦à§à¦¬à§€à¦ªà¦ªà§à¦žà§à¦œ</t>
  </si>
  <si>
    <t>Turks- und Caicosinseln</t>
  </si>
  <si>
    <t>Islas Turcas y Caicos</t>
  </si>
  <si>
    <t>Ø¬Ø²Ø§ÛŒØ± ØªÙˆØ±Ú©Ø³ Ùˆ Ú©Ø§ÛŒÚ©ÙˆØ³</t>
  </si>
  <si>
    <t>Ã®les Turques-et-CaÃ¯ques</t>
  </si>
  <si>
    <t>Î¤ÎµÏÎº ÎºÎ±Î¹ ÎšÎ¬Î¹ÎºÎ¿Ï‚</t>
  </si>
  <si>
    <t>××™×™ ×˜×¨×§×¡ ×•×§×™×™×§×•×¡</t>
  </si>
  <si>
    <t>à¤¤à¥à¤°à¥à¤• à¤”à¤° à¤•à¥‡à¤•à¥‹à¤¸ à¤¦à¥à¤µà¥€à¤ªà¤¸à¤®à¥‚à¤¹</t>
  </si>
  <si>
    <t>Turks- Ã©s Caicos-szigetek</t>
  </si>
  <si>
    <t>Kepulauan Turks dan Caicos</t>
  </si>
  <si>
    <t>Turks e Caicos</t>
  </si>
  <si>
    <t>ã‚¿ãƒ¼ã‚¯ã‚¹ãƒ»ã‚«ã‚¤ã‚³ã‚¹è«¸å³¶</t>
  </si>
  <si>
    <t>í„°í¬ìŠ¤ ì¼€ì´ì»¤ìŠ¤ ì œë„</t>
  </si>
  <si>
    <t>Turks- en Caicoseilanden</t>
  </si>
  <si>
    <t>Turks i Caicos</t>
  </si>
  <si>
    <t>Ð¢Ñ‘Ñ€ÐºÑ Ð¸ ÐšÐ°Ð¹ÐºÐ¾Ñ</t>
  </si>
  <si>
    <t>Turks- och CaicosÃ¶arna</t>
  </si>
  <si>
    <t>Turks ve Caicos AdalarÄ±</t>
  </si>
  <si>
    <t>ÐžÑÑ‚Ñ€Ð¾Ð²Ð¸ Ð¢ÐµÑ€ÐºÑ Ñ– ÐšÐ°Ð¹ÐºÐ¾Ñ</t>
  </si>
  <si>
    <t>Ø¬Ø²Ø§Ø¦Ø± Ú©ÛŒÚ©Ø³ Ùˆ ØªØ±Ú©ÛŒÛ</t>
  </si>
  <si>
    <t>Quáº§n Ä‘áº£o Turks vÃ  Caicos</t>
  </si>
  <si>
    <t>ç‰¹å…‹æ–¯å’Œå‡¯ç§‘æ–¯ç¾¤å²›</t>
  </si>
  <si>
    <t>åœŸå…‹å‡±å¯ç¾¤å³¶</t>
  </si>
  <si>
    <t>GBR</t>
  </si>
  <si>
    <t>United Kingdom of Great Britain and Northern Ireland</t>
  </si>
  <si>
    <t>UK</t>
  </si>
  <si>
    <t>Eh ID includes Channel Islands and Isle of Man. UK constituent countries of England (24554868), Wales (12578049), Scotland (12578048), and Northern Ireland (20070563).</t>
  </si>
  <si>
    <t>Q145</t>
  </si>
  <si>
    <t>Ø§Ù„Ù…Ù…Ù„ÙƒØ© Ø§Ù„Ù…ØªØ­Ø¯Ø©</t>
  </si>
  <si>
    <t>à¦¯à§à¦•à§à¦¤à¦°à¦¾à¦œà§à¦¯</t>
  </si>
  <si>
    <t>Vereinigtes KÃ¶nigreich</t>
  </si>
  <si>
    <t>Reino Unido</t>
  </si>
  <si>
    <t>Ø¨Ø±ÛŒØªØ§Ù†ÛŒØ§</t>
  </si>
  <si>
    <t>Royaume-Uni</t>
  </si>
  <si>
    <t>Î—Î½Ï‰Î¼Î­Î½Î¿ Î’Î±ÏƒÎ¯Î»ÎµÎ¹Î¿</t>
  </si>
  <si>
    <t>×”×ž×ž×œ×›×” ×”×ž××•×—×“×ª</t>
  </si>
  <si>
    <t>à¤¯à¥‚à¤¨à¤¾à¤‡à¤Ÿà¥‡à¤¡ à¤•à¤¿à¤‚à¤—à¤¡à¤®</t>
  </si>
  <si>
    <t>EgyesÃ¼lt KirÃ¡lysÃ¡g</t>
  </si>
  <si>
    <t>Britania Raya</t>
  </si>
  <si>
    <t>Regno Unito</t>
  </si>
  <si>
    <t>ã‚¤ã‚®ãƒªã‚¹</t>
  </si>
  <si>
    <t>ì˜êµ­</t>
  </si>
  <si>
    <t>Verenigd Koninkrijk</t>
  </si>
  <si>
    <t>Wielka Brytania</t>
  </si>
  <si>
    <t>Ð’ÐµÐ»Ð¸ÐºÐ¾Ð±Ñ€Ð¸Ñ‚Ð°Ð½Ð¸Ñ</t>
  </si>
  <si>
    <t>Storbritannien</t>
  </si>
  <si>
    <t>BirleÅŸik KrallÄ±k</t>
  </si>
  <si>
    <t>Ð’ÐµÐ»Ð¸ÐºÐ° Ð‘Ñ€Ð¸Ñ‚Ð°Ð½Ñ–Ñ</t>
  </si>
  <si>
    <t>Ù…Ù…Ù„Ú©Øª Ù…ØªØ­Ø¯Û</t>
  </si>
  <si>
    <t>VÆ°Æ¡ng quá»‘c LiÃªn hiá»‡p Anh vÃ  Báº¯c Ireland</t>
  </si>
  <si>
    <t>è‹±å›½</t>
  </si>
  <si>
    <t>è‹±åœ‹</t>
  </si>
  <si>
    <t>UMI</t>
  </si>
  <si>
    <t>U.S. Minor Outlying Is.</t>
  </si>
  <si>
    <t>U.S. MOI</t>
  </si>
  <si>
    <t>Q16645</t>
  </si>
  <si>
    <t>Ø¬Ø²Ø± Ø§Ù„ÙˆÙ„Ø§ÙŠØ§Øª Ø§Ù„Ù…ØªØ­Ø¯Ø© Ø§Ù„ØµØºÙŠØ±Ø© Ø§Ù„Ù†Ø§Ø¦ÙŠØ©</t>
  </si>
  <si>
    <t>à¦®à¦¾à¦°à§à¦•à¦¿à¦¨ à¦¯à§à¦•à§à¦¤à¦°à¦¾à¦·à§à¦Ÿà§à¦° à¦ªà¦¾à¦°à§à¦¶à§à¦¬à¦¬à¦°à§à¦¤à§€ à¦•à§à¦·à§à¦¦à§à¦° à¦¦à§à¦¬à§€à¦ªà¦ªà§à¦žà§à¦œ</t>
  </si>
  <si>
    <t>Islas ultramarinas de Estados Unidos</t>
  </si>
  <si>
    <t>Ø¬Ø²Ø§ÛŒØ± Ú©ÙˆÚ†Ú© Ø­Ø§Ø´ÛŒÙ‡Ø§ÛŒ Ø§ÛŒØ§Ù„Ø§Øª Ù…ØªØ­Ø¯Ù‡</t>
  </si>
  <si>
    <t>ÃŽles mineures Ã©loignÃ©es des Ã‰tats-Unis</t>
  </si>
  <si>
    <t>Î‘Ï€Î¿Î¼Î±ÎºÏÏ…ÏƒÎ¼Î­Î½ÎµÏ‚ ÎÎ·ÏƒÎ¯Î´ÎµÏ‚ Ï„Ï‰Î½ Î—Î½Ï‰Î¼Î­Î½Ï‰Î½ Î Î¿Î»Î¹Ï„ÎµÎ¹ÏŽÎ½</t>
  </si>
  <si>
    <t>×”××™×™× ×”×—×™×¦×•× ×™×™× ×”×§×˜× ×™× ×©×œ ××¨×”"×‘</t>
  </si>
  <si>
    <t>à¤¸à¤‚à¤¯à¥à¤•à¥à¤¤ à¤°à¤¾à¤œà¥à¤¯ à¤…à¤®à¥‡à¤°à¤¿à¤•à¤¾ à¤•à¥‡ à¤›à¥‹à¤Ÿà¥‡ à¤¦à¥‚à¤°à¤¸à¥à¤¥ à¤¦à¥à¤µà¥€à¤ªà¤¸à¤®à¥‚à¤¹</t>
  </si>
  <si>
    <t>Az Amerikai EgyesÃ¼lt Ãllamok lakatlan kÃ¼lbirtokai</t>
  </si>
  <si>
    <t>Kepulauan Terluar Kecil Amerika Serikat</t>
  </si>
  <si>
    <t>Isole minori esterne degli Stati Uniti d'America</t>
  </si>
  <si>
    <t>åˆè¡†å›½é ˜æœ‰å°é›¢å³¶</t>
  </si>
  <si>
    <t>ë¯¸êµ­ë ¹ êµ°ì†Œ ì œë„</t>
  </si>
  <si>
    <t>Kleine afgelegen eilanden van de Verenigde Staten</t>
  </si>
  <si>
    <t>Dalekie Wyspy Mniejsze StanÃ³w Zjednoczonych</t>
  </si>
  <si>
    <t>Ilhas Menores Distantes dos Estados Unidos</t>
  </si>
  <si>
    <t>Ð’Ð½ÐµÑˆÐ½Ð¸Ðµ Ð¼Ð°Ð»Ñ‹Ðµ Ð¾ÑÑ‚Ñ€Ð¾Ð²Ð° Ð¡Ð¨Ð</t>
  </si>
  <si>
    <t>FÃ¶renta staternas mindre Ã¶ar i Oceanien och VÃ¤stindien</t>
  </si>
  <si>
    <t>Ð—Ð¾Ð²Ð½Ñ–ÑˆÐ½Ñ– Ð¼Ð°Ð»Ñ– Ð¾ÑÑ‚Ñ€Ð¾Ð²Ð¸ Ð¡Ð¨Ð</t>
  </si>
  <si>
    <t>Ø§Ù…Ø±ÛŒÚ©ÛŒ Ú†Ú¾ÙˆÙ¹Û’ Ø¨ÛŒØ±ÙˆÙ†ÛŒ Ø¬Ø²Ø§Ø¦Ø±</t>
  </si>
  <si>
    <t>CÃ¡c tiá»ƒu Ä‘áº£o xa cá»§a Hoa Ká»³</t>
  </si>
  <si>
    <t>ç¾Žå›½æœ¬åœŸå¤–å°å²›å±¿</t>
  </si>
  <si>
    <t>ç¾Žåœ‹æœ¬åœŸå¤–å°å³¶å¶¼</t>
  </si>
  <si>
    <t>Q30</t>
  </si>
  <si>
    <t>Ø§Ù„ÙˆÙ„Ø§ÙŠØ§Øª Ø§Ù„Ù…ØªØ­Ø¯Ø©</t>
  </si>
  <si>
    <t>à¦®à¦¾à¦°à§à¦•à¦¿à¦¨ à¦¯à§à¦•à§à¦¤à¦°à¦¾à¦·à§à¦Ÿà§à¦°</t>
  </si>
  <si>
    <t>Vereinigte Staaten</t>
  </si>
  <si>
    <t>Estados Unidos</t>
  </si>
  <si>
    <t>Ø§ÛŒØ§Ù„Ø§Øª Ù…ØªØ­Ø¯Ù‡ Ø¢Ù…Ø±ÛŒÚ©Ø§</t>
  </si>
  <si>
    <t>Ã‰tats-Unis</t>
  </si>
  <si>
    <t>Î—Î½Ï‰Î¼Î­Î½ÎµÏ‚ Î Î¿Î»Î¹Ï„ÎµÎ¯ÎµÏ‚ Î‘Î¼ÎµÏÎ¹ÎºÎ®Ï‚</t>
  </si>
  <si>
    <t>××¨×¦×•×ª ×”×‘×¨×™×ª</t>
  </si>
  <si>
    <t>à¤¸à¤‚à¤¯à¥à¤•à¥à¤¤ à¤°à¤¾à¤œà¥à¤¯ à¤…à¤®à¥‡à¤°à¤¿à¤•à¤¾</t>
  </si>
  <si>
    <t>Amerikai EgyesÃ¼lt Ãllamok</t>
  </si>
  <si>
    <t>Amerika Serikat</t>
  </si>
  <si>
    <t>Stati Uniti d'America</t>
  </si>
  <si>
    <t>ã‚¢ãƒ¡ãƒªã‚«åˆè¡†å›½</t>
  </si>
  <si>
    <t>ë¯¸êµ­</t>
  </si>
  <si>
    <t>Verenigde Staten van Amerika</t>
  </si>
  <si>
    <t>Stany Zjednoczone</t>
  </si>
  <si>
    <t>Ð¡Ð¨Ð</t>
  </si>
  <si>
    <t>Amerika BirleÅŸik Devletleri</t>
  </si>
  <si>
    <t>Ð¡Ð¿Ð¾Ð»ÑƒÑ‡ÐµÐ½Ñ– Ð¨Ñ‚Ð°Ñ‚Ð¸ ÐÐ¼ÐµÑ€Ð¸ÐºÐ¸</t>
  </si>
  <si>
    <t>Ø±ÛŒØ§Ø³ØªÛØ§Ø¦Û’ Ù…ØªØ­Ø¯Û Ø§Ù…Ø±ÛŒÚ©Ø§</t>
  </si>
  <si>
    <t>Hoa Ká»³</t>
  </si>
  <si>
    <t>ç¾Žå›½</t>
  </si>
  <si>
    <t>ç¾Žåœ‹</t>
  </si>
  <si>
    <t>United States Virgin Islands</t>
  </si>
  <si>
    <t>VIR</t>
  </si>
  <si>
    <t>U.S. Virgin Is.</t>
  </si>
  <si>
    <t>V.I. (U.S.)</t>
  </si>
  <si>
    <t>Virgin Islands of the United States</t>
  </si>
  <si>
    <t>Virgin Islands</t>
  </si>
  <si>
    <t>Virgin Islands (U.S.)</t>
  </si>
  <si>
    <t>VQ</t>
  </si>
  <si>
    <t>Q11703</t>
  </si>
  <si>
    <t>Ø¬Ø²Ø± Ø§Ù„Ø¹Ø°Ø±Ø§Ø¡ Ø§Ù„Ø£Ù…Ø±ÙŠÙƒÙŠØ©</t>
  </si>
  <si>
    <t>à¦®à¦¾à¦°à§à¦•à¦¿à¦¨ à¦­à¦¾à¦°à§à¦œà¦¿à¦¨ à¦¦à§à¦¬à§€à¦ªà¦ªà§à¦žà§à¦œ</t>
  </si>
  <si>
    <t>Amerikanische Jungferninseln</t>
  </si>
  <si>
    <t>Islas VÃ­rgenes de los Estados Unidos</t>
  </si>
  <si>
    <t>Ø¬Ø²Ø§ÛŒØ± ÙˆÛŒØ±Ø¬ÛŒÙ† Ø§ÛŒØ§Ù„Ø§Øª Ù…ØªØ­Ø¯Ù‡</t>
  </si>
  <si>
    <t>Ã®les Vierges des Ã‰tats-Unis</t>
  </si>
  <si>
    <t>Î‘Î¼ÎµÏÎ¹ÎºÎ±Î½Î¹ÎºÎ­Ï‚ Î Î±ÏÎ¸Î­Î½Î¿Î¹ ÎÎ®ÏƒÎ¿Î¹</t>
  </si>
  <si>
    <t>××™×™ ×”×‘×ª×•×œ×” ×©×œ ××¨×¦×•×ª ×”×‘×¨×™×ª</t>
  </si>
  <si>
    <t>à¤¸à¤‚à¤¯à¥à¤•à¥à¤¤ à¤°à¤¾à¤œà¥à¤¯ à¤µà¤°à¥à¤œà¤¿à¤¨ à¤¦à¥à¤µà¥€à¤ªà¤¸à¤®à¥‚à¤¹</t>
  </si>
  <si>
    <t>Amerikai Virgin-szigetek</t>
  </si>
  <si>
    <t>Kepulauan Virgin Amerika Serikat</t>
  </si>
  <si>
    <t>Isole Vergini americane</t>
  </si>
  <si>
    <t>ã‚¢ãƒ¡ãƒªã‚«é ˜ãƒ´ã‚¡ãƒ¼ã‚¸ãƒ³è«¸å³¶</t>
  </si>
  <si>
    <t>ë¯¸êµ­ë ¹ ë²„ì§„ì•„ì¼ëžœë“œ</t>
  </si>
  <si>
    <t>Amerikaanse Maagdeneilanden</t>
  </si>
  <si>
    <t>Wyspy Dziewicze StanÃ³w Zjednoczonych</t>
  </si>
  <si>
    <t>Ilhas Virgens Americanas</t>
  </si>
  <si>
    <t>ÐÐ¼ÐµÑ€Ð¸ÐºÐ°Ð½ÑÐºÐ¸Ðµ Ð’Ð¸Ñ€Ð³Ð¸Ð½ÑÐºÐ¸Ðµ Ð¾ÑÑ‚Ñ€Ð¾Ð²Ð°</t>
  </si>
  <si>
    <t>Amerikanska JungfruÃ¶arna</t>
  </si>
  <si>
    <t>ABD Virjin AdalarÄ±</t>
  </si>
  <si>
    <t>ÐÐ¼ÐµÑ€Ð¸ÐºÐ°Ð½ÑÑŒÐºÑ– Ð’Ñ–Ñ€Ð³Ñ–Ð½ÑÑŒÐºÑ– ÐžÑÑ‚Ñ€Ð¾Ð²Ð¸</t>
  </si>
  <si>
    <t>Ø§Ù…Ø±ÛŒÚ©ÛŒ Ø¬Ø²Ø§Ø¦Ø± ÙˆØ±Ø¬Ù†</t>
  </si>
  <si>
    <t>Quáº§n Ä‘áº£o Virgin thuá»™c Má»¹</t>
  </si>
  <si>
    <t>ç¾Žå±žç»´å°”äº¬ç¾¤å²›</t>
  </si>
  <si>
    <t>ç¾Žå±¬ç¶­äº¬ç¾¤å³¶</t>
  </si>
  <si>
    <t>US Naval Base Guantanamo Bay</t>
  </si>
  <si>
    <t>USG</t>
  </si>
  <si>
    <t>USNB Guantanamo Bay</t>
  </si>
  <si>
    <t>B50</t>
  </si>
  <si>
    <t>Guantanamo Bay USNB</t>
  </si>
  <si>
    <t>Guantan.</t>
  </si>
  <si>
    <t>Leased to U.S.A. by Cuba; Claimed by Cuba</t>
  </si>
  <si>
    <t>Gitmo, GTMO</t>
  </si>
  <si>
    <t>Q762570</t>
  </si>
  <si>
    <t>Ù‚Ø§Ø¹Ø¯Ø© ØºÙˆØ§Ù†ØªØ§Ù†Ø§Ù…Ùˆ</t>
  </si>
  <si>
    <t>à¦—à§à¦¯à¦¼à¦¾à¦¨à¦¤à¦¾à¦¨à¦¾à¦®à§‹ à¦¬à§‡ à¦•à¦¾à¦°à¦¾à¦—à¦¾à¦° à¦¨à§Œà¦¬à¦¾à¦¹à¦¿à¦¨à§€ à¦¬à§‡à¦¸</t>
  </si>
  <si>
    <t>Guantanamo Bay Naval Base</t>
  </si>
  <si>
    <t>Base Naval de la BahÃ­a de GuantÃ¡namo</t>
  </si>
  <si>
    <t>Ù¾Ø§ÛŒÚ¯Ø§Ù‡ Ù†ÛŒØ±ÙˆÛŒ Ø¯Ø±ÛŒØ§ÛŒÛŒ Ø®Ù„ÛŒØ¬ Ú¯ÙˆØ§Ù†ØªØ§Ù†Ø§Ù…Ùˆ</t>
  </si>
  <si>
    <t>base navale de la baie de GuantÃ¡namo</t>
  </si>
  <si>
    <t>ÎÎ±Ï…Ï„Î¹ÎºÎ® Î’Î¬ÏƒÎ· Ï„Î¿Ï… ÎšÏŒÎ»Ï€Î¿Ï… Ï„Î¿Ï… Î“ÎºÎ¿Ï…Î±Î½Ï„Î¬Î½Î±Î¼Î¿</t>
  </si>
  <si>
    <t>×‘×¡×™×¡ ×”×¦×™ ×ž×¤×¨×¥ ×’×•×× ×˜× ×ž×•</t>
  </si>
  <si>
    <t>à¤—à¥à¤µà¤¾à¤‚à¤Ÿà¤¾à¤¨à¥ˆà¤®à¥‹ à¤–à¤¾à¤¡à¤¼à¥€ à¤¨à¥Œà¤¸à¥‡à¤¨à¤¾ à¤¬à¥‡à¤¸</t>
  </si>
  <si>
    <t>guantÃ¡namÃ³i haditengerÃ©szeti tÃ¡maszpont</t>
  </si>
  <si>
    <t>Pangkalan Laut Teluk Guantanamo</t>
  </si>
  <si>
    <t>base navale di Guantanamo</t>
  </si>
  <si>
    <t>ã‚°ã‚¡ãƒ³ã‚¿ãƒŠãƒ¢ç±³è»åŸºåœ°</t>
  </si>
  <si>
    <t>ê´€íƒ€ë‚˜ëª¨ë§Œ í•´êµ° ê¸°ì§€</t>
  </si>
  <si>
    <t>GuantÃ¡namo Bay</t>
  </si>
  <si>
    <t>Naval Station Guantanamo Bay</t>
  </si>
  <si>
    <t>Base Naval da BaÃ­a de GuantÃ¡namo</t>
  </si>
  <si>
    <t>Ð’Ð¾ÐµÐ½Ð½Ð°Ñ Ð±Ð°Ð·Ð° Ð“ÑƒÐ°Ð½Ñ‚Ð°Ð½Ð°Ð¼Ð¾</t>
  </si>
  <si>
    <t>GuantÃ¡namobasen</t>
  </si>
  <si>
    <t>Guantanamo Bay</t>
  </si>
  <si>
    <t>Ð’Ñ–Ð¹ÑÑŒÐºÐ¾Ð²Ð° Ð±Ð°Ð·Ð° Ð“ÑƒÐ°Ð½Ñ‚Ð°Ð½Ð°Ð¼Ð¾</t>
  </si>
  <si>
    <t>Ú¯ÙˆÙ†ØªØ§Ù†Ø§Ù…ÙˆØ¨Û’ Ù†Ø§ÙˆØ§Ù„ Ø¨Ø³Û’</t>
  </si>
  <si>
    <t>CÄƒn cá»© Háº£i quÃ¢n vá»‹nh GuantÃ¡namo</t>
  </si>
  <si>
    <t>å…³å¡”é‚£æ‘©æ¹¾æµ·å†›åŸºåœ°</t>
  </si>
  <si>
    <t>é—œå¡”é‚£æ‘©ç£æµ·è»åŸºåœ°</t>
  </si>
  <si>
    <t>WLF</t>
  </si>
  <si>
    <t>Wallis and Futuna Islands</t>
  </si>
  <si>
    <t>Wlf.</t>
  </si>
  <si>
    <t>Q35555</t>
  </si>
  <si>
    <t>ÙˆØ§Ù„ÙŠØ³ ÙˆÙÙˆØªÙˆÙ†Ø§</t>
  </si>
  <si>
    <t>à¦“à¦¯à¦¼à¦¾à¦²à¦¿à¦¸ à¦“ à¦«à§à¦Ÿà§à¦¨à¦¾</t>
  </si>
  <si>
    <t>Wallis und Futuna</t>
  </si>
  <si>
    <t>Wallis y Futuna</t>
  </si>
  <si>
    <t>ÙˆØ§Ù„ÛŒØ³ Ùˆ ÙÙˆØªÙˆÙ†Ø§</t>
  </si>
  <si>
    <t>ÎŸÏ…Î±Î»Î¯Ï‚ ÎºÎ±Î¹ Î¦Î¿Ï…Ï„Î¿Ï…Î½Î¬</t>
  </si>
  <si>
    <t>×•××œ×™×¡ ×•×¤×•×˜×•× ×”</t>
  </si>
  <si>
    <t>à¤µà¤¾à¤²à¤¿à¤¸ à¤”à¤° à¤«à¤¼à¥à¤¯à¥‚à¤šà¥‚à¤¨à¤¾</t>
  </si>
  <si>
    <t>Wallis Ã©s Futuna</t>
  </si>
  <si>
    <t>Wallis dan Futuna</t>
  </si>
  <si>
    <t>Wallis e Futuna</t>
  </si>
  <si>
    <t>ã‚¦ã‚©ãƒªã‚¹ãƒ»ãƒ•ãƒ„ãƒŠ</t>
  </si>
  <si>
    <t>ì™ˆë¦¬ìŠ¤ í‘¸íˆ¬ë‚˜</t>
  </si>
  <si>
    <t>Wallis en Futuna</t>
  </si>
  <si>
    <t>Wallis i Futuna</t>
  </si>
  <si>
    <t>Ð£Ð¾Ð»Ð»Ð¸Ñ Ð¸ Ð¤ÑƒÑ‚ÑƒÐ½Ð°</t>
  </si>
  <si>
    <t>Wallis- och FutunaÃ¶arna</t>
  </si>
  <si>
    <t>Wallis ve Futuna AdalarÄ±</t>
  </si>
  <si>
    <t>Ð’Ð¾Ð»Ð»Ñ–Ñ Ñ– Ð¤ÑƒÑ‚ÑƒÐ½Ð°</t>
  </si>
  <si>
    <t>ÙˆØ§Ù„Ø³ Ùˆ ÙØªÙˆÙ†Û</t>
  </si>
  <si>
    <t>Wallis vÃ  Futuna</t>
  </si>
  <si>
    <t>ç“¦åˆ©æ–¯å’Œå¯Œå›¾çº³</t>
  </si>
  <si>
    <t>ç“¦åˆ©æ–¯å’Œå¯Œåœ–ç´</t>
  </si>
  <si>
    <t>Ury.</t>
  </si>
  <si>
    <t>Oriental Republic of Uruguay</t>
  </si>
  <si>
    <t>Q77</t>
  </si>
  <si>
    <t>Ø§Ù„Ø£ÙˆØ±ÙˆØºÙˆØ§ÙŠ</t>
  </si>
  <si>
    <t>à¦‰à¦°à§à¦—à§à¦¯à¦¼à§‡</t>
  </si>
  <si>
    <t>Ø§Ø±ÙˆÚ¯ÙˆØ¦Ù‡</t>
  </si>
  <si>
    <t>ÎŸÏ…ÏÎ¿Ï…Î³Î¿Ï…Î¬Î·</t>
  </si>
  <si>
    <t>××•×¨×•×’×•×•××™</t>
  </si>
  <si>
    <t>à¤‰à¤°à¥à¤—à¥à¤µà¥‡</t>
  </si>
  <si>
    <t>ã‚¦ãƒ«ã‚°ã‚¢ã‚¤</t>
  </si>
  <si>
    <t>ìš°ë£¨ê³¼ì´</t>
  </si>
  <si>
    <t>Urugwaj</t>
  </si>
  <si>
    <t>Uruguai</t>
  </si>
  <si>
    <t>Ð£Ñ€ÑƒÐ³Ð²Ð°Ð¹</t>
  </si>
  <si>
    <t>ÛŒÙˆØ±Ø§Ú¯ÙˆØ¦Û’</t>
  </si>
  <si>
    <t>ä¹Œæ‹‰åœ­</t>
  </si>
  <si>
    <t>çƒæ‹‰åœ­</t>
  </si>
  <si>
    <t>UZB</t>
  </si>
  <si>
    <t>Uzb.</t>
  </si>
  <si>
    <t>Republic of Uzbekistan</t>
  </si>
  <si>
    <t>Q265</t>
  </si>
  <si>
    <t>Ø£ÙˆØ²Ø¨ÙƒØ³ØªØ§Ù†</t>
  </si>
  <si>
    <t>à¦‰à¦œà¦¬à§‡à¦•à¦¿à¦¸à§à¦¤à¦¾à¦¨</t>
  </si>
  <si>
    <t>Usbekistan</t>
  </si>
  <si>
    <t>UzbekistÃ¡n</t>
  </si>
  <si>
    <t>Ø§Ø²Ø¨Ú©Ø³ØªØ§Ù†</t>
  </si>
  <si>
    <t>OuzbÃ©kistan</t>
  </si>
  <si>
    <t>ÎŸÏ…Î¶Î¼Ï€ÎµÎºÎ¹ÏƒÏ„Î¬Î½</t>
  </si>
  <si>
    <t>××•×–×‘×§×™×¡×˜×Ÿ</t>
  </si>
  <si>
    <t>à¤‰à¤œà¤¼à¥à¤¬à¥‡à¤•à¤¿à¤¸à¥à¤¤à¤¾à¤¨</t>
  </si>
  <si>
    <t>ÃœzbegisztÃ¡n</t>
  </si>
  <si>
    <t>ã‚¦ã‚ºãƒ™ã‚­ã‚¹ã‚¿ãƒ³</t>
  </si>
  <si>
    <t>ìš°ì¦ˆë² í‚¤ìŠ¤íƒ„</t>
  </si>
  <si>
    <t>Oezbekistan</t>
  </si>
  <si>
    <t>UzbequistÃ£o</t>
  </si>
  <si>
    <t>Ð£Ð·Ð±ÐµÐºÐ¸ÑÑ‚Ð°Ð½</t>
  </si>
  <si>
    <t>Ã–zbekistan</t>
  </si>
  <si>
    <t>ä¹Œå…¹åˆ«å…‹æ–¯å¦</t>
  </si>
  <si>
    <t>çƒèŒ²åˆ¥å…‹</t>
  </si>
  <si>
    <t>VUT</t>
  </si>
  <si>
    <t>Van.</t>
  </si>
  <si>
    <t>Republic of Vanuatu</t>
  </si>
  <si>
    <t>NH</t>
  </si>
  <si>
    <t>Q686</t>
  </si>
  <si>
    <t>ÙØ§Ù†ÙˆØ§ØªÙˆ</t>
  </si>
  <si>
    <t>à¦­à¦¾à¦¨à§à¦¯à¦¼à¦¾à¦¤à§</t>
  </si>
  <si>
    <t>ÙˆØ§Ù†ÙˆØ§ØªÙˆ</t>
  </si>
  <si>
    <t>Î’Î±Î½Î¿Ï…Î¬Ï„Î¿Ï…</t>
  </si>
  <si>
    <t>×•× ×•××˜×•</t>
  </si>
  <si>
    <t>à¤µà¤¾à¤¨à¥‚à¤†à¤Ÿà¥‚</t>
  </si>
  <si>
    <t>ãƒãƒŒã‚¢ãƒ„</t>
  </si>
  <si>
    <t>ë°”ëˆ„ì•„íˆ¬</t>
  </si>
  <si>
    <t>Ð’Ð°Ð½ÑƒÐ°Ñ‚Ñƒ</t>
  </si>
  <si>
    <t>ç“¦åŠªé˜¿å›¾</t>
  </si>
  <si>
    <t>è¬é‚£æœ</t>
  </si>
  <si>
    <t>Vatican</t>
  </si>
  <si>
    <t>VAT</t>
  </si>
  <si>
    <t>Vat.</t>
  </si>
  <si>
    <t>V</t>
  </si>
  <si>
    <t>State of the Vatican City</t>
  </si>
  <si>
    <t>Holy See (Vatican City)</t>
  </si>
  <si>
    <t>Vatican (Holy See)</t>
  </si>
  <si>
    <t>VT</t>
  </si>
  <si>
    <t>Q237</t>
  </si>
  <si>
    <t>Ø§Ù„ÙØ§ØªÙŠÙƒØ§Ù†</t>
  </si>
  <si>
    <t>à¦­à§à¦¯à¦¾à¦Ÿà¦¿à¦•à¦¾à¦¨ à¦¸à¦¿à¦Ÿà¦¿</t>
  </si>
  <si>
    <t>Vatikanstadt</t>
  </si>
  <si>
    <t>Ciudad del Vaticano</t>
  </si>
  <si>
    <t>ÙˆØ§ØªÛŒÚ©Ø§Ù†</t>
  </si>
  <si>
    <t>CitÃ© du Vatican</t>
  </si>
  <si>
    <t>Î’Î±Ï„Î¹ÎºÎ±Î½ÏŒ</t>
  </si>
  <si>
    <t>×§×¨×™×™×ª ×”×•×•×ª×™×§×Ÿ</t>
  </si>
  <si>
    <t>à¤µà¥ˆà¤Ÿà¤¿à¤•à¤¨ à¤¨à¤—à¤°</t>
  </si>
  <si>
    <t>VatikÃ¡n</t>
  </si>
  <si>
    <t>Vatikan</t>
  </si>
  <si>
    <t>CittÃ  del Vaticano</t>
  </si>
  <si>
    <t>ãƒãƒã‚«ãƒ³</t>
  </si>
  <si>
    <t>ë°”í‹°ì¹¸ ì‹œêµ­</t>
  </si>
  <si>
    <t>Vaticaanstad</t>
  </si>
  <si>
    <t>Watykan</t>
  </si>
  <si>
    <t>Vaticano</t>
  </si>
  <si>
    <t>Ð’Ð°Ñ‚Ð¸ÐºÐ°Ð½</t>
  </si>
  <si>
    <t>Vatikanstaten</t>
  </si>
  <si>
    <t>ÙˆÛŒÙ¹ÛŒÚ©Ù† Ø³Ù¹ÛŒ</t>
  </si>
  <si>
    <t>ThÃ nh Vatican</t>
  </si>
  <si>
    <t>æ¢µè’‚å†ˆ</t>
  </si>
  <si>
    <t>æ¢µè’‚å²¡</t>
  </si>
  <si>
    <t>VEN</t>
  </si>
  <si>
    <t>Ven.</t>
  </si>
  <si>
    <t>Bolivarian Republic of Venezuela</t>
  </si>
  <si>
    <t>RepÃºblica Bolivariana de Venezuela</t>
  </si>
  <si>
    <t>Venezuela, RB</t>
  </si>
  <si>
    <t>Q717</t>
  </si>
  <si>
    <t>ÙÙ†Ø²ÙˆÙŠÙ„Ø§</t>
  </si>
  <si>
    <t>à¦­à§‡à¦¨à§‡à¦œà§à¦¯à¦¼à§‡à¦²à¦¾</t>
  </si>
  <si>
    <t>ÙˆÙ†Ø²ÙˆØ¦Ù„Ø§</t>
  </si>
  <si>
    <t>Î’ÎµÎ½ÎµÎ¶Î¿Ï…Î­Î»Î±</t>
  </si>
  <si>
    <t>×•× ×¦×•××œ×”</t>
  </si>
  <si>
    <t>à¤µà¥‡à¤¨à¥‡à¤œà¤¼à¥à¤à¤²à¤¾</t>
  </si>
  <si>
    <t>ãƒ™ãƒã‚ºã‚¨ãƒ©</t>
  </si>
  <si>
    <t>ë² ë„¤ìˆ˜ì—˜ë¼</t>
  </si>
  <si>
    <t>Wenezuela</t>
  </si>
  <si>
    <t>Ð’ÐµÐ½ÐµÑÑƒÑÐ»Ð°</t>
  </si>
  <si>
    <t>Ð’ÐµÐ½ÐµÑÑƒÐµÐ»Ð°</t>
  </si>
  <si>
    <t>ÙˆÛŒÙ†ÛŒØ²ÙˆÛŒÙ„Ø§</t>
  </si>
  <si>
    <t>å§”å†…ç‘žæ‹‰</t>
  </si>
  <si>
    <t>å§”å…§ç‘žæ‹‰</t>
  </si>
  <si>
    <t>Viet.</t>
  </si>
  <si>
    <t>Socialist Republic of Vietnam</t>
  </si>
  <si>
    <t>VM</t>
  </si>
  <si>
    <t>Q881</t>
  </si>
  <si>
    <t>ÙÙŠØªÙ†Ø§Ù…</t>
  </si>
  <si>
    <t>à¦­à¦¿à¦¯à¦¼à§‡à¦¤à¦¨à¦¾à¦®</t>
  </si>
  <si>
    <t>ÙˆÛŒØªÙ†Ø§Ù…</t>
  </si>
  <si>
    <t>ViÃªt Nam</t>
  </si>
  <si>
    <t>Î’Î¹ÎµÏ„Î½Î¬Î¼</t>
  </si>
  <si>
    <t>×•×™×™×˜× ××</t>
  </si>
  <si>
    <t>à¤µà¤¿à¤¯à¤¤à¤¨à¤¾à¤®</t>
  </si>
  <si>
    <t>VietnÃ¡m</t>
  </si>
  <si>
    <t>ãƒ™ãƒˆãƒŠãƒ </t>
  </si>
  <si>
    <t>ë² íŠ¸ë‚¨</t>
  </si>
  <si>
    <t>Wietnam</t>
  </si>
  <si>
    <t>Vietname</t>
  </si>
  <si>
    <t>Ð’ÑŒÐµÑ‚Ð½Ð°Ð¼</t>
  </si>
  <si>
    <t>Ð’'Ñ”Ñ‚Ð½Ð°Ð¼</t>
  </si>
  <si>
    <t>Viá»‡t Nam</t>
  </si>
  <si>
    <t>è¶Šå—</t>
  </si>
  <si>
    <t>SAH</t>
  </si>
  <si>
    <t>W. Sahara</t>
  </si>
  <si>
    <t>B28</t>
  </si>
  <si>
    <t>W. Sah.</t>
  </si>
  <si>
    <t>Sahrawi Arab Democratic Republic</t>
  </si>
  <si>
    <t>Self admin.; Claimed by Morocco</t>
  </si>
  <si>
    <t>WI</t>
  </si>
  <si>
    <t>ESH</t>
  </si>
  <si>
    <t>Q6250</t>
  </si>
  <si>
    <t>Ø§Ù„ØµØ­Ø±Ø§Ø¡ Ø§Ù„ØºØ±Ø¨ÙŠØ©</t>
  </si>
  <si>
    <t>à¦ªà¦¶à§à¦šà¦¿à¦® à¦¸à¦¾à¦¹à¦¾à¦°à¦¾</t>
  </si>
  <si>
    <t>Westsahara</t>
  </si>
  <si>
    <t>Sahara Occidental</t>
  </si>
  <si>
    <t>ØµØ­Ø±Ø§ÛŒ ØºØ±Ø¨ÛŒ</t>
  </si>
  <si>
    <t>Sahara occidental</t>
  </si>
  <si>
    <t>Î”Ï…Ï„Î¹ÎºÎ® Î£Î±Ï‡Î¬ÏÎ±</t>
  </si>
  <si>
    <t>×¡×”×¨×” ×”×ž×¢×¨×‘×™×ª</t>
  </si>
  <si>
    <t>à¤ªà¤¶à¥à¤šà¤¿à¤®à¥€ à¤¸à¤¹à¤¾à¤°à¤¾</t>
  </si>
  <si>
    <t>Nyugat-Szahara</t>
  </si>
  <si>
    <t>Sahara Barat</t>
  </si>
  <si>
    <t>Sahara Occidentale</t>
  </si>
  <si>
    <t>è¥¿ã‚µãƒãƒ©</t>
  </si>
  <si>
    <t>ì„œì‚¬í•˜ë¼</t>
  </si>
  <si>
    <t>Westelijke Sahara</t>
  </si>
  <si>
    <t>Sahara Zachodnia</t>
  </si>
  <si>
    <t>Sara Ocidental</t>
  </si>
  <si>
    <t>Ð—Ð°Ð¿Ð°Ð´Ð½Ð°Ñ Ð¡Ð°Ñ…Ð°Ñ€Ð°</t>
  </si>
  <si>
    <t>VÃ¤stsahara</t>
  </si>
  <si>
    <t>BatÄ± Sahra</t>
  </si>
  <si>
    <t>Ð—Ð°Ñ…Ñ–Ð´Ð½Ð° Ð¡Ð°Ñ…Ð°Ñ€Ð°</t>
  </si>
  <si>
    <t>Ù…ØºØ±Ø¨ÛŒ ØµØ­Ø§Ø±Ø§</t>
  </si>
  <si>
    <t>TÃ¢y Sahara</t>
  </si>
  <si>
    <t>è¥¿æ’’å“ˆæ‹‰</t>
  </si>
  <si>
    <t>YEM</t>
  </si>
  <si>
    <t>Yem.</t>
  </si>
  <si>
    <t>Republic of Yemen</t>
  </si>
  <si>
    <t>Yemen, Rep.</t>
  </si>
  <si>
    <t>YM</t>
  </si>
  <si>
    <t>RY</t>
  </si>
  <si>
    <t>Q805</t>
  </si>
  <si>
    <t>Ø§Ù„ÙŠÙ…Ù†</t>
  </si>
  <si>
    <t>à¦‡à¦¯à¦¼à§‡à¦®à§‡à¦¨</t>
  </si>
  <si>
    <t>Jemen</t>
  </si>
  <si>
    <t>ÛŒÙ…Ù†</t>
  </si>
  <si>
    <t>YÃ©men</t>
  </si>
  <si>
    <t>Î¥ÎµÎ¼Î­Î½Î·</t>
  </si>
  <si>
    <t>×ª×™×ž×Ÿ</t>
  </si>
  <si>
    <t>à¤¯à¤®à¤¨</t>
  </si>
  <si>
    <t>Yaman</t>
  </si>
  <si>
    <t>ã‚¤ã‚¨ãƒ¡ãƒ³</t>
  </si>
  <si>
    <t>ì˜ˆë©˜</t>
  </si>
  <si>
    <t>IÃ©men</t>
  </si>
  <si>
    <t>Ð™ÐµÐ¼ÐµÐ½</t>
  </si>
  <si>
    <t>Ð„Ð¼ÐµÐ½</t>
  </si>
  <si>
    <t>ä¹Ÿé—¨</t>
  </si>
  <si>
    <t>è‘‰é–€</t>
  </si>
  <si>
    <t>ZMB</t>
  </si>
  <si>
    <t>Republic of Zambia</t>
  </si>
  <si>
    <t>Q953</t>
  </si>
  <si>
    <t>Ø²Ø§Ù…Ø¨ÙŠØ§</t>
  </si>
  <si>
    <t>à¦œà¦¾à¦®à§à¦¬à¦¿à¦¯à¦¼à¦¾</t>
  </si>
  <si>
    <t>Sambia</t>
  </si>
  <si>
    <t>Ø²Ø§Ù…Ø¨ÛŒØ§</t>
  </si>
  <si>
    <t>Zambie</t>
  </si>
  <si>
    <t>Î–Î¬Î¼Ï€Î¹Î±</t>
  </si>
  <si>
    <t>×–×ž×‘×™×”</t>
  </si>
  <si>
    <t>à¤œà¤¼à¤¾à¤®à¥à¤¬à¤¿à¤¯à¤¾</t>
  </si>
  <si>
    <t>ã‚¶ãƒ³ãƒ“ã‚¢</t>
  </si>
  <si>
    <t>ìž ë¹„ì•„</t>
  </si>
  <si>
    <t>ZÃ¢mbia</t>
  </si>
  <si>
    <t>Ð—Ð°Ð¼Ð±Ð¸Ñ</t>
  </si>
  <si>
    <t>Zambiya</t>
  </si>
  <si>
    <t>Ð—Ð°Ð¼Ð±Ñ–Ñ</t>
  </si>
  <si>
    <t>Ø²ÛŒÙ…Ø¨ÛŒØ§</t>
  </si>
  <si>
    <t>èµžæ¯”äºš</t>
  </si>
  <si>
    <t>å°šæ¯”äºž</t>
  </si>
  <si>
    <t>ZWE</t>
  </si>
  <si>
    <t>Zimb.</t>
  </si>
  <si>
    <t>Republic of Zimbabwe</t>
  </si>
  <si>
    <t>ZI</t>
  </si>
  <si>
    <t>Q954</t>
  </si>
  <si>
    <t>Ø²ÙŠÙ…Ø¨Ø§Ø¨ÙˆÙŠ</t>
  </si>
  <si>
    <t>à¦œà¦¿à¦®à§à¦¬à¦¾à¦¬à§à¦¯à¦¼à§‡</t>
  </si>
  <si>
    <t>Simbabwe</t>
  </si>
  <si>
    <t>Zimbabue</t>
  </si>
  <si>
    <t>Ø²ÛŒÙ…Ø¨Ø§Ø¨ÙˆÙ‡</t>
  </si>
  <si>
    <t>Î–Î¹Î¼Ï€Î¬Î¼Ï€Î¿Ï…Îµ</t>
  </si>
  <si>
    <t>×–×™×ž×‘×‘×•××”</t>
  </si>
  <si>
    <t>à¤œà¤¼à¤¿à¤®à¥à¤¬à¤¾à¤¬à¥à¤µà¥‡</t>
  </si>
  <si>
    <t>ã‚¸ãƒ³ãƒãƒ–ã‚¨</t>
  </si>
  <si>
    <t>ì§ë°”ë¸Œì›¨</t>
  </si>
  <si>
    <t>ZimbÃ¡bue</t>
  </si>
  <si>
    <t>Ð—Ð¸Ð¼Ð±Ð°Ð±Ð²Ðµ</t>
  </si>
  <si>
    <t>Zimbabve</t>
  </si>
  <si>
    <t>Ð—Ñ–Ð¼Ð±Ð°Ð±Ð²Ðµ</t>
  </si>
  <si>
    <t>Ø²Ù…Ø¨Ø§Ø¨ÙˆÛ’</t>
  </si>
  <si>
    <t>æ´¥å·´å¸ƒéŸ¦</t>
  </si>
  <si>
    <t>è¾›å·´å¨</t>
  </si>
  <si>
    <t>Curação</t>
  </si>
  <si>
    <t>São Tomé and Príncipe</t>
  </si>
  <si>
    <t>South Georgia and the Sandwich Islands</t>
  </si>
  <si>
    <t>Baleares</t>
  </si>
  <si>
    <t>iso_3166_2</t>
  </si>
  <si>
    <t>adm1_code</t>
  </si>
  <si>
    <t>diss_me</t>
  </si>
  <si>
    <t>wikipedia</t>
  </si>
  <si>
    <t>iso_a2</t>
  </si>
  <si>
    <t>adm0_sr</t>
  </si>
  <si>
    <t>name_alt</t>
  </si>
  <si>
    <t>name_local</t>
  </si>
  <si>
    <t>type_en</t>
  </si>
  <si>
    <t>code_local</t>
  </si>
  <si>
    <t>code_hasc</t>
  </si>
  <si>
    <t>note</t>
  </si>
  <si>
    <t>hasc_maybe</t>
  </si>
  <si>
    <t>provnum_ne</t>
  </si>
  <si>
    <t>gadm_level</t>
  </si>
  <si>
    <t>check_me</t>
  </si>
  <si>
    <t>datarank</t>
  </si>
  <si>
    <t>abbrev</t>
  </si>
  <si>
    <t>postal</t>
  </si>
  <si>
    <t>area_sqkm</t>
  </si>
  <si>
    <t>sameascity</t>
  </si>
  <si>
    <t>labelrank</t>
  </si>
  <si>
    <t>name_len</t>
  </si>
  <si>
    <t>mapcolor9</t>
  </si>
  <si>
    <t>mapcolor13</t>
  </si>
  <si>
    <t>fips</t>
  </si>
  <si>
    <t>fips_alt</t>
  </si>
  <si>
    <t>woe_id</t>
  </si>
  <si>
    <t>woe_label</t>
  </si>
  <si>
    <t>woe_name</t>
  </si>
  <si>
    <t>sov_a3</t>
  </si>
  <si>
    <t>adm0_a3</t>
  </si>
  <si>
    <t>adm0_label</t>
  </si>
  <si>
    <t>admin</t>
  </si>
  <si>
    <t>geonunit</t>
  </si>
  <si>
    <t>gu_a3</t>
  </si>
  <si>
    <t>gn_id</t>
  </si>
  <si>
    <t>gn_name</t>
  </si>
  <si>
    <t>gns_id</t>
  </si>
  <si>
    <t>gns_name</t>
  </si>
  <si>
    <t>gn_level</t>
  </si>
  <si>
    <t>gn_region</t>
  </si>
  <si>
    <t>gn_a1_code</t>
  </si>
  <si>
    <t>region_sub</t>
  </si>
  <si>
    <t>sub_code</t>
  </si>
  <si>
    <t>gns_level</t>
  </si>
  <si>
    <t>gns_lang</t>
  </si>
  <si>
    <t>gns_adm1</t>
  </si>
  <si>
    <t>gns_region</t>
  </si>
  <si>
    <t>min_label</t>
  </si>
  <si>
    <t>max_label</t>
  </si>
  <si>
    <t>min_zoom</t>
  </si>
  <si>
    <t>wikidataid</t>
  </si>
  <si>
    <t>name_ar</t>
  </si>
  <si>
    <t>name_bn</t>
  </si>
  <si>
    <t>name_de</t>
  </si>
  <si>
    <t>name_en</t>
  </si>
  <si>
    <t>name_es</t>
  </si>
  <si>
    <t>name_fr</t>
  </si>
  <si>
    <t>name_el</t>
  </si>
  <si>
    <t>name_hi</t>
  </si>
  <si>
    <t>name_hu</t>
  </si>
  <si>
    <t>name_id</t>
  </si>
  <si>
    <t>name_it</t>
  </si>
  <si>
    <t>name_ja</t>
  </si>
  <si>
    <t>name_ko</t>
  </si>
  <si>
    <t>name_nl</t>
  </si>
  <si>
    <t>name_pl</t>
  </si>
  <si>
    <t>name_pt</t>
  </si>
  <si>
    <t>name_ru</t>
  </si>
  <si>
    <t>name_sv</t>
  </si>
  <si>
    <t>name_tr</t>
  </si>
  <si>
    <t>name_vi</t>
  </si>
  <si>
    <t>name_zh</t>
  </si>
  <si>
    <t>ne_id</t>
  </si>
  <si>
    <t>name_he</t>
  </si>
  <si>
    <t>name_uk</t>
  </si>
  <si>
    <t>name_ur</t>
  </si>
  <si>
    <t>name_fa</t>
  </si>
  <si>
    <t>name_zht</t>
  </si>
  <si>
    <t>region_cod</t>
  </si>
  <si>
    <t>null</t>
  </si>
  <si>
    <t>CHN-1662</t>
  </si>
  <si>
    <t>è¥¿è—è‡ªæ²»å€|è¥¿è—è‡ªæ²»åŒº</t>
  </si>
  <si>
    <t>ZÃ¬zhÃ¬qu</t>
  </si>
  <si>
    <t>Autonomous Region</t>
  </si>
  <si>
    <t>CN.XZ</t>
  </si>
  <si>
    <t>Southwest China</t>
  </si>
  <si>
    <t>XZ</t>
  </si>
  <si>
    <t>CH14</t>
  </si>
  <si>
    <t>Tibet, CN, China</t>
  </si>
  <si>
    <t>Xizang</t>
  </si>
  <si>
    <t>Tibet Autonomous Region</t>
  </si>
  <si>
    <t>CN.14</t>
  </si>
  <si>
    <t>zho</t>
  </si>
  <si>
    <t>Q17269</t>
  </si>
  <si>
    <t>Ù…Ù†Ø·Ù‚Ø© Ø§Ù„ØªØ¨Øª Ø°Ø§ØªÙŠØ© Ø§Ù„Ø­ÙƒÙ…</t>
  </si>
  <si>
    <t>à¦¤à¦¿à¦¬à§à¦¬à¦¤ à¦¸à§à¦¬à¦¾à¦¯à¦¼à¦¤à§à¦¤à¦¶à¦¾à¦¸à¦¿à¦¤ à¦…à¦žà§à¦šà¦²</t>
  </si>
  <si>
    <t>Autonomes Gebiet Tibet</t>
  </si>
  <si>
    <t>TÃ­bet</t>
  </si>
  <si>
    <t>Î‘Ï…Ï„ÏŒÎ½Î¿Î¼Î· Î ÎµÏÎ¹Ï†Î­ÏÎµÎ¹Î± Ï„Î¿Ï… Î˜Î¹Î²Î­Ï„</t>
  </si>
  <si>
    <t>à¤¬à¥‹à¤¡ à¤¸à¥à¤µà¤¾à¤¯à¤¤à¥à¤¤ à¤•à¥à¤·à¥‡à¤¤à¥à¤°</t>
  </si>
  <si>
    <t>Tibeti AutonÃ³m TerÃ¼let</t>
  </si>
  <si>
    <t>regione autonoma del Tibet</t>
  </si>
  <si>
    <t>ãƒãƒ™ãƒƒãƒˆè‡ªæ²»åŒº</t>
  </si>
  <si>
    <t>í‹°ë² íŠ¸ ìžì¹˜êµ¬</t>
  </si>
  <si>
    <t>Tibetaanse Autonome Regio</t>
  </si>
  <si>
    <t>TybetaÅ„ski Autonomiczny</t>
  </si>
  <si>
    <t>do Tibete</t>
  </si>
  <si>
    <t>Ð¢Ð¸Ð±ÐµÑ‚ÑÐºÐ¸Ð¹ Ð°Ð²Ñ‚Ð¾Ð½Ð¾Ð¼Ð½Ñ‹Ð¹ Ñ€Ð°Ð¹Ð¾Ð½</t>
  </si>
  <si>
    <t>Autonoma regionen Tibet</t>
  </si>
  <si>
    <t>Tibet Ã–zerk BÃ¶lgesi</t>
  </si>
  <si>
    <t>Khu tá»± trá»‹ TÃ¢y Táº¡ng</t>
  </si>
  <si>
    <t>è¥¿è—è‡ªæ²»åŒº</t>
  </si>
  <si>
    <t>×”×ž×—×•×– ×”××•×˜×•× ×•×ž×™ ×”×˜×™×‘×˜×™</t>
  </si>
  <si>
    <t>Ð¢Ð¸Ð±ÐµÑ‚ÑÑŒÐºÐ¸Ð¹ Ð°Ð²Ñ‚Ð¾Ð½Ð¾Ð¼Ð½Ð¸Ð¹ Ñ€Ð°Ð¹Ð¾Ð½</t>
  </si>
  <si>
    <t>ØªØ¨Øª Ø®ÙˆØ¯ Ù…Ø®ØªØ§Ø± Ø¹Ù„Ø§Ù‚Û</t>
  </si>
  <si>
    <t>Ù…Ù†Ø·Ù‚Ù‡ Ø®ÙˆØ¯Ù…Ø®ØªØ§Ø± ØªØ¨Øª</t>
  </si>
  <si>
    <t>è¥¿è—è‡ªæ²»å€</t>
  </si>
  <si>
    <t>ESP-5815</t>
  </si>
  <si>
    <t>Ciudades AutÃ³nomas</t>
  </si>
  <si>
    <t>Autonomous City</t>
  </si>
  <si>
    <t>ES.CE</t>
  </si>
  <si>
    <t>SP00</t>
  </si>
  <si>
    <t>SP|</t>
  </si>
  <si>
    <t>Ceuta Province, ES, Spain</t>
  </si>
  <si>
    <t>Q5823</t>
  </si>
  <si>
    <t>Ø³Ø¨ØªØ©</t>
  </si>
  <si>
    <t>à¦¸à¦¿à¦‰à¦šà¦¾</t>
  </si>
  <si>
    <t>Î˜Î­Î¿Ï…Ï„Î±</t>
  </si>
  <si>
    <t>à¤¸à¥‡à¤‰à¤Ÿà¤¾</t>
  </si>
  <si>
    <t>ã‚»ã‚¦ã‚¿</t>
  </si>
  <si>
    <t>ì„¸ìš°íƒ€</t>
  </si>
  <si>
    <t>Ð¡ÐµÑƒÑ‚Ð°</t>
  </si>
  <si>
    <t>ä¼‘è¾¾</t>
  </si>
  <si>
    <t>×¡××•×˜×”</t>
  </si>
  <si>
    <t>Ø³Ø¨ØªÙ‡</t>
  </si>
  <si>
    <t>ä¼‘é”</t>
  </si>
  <si>
    <t>ESP-5842</t>
  </si>
  <si>
    <t>Comunidad AutÃ³noma</t>
  </si>
  <si>
    <t>Autonomous Community</t>
  </si>
  <si>
    <t>ES.CN</t>
  </si>
  <si>
    <t>Canary Is.</t>
  </si>
  <si>
    <t>Provincia de Santa Cruz de Tenerife</t>
  </si>
  <si>
    <t>Santa Cruz de Tenerife, Provincia de</t>
  </si>
  <si>
    <t>ES.TF</t>
  </si>
  <si>
    <t>SP53</t>
  </si>
  <si>
    <t>Q99976</t>
  </si>
  <si>
    <t>Ø³Ø§Ù†ØªØ§ ÙƒØ±ÙˆØ« Ø¯ÙŠ ØªÙŠÙ†ÙŠØ±ÙŠÙÙ‡</t>
  </si>
  <si>
    <t>à¦¸à§à¦¯à¦¾à¦¨à§à¦Ÿà¦¾ à¦•à§à¦°à§à¦œ à¦¦à§‡ à¦Ÿà§‡à¦¨à§‡à¦²à¦¿à¦«à§‡ à¦ªà§à¦°à¦¦à§‡à¦¶</t>
  </si>
  <si>
    <t>Santa Cruz de TÃ©nÃ©rife</t>
  </si>
  <si>
    <t>Î£Î¬Î½Ï„Î± ÎšÏÎ¿ÏÎ¸ ÎÏ„Îµ Î¤ÎµÎ½ÎµÏÎ¯Ï†Îµ</t>
  </si>
  <si>
    <t>à¤¸à¥ˆà¤‚à¤Ÿà¤¾ à¤•à¥à¤°à¥‚à¤œà¤¼ à¤¡à¥€ à¤Ÿà¥ˆà¤¨à¥‡à¤°à¥€à¤« à¤ªà¥à¤°à¤¾à¤‚à¤¤</t>
  </si>
  <si>
    <t>ã‚µãƒ³ã‚¿ãƒ»ã‚¯ãƒ«ã‚¹ãƒ»ãƒ‡ãƒ»ãƒ†ãƒãƒªãƒ•ã‚§çœŒ</t>
  </si>
  <si>
    <t>ì‚°íƒ€í¬ë£¨ìŠ¤ë°í…Œë„¤ë¦¬íŽ˜</t>
  </si>
  <si>
    <t>Ð¡Ð°Ð½Ñ‚Ð°-ÐšÑ€ÑƒÑ-Ð´Ðµ-Ð¢ÐµÐ½ÐµÑ€Ð¸Ñ„Ðµ</t>
  </si>
  <si>
    <t>Santa Cruz de Tenerife Ä°li</t>
  </si>
  <si>
    <t>åœ£å…‹é²æ–¯-å¾·ç‰¹å†…é‡Œè´¹çœ</t>
  </si>
  <si>
    <t>×¡× ×˜×” ×§×¨×•×– ×“×” ×˜× ×¨×™×£</t>
  </si>
  <si>
    <t>ØµÙˆØ¨Û Ø³Ø§Ù†ØªØ§ Ú©Ø±ÙˆØ² Ø¯Û’ ÙÛŒÙ†ÛŒØ±ÛŒÙÛ’</t>
  </si>
  <si>
    <t>Ø³Ø§Ù†ØªØ§ Ú©Ø±ÙˆØ³</t>
  </si>
  <si>
    <t>è–å…‹é­¯æ–¯-å¾·ç‰¹å…§é‡Œè²»çœ</t>
  </si>
  <si>
    <t>ESP-5835</t>
  </si>
  <si>
    <t>ES.ML</t>
  </si>
  <si>
    <t>Melilla Province, ES, Spain</t>
  </si>
  <si>
    <t>ES.ME</t>
  </si>
  <si>
    <t>Q5831</t>
  </si>
  <si>
    <t>Ù…Ù„ÙŠÙ„ÙŠØ©</t>
  </si>
  <si>
    <t>à¦®à§‡à¦²à¦¿à¦²à¦¾</t>
  </si>
  <si>
    <t>ÎœÎµÎ»Î¯Î³Î¹Î±</t>
  </si>
  <si>
    <t>à¤®à¥‡à¤²à¤¿à¤²à¤¾</t>
  </si>
  <si>
    <t>ãƒ¡ãƒªãƒªãƒ£</t>
  </si>
  <si>
    <t>ë©œë¦¬ì•¼</t>
  </si>
  <si>
    <t>ÐœÐµÐ»Ð¸Ð»ÑŒÑ</t>
  </si>
  <si>
    <t>æ¢…åˆ©åˆ©äºš</t>
  </si>
  <si>
    <t>×ž×œ×™×™×”</t>
  </si>
  <si>
    <t>ÐœÐµÐ»Ñ–Ð»ÑŒÑ</t>
  </si>
  <si>
    <t>Ù…Ù„ÛŒÙ„Û</t>
  </si>
  <si>
    <t>Ù…Ù„ÛŒÙ„ÛŒÙ‡</t>
  </si>
  <si>
    <t>éº¥é‡Œäºž</t>
  </si>
  <si>
    <t>ESP-5808</t>
  </si>
  <si>
    <t>ES.PM</t>
  </si>
  <si>
    <t>Islas Baleares</t>
  </si>
  <si>
    <t>SP07</t>
  </si>
  <si>
    <t>Balearic Islands, ES, Spain</t>
  </si>
  <si>
    <t>Islas Baleares, Comunidad Autonoma de las</t>
  </si>
  <si>
    <t>Q5765</t>
  </si>
  <si>
    <t>Ø¬Ø²Ø± Ø§Ù„Ø¨Ù„ÙŠØ§Ø±</t>
  </si>
  <si>
    <t>à¦¬à¦¾à¦²à§‡à¦¯à¦¼à¦¾à¦° à¦¦à§à¦¬à§€à¦ªà¦ªà§à¦žà§à¦œ</t>
  </si>
  <si>
    <t>Balearische Inseln</t>
  </si>
  <si>
    <t>Balearic Islands</t>
  </si>
  <si>
    <t>ÃŽles BalÃ©ares</t>
  </si>
  <si>
    <t>Î’Î±Î»ÎµÎ±ÏÎ¯Î´ÎµÏ‚ ÎÎ®ÏƒÎ¿Î¹</t>
  </si>
  <si>
    <t>à¤¬à¥ˆà¤²à¥‡à¤°à¤¿à¤• à¤¦à¥à¤µà¥€à¤ªà¤¸à¤®à¥‚à¤¹</t>
  </si>
  <si>
    <t>BaleÃ¡r-szigetek</t>
  </si>
  <si>
    <t>Kepulauan Balears</t>
  </si>
  <si>
    <t>isole Baleari</t>
  </si>
  <si>
    <t>ãƒãƒ¬ã‚¢ãƒ¬ã‚¹è«¸å³¶</t>
  </si>
  <si>
    <t>ë°œë ˆì•„ë ˆìŠ¤ ì œë„</t>
  </si>
  <si>
    <t>Balearen</t>
  </si>
  <si>
    <t>Baleary</t>
  </si>
  <si>
    <t>Ilhas Baleares</t>
  </si>
  <si>
    <t>Ð‘Ð°Ð»ÐµÐ°Ñ€ÑÐºÐ¸Ðµ Ð¾ÑÑ‚Ñ€Ð¾Ð²Ð°</t>
  </si>
  <si>
    <t>Balearerna</t>
  </si>
  <si>
    <t>Balear AdalarÄ±</t>
  </si>
  <si>
    <t>Quáº§n Ä‘áº£o Baleares</t>
  </si>
  <si>
    <t>å·´åˆ©é˜¿é‡Œç¾¤å²›</t>
  </si>
  <si>
    <t>×”××™×™× ×”×‘×œ××¨×™×™×</t>
  </si>
  <si>
    <t>Ð‘Ð°Ð»ÐµÐ°Ñ€ÑÑŒÐºÑ– Ð¾ÑÑ‚Ñ€Ð¾Ð²Ð¸</t>
  </si>
  <si>
    <t>Ø¬Ø²Ø§Ø¦Ø± Ø¨Ù„ÛŒØ¨Ø§Ø±</t>
  </si>
  <si>
    <t>Ø¬Ø²Ø§ÛŒØ± Ø¨Ø§Ù„Ø¦Ø§Ø±ÛŒ</t>
  </si>
  <si>
    <t>å·´åˆ©äºžåˆ©ç¾¤å³¶</t>
  </si>
  <si>
    <t>FRA-2000</t>
  </si>
  <si>
    <t>Guyane franÃ§aise</t>
  </si>
  <si>
    <t>Overseas dÃ©partement</t>
  </si>
  <si>
    <t>Overseas department</t>
  </si>
  <si>
    <t>GF.X00~</t>
  </si>
  <si>
    <t>FG01</t>
  </si>
  <si>
    <t>GUF</t>
  </si>
  <si>
    <t>Guyane</t>
  </si>
  <si>
    <t>Guyane, Departement de la</t>
  </si>
  <si>
    <t>FR.973</t>
  </si>
  <si>
    <t>fra</t>
  </si>
  <si>
    <t>FG00</t>
  </si>
  <si>
    <t>Q3769</t>
  </si>
  <si>
    <t>ØºÙˆÙŠØ§Ù†Ø§ Ø§Ù„ÙØ±Ù†Ø³ÙŠØ©</t>
  </si>
  <si>
    <t>à¦«à¦°à¦¾à¦¸à¦¿ à¦—à¦¾à¦¯à¦¼à¦¾à¦¨à¦¾</t>
  </si>
  <si>
    <t>FranzÃ¶sisch-Guayana</t>
  </si>
  <si>
    <t>Guayana Francesa</t>
  </si>
  <si>
    <t>Î“Î±Î»Î»Î¹ÎºÎ® Î“Î¿Ï…Î¹Î¬Î½Î±</t>
  </si>
  <si>
    <t>à¤«à¤¼à¥à¤°à¤¾à¤¨à¥à¤¸à¥€à¤¸à¥€ à¤—à¥à¤¯à¤¾à¤¨à¤¾</t>
  </si>
  <si>
    <t>Francia Guyana</t>
  </si>
  <si>
    <t>Guyana Perancis</t>
  </si>
  <si>
    <t>Guyana francese</t>
  </si>
  <si>
    <t>ãƒ•ãƒ©ãƒ³ã‚¹é ˜ã‚®ã‚¢ãƒŠ</t>
  </si>
  <si>
    <t>í”„ëž‘ìŠ¤ë ¹ ê¸°ì•„ë‚˜</t>
  </si>
  <si>
    <t>Frans-Guyana</t>
  </si>
  <si>
    <t>Gujana Francuska</t>
  </si>
  <si>
    <t>Guiana Francesa</t>
  </si>
  <si>
    <t>Ð¤Ñ€Ð°Ð½Ñ†ÑƒÐ·ÑÐºÐ°Ñ Ð“Ð²Ð¸Ð°Ð½Ð°</t>
  </si>
  <si>
    <t>Franska Guyana</t>
  </si>
  <si>
    <t>FransÄ±z GuyanasÄ±</t>
  </si>
  <si>
    <t>Guyane thuá»™c PhÃ¡p</t>
  </si>
  <si>
    <t>æ³•å±žåœ­äºšé‚£</t>
  </si>
  <si>
    <t>×’×™×× ×” ×”×¦×¨×¤×ª×™×ª</t>
  </si>
  <si>
    <t>Ð¤Ñ€Ð°Ð½Ñ†ÑƒÐ·ÑŒÐºÐ° Ð“Ð²Ñ–Ð°Ð½Ð°</t>
  </si>
  <si>
    <t>ÙØ±Ø§Ù†Ø³ÛŒØ³ÛŒ Ú¯ÛŒØ§Ù†Ø§</t>
  </si>
  <si>
    <t>Ú¯ÙˆÛŒØ§Ù† ÙØ±Ø§Ù†Ø³Ù‡</t>
  </si>
  <si>
    <t>æ³•å±¬åœ­äºžé‚£</t>
  </si>
  <si>
    <t>FR-GUF</t>
  </si>
  <si>
    <t>FRA-4603</t>
  </si>
  <si>
    <t>GP.X00~</t>
  </si>
  <si>
    <t>GLP</t>
  </si>
  <si>
    <t>Guadeloupe, Departement de la</t>
  </si>
  <si>
    <t>FR.971</t>
  </si>
  <si>
    <t>GP00</t>
  </si>
  <si>
    <t>Q17012</t>
  </si>
  <si>
    <t>ØºÙˆØ§Ø¯Ù„ÙˆØ¨</t>
  </si>
  <si>
    <t>à¦—à§à¦¯à¦¼à¦¾à¦¦à¦²à§à¦ª</t>
  </si>
  <si>
    <t>Guadalupe</t>
  </si>
  <si>
    <t>Î“Î¿Ï…Î±Î´ÎµÎ»Î¿ÏÏ€Î·</t>
  </si>
  <si>
    <t>à¤—à¥à¤†à¤¦à¥‡à¤²à¥‚à¤ª</t>
  </si>
  <si>
    <t>Guadalupa</t>
  </si>
  <si>
    <t>ã‚°ã‚¢ãƒ‰ãƒ«ãƒ¼ãƒ—</t>
  </si>
  <si>
    <t>ê³¼ë“¤ë£¨í”„</t>
  </si>
  <si>
    <t>Gwadelupa</t>
  </si>
  <si>
    <t>Ð“Ð²Ð°Ð´ÐµÐ»ÑƒÐ¿Ð°</t>
  </si>
  <si>
    <t>ç“œå¾·ç½—æ™®</t>
  </si>
  <si>
    <t>×’×•×•××“×œ×•×¤</t>
  </si>
  <si>
    <t>Ú¯ÙˆØ§ÚˆÛŒÙ„ÙˆÙ¾</t>
  </si>
  <si>
    <t>Ø¬Ø²ÛŒØ±Ù‡ Ú¯ÙˆØ§Ø¯Ù„ÙˆÙ¾</t>
  </si>
  <si>
    <t>ç“œå¾·ç¾…æ™®</t>
  </si>
  <si>
    <t>FR-GUA</t>
  </si>
  <si>
    <t>FRA-1442</t>
  </si>
  <si>
    <t>MQ.X00~</t>
  </si>
  <si>
    <t>FF</t>
  </si>
  <si>
    <t>MB**</t>
  </si>
  <si>
    <t>MTQ</t>
  </si>
  <si>
    <t>Martinique, Departement de la</t>
  </si>
  <si>
    <t>FR.972</t>
  </si>
  <si>
    <t>MB00</t>
  </si>
  <si>
    <t>Q17054</t>
  </si>
  <si>
    <t>Ù…Ø§Ø±ØªÙŠÙ†ÙŠÙƒ</t>
  </si>
  <si>
    <t>à¦®à¦¾à¦°à§à¦¤à¦¿à¦¨à¦¿à¦•</t>
  </si>
  <si>
    <t>Martinica</t>
  </si>
  <si>
    <t>ÎœÎ±ÏÏ„Î¹Î½Î¯ÎºÎ±</t>
  </si>
  <si>
    <t>à¤®à¤¾à¤°à¥à¤Ÿà¥€à¤¨à¤¿à¤•</t>
  </si>
  <si>
    <t>Martinik</t>
  </si>
  <si>
    <t>ãƒžãƒ«ãƒ†ã‚£ãƒ‹ãƒ¼ã‚¯</t>
  </si>
  <si>
    <t>ë§ˆë¥´í‹°ë‹ˆí¬</t>
  </si>
  <si>
    <t>Martynika</t>
  </si>
  <si>
    <t>ÐœÐ°Ñ€Ñ‚Ð¸Ð½Ð¸ÐºÐ°</t>
  </si>
  <si>
    <t>é©¬æå°¼å…‹</t>
  </si>
  <si>
    <t>×ž×¨×˜×™× ×™×§</t>
  </si>
  <si>
    <t>ÐœÐ°Ñ€Ñ‚Ð¸Ð½Ñ–ÐºÐ°</t>
  </si>
  <si>
    <t>Ù…Ø§Ø±Ù¹ÛŒÙ†ÛŒÚ©</t>
  </si>
  <si>
    <t>Ù…Ø§Ø±ØªÛŒÙ†ÛŒÚ©</t>
  </si>
  <si>
    <t>é¦¬ä¸å°¼å…‹</t>
  </si>
  <si>
    <t>FR-MTQ</t>
  </si>
  <si>
    <t>FRA-4601</t>
  </si>
  <si>
    <t>La RÃ©union</t>
  </si>
  <si>
    <t>RE.X00~</t>
  </si>
  <si>
    <t>RÃ©union</t>
  </si>
  <si>
    <t>Reunion</t>
  </si>
  <si>
    <t>REU</t>
  </si>
  <si>
    <t>Reunion, Department de la</t>
  </si>
  <si>
    <t>FR.974</t>
  </si>
  <si>
    <t>RE00</t>
  </si>
  <si>
    <t>Q17070</t>
  </si>
  <si>
    <t>Ù„Ø§ Ø±ÙŠÙˆÙ†ÙŠÙˆÙ†</t>
  </si>
  <si>
    <t>à¦°à§‡à¦‰à¦¨à¦¿à¦“à¦</t>
  </si>
  <si>
    <t>ReuniÃ³n</t>
  </si>
  <si>
    <t>Î¡ÎµÏ‹Î½Î¹ÏŒÎ½</t>
  </si>
  <si>
    <t>à¤°à¥‡à¤¯à¥‚à¤¨à¤¿à¤¯à¥‹à¤‚</t>
  </si>
  <si>
    <t>Riunione</t>
  </si>
  <si>
    <t>ãƒ¬ãƒ¦ãƒ‹ã‚ªãƒ³</t>
  </si>
  <si>
    <t>ë ˆìœ„ë‹ˆì˜¹</t>
  </si>
  <si>
    <t>ReuniÃ£o</t>
  </si>
  <si>
    <t>Ð ÐµÑŽÐ½ÑŒÐ¾Ð½</t>
  </si>
  <si>
    <t>ç•™å°¼æ±ª</t>
  </si>
  <si>
    <t>×¨××•× ×™×•×Ÿ</t>
  </si>
  <si>
    <t>Ð ÐµÑŽÐ½ÑŒÐ¹Ð¾Ð½</t>
  </si>
  <si>
    <t>ØºÛ’ ÛŒÙˆÙ†ÛŒÙˆÚº</t>
  </si>
  <si>
    <t>Ø±Ø¦ÙˆÙ†ÛŒÙˆÙ†</t>
  </si>
  <si>
    <t>ç•™å°¼æ—º</t>
  </si>
  <si>
    <t>FR-LRE</t>
  </si>
  <si>
    <t>FRA-4602</t>
  </si>
  <si>
    <t>YT.YT</t>
  </si>
  <si>
    <t>MYT</t>
  </si>
  <si>
    <t>Mayotte, Departement de</t>
  </si>
  <si>
    <t>FR.976</t>
  </si>
  <si>
    <t>MF00</t>
  </si>
  <si>
    <t>Q17063</t>
  </si>
  <si>
    <t>Ù…Ø§ÙŠÙˆØª</t>
  </si>
  <si>
    <t>à¦®à¦¾à¦¯à¦¼à§‹à¦¤</t>
  </si>
  <si>
    <t>ÎœÎ±Î³Î¹ÏŒÏ„</t>
  </si>
  <si>
    <t>à¤®à¥‡à¤¯à¥‹à¤Ÿ</t>
  </si>
  <si>
    <t>ãƒžãƒ¨ãƒƒãƒˆ</t>
  </si>
  <si>
    <t>ë§ˆìš”íŠ¸</t>
  </si>
  <si>
    <t>Majotta</t>
  </si>
  <si>
    <t>ÐœÐ°Ð¹Ð¾Ñ‚Ñ‚Ð°</t>
  </si>
  <si>
    <t>é©¬çº¦ç‰¹</t>
  </si>
  <si>
    <t>×ž×™×•×˜</t>
  </si>
  <si>
    <t>Ù…Ø§ÛŒÙˆÙ¹</t>
  </si>
  <si>
    <t>Ù…Ø§ÛŒÙˆØª</t>
  </si>
  <si>
    <t>FR-MAY</t>
  </si>
  <si>
    <t>NLD-5149</t>
  </si>
  <si>
    <t>http://en.wikipedia.org/wiki/Bonaire</t>
  </si>
  <si>
    <t>Bijzondere Gemeenten</t>
  </si>
  <si>
    <t>Special Municipality</t>
  </si>
  <si>
    <t>BQ.BO</t>
  </si>
  <si>
    <t>Bonaire, AN, Netherlands Antilles</t>
  </si>
  <si>
    <t>Caribbean Netherlands</t>
  </si>
  <si>
    <t>NL.BO</t>
  </si>
  <si>
    <t>Q25396</t>
  </si>
  <si>
    <t>Ø¨ÙˆÙ†ÙŠØ±</t>
  </si>
  <si>
    <t>à¦¬à§‹à¦¨à¦¾à¦‡à¦°</t>
  </si>
  <si>
    <t>ÎœÏ€Î¿Î½Î±Î¯Ï</t>
  </si>
  <si>
    <t>à¤¬à¥‹à¤¨à¥‡à¤¯à¥‡à¤°</t>
  </si>
  <si>
    <t>ãƒœãƒãƒ¼ãƒ«å³¶</t>
  </si>
  <si>
    <t>ë³´ë„¤ë¥´ì„¬</t>
  </si>
  <si>
    <t>Ð‘Ð¾Ð½ÑÐ¹Ñ€</t>
  </si>
  <si>
    <t>åšå¥ˆå°”</t>
  </si>
  <si>
    <t>×‘×•× ×™×™×¨</t>
  </si>
  <si>
    <t>Ð‘Ð¾Ð½Ð°Ð¹Ñ€Ðµ</t>
  </si>
  <si>
    <t>Ø¨ÙˆÙ†Ø§ÛŒØ±</t>
  </si>
  <si>
    <t>Ø¨ÙˆÙ†ÛŒØ±</t>
  </si>
  <si>
    <t>æ³¢å¥ˆ</t>
  </si>
  <si>
    <t>NLD-5147</t>
  </si>
  <si>
    <t>http://en.wikipedia.org/wiki/Saba</t>
  </si>
  <si>
    <t>BQ.SB</t>
  </si>
  <si>
    <t>NL.SB</t>
  </si>
  <si>
    <t>Q25528</t>
  </si>
  <si>
    <t>Ø³Ø§Ø¨Ø§</t>
  </si>
  <si>
    <t>à¦¸à¦¾à¦¬à¦¾</t>
  </si>
  <si>
    <t>Î£Î¬Î¼Ï€Î±</t>
  </si>
  <si>
    <t>à¤¸à¤¾à¤¬à¤¾</t>
  </si>
  <si>
    <t>ã‚µãƒå³¶</t>
  </si>
  <si>
    <t>ì‚¬ë°”ì„¬</t>
  </si>
  <si>
    <t>Ð¡Ð°Ð±Ð°</t>
  </si>
  <si>
    <t>è–©å·´</t>
  </si>
  <si>
    <t>×¡××‘×</t>
  </si>
  <si>
    <t>ØµØ¨Ø§</t>
  </si>
  <si>
    <t>Ø³ÛŒØ¨Ø§</t>
  </si>
  <si>
    <t>NLD-5148</t>
  </si>
  <si>
    <t>http://en.wikipedia.org/wiki/Sint_Eustatius</t>
  </si>
  <si>
    <t>St. Eustatius</t>
  </si>
  <si>
    <t>BQ.SE</t>
  </si>
  <si>
    <t>NLBQ3</t>
  </si>
  <si>
    <t>NL.SE</t>
  </si>
  <si>
    <t>Q26180</t>
  </si>
  <si>
    <t>Ø³ÙŠÙ†Øª Ø£ÙˆØ³ØªØ§ØªÙŠÙˆØ³</t>
  </si>
  <si>
    <t>à¦¸à¦¿à¦¨à§à¦Ÿ à¦à¦‰à¦¸à§à¦¤à¦¾à¦¤à¦¿à¦‰à¦¸</t>
  </si>
  <si>
    <t>San Eustaquio</t>
  </si>
  <si>
    <t>Saint-Eustache</t>
  </si>
  <si>
    <t>Î†Î³Î¹Î¿Ï‚ Î•Ï…ÏƒÏ„Î¬Î¸Î¹Î¿Ï‚</t>
  </si>
  <si>
    <t>à¤¸à¤¿à¤‚à¤Ÿ à¤¯à¥‚à¤¸à¥à¤Ÿà¥‡à¤¶à¤¿à¤¯à¤¸</t>
  </si>
  <si>
    <t>ã‚·ãƒ³ãƒˆãƒ»ãƒ¦ãƒ¼ã‚¹ã‚¿ãƒ†ã‚£ã‚¦ã‚¹å³¶</t>
  </si>
  <si>
    <t>ì‹ íŠ¸ì™¸ìŠ¤íƒ€í‹°ìœ„ìŠ¤ì„¬</t>
  </si>
  <si>
    <t>Santo EustÃ¡quio</t>
  </si>
  <si>
    <t>Ð¡Ð¸Ð½Ñ‚-Ð­ÑÑ‚Ð°Ñ‚Ð¸ÑƒÑ</t>
  </si>
  <si>
    <t>åœ£å°¤æ–¯ç‰¹æ­‡æ–¯</t>
  </si>
  <si>
    <t>×¡× ×˜ ××•×¡×˜×˜×™×•×¡</t>
  </si>
  <si>
    <t>Ð¡Ñ–Ð½Ñ‚-Ð•ÑÑ‚Ð°Ñ‚Ñ–ÑƒÑ</t>
  </si>
  <si>
    <t>Ø³ÛŒÙ†Ù¹ Ø§ÛŒÙˆØ³Ù¹Ø§Ø¦ÛŒØ³</t>
  </si>
  <si>
    <t>Ø³ÛŒÙ†Øª ÛŒÙˆØ³ØªÛŒØ´Ø³</t>
  </si>
  <si>
    <t>PRT-735</t>
  </si>
  <si>
    <t>AÃ§ores</t>
  </si>
  <si>
    <t>RegiÃµes autÃ´noma</t>
  </si>
  <si>
    <t>Autonomous region</t>
  </si>
  <si>
    <t>PT.AC</t>
  </si>
  <si>
    <t>PO23</t>
  </si>
  <si>
    <t>Azores, PT, Portugal</t>
  </si>
  <si>
    <t>PAZ</t>
  </si>
  <si>
    <t>Regiao Autonoma dos Acores</t>
  </si>
  <si>
    <t>Acores, Regiao Autonoma dos</t>
  </si>
  <si>
    <t>PT.23</t>
  </si>
  <si>
    <t>Q25263</t>
  </si>
  <si>
    <t>Ø§Ù„Ø£Ø²ÙˆØ±</t>
  </si>
  <si>
    <t>à¦…à§à¦¯à¦¾à¦œà§‹à¦°à§‡à¦¸</t>
  </si>
  <si>
    <t>Azoren</t>
  </si>
  <si>
    <t>Î‘Î¶ÏŒÏÎµÏ‚</t>
  </si>
  <si>
    <t>à¤à¤œà¤¼à¥‹à¤°à¥‡à¤¸</t>
  </si>
  <si>
    <t>Azori-szigetek</t>
  </si>
  <si>
    <t>Azzorre</t>
  </si>
  <si>
    <t>ã‚¢ã‚¾ãƒ¬ã‚¹è«¸å³¶</t>
  </si>
  <si>
    <t>ì•„ì†Œë¥´ìŠ¤ ì œë„</t>
  </si>
  <si>
    <t>Azory</t>
  </si>
  <si>
    <t>ÐÐ·Ð¾Ñ€ÑÐºÐ¸Ðµ Ð¾ÑÑ‚Ñ€Ð¾Ð²Ð°</t>
  </si>
  <si>
    <t>Azorerna</t>
  </si>
  <si>
    <t>Azorlar</t>
  </si>
  <si>
    <t>äºšé€Ÿå°”ç¾¤å²›</t>
  </si>
  <si>
    <t>×”××™×™× ×”××–×•×¨×™×™×</t>
  </si>
  <si>
    <t>ÐÐ·Ð¾Ñ€ÑÑŒÐºÑ– Ð¾ÑÑ‚Ñ€Ð¾Ð²Ð¸</t>
  </si>
  <si>
    <t>Ø¢Ø²ÙˆØ±Ø³</t>
  </si>
  <si>
    <t>Ø¢Ø²ÙˆØ±</t>
  </si>
  <si>
    <t>äºžé€Ÿç¾¤å³¶</t>
  </si>
  <si>
    <t>PRT-736</t>
  </si>
  <si>
    <t>PT.MA</t>
  </si>
  <si>
    <t>PO10</t>
  </si>
  <si>
    <t>Madeira, PT, Portugal</t>
  </si>
  <si>
    <t>PMD</t>
  </si>
  <si>
    <t>Regiao Autonoma da Madeira</t>
  </si>
  <si>
    <t>Madeira, Regiao Autonoma da</t>
  </si>
  <si>
    <t>PT.10</t>
  </si>
  <si>
    <t>Q26253</t>
  </si>
  <si>
    <t>Ù…Ø§Ø¯ÙŠØ±Ø§</t>
  </si>
  <si>
    <t>à¦®à¦¾à¦¦à¦¿à§Ÿà§‡à¦°à¦¾</t>
  </si>
  <si>
    <t>Autonome Madeira</t>
  </si>
  <si>
    <t>MadÃ¨re</t>
  </si>
  <si>
    <t>ÎœÎ±Î´Î­ÏÎ±</t>
  </si>
  <si>
    <t>à¤®à¤¦à¥‡à¤°à¤¾</t>
  </si>
  <si>
    <t>Madeira-szigetek</t>
  </si>
  <si>
    <t>Madera</t>
  </si>
  <si>
    <t>ãƒžãƒ‡ã‚¤ãƒ©è«¸å³¶</t>
  </si>
  <si>
    <t>ë§ˆë°ì´ë¼ ì œë„</t>
  </si>
  <si>
    <t>da Madeira</t>
  </si>
  <si>
    <t>ÐœÐ°Ð´ÐµÐ¹Ñ€Ð°</t>
  </si>
  <si>
    <t>Madeira AdalarÄ±</t>
  </si>
  <si>
    <t>é©¬å¾·æ‹‰</t>
  </si>
  <si>
    <t>×ž×“×™×™×¨×”</t>
  </si>
  <si>
    <t>Ù…Ø§Ø¯ÛŒØ¹ÛŒØ±Ø§</t>
  </si>
  <si>
    <t>Ù…Ø§Ø¯ÛŒØ±Ø§</t>
  </si>
  <si>
    <t>é¦¬å¾·æ‹‰</t>
  </si>
  <si>
    <t>Cóte d'Ivoire</t>
  </si>
  <si>
    <t>Saint-Barthélemy</t>
  </si>
  <si>
    <t>U.S. Minor Outlying Islands</t>
  </si>
  <si>
    <t>Saint Kitts and NevisSaint Kitts and Nevis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</si>
</sst>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3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A5A5A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3" fillId="3" borderId="2" applyNumberFormat="0" applyAlignment="0" applyProtection="0"/>
    <xf numFmtId="0" fontId="5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2"/>
    <xf numFmtId="0" fontId="1" fillId="0" borderId="0" xfId="0" applyFont="1" applyAlignment="1">
      <alignment horizontal="left" indent="1"/>
    </xf>
    <xf numFmtId="0" fontId="6" fillId="0" borderId="0" xfId="0" applyFont="1"/>
    <xf numFmtId="0" fontId="8" fillId="0" borderId="0" xfId="0" applyFont="1"/>
    <xf numFmtId="0" fontId="8" fillId="0" borderId="1" xfId="0" applyFont="1" applyBorder="1"/>
    <xf numFmtId="14" fontId="0" fillId="0" borderId="0" xfId="0" applyNumberFormat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10" fillId="0" borderId="0" xfId="0" applyFont="1"/>
    <xf numFmtId="0" fontId="7" fillId="2" borderId="3" xfId="0" applyFont="1" applyFill="1" applyBorder="1" applyAlignment="1">
      <alignment horizontal="center"/>
    </xf>
    <xf numFmtId="0" fontId="7" fillId="2" borderId="3" xfId="0" applyFont="1" applyFill="1" applyBorder="1"/>
    <xf numFmtId="0" fontId="11" fillId="0" borderId="0" xfId="0" applyFont="1"/>
    <xf numFmtId="0" fontId="9" fillId="0" borderId="1" xfId="0" applyFont="1" applyBorder="1" applyAlignment="1">
      <alignment horizontal="center" vertical="center"/>
    </xf>
    <xf numFmtId="0" fontId="12" fillId="0" borderId="0" xfId="0" applyFont="1"/>
    <xf numFmtId="0" fontId="7" fillId="3" borderId="4" xfId="1" applyFont="1" applyBorder="1"/>
    <xf numFmtId="0" fontId="0" fillId="0" borderId="5" xfId="0" applyBorder="1"/>
    <xf numFmtId="0" fontId="8" fillId="0" borderId="5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1" xfId="0" applyFont="1" applyBorder="1"/>
    <xf numFmtId="0" fontId="7" fillId="2" borderId="1" xfId="0" applyFont="1" applyFill="1" applyBorder="1" applyAlignment="1">
      <alignment horizontal="center"/>
    </xf>
    <xf numFmtId="0" fontId="0" fillId="4" borderId="1" xfId="0" applyFill="1" applyBorder="1"/>
    <xf numFmtId="0" fontId="8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15" fillId="2" borderId="3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9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right" indent="2"/>
    </xf>
    <xf numFmtId="0" fontId="17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center"/>
    </xf>
    <xf numFmtId="0" fontId="9" fillId="0" borderId="5" xfId="0" applyFont="1" applyBorder="1"/>
    <xf numFmtId="0" fontId="18" fillId="0" borderId="5" xfId="0" applyFont="1" applyBorder="1" applyAlignment="1">
      <alignment horizontal="center"/>
    </xf>
    <xf numFmtId="0" fontId="18" fillId="0" borderId="5" xfId="0" applyFont="1" applyBorder="1"/>
    <xf numFmtId="0" fontId="0" fillId="6" borderId="0" xfId="0" applyFill="1"/>
  </cellXfs>
  <cellStyles count="3">
    <cellStyle name="Check Cell" xfId="1" builtinId="23"/>
    <cellStyle name="Hyperlink" xfId="2" builtinId="8"/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double">
          <color rgb="FF3F3F3F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orlett" refreshedDate="45760.804462731481" createdVersion="8" refreshedVersion="8" minRefreshableVersion="3" recordCount="213" xr:uid="{D09842B2-567A-485C-9501-B43ED4EE742D}">
  <cacheSource type="worksheet">
    <worksheetSource name="Table1"/>
  </cacheSource>
  <cacheFields count="7">
    <cacheField name="Code" numFmtId="0">
      <sharedItems containsBlank="1"/>
    </cacheField>
    <cacheField name="Country or Territory" numFmtId="0">
      <sharedItems/>
    </cacheField>
    <cacheField name="Political Status" numFmtId="0">
      <sharedItems count="14">
        <s v="Sovereign State"/>
        <s v="Constituent country of the Kingdom of the Netherlands"/>
        <s v="Overseas territory of the United Kingdom"/>
        <s v="Autonomous Community of Spain"/>
        <s v="Crown dependency of the United Kingdom"/>
        <s v="Self-governing territory of the Danish Realm"/>
        <s v="Overseas collectivity of France"/>
        <s v="Overseas department of France"/>
        <s v="NOT Sovereign State"/>
        <s v="Special Administrative Region of China"/>
        <s v="De facto sovereign state recognized by 108 UN member states"/>
        <s v="Autonomous Region of Portugal"/>
        <s v="Commonwealth/Insular Area of the United States"/>
        <s v="Insular area of the United States"/>
      </sharedItems>
    </cacheField>
    <cacheField name="Chris" numFmtId="0">
      <sharedItems containsBlank="1"/>
    </cacheField>
    <cacheField name="Maggie" numFmtId="0">
      <sharedItems containsBlank="1"/>
    </cacheField>
    <cacheField name="Allyson" numFmtId="0">
      <sharedItems containsBlank="1"/>
    </cacheField>
    <cacheField name="Edwar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AF "/>
    <s v="Afghanistan"/>
    <x v="0"/>
    <s v="Y"/>
    <m/>
    <m/>
    <m/>
  </r>
  <r>
    <s v="AL "/>
    <s v="Albania"/>
    <x v="0"/>
    <s v="Y"/>
    <s v="Y"/>
    <m/>
    <m/>
  </r>
  <r>
    <s v="DZ "/>
    <s v="Algeria"/>
    <x v="0"/>
    <m/>
    <m/>
    <m/>
    <m/>
  </r>
  <r>
    <s v="AD "/>
    <s v="Andorra"/>
    <x v="0"/>
    <m/>
    <m/>
    <m/>
    <m/>
  </r>
  <r>
    <s v="AO "/>
    <s v="Angola"/>
    <x v="0"/>
    <m/>
    <m/>
    <m/>
    <m/>
  </r>
  <r>
    <s v="AG "/>
    <s v="Antigua and Barbuda"/>
    <x v="0"/>
    <s v="Y"/>
    <s v="Y"/>
    <s v="Y"/>
    <s v="Y"/>
  </r>
  <r>
    <s v="AR "/>
    <s v="Argentina"/>
    <x v="0"/>
    <s v="Y"/>
    <s v="Y"/>
    <s v="Y"/>
    <s v="Y"/>
  </r>
  <r>
    <s v="AM "/>
    <s v="Armenia"/>
    <x v="0"/>
    <s v="Y"/>
    <s v="Y"/>
    <m/>
    <m/>
  </r>
  <r>
    <s v="AW"/>
    <s v="Aruba"/>
    <x v="1"/>
    <s v="Y"/>
    <s v="Y"/>
    <s v="Y"/>
    <s v="Y"/>
  </r>
  <r>
    <s v="AU "/>
    <s v="Australia"/>
    <x v="0"/>
    <s v="Y"/>
    <s v="Y"/>
    <s v="Y"/>
    <s v="Y"/>
  </r>
  <r>
    <s v="AT "/>
    <s v="Austria"/>
    <x v="0"/>
    <s v="Y"/>
    <s v="Y"/>
    <s v="Y"/>
    <s v="Y"/>
  </r>
  <r>
    <s v="AZ "/>
    <s v="Azerbaijan"/>
    <x v="0"/>
    <s v="Y"/>
    <s v="Y"/>
    <m/>
    <m/>
  </r>
  <r>
    <s v="BH "/>
    <s v="Bahrain"/>
    <x v="0"/>
    <m/>
    <s v="  "/>
    <m/>
    <m/>
  </r>
  <r>
    <s v="BD "/>
    <s v="Bangladesh"/>
    <x v="0"/>
    <m/>
    <m/>
    <m/>
    <m/>
  </r>
  <r>
    <s v="BB "/>
    <s v="Barbados"/>
    <x v="0"/>
    <m/>
    <m/>
    <m/>
    <m/>
  </r>
  <r>
    <s v="BY "/>
    <s v="Belarus"/>
    <x v="0"/>
    <m/>
    <m/>
    <m/>
    <m/>
  </r>
  <r>
    <s v="BE "/>
    <s v="Belgium"/>
    <x v="0"/>
    <s v="Y "/>
    <s v="Y"/>
    <m/>
    <m/>
  </r>
  <r>
    <s v="BZ "/>
    <s v="Belize"/>
    <x v="0"/>
    <s v="Y"/>
    <s v="Y"/>
    <m/>
    <m/>
  </r>
  <r>
    <s v="BJ "/>
    <s v="Benin"/>
    <x v="0"/>
    <m/>
    <m/>
    <m/>
    <m/>
  </r>
  <r>
    <s v="BM"/>
    <s v="Bermuda"/>
    <x v="2"/>
    <m/>
    <m/>
    <m/>
    <m/>
  </r>
  <r>
    <s v="BT "/>
    <s v="Bhutan"/>
    <x v="0"/>
    <m/>
    <m/>
    <m/>
    <m/>
  </r>
  <r>
    <s v="BO "/>
    <s v="Bolivia"/>
    <x v="0"/>
    <m/>
    <s v="Y"/>
    <m/>
    <m/>
  </r>
  <r>
    <s v="BA "/>
    <s v="Bosnia and Herzegovina"/>
    <x v="0"/>
    <s v="Y"/>
    <s v="Y"/>
    <m/>
    <m/>
  </r>
  <r>
    <s v="BW "/>
    <s v="Botswana"/>
    <x v="0"/>
    <s v="Y"/>
    <s v="Y"/>
    <s v="Y"/>
    <s v="Y"/>
  </r>
  <r>
    <s v="BR "/>
    <s v="Brazil"/>
    <x v="0"/>
    <s v="Y"/>
    <s v="Y"/>
    <s v="Y"/>
    <s v="Y"/>
  </r>
  <r>
    <s v="BN "/>
    <s v="Brunei"/>
    <x v="0"/>
    <m/>
    <m/>
    <m/>
    <m/>
  </r>
  <r>
    <s v="BG "/>
    <s v="Bulgaria"/>
    <x v="0"/>
    <s v="Y"/>
    <s v="Y"/>
    <s v="Y"/>
    <m/>
  </r>
  <r>
    <s v="BF "/>
    <s v="Burkina Faso"/>
    <x v="0"/>
    <s v="Y"/>
    <m/>
    <m/>
    <m/>
  </r>
  <r>
    <s v="BI "/>
    <s v="Burundi"/>
    <x v="0"/>
    <s v="Y"/>
    <s v="Y"/>
    <m/>
    <m/>
  </r>
  <r>
    <s v="CV "/>
    <s v="Cabo Verde"/>
    <x v="0"/>
    <m/>
    <m/>
    <m/>
    <m/>
  </r>
  <r>
    <s v="KH "/>
    <s v="Cambodia"/>
    <x v="0"/>
    <s v="Y"/>
    <s v="Y"/>
    <s v="Y"/>
    <s v="Y"/>
  </r>
  <r>
    <s v="CM "/>
    <s v="Cameroon"/>
    <x v="0"/>
    <s v="Y"/>
    <m/>
    <m/>
    <m/>
  </r>
  <r>
    <s v="CA "/>
    <s v="Canada"/>
    <x v="0"/>
    <s v="Y"/>
    <s v="Y"/>
    <s v="Y"/>
    <s v="Y"/>
  </r>
  <r>
    <m/>
    <s v="Canary Islands"/>
    <x v="3"/>
    <s v="Y"/>
    <s v="Y"/>
    <s v="Y"/>
    <s v="Y"/>
  </r>
  <r>
    <s v="KY"/>
    <s v="Cayman Islands"/>
    <x v="4"/>
    <s v="Y"/>
    <s v="Y"/>
    <s v="Y"/>
    <s v="Y"/>
  </r>
  <r>
    <s v="CF "/>
    <s v="Central African Republic"/>
    <x v="0"/>
    <m/>
    <m/>
    <m/>
    <m/>
  </r>
  <r>
    <s v="TD "/>
    <s v="Chad"/>
    <x v="0"/>
    <m/>
    <m/>
    <m/>
    <m/>
  </r>
  <r>
    <s v="CL "/>
    <s v="Chile"/>
    <x v="0"/>
    <s v="Y"/>
    <s v="Y"/>
    <s v="Y"/>
    <s v="Y"/>
  </r>
  <r>
    <s v="CN "/>
    <s v="China"/>
    <x v="0"/>
    <s v="Y"/>
    <s v="Y"/>
    <s v="Y"/>
    <s v="Y"/>
  </r>
  <r>
    <s v="CO "/>
    <s v="Colombia"/>
    <x v="0"/>
    <s v="Y"/>
    <s v="Y"/>
    <s v="Y"/>
    <s v="Y"/>
  </r>
  <r>
    <s v="KM "/>
    <s v="Comoros"/>
    <x v="0"/>
    <m/>
    <m/>
    <m/>
    <m/>
  </r>
  <r>
    <s v="CG "/>
    <s v="Congo (Brazzaville)"/>
    <x v="0"/>
    <s v="Y"/>
    <m/>
    <m/>
    <m/>
  </r>
  <r>
    <s v="CD "/>
    <s v="Congo (Kinshasa)"/>
    <x v="0"/>
    <s v="Y"/>
    <m/>
    <m/>
    <m/>
  </r>
  <r>
    <s v="CR "/>
    <s v="Costa Rica"/>
    <x v="0"/>
    <s v="Y"/>
    <s v="Y"/>
    <s v="Y"/>
    <s v="Y"/>
  </r>
  <r>
    <s v="CI "/>
    <s v="Côte d'Ivoire"/>
    <x v="0"/>
    <s v="Y"/>
    <m/>
    <m/>
    <m/>
  </r>
  <r>
    <s v="HR "/>
    <s v="Croatia"/>
    <x v="0"/>
    <s v="Y"/>
    <s v="Y"/>
    <s v="Y"/>
    <s v="Y"/>
  </r>
  <r>
    <s v="CU "/>
    <s v="Cuba"/>
    <x v="0"/>
    <m/>
    <m/>
    <m/>
    <m/>
  </r>
  <r>
    <s v="CY "/>
    <s v="Cyprus"/>
    <x v="0"/>
    <s v="Y"/>
    <s v="Y"/>
    <m/>
    <m/>
  </r>
  <r>
    <s v="CZ "/>
    <s v="Czech Republic"/>
    <x v="0"/>
    <s v="Y"/>
    <s v="Y"/>
    <s v="Y"/>
    <m/>
  </r>
  <r>
    <s v="DK "/>
    <s v="Denmark"/>
    <x v="0"/>
    <s v="Y"/>
    <s v="Y"/>
    <m/>
    <m/>
  </r>
  <r>
    <s v="DJ "/>
    <s v="Djibouti"/>
    <x v="0"/>
    <m/>
    <m/>
    <m/>
    <m/>
  </r>
  <r>
    <s v="DM "/>
    <s v="Dominica"/>
    <x v="0"/>
    <s v="Y"/>
    <s v="Y"/>
    <s v="Y"/>
    <s v="Y"/>
  </r>
  <r>
    <s v="DO "/>
    <s v="Dominican Republic"/>
    <x v="0"/>
    <s v="Y"/>
    <s v="Y"/>
    <s v="Y"/>
    <s v="Y"/>
  </r>
  <r>
    <s v="EC "/>
    <s v="Ecuador"/>
    <x v="0"/>
    <m/>
    <s v="Y"/>
    <m/>
    <m/>
  </r>
  <r>
    <s v="EG "/>
    <s v="Egypt"/>
    <x v="0"/>
    <s v="Y"/>
    <s v="Y"/>
    <s v="Y"/>
    <s v="Y"/>
  </r>
  <r>
    <s v="SV "/>
    <s v="El Salvador"/>
    <x v="0"/>
    <m/>
    <s v="Y"/>
    <m/>
    <m/>
  </r>
  <r>
    <s v="GQ "/>
    <s v="Equatorial Guinea"/>
    <x v="0"/>
    <s v="Y"/>
    <m/>
    <m/>
    <m/>
  </r>
  <r>
    <s v="ER "/>
    <s v="Eritrea"/>
    <x v="0"/>
    <m/>
    <m/>
    <m/>
    <m/>
  </r>
  <r>
    <s v="EE "/>
    <s v="Estonia"/>
    <x v="0"/>
    <m/>
    <m/>
    <m/>
    <m/>
  </r>
  <r>
    <s v="SZ "/>
    <s v="Eswatini (Swaziland)"/>
    <x v="0"/>
    <s v="Y"/>
    <s v="Y"/>
    <s v="Y"/>
    <s v="Y"/>
  </r>
  <r>
    <s v="ET "/>
    <s v="Ethiopia"/>
    <x v="0"/>
    <m/>
    <m/>
    <m/>
    <m/>
  </r>
  <r>
    <s v="FO"/>
    <s v="Faroe Islands "/>
    <x v="5"/>
    <s v="Y"/>
    <s v="Y"/>
    <m/>
    <m/>
  </r>
  <r>
    <s v="FM "/>
    <s v="Federated States of Micronesia"/>
    <x v="0"/>
    <m/>
    <m/>
    <m/>
    <m/>
  </r>
  <r>
    <s v="FJ "/>
    <s v="Fiji"/>
    <x v="0"/>
    <s v="Y"/>
    <s v="Y"/>
    <s v="Y"/>
    <s v="Y"/>
  </r>
  <r>
    <s v="FI "/>
    <s v="Finland"/>
    <x v="0"/>
    <m/>
    <m/>
    <m/>
    <m/>
  </r>
  <r>
    <s v="FR "/>
    <s v="France"/>
    <x v="0"/>
    <s v="Y"/>
    <s v="Y"/>
    <s v="Y"/>
    <s v="Y"/>
  </r>
  <r>
    <s v="PF"/>
    <s v="French Polynesia"/>
    <x v="6"/>
    <m/>
    <s v="Y"/>
    <m/>
    <m/>
  </r>
  <r>
    <s v="GA "/>
    <s v="Gabon"/>
    <x v="0"/>
    <s v="Y"/>
    <m/>
    <m/>
    <m/>
  </r>
  <r>
    <s v="GE "/>
    <s v="Georgia"/>
    <x v="0"/>
    <s v="Y"/>
    <s v="Y"/>
    <m/>
    <m/>
  </r>
  <r>
    <s v="DE "/>
    <s v="Germany"/>
    <x v="0"/>
    <s v="Y"/>
    <s v="Y"/>
    <s v="Y"/>
    <s v="Y"/>
  </r>
  <r>
    <s v="GH "/>
    <s v="Ghana"/>
    <x v="0"/>
    <m/>
    <m/>
    <m/>
    <m/>
  </r>
  <r>
    <s v="GI"/>
    <s v="Gibraltar"/>
    <x v="2"/>
    <s v="Y"/>
    <s v="Y"/>
    <m/>
    <m/>
  </r>
  <r>
    <s v="GR "/>
    <s v="Greece"/>
    <x v="0"/>
    <s v="Y"/>
    <s v="Y"/>
    <s v="Y"/>
    <s v="Y"/>
  </r>
  <r>
    <m/>
    <s v="Greenland "/>
    <x v="5"/>
    <m/>
    <m/>
    <m/>
    <m/>
  </r>
  <r>
    <s v="GD "/>
    <s v="Grenada"/>
    <x v="0"/>
    <m/>
    <m/>
    <m/>
    <m/>
  </r>
  <r>
    <s v="GP"/>
    <s v="Guadeloupe"/>
    <x v="7"/>
    <m/>
    <s v="Y"/>
    <m/>
    <m/>
  </r>
  <r>
    <s v="GT "/>
    <s v="Guatemala"/>
    <x v="0"/>
    <s v="Y"/>
    <s v="Y"/>
    <m/>
    <m/>
  </r>
  <r>
    <s v="GN "/>
    <s v="Guinea"/>
    <x v="0"/>
    <m/>
    <m/>
    <m/>
    <m/>
  </r>
  <r>
    <s v="GW "/>
    <s v="Guinea-Bissau"/>
    <x v="0"/>
    <m/>
    <s v="Y"/>
    <m/>
    <m/>
  </r>
  <r>
    <s v="GY "/>
    <s v="Guyana"/>
    <x v="0"/>
    <m/>
    <m/>
    <m/>
    <m/>
  </r>
  <r>
    <s v="HT "/>
    <s v="Haiti"/>
    <x v="0"/>
    <m/>
    <s v="Y"/>
    <m/>
    <m/>
  </r>
  <r>
    <s v="VA "/>
    <s v="Holy See"/>
    <x v="8"/>
    <s v="Y"/>
    <s v="Y"/>
    <s v="Y"/>
    <m/>
  </r>
  <r>
    <s v="HN "/>
    <s v="Honduras"/>
    <x v="0"/>
    <m/>
    <s v="Y"/>
    <s v="Y"/>
    <s v="Y"/>
  </r>
  <r>
    <s v="HK"/>
    <s v="Hong Kong"/>
    <x v="9"/>
    <s v="Y"/>
    <s v="Y"/>
    <m/>
    <m/>
  </r>
  <r>
    <s v="HU "/>
    <s v="Hungary"/>
    <x v="0"/>
    <s v="Y"/>
    <s v="Y"/>
    <s v="Y"/>
    <m/>
  </r>
  <r>
    <s v="IS "/>
    <s v="Iceland"/>
    <x v="0"/>
    <s v="Y"/>
    <s v="Y"/>
    <m/>
    <m/>
  </r>
  <r>
    <s v="IN "/>
    <s v="India"/>
    <x v="0"/>
    <s v="Y"/>
    <s v="Y"/>
    <m/>
    <m/>
  </r>
  <r>
    <s v="ID "/>
    <s v="Indonesia"/>
    <x v="0"/>
    <s v="Y"/>
    <s v="Y"/>
    <m/>
    <m/>
  </r>
  <r>
    <s v="IR "/>
    <s v="Iran"/>
    <x v="0"/>
    <m/>
    <m/>
    <m/>
    <m/>
  </r>
  <r>
    <s v="IQ "/>
    <s v="Iraq"/>
    <x v="0"/>
    <m/>
    <m/>
    <m/>
    <m/>
  </r>
  <r>
    <s v="IE "/>
    <s v="Ireland"/>
    <x v="0"/>
    <s v="Y"/>
    <s v="Y"/>
    <s v="Y"/>
    <m/>
  </r>
  <r>
    <s v="IM"/>
    <s v="Isle of Man "/>
    <x v="4"/>
    <s v="Y"/>
    <s v="Y"/>
    <m/>
    <m/>
  </r>
  <r>
    <s v="IL "/>
    <s v="Israel"/>
    <x v="0"/>
    <s v="Y"/>
    <s v="Y"/>
    <s v="Y"/>
    <s v="Y"/>
  </r>
  <r>
    <s v="IT "/>
    <s v="Italy"/>
    <x v="0"/>
    <s v="Y"/>
    <s v="Y"/>
    <s v="Y"/>
    <s v="Y"/>
  </r>
  <r>
    <s v="JM "/>
    <s v="Jamaica"/>
    <x v="0"/>
    <s v="Y"/>
    <s v="Y"/>
    <s v="Y"/>
    <s v="Y"/>
  </r>
  <r>
    <s v="JP "/>
    <s v="Japan"/>
    <x v="0"/>
    <s v="Y"/>
    <s v="Y"/>
    <m/>
    <m/>
  </r>
  <r>
    <s v="JO "/>
    <s v="Jordan"/>
    <x v="0"/>
    <s v="Y"/>
    <s v="Y"/>
    <s v="Y"/>
    <s v="Y"/>
  </r>
  <r>
    <s v="KZ "/>
    <s v="Kazakhstan"/>
    <x v="0"/>
    <m/>
    <m/>
    <m/>
    <m/>
  </r>
  <r>
    <s v="KE "/>
    <s v="Kenya"/>
    <x v="0"/>
    <s v="Y"/>
    <s v="Y"/>
    <m/>
    <m/>
  </r>
  <r>
    <s v="KI "/>
    <s v="Kiribati"/>
    <x v="0"/>
    <m/>
    <m/>
    <m/>
    <m/>
  </r>
  <r>
    <s v="XK"/>
    <s v="Kosovo "/>
    <x v="10"/>
    <s v="Y"/>
    <s v="Y"/>
    <m/>
    <m/>
  </r>
  <r>
    <s v="KW "/>
    <s v="Kuwait"/>
    <x v="0"/>
    <m/>
    <m/>
    <m/>
    <m/>
  </r>
  <r>
    <s v="KG "/>
    <s v="Kyrgyzstan"/>
    <x v="0"/>
    <m/>
    <m/>
    <m/>
    <m/>
  </r>
  <r>
    <s v="LA "/>
    <s v="Laos"/>
    <x v="0"/>
    <s v="Y"/>
    <s v="Y"/>
    <s v="Y"/>
    <s v="Y"/>
  </r>
  <r>
    <s v="LV "/>
    <s v="Latvia"/>
    <x v="0"/>
    <s v="Y"/>
    <s v="Y"/>
    <m/>
    <m/>
  </r>
  <r>
    <s v="LB "/>
    <s v="Lebanon"/>
    <x v="0"/>
    <m/>
    <m/>
    <m/>
    <m/>
  </r>
  <r>
    <s v="LS "/>
    <s v="Lesotho"/>
    <x v="0"/>
    <s v="Y"/>
    <s v="Y"/>
    <s v="Y"/>
    <s v="Y"/>
  </r>
  <r>
    <s v="LR "/>
    <s v="Liberia"/>
    <x v="0"/>
    <m/>
    <m/>
    <m/>
    <m/>
  </r>
  <r>
    <s v="LY "/>
    <s v="Libya"/>
    <x v="0"/>
    <m/>
    <m/>
    <m/>
    <m/>
  </r>
  <r>
    <s v="LI "/>
    <s v="Liechtenstein"/>
    <x v="0"/>
    <s v="Y"/>
    <s v="Y"/>
    <s v="Y"/>
    <s v="Y"/>
  </r>
  <r>
    <s v="LT "/>
    <s v="Lithuania"/>
    <x v="0"/>
    <s v="Y"/>
    <s v="Y"/>
    <m/>
    <m/>
  </r>
  <r>
    <s v="LU "/>
    <s v="Luxembourg"/>
    <x v="0"/>
    <s v="Y"/>
    <s v="Y"/>
    <m/>
    <m/>
  </r>
  <r>
    <s v="MO"/>
    <s v="Macau"/>
    <x v="9"/>
    <s v="Y"/>
    <s v="Y"/>
    <m/>
    <m/>
  </r>
  <r>
    <s v="MK "/>
    <s v="Macedonia"/>
    <x v="0"/>
    <s v="Y"/>
    <s v="Y"/>
    <m/>
    <m/>
  </r>
  <r>
    <s v="MG "/>
    <s v="Madagascar"/>
    <x v="0"/>
    <s v="Y"/>
    <s v="Y"/>
    <m/>
    <m/>
  </r>
  <r>
    <m/>
    <s v="Madeira"/>
    <x v="11"/>
    <s v="Y"/>
    <s v="Y"/>
    <s v="Y"/>
    <s v="Y"/>
  </r>
  <r>
    <s v="MW "/>
    <s v="Malawi"/>
    <x v="0"/>
    <s v="Y"/>
    <m/>
    <m/>
    <m/>
  </r>
  <r>
    <s v="MY "/>
    <s v="Malaysia"/>
    <x v="0"/>
    <s v="Y"/>
    <s v="Y"/>
    <m/>
    <m/>
  </r>
  <r>
    <s v="MV "/>
    <s v="Maldives"/>
    <x v="0"/>
    <s v="Y"/>
    <s v="Y"/>
    <s v="Y"/>
    <s v="Y"/>
  </r>
  <r>
    <s v="ML "/>
    <s v="Mali"/>
    <x v="0"/>
    <s v="Y"/>
    <m/>
    <m/>
    <m/>
  </r>
  <r>
    <s v="MT "/>
    <s v="Malta"/>
    <x v="0"/>
    <s v="Y"/>
    <s v="Y"/>
    <m/>
    <m/>
  </r>
  <r>
    <s v="MH "/>
    <s v="Marshall Islands"/>
    <x v="0"/>
    <m/>
    <m/>
    <m/>
    <m/>
  </r>
  <r>
    <s v="MQ"/>
    <s v="Martinique"/>
    <x v="7"/>
    <m/>
    <s v="Y"/>
    <m/>
    <m/>
  </r>
  <r>
    <s v="MR "/>
    <s v="Mauritania"/>
    <x v="0"/>
    <m/>
    <m/>
    <m/>
    <m/>
  </r>
  <r>
    <s v="MU "/>
    <s v="Mauritius"/>
    <x v="0"/>
    <s v="Y"/>
    <s v="Y"/>
    <m/>
    <m/>
  </r>
  <r>
    <s v="MX "/>
    <s v="Mexico"/>
    <x v="0"/>
    <s v="Y"/>
    <s v="Y"/>
    <s v="Y"/>
    <s v="Y"/>
  </r>
  <r>
    <s v="MD "/>
    <s v="Moldova"/>
    <x v="0"/>
    <m/>
    <m/>
    <m/>
    <m/>
  </r>
  <r>
    <s v="MC "/>
    <s v="Monaco"/>
    <x v="0"/>
    <s v="Y"/>
    <s v="Y"/>
    <m/>
    <m/>
  </r>
  <r>
    <s v="MN "/>
    <s v="Mongolia"/>
    <x v="0"/>
    <s v="Y"/>
    <m/>
    <m/>
    <m/>
  </r>
  <r>
    <s v="ME "/>
    <s v="Montenegro"/>
    <x v="0"/>
    <s v="Y"/>
    <s v="Y"/>
    <m/>
    <m/>
  </r>
  <r>
    <s v="MA "/>
    <s v="Morocco"/>
    <x v="0"/>
    <m/>
    <m/>
    <m/>
    <m/>
  </r>
  <r>
    <s v="MZ "/>
    <s v="Mozambique"/>
    <x v="0"/>
    <s v="Y"/>
    <s v="Y"/>
    <s v="Y"/>
    <s v="Y"/>
  </r>
  <r>
    <s v="MM "/>
    <s v="Myanmar"/>
    <x v="0"/>
    <s v="Y"/>
    <s v="Y"/>
    <s v="Y"/>
    <s v="Y"/>
  </r>
  <r>
    <s v="NA "/>
    <s v="Namibia"/>
    <x v="0"/>
    <s v="Y"/>
    <s v="Y"/>
    <s v="Y"/>
    <s v="Y"/>
  </r>
  <r>
    <s v="NR "/>
    <s v="Nauru"/>
    <x v="0"/>
    <m/>
    <m/>
    <m/>
    <m/>
  </r>
  <r>
    <s v="NP "/>
    <s v="Nepal"/>
    <x v="0"/>
    <s v="Y"/>
    <m/>
    <m/>
    <m/>
  </r>
  <r>
    <s v="NL "/>
    <s v="Netherlands"/>
    <x v="0"/>
    <s v="Y"/>
    <s v="Y"/>
    <s v="Y"/>
    <m/>
  </r>
  <r>
    <s v="NZ "/>
    <s v="New Zealand"/>
    <x v="0"/>
    <m/>
    <s v="Y"/>
    <m/>
    <m/>
  </r>
  <r>
    <s v="NI "/>
    <s v="Nicaragua"/>
    <x v="0"/>
    <m/>
    <m/>
    <m/>
    <m/>
  </r>
  <r>
    <s v="NE "/>
    <s v="Niger"/>
    <x v="0"/>
    <m/>
    <m/>
    <m/>
    <m/>
  </r>
  <r>
    <s v="NG "/>
    <s v="Nigeria"/>
    <x v="0"/>
    <s v="Y"/>
    <m/>
    <m/>
    <m/>
  </r>
  <r>
    <s v="KP "/>
    <s v="North Korea"/>
    <x v="0"/>
    <m/>
    <m/>
    <m/>
    <m/>
  </r>
  <r>
    <s v="NO "/>
    <s v="Norway"/>
    <x v="0"/>
    <s v="Y"/>
    <s v="Y"/>
    <m/>
    <m/>
  </r>
  <r>
    <s v="OM "/>
    <s v="Oman"/>
    <x v="0"/>
    <s v="Y"/>
    <s v="Y"/>
    <s v="Y"/>
    <s v="Y"/>
  </r>
  <r>
    <s v="PK "/>
    <s v="Pakistan"/>
    <x v="0"/>
    <s v="Y"/>
    <m/>
    <m/>
    <m/>
  </r>
  <r>
    <s v="PW "/>
    <s v="Palau"/>
    <x v="0"/>
    <m/>
    <m/>
    <m/>
    <m/>
  </r>
  <r>
    <s v="PA "/>
    <s v="Panama"/>
    <x v="0"/>
    <s v="Y"/>
    <s v="Y"/>
    <s v="Y"/>
    <s v="Y"/>
  </r>
  <r>
    <s v="PG "/>
    <s v="Papua New Guinea"/>
    <x v="0"/>
    <m/>
    <m/>
    <m/>
    <m/>
  </r>
  <r>
    <s v="PY "/>
    <s v="Paraguay"/>
    <x v="0"/>
    <m/>
    <s v="Y"/>
    <m/>
    <m/>
  </r>
  <r>
    <s v="PE "/>
    <s v="Peru"/>
    <x v="0"/>
    <s v="Y"/>
    <s v="Y"/>
    <s v="Y"/>
    <s v="Y"/>
  </r>
  <r>
    <s v="PH "/>
    <s v="Philippines"/>
    <x v="0"/>
    <s v="Y"/>
    <s v="Y"/>
    <m/>
    <m/>
  </r>
  <r>
    <s v="PL "/>
    <s v="Poland"/>
    <x v="0"/>
    <s v="Y"/>
    <s v="Y"/>
    <m/>
    <m/>
  </r>
  <r>
    <s v="PT "/>
    <s v="Portugal"/>
    <x v="0"/>
    <s v="Y"/>
    <s v="Y"/>
    <s v="Y"/>
    <s v="Y"/>
  </r>
  <r>
    <s v="PR"/>
    <s v="Puerto Rico"/>
    <x v="12"/>
    <s v="Y"/>
    <s v="Y"/>
    <s v="Y"/>
    <s v="Y"/>
  </r>
  <r>
    <s v="QA "/>
    <s v="Qatar"/>
    <x v="0"/>
    <s v="Y"/>
    <s v="Y"/>
    <s v="Y"/>
    <s v="Y"/>
  </r>
  <r>
    <s v="RE"/>
    <s v="Réunion"/>
    <x v="7"/>
    <s v="Y"/>
    <s v="Y"/>
    <m/>
    <m/>
  </r>
  <r>
    <s v="RO "/>
    <s v="Romania"/>
    <x v="0"/>
    <s v="Y"/>
    <s v="Y"/>
    <s v="Y"/>
    <s v="Y"/>
  </r>
  <r>
    <s v="RU "/>
    <s v="Russia"/>
    <x v="0"/>
    <m/>
    <m/>
    <m/>
    <m/>
  </r>
  <r>
    <s v="RW "/>
    <s v="Rwanda"/>
    <x v="0"/>
    <s v="Y"/>
    <s v="Y"/>
    <m/>
    <m/>
  </r>
  <r>
    <s v="KN "/>
    <s v="Saint Kitts and Nevis"/>
    <x v="0"/>
    <m/>
    <m/>
    <m/>
    <m/>
  </r>
  <r>
    <s v="LC "/>
    <s v="Saint Lucia"/>
    <x v="0"/>
    <s v="Y"/>
    <s v="Y"/>
    <s v="Y"/>
    <s v="Y"/>
  </r>
  <r>
    <s v="VC "/>
    <s v="Saint Vincent and the Grenadines"/>
    <x v="0"/>
    <m/>
    <m/>
    <m/>
    <m/>
  </r>
  <r>
    <s v="WS "/>
    <s v="Samoa"/>
    <x v="0"/>
    <m/>
    <m/>
    <m/>
    <m/>
  </r>
  <r>
    <s v="SM "/>
    <s v="San Marino"/>
    <x v="0"/>
    <s v="Y"/>
    <s v="Y"/>
    <m/>
    <m/>
  </r>
  <r>
    <s v="ST "/>
    <s v="Sao Tome and Principe"/>
    <x v="0"/>
    <m/>
    <m/>
    <m/>
    <m/>
  </r>
  <r>
    <s v="SA "/>
    <s v="Saudi Arabia"/>
    <x v="0"/>
    <m/>
    <m/>
    <m/>
    <m/>
  </r>
  <r>
    <s v="SN "/>
    <s v="Senegal"/>
    <x v="0"/>
    <s v="Y"/>
    <m/>
    <m/>
    <m/>
  </r>
  <r>
    <s v="RS "/>
    <s v="Serbia"/>
    <x v="0"/>
    <s v="Y"/>
    <s v="Y"/>
    <m/>
    <m/>
  </r>
  <r>
    <s v="SC "/>
    <s v="Seychelles"/>
    <x v="0"/>
    <s v="Y"/>
    <s v="Y"/>
    <m/>
    <m/>
  </r>
  <r>
    <s v="SL "/>
    <s v="Sierra Leone"/>
    <x v="0"/>
    <s v="Y"/>
    <m/>
    <m/>
    <m/>
  </r>
  <r>
    <s v="SG "/>
    <s v="Singapore"/>
    <x v="0"/>
    <s v="Y"/>
    <s v="Y"/>
    <m/>
    <m/>
  </r>
  <r>
    <s v="SK "/>
    <s v="Slovakia"/>
    <x v="0"/>
    <s v="Y"/>
    <s v="Y"/>
    <s v="Y"/>
    <m/>
  </r>
  <r>
    <s v="SI "/>
    <s v="Slovenia"/>
    <x v="0"/>
    <s v="Y"/>
    <s v="Y"/>
    <m/>
    <m/>
  </r>
  <r>
    <s v="SB "/>
    <s v="Solomon Islands"/>
    <x v="0"/>
    <s v="Y"/>
    <m/>
    <m/>
    <m/>
  </r>
  <r>
    <s v="SO "/>
    <s v="Somalia"/>
    <x v="0"/>
    <m/>
    <m/>
    <m/>
    <m/>
  </r>
  <r>
    <s v="ZA "/>
    <s v="South Africa"/>
    <x v="0"/>
    <s v="Y"/>
    <s v="Y"/>
    <s v="Y"/>
    <s v="Y"/>
  </r>
  <r>
    <s v="KR "/>
    <s v="South Korea"/>
    <x v="0"/>
    <s v="Y"/>
    <s v="Y"/>
    <s v="Y"/>
    <s v="Y"/>
  </r>
  <r>
    <s v="SS "/>
    <s v="South Sudan"/>
    <x v="0"/>
    <m/>
    <m/>
    <m/>
    <m/>
  </r>
  <r>
    <s v="ES "/>
    <s v="Spain"/>
    <x v="0"/>
    <s v="Y"/>
    <s v="Y"/>
    <s v="Y"/>
    <s v="Y"/>
  </r>
  <r>
    <s v="LK "/>
    <s v="Sri Lanka"/>
    <x v="0"/>
    <m/>
    <s v="Y"/>
    <m/>
    <m/>
  </r>
  <r>
    <s v="SD "/>
    <s v="Sudan"/>
    <x v="0"/>
    <m/>
    <m/>
    <m/>
    <m/>
  </r>
  <r>
    <s v="SR "/>
    <s v="Suriname"/>
    <x v="0"/>
    <m/>
    <m/>
    <m/>
    <m/>
  </r>
  <r>
    <s v="SE "/>
    <s v="Sweden"/>
    <x v="0"/>
    <s v="Y"/>
    <s v="Y"/>
    <s v="Y"/>
    <m/>
  </r>
  <r>
    <s v="CH "/>
    <s v="Switzerland"/>
    <x v="0"/>
    <s v="Y"/>
    <s v="Y"/>
    <s v="Y"/>
    <s v="Y"/>
  </r>
  <r>
    <s v="SY "/>
    <s v="Syria"/>
    <x v="0"/>
    <m/>
    <m/>
    <m/>
    <m/>
  </r>
  <r>
    <s v="TW "/>
    <s v="Taiwan"/>
    <x v="8"/>
    <s v="Y"/>
    <s v="Y"/>
    <m/>
    <m/>
  </r>
  <r>
    <s v="TJ "/>
    <s v="Tajikistan"/>
    <x v="0"/>
    <m/>
    <m/>
    <m/>
    <m/>
  </r>
  <r>
    <s v="TZ "/>
    <s v="Tanzania"/>
    <x v="0"/>
    <s v="Y"/>
    <m/>
    <m/>
    <m/>
  </r>
  <r>
    <s v="TH "/>
    <s v="Thailand"/>
    <x v="0"/>
    <s v="Y"/>
    <s v="Y"/>
    <s v="Y"/>
    <s v="Y"/>
  </r>
  <r>
    <s v="BS "/>
    <s v="The Bahamas"/>
    <x v="0"/>
    <s v="Y"/>
    <s v="Y"/>
    <s v="Y"/>
    <s v="Y"/>
  </r>
  <r>
    <s v="GM "/>
    <s v="The Gambia"/>
    <x v="0"/>
    <s v="Y"/>
    <m/>
    <m/>
    <m/>
  </r>
  <r>
    <s v="TL "/>
    <s v="Timor-Leste"/>
    <x v="0"/>
    <m/>
    <m/>
    <m/>
    <m/>
  </r>
  <r>
    <s v="TG "/>
    <s v="Togo"/>
    <x v="0"/>
    <m/>
    <m/>
    <m/>
    <m/>
  </r>
  <r>
    <s v="TO "/>
    <s v="Tonga"/>
    <x v="0"/>
    <m/>
    <m/>
    <m/>
    <m/>
  </r>
  <r>
    <s v="TT "/>
    <s v="Trinidad and Tobago"/>
    <x v="0"/>
    <m/>
    <m/>
    <m/>
    <m/>
  </r>
  <r>
    <s v="TN "/>
    <s v="Tunisia"/>
    <x v="0"/>
    <m/>
    <s v="Y"/>
    <m/>
    <m/>
  </r>
  <r>
    <s v="TR "/>
    <s v="Turkey"/>
    <x v="0"/>
    <s v="Y"/>
    <s v="Y"/>
    <s v="Y"/>
    <m/>
  </r>
  <r>
    <s v="TM "/>
    <s v="Turkmenistan"/>
    <x v="0"/>
    <m/>
    <m/>
    <m/>
    <m/>
  </r>
  <r>
    <s v="TV "/>
    <s v="Tuvalu"/>
    <x v="0"/>
    <m/>
    <m/>
    <m/>
    <m/>
  </r>
  <r>
    <s v="VI"/>
    <s v="U.S. Virgin Islands"/>
    <x v="13"/>
    <s v="Y"/>
    <s v="Y"/>
    <s v="Y"/>
    <s v="Y"/>
  </r>
  <r>
    <s v="UG "/>
    <s v="Uganda"/>
    <x v="0"/>
    <s v="Y"/>
    <m/>
    <m/>
    <m/>
  </r>
  <r>
    <s v="UA "/>
    <s v="Ukraine"/>
    <x v="0"/>
    <s v="Y"/>
    <s v="Y"/>
    <m/>
    <m/>
  </r>
  <r>
    <s v="AE "/>
    <s v="United Arab Emirates"/>
    <x v="0"/>
    <s v="Y"/>
    <s v="Y"/>
    <s v="Y"/>
    <s v="Y"/>
  </r>
  <r>
    <s v="GB "/>
    <s v="United Kingdom"/>
    <x v="0"/>
    <s v="Y"/>
    <s v="Y"/>
    <s v="Y"/>
    <s v="Y"/>
  </r>
  <r>
    <s v="US "/>
    <s v="United States"/>
    <x v="0"/>
    <s v="Y"/>
    <s v="Y"/>
    <s v="Y"/>
    <s v="Y"/>
  </r>
  <r>
    <s v="UY "/>
    <s v="Uruguay"/>
    <x v="0"/>
    <s v="Y"/>
    <s v="Y"/>
    <s v="Y"/>
    <s v="Y"/>
  </r>
  <r>
    <s v="UZ "/>
    <s v="Uzbekistan"/>
    <x v="0"/>
    <m/>
    <m/>
    <m/>
    <m/>
  </r>
  <r>
    <s v="VU "/>
    <s v="Vanuatu"/>
    <x v="0"/>
    <s v="Y"/>
    <m/>
    <m/>
    <m/>
  </r>
  <r>
    <s v="VE "/>
    <s v="Venezuela"/>
    <x v="0"/>
    <m/>
    <s v="Y"/>
    <m/>
    <m/>
  </r>
  <r>
    <s v="VN "/>
    <s v="Vietnam"/>
    <x v="0"/>
    <s v="Y"/>
    <s v="Y"/>
    <s v="Y"/>
    <s v="Y"/>
  </r>
  <r>
    <s v="YE "/>
    <s v="Yemen"/>
    <x v="0"/>
    <m/>
    <s v="Y"/>
    <m/>
    <m/>
  </r>
  <r>
    <s v="ZM "/>
    <s v="Zambia"/>
    <x v="0"/>
    <s v="Y"/>
    <s v="Y"/>
    <s v="Y"/>
    <s v="Y"/>
  </r>
  <r>
    <s v="ZW "/>
    <s v="Zimbabwe"/>
    <x v="0"/>
    <s v="Y"/>
    <s v="Y"/>
    <s v="Y"/>
    <s v="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69008-0739-4F3C-B91C-3D243621F6E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8" firstHeaderRow="1" firstDataRow="1" firstDataCol="1"/>
  <pivotFields count="7">
    <pivotField showAll="0"/>
    <pivotField showAll="0"/>
    <pivotField axis="axisRow" dataField="1" showAll="0">
      <items count="15">
        <item x="3"/>
        <item x="11"/>
        <item x="12"/>
        <item x="1"/>
        <item x="4"/>
        <item x="10"/>
        <item x="13"/>
        <item x="6"/>
        <item x="7"/>
        <item x="2"/>
        <item x="5"/>
        <item x="0"/>
        <item x="9"/>
        <item x="8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Political Statu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0C98D6-411C-411E-BD06-09844C5C07AC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G231" totalsRowShown="0" headerRowDxfId="40" dataDxfId="38" headerRowBorderDxfId="39" tableBorderDxfId="37">
  <autoFilter ref="A6:G231" xr:uid="{00000000-0009-0000-0100-000001000000}"/>
  <sortState xmlns:xlrd2="http://schemas.microsoft.com/office/spreadsheetml/2017/richdata2" ref="A7:G229">
    <sortCondition ref="B6:B229"/>
  </sortState>
  <tableColumns count="7">
    <tableColumn id="1" xr3:uid="{00000000-0010-0000-0000-000001000000}" name="Code" dataDxfId="36">
      <calculatedColumnFormula>VLOOKUP(Table1[[#This Row],[Name]],'country codes'!$A$1:$D$253,4,FALSE)</calculatedColumnFormula>
    </tableColumn>
    <tableColumn id="2" xr3:uid="{00000000-0010-0000-0000-000002000000}" name="Name" dataDxfId="35"/>
    <tableColumn id="3" xr3:uid="{00000000-0010-0000-0000-000003000000}" name="Status" dataDxfId="34"/>
    <tableColumn id="4" xr3:uid="{00000000-0010-0000-0000-000004000000}" name="Chris" dataDxfId="33"/>
    <tableColumn id="5" xr3:uid="{00000000-0010-0000-0000-000005000000}" name="Maggie" dataDxfId="32"/>
    <tableColumn id="6" xr3:uid="{00000000-0010-0000-0000-000006000000}" name="Allyson" dataDxfId="31"/>
    <tableColumn id="7" xr3:uid="{00000000-0010-0000-0000-000007000000}" name="Edward" dataDxfId="3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2832B3-88E1-4C75-8833-6F4534F25EEA}" name="Table15" displayName="Table15" ref="A6:G219" totalsRowShown="0" headerRowDxfId="29" dataDxfId="27" headerRowBorderDxfId="28" tableBorderDxfId="26">
  <autoFilter ref="A6:G219" xr:uid="{692832B3-88E1-4C75-8833-6F4534F25EEA}"/>
  <sortState xmlns:xlrd2="http://schemas.microsoft.com/office/spreadsheetml/2017/richdata2" ref="A7:G219">
    <sortCondition ref="B6:B219"/>
  </sortState>
  <tableColumns count="7">
    <tableColumn id="1" xr3:uid="{E7B05FF1-E331-4077-94F3-381C95660AD7}" name="Code" dataDxfId="25"/>
    <tableColumn id="2" xr3:uid="{3A9776FA-E634-45A0-8F28-FF621F695EC7}" name="Country or Territory" dataDxfId="24"/>
    <tableColumn id="3" xr3:uid="{58C00564-5B4F-4462-AE4C-E4B5005516A8}" name="Political Status" dataDxfId="23"/>
    <tableColumn id="4" xr3:uid="{5C7BF79A-A64E-4DE3-A1BB-91193C4363B0}" name="Chris" dataDxfId="22"/>
    <tableColumn id="5" xr3:uid="{9ADACE70-BC94-4823-A101-0D35B3A281C4}" name="Maggie" dataDxfId="21"/>
    <tableColumn id="6" xr3:uid="{4F75B08D-28AB-4441-AD3E-91D990BFED1A}" name="Allyson" dataDxfId="20"/>
    <tableColumn id="7" xr3:uid="{AAD337B7-35ED-4941-ADEC-BAA337110F6C}" name="Edward" dataDxfId="1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13:D284" totalsRowShown="0" headerRowDxfId="18" tableBorderDxfId="17" headerRowCellStyle="Check Cell">
  <autoFilter ref="B13:D284" xr:uid="{00000000-0009-0000-0100-000002000000}"/>
  <sortState xmlns:xlrd2="http://schemas.microsoft.com/office/spreadsheetml/2017/richdata2" ref="B14:D284">
    <sortCondition ref="D13:D284"/>
  </sortState>
  <tableColumns count="3">
    <tableColumn id="1" xr3:uid="{00000000-0010-0000-0100-000001000000}" name="Name " dataDxfId="16"/>
    <tableColumn id="2" xr3:uid="{00000000-0010-0000-0100-000002000000}" name="Capital " dataDxfId="15"/>
    <tableColumn id="3" xr3:uid="{00000000-0010-0000-0100-000003000000}" name="Status" dataDxfId="1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46D7BF-6549-4E15-9204-EEAA93853AC9}" name="ISO_3166_2" displayName="ISO_3166_2" ref="A1:E5048" tableType="queryTable" totalsRowShown="0">
  <autoFilter ref="A1:E5048" xr:uid="{0A46D7BF-6549-4E15-9204-EEAA93853AC9}"/>
  <tableColumns count="5">
    <tableColumn id="1" xr3:uid="{4B4270FA-9197-452D-B118-D3C82C558CC8}" uniqueName="1" name="Column1" queryTableFieldId="1" dataDxfId="13"/>
    <tableColumn id="2" xr3:uid="{01A98737-566B-4939-932C-9A6B49DF3F74}" uniqueName="2" name="Column2" queryTableFieldId="2" dataDxfId="12"/>
    <tableColumn id="3" xr3:uid="{B1A2FE21-5D59-4D68-809B-9A04BC12ABB1}" uniqueName="3" name="Column3" queryTableFieldId="3" dataDxfId="11"/>
    <tableColumn id="4" xr3:uid="{15D7476B-F915-4582-96A7-D425E40537E5}" uniqueName="4" name="Column4" queryTableFieldId="4" dataDxfId="10"/>
    <tableColumn id="5" xr3:uid="{A0D92535-7F7E-492F-A830-798F6972D1A4}" uniqueName="5" name="Column5" queryTableFieldId="5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0E2E84-5D9A-4A70-9BDA-4A4D4875C422}" name="Table14" displayName="Table14" ref="A4:E218" totalsRowShown="0" headerRowDxfId="8" dataDxfId="6" headerRowBorderDxfId="7" tableBorderDxfId="5">
  <sortState xmlns:xlrd2="http://schemas.microsoft.com/office/spreadsheetml/2017/richdata2" ref="A5:C217">
    <sortCondition ref="B4:B217"/>
  </sortState>
  <tableColumns count="5">
    <tableColumn id="1" xr3:uid="{37C02BE5-1EBE-4B49-9132-423D27F08877}" name="Code" dataDxfId="4"/>
    <tableColumn id="2" xr3:uid="{079F96E5-AE0D-4E04-9339-39CD4F898744}" name="Country or Territory" dataDxfId="3"/>
    <tableColumn id="3" xr3:uid="{9F6DCD48-45FA-4C48-A03B-89B07858FF2F}" name="Political Status" dataDxfId="2"/>
    <tableColumn id="4" xr3:uid="{BCB9653E-5BD6-4512-B010-A49CC096F2DB}" name="Column1" dataDxfId="1"/>
    <tableColumn id="5" xr3:uid="{AA835855-1FAD-4CAC-A2C2-CB32C299399B}" name="Column2" dataDxfId="0">
      <calculatedColumnFormula>IF(Table14[[#This Row],[Country or Territory]]=Table14[[#This Row],[Column1]],"","***")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mtp.travel/users/me/checklists/locations/geographic/visited_remain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en.wikipedia.org/wiki/ISO_3166-1" TargetMode="External"/><Relationship Id="rId1" Type="http://schemas.openxmlformats.org/officeDocument/2006/relationships/hyperlink" Target="https://en.wikipedia.org/wiki/List_of_sovereign_states_and_dependent_territories_by_continent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31"/>
  <sheetViews>
    <sheetView tabSelected="1" workbookViewId="0">
      <pane ySplit="6" topLeftCell="A43" activePane="bottomLeft" state="frozen"/>
      <selection pane="bottomLeft" activeCell="D58" sqref="D58"/>
    </sheetView>
  </sheetViews>
  <sheetFormatPr defaultRowHeight="15" x14ac:dyDescent="0.25"/>
  <cols>
    <col min="1" max="1" width="7.7109375" style="3" customWidth="1"/>
    <col min="2" max="2" width="28.28515625" bestFit="1" customWidth="1"/>
    <col min="3" max="3" width="40.5703125" style="3" customWidth="1"/>
    <col min="4" max="4" width="9.28515625" style="3"/>
    <col min="5" max="5" width="9.7109375" style="3" customWidth="1"/>
    <col min="6" max="7" width="9.7109375" customWidth="1"/>
  </cols>
  <sheetData>
    <row r="2" spans="1:7" ht="18.75" x14ac:dyDescent="0.3">
      <c r="D2" s="44" t="s">
        <v>193</v>
      </c>
      <c r="E2" s="44" t="s">
        <v>194</v>
      </c>
      <c r="F2" s="44" t="s">
        <v>199</v>
      </c>
      <c r="G2" s="44" t="s">
        <v>2009</v>
      </c>
    </row>
    <row r="3" spans="1:7" ht="23.25" x14ac:dyDescent="0.35">
      <c r="A3" s="41"/>
      <c r="B3" s="42"/>
      <c r="C3" s="43" t="s">
        <v>2149</v>
      </c>
      <c r="D3" s="2">
        <f>COUNTA(D7:D231)</f>
        <v>146</v>
      </c>
      <c r="E3" s="2">
        <f>COUNTA(E7:E231)</f>
        <v>138</v>
      </c>
      <c r="F3" s="2">
        <f>COUNTA(F7:F231)</f>
        <v>69</v>
      </c>
      <c r="G3" s="2">
        <f>COUNTA(G7:G231)</f>
        <v>60</v>
      </c>
    </row>
    <row r="4" spans="1:7" ht="23.25" x14ac:dyDescent="0.35">
      <c r="A4" s="41"/>
      <c r="B4" s="42"/>
      <c r="C4" s="43" t="s">
        <v>2150</v>
      </c>
      <c r="D4" s="2">
        <f>COUNTIFS($C$7:$C$231, "Sovereign", D7:D231, "&lt;&gt;")</f>
        <v>129</v>
      </c>
      <c r="E4" s="2">
        <f>COUNTIFS($C$7:$C$231, "Sovereign", E7:E231, "&lt;&gt;")</f>
        <v>119</v>
      </c>
      <c r="F4" s="2">
        <f>COUNTIFS($C$7:$C$231, "Sovereign", F7:F231, "&lt;&gt;")</f>
        <v>62</v>
      </c>
      <c r="G4" s="2">
        <f>COUNTIFS($C$7:$C$231, "Sovereign", G7:G231, "&lt;&gt;")</f>
        <v>54</v>
      </c>
    </row>
    <row r="6" spans="1:7" s="20" customFormat="1" x14ac:dyDescent="0.25">
      <c r="A6" s="18" t="s">
        <v>1241</v>
      </c>
      <c r="B6" s="19" t="s">
        <v>12068</v>
      </c>
      <c r="C6" s="18" t="s">
        <v>203</v>
      </c>
      <c r="D6" s="18" t="s">
        <v>193</v>
      </c>
      <c r="E6" s="18" t="s">
        <v>194</v>
      </c>
      <c r="F6" s="18" t="s">
        <v>199</v>
      </c>
      <c r="G6" s="18" t="s">
        <v>200</v>
      </c>
    </row>
    <row r="7" spans="1:7" x14ac:dyDescent="0.25">
      <c r="A7" s="2" t="str">
        <f>VLOOKUP(Table1[[#This Row],[Name]],'country codes'!$A$1:$D$253,4,FALSE)</f>
        <v>AFG</v>
      </c>
      <c r="B7" s="1" t="s">
        <v>0</v>
      </c>
      <c r="C7" s="2" t="s">
        <v>12069</v>
      </c>
      <c r="D7" s="2" t="s">
        <v>195</v>
      </c>
      <c r="E7" s="2"/>
      <c r="F7" s="2"/>
      <c r="G7" s="2"/>
    </row>
    <row r="8" spans="1:7" x14ac:dyDescent="0.25">
      <c r="A8" s="2" t="str">
        <f>VLOOKUP(Table1[[#This Row],[Name]],'country codes'!$A$1:$D$253,4,FALSE)</f>
        <v>ALB</v>
      </c>
      <c r="B8" s="1" t="s">
        <v>1</v>
      </c>
      <c r="C8" s="2" t="s">
        <v>12069</v>
      </c>
      <c r="D8" s="2" t="s">
        <v>195</v>
      </c>
      <c r="E8" s="2" t="s">
        <v>195</v>
      </c>
      <c r="F8" s="2"/>
      <c r="G8" s="2"/>
    </row>
    <row r="9" spans="1:7" x14ac:dyDescent="0.25">
      <c r="A9" s="2" t="str">
        <f>VLOOKUP(Table1[[#This Row],[Name]],'country codes'!$A$1:$D$253,4,FALSE)</f>
        <v>DZA</v>
      </c>
      <c r="B9" s="1" t="s">
        <v>2</v>
      </c>
      <c r="C9" s="2" t="s">
        <v>12069</v>
      </c>
      <c r="D9" s="2"/>
      <c r="E9" s="2"/>
      <c r="F9" s="2"/>
      <c r="G9" s="2"/>
    </row>
    <row r="10" spans="1:7" x14ac:dyDescent="0.25">
      <c r="A10" s="2" t="str">
        <f>VLOOKUP(Table1[[#This Row],[Name]],'country codes'!$A$1:$D$253,4,FALSE)</f>
        <v>ASM</v>
      </c>
      <c r="B10" s="39" t="s">
        <v>1197</v>
      </c>
      <c r="C10" s="14" t="s">
        <v>12070</v>
      </c>
      <c r="D10" s="14" t="s">
        <v>195</v>
      </c>
      <c r="E10" s="14" t="s">
        <v>195</v>
      </c>
      <c r="F10" s="39"/>
      <c r="G10" s="39"/>
    </row>
    <row r="11" spans="1:7" x14ac:dyDescent="0.25">
      <c r="A11" s="2" t="str">
        <f>VLOOKUP(Table1[[#This Row],[Name]],'country codes'!$A$1:$D$253,4,FALSE)</f>
        <v>AND</v>
      </c>
      <c r="B11" s="1" t="s">
        <v>3</v>
      </c>
      <c r="C11" s="2" t="s">
        <v>12069</v>
      </c>
      <c r="D11" s="2"/>
      <c r="E11" s="2"/>
      <c r="F11" s="2"/>
      <c r="G11" s="2"/>
    </row>
    <row r="12" spans="1:7" x14ac:dyDescent="0.25">
      <c r="A12" s="2" t="str">
        <f>VLOOKUP(Table1[[#This Row],[Name]],'country codes'!$A$1:$D$253,4,FALSE)</f>
        <v>AGO</v>
      </c>
      <c r="B12" s="1" t="s">
        <v>4</v>
      </c>
      <c r="C12" s="2" t="s">
        <v>12069</v>
      </c>
      <c r="D12" s="2"/>
      <c r="E12" s="2"/>
      <c r="F12" s="2"/>
      <c r="G12" s="2"/>
    </row>
    <row r="13" spans="1:7" x14ac:dyDescent="0.25">
      <c r="A13" s="2" t="str">
        <f>VLOOKUP(Table1[[#This Row],[Name]],'country codes'!$A$1:$D$253,4,FALSE)</f>
        <v>ATG</v>
      </c>
      <c r="B13" s="1" t="s">
        <v>5</v>
      </c>
      <c r="C13" s="2" t="s">
        <v>12069</v>
      </c>
      <c r="D13" s="2" t="s">
        <v>195</v>
      </c>
      <c r="E13" s="2" t="s">
        <v>195</v>
      </c>
      <c r="F13" s="2" t="s">
        <v>195</v>
      </c>
      <c r="G13" s="2" t="s">
        <v>195</v>
      </c>
    </row>
    <row r="14" spans="1:7" x14ac:dyDescent="0.25">
      <c r="A14" s="2" t="str">
        <f>VLOOKUP(Table1[[#This Row],[Name]],'country codes'!$A$1:$D$253,4,FALSE)</f>
        <v>ARG</v>
      </c>
      <c r="B14" s="1" t="s">
        <v>6</v>
      </c>
      <c r="C14" s="2" t="s">
        <v>12069</v>
      </c>
      <c r="D14" s="2" t="s">
        <v>195</v>
      </c>
      <c r="E14" s="2" t="s">
        <v>195</v>
      </c>
      <c r="F14" s="2" t="s">
        <v>195</v>
      </c>
      <c r="G14" s="2" t="s">
        <v>195</v>
      </c>
    </row>
    <row r="15" spans="1:7" x14ac:dyDescent="0.25">
      <c r="A15" s="2" t="str">
        <f>VLOOKUP(Table1[[#This Row],[Name]],'country codes'!$A$1:$D$253,4,FALSE)</f>
        <v>ARM</v>
      </c>
      <c r="B15" s="1" t="s">
        <v>7</v>
      </c>
      <c r="C15" s="2" t="s">
        <v>12069</v>
      </c>
      <c r="D15" s="2" t="s">
        <v>195</v>
      </c>
      <c r="E15" s="2" t="s">
        <v>195</v>
      </c>
      <c r="F15" s="2"/>
      <c r="G15" s="2"/>
    </row>
    <row r="16" spans="1:7" x14ac:dyDescent="0.25">
      <c r="A16" s="2" t="str">
        <f>VLOOKUP(Table1[[#This Row],[Name]],'country codes'!$A$1:$D$253,4,FALSE)</f>
        <v>ABW</v>
      </c>
      <c r="B16" s="16" t="s">
        <v>1200</v>
      </c>
      <c r="C16" s="14" t="s">
        <v>12070</v>
      </c>
      <c r="D16" s="14" t="s">
        <v>195</v>
      </c>
      <c r="E16" s="14" t="s">
        <v>195</v>
      </c>
      <c r="F16" s="14" t="s">
        <v>195</v>
      </c>
      <c r="G16" s="14" t="s">
        <v>195</v>
      </c>
    </row>
    <row r="17" spans="1:7" x14ac:dyDescent="0.25">
      <c r="A17" s="2" t="str">
        <f>VLOOKUP(Table1[[#This Row],[Name]],'country codes'!$A$1:$D$253,4,FALSE)</f>
        <v>AUS</v>
      </c>
      <c r="B17" s="1" t="s">
        <v>8</v>
      </c>
      <c r="C17" s="2" t="s">
        <v>12069</v>
      </c>
      <c r="D17" s="2" t="s">
        <v>195</v>
      </c>
      <c r="E17" s="2" t="s">
        <v>195</v>
      </c>
      <c r="F17" s="2" t="s">
        <v>195</v>
      </c>
      <c r="G17" s="2" t="s">
        <v>195</v>
      </c>
    </row>
    <row r="18" spans="1:7" x14ac:dyDescent="0.25">
      <c r="A18" s="2" t="str">
        <f>VLOOKUP(Table1[[#This Row],[Name]],'country codes'!$A$1:$D$253,4,FALSE)</f>
        <v>AUT</v>
      </c>
      <c r="B18" s="1" t="s">
        <v>9</v>
      </c>
      <c r="C18" s="2" t="s">
        <v>12069</v>
      </c>
      <c r="D18" s="2" t="s">
        <v>195</v>
      </c>
      <c r="E18" s="2" t="s">
        <v>195</v>
      </c>
      <c r="F18" s="2" t="s">
        <v>195</v>
      </c>
      <c r="G18" s="2" t="s">
        <v>195</v>
      </c>
    </row>
    <row r="19" spans="1:7" x14ac:dyDescent="0.25">
      <c r="A19" s="2" t="str">
        <f>VLOOKUP(Table1[[#This Row],[Name]],'country codes'!$A$1:$D$253,4,FALSE)</f>
        <v>AZE</v>
      </c>
      <c r="B19" s="1" t="s">
        <v>10</v>
      </c>
      <c r="C19" s="2" t="s">
        <v>12069</v>
      </c>
      <c r="D19" s="2" t="s">
        <v>195</v>
      </c>
      <c r="E19" s="2" t="s">
        <v>195</v>
      </c>
      <c r="F19" s="2"/>
      <c r="G19" s="2"/>
    </row>
    <row r="20" spans="1:7" x14ac:dyDescent="0.25">
      <c r="A20" s="2" t="str">
        <f>VLOOKUP(Table1[[#This Row],[Name]],'country codes'!$A$1:$D$253,4,FALSE)</f>
        <v>PT-20</v>
      </c>
      <c r="B20" s="16" t="s">
        <v>12064</v>
      </c>
      <c r="C20" s="14" t="s">
        <v>12070</v>
      </c>
      <c r="D20" s="14"/>
      <c r="E20" s="14"/>
      <c r="F20" s="16"/>
      <c r="G20" s="16"/>
    </row>
    <row r="21" spans="1:7" x14ac:dyDescent="0.25">
      <c r="A21" s="2" t="str">
        <f>VLOOKUP(Table1[[#This Row],[Name]],'country codes'!$A$1:$D$253,4,FALSE)</f>
        <v>BHR</v>
      </c>
      <c r="B21" s="1" t="s">
        <v>12</v>
      </c>
      <c r="C21" s="2" t="s">
        <v>12069</v>
      </c>
      <c r="D21" s="2"/>
      <c r="E21" s="2"/>
      <c r="F21" s="2"/>
      <c r="G21" s="2"/>
    </row>
    <row r="22" spans="1:7" x14ac:dyDescent="0.25">
      <c r="A22" s="2" t="str">
        <f>VLOOKUP(Table1[[#This Row],[Name]],'country codes'!$A$1:$D$253,4,FALSE)</f>
        <v>BGD</v>
      </c>
      <c r="B22" s="1" t="s">
        <v>13</v>
      </c>
      <c r="C22" s="2" t="s">
        <v>12069</v>
      </c>
      <c r="D22" s="2"/>
      <c r="E22" s="2"/>
      <c r="F22" s="2"/>
      <c r="G22" s="2"/>
    </row>
    <row r="23" spans="1:7" x14ac:dyDescent="0.25">
      <c r="A23" s="2" t="str">
        <f>VLOOKUP(Table1[[#This Row],[Name]],'country codes'!$A$1:$D$253,4,FALSE)</f>
        <v>BRB</v>
      </c>
      <c r="B23" s="1" t="s">
        <v>14</v>
      </c>
      <c r="C23" s="2" t="s">
        <v>12069</v>
      </c>
      <c r="D23" s="2"/>
      <c r="E23" s="2"/>
      <c r="F23" s="2"/>
      <c r="G23" s="2"/>
    </row>
    <row r="24" spans="1:7" x14ac:dyDescent="0.25">
      <c r="A24" s="2" t="str">
        <f>VLOOKUP(Table1[[#This Row],[Name]],'country codes'!$A$1:$D$253,4,FALSE)</f>
        <v>BLR</v>
      </c>
      <c r="B24" s="1" t="s">
        <v>15</v>
      </c>
      <c r="C24" s="2" t="s">
        <v>12069</v>
      </c>
      <c r="D24" s="2"/>
      <c r="E24" s="2"/>
      <c r="F24" s="2"/>
      <c r="G24" s="2"/>
    </row>
    <row r="25" spans="1:7" x14ac:dyDescent="0.25">
      <c r="A25" s="2" t="str">
        <f>VLOOKUP(Table1[[#This Row],[Name]],'country codes'!$A$1:$D$253,4,FALSE)</f>
        <v>BEL</v>
      </c>
      <c r="B25" s="1" t="s">
        <v>16</v>
      </c>
      <c r="C25" s="2" t="s">
        <v>12069</v>
      </c>
      <c r="D25" s="2" t="s">
        <v>195</v>
      </c>
      <c r="E25" s="2" t="s">
        <v>195</v>
      </c>
      <c r="F25" s="2"/>
      <c r="G25" s="2"/>
    </row>
    <row r="26" spans="1:7" x14ac:dyDescent="0.25">
      <c r="A26" s="2" t="str">
        <f>VLOOKUP(Table1[[#This Row],[Name]],'country codes'!$A$1:$D$253,4,FALSE)</f>
        <v>BLZ</v>
      </c>
      <c r="B26" s="1" t="s">
        <v>17</v>
      </c>
      <c r="C26" s="2" t="s">
        <v>12069</v>
      </c>
      <c r="D26" s="2" t="s">
        <v>195</v>
      </c>
      <c r="E26" s="2" t="s">
        <v>195</v>
      </c>
      <c r="F26" s="2"/>
      <c r="G26" s="2"/>
    </row>
    <row r="27" spans="1:7" x14ac:dyDescent="0.25">
      <c r="A27" s="2" t="str">
        <f>VLOOKUP(Table1[[#This Row],[Name]],'country codes'!$A$1:$D$253,4,FALSE)</f>
        <v>BEN</v>
      </c>
      <c r="B27" s="1" t="s">
        <v>18</v>
      </c>
      <c r="C27" s="2" t="s">
        <v>12069</v>
      </c>
      <c r="D27" s="2"/>
      <c r="E27" s="2"/>
      <c r="F27" s="2"/>
      <c r="G27" s="2"/>
    </row>
    <row r="28" spans="1:7" x14ac:dyDescent="0.25">
      <c r="A28" s="2" t="str">
        <f>VLOOKUP(Table1[[#This Row],[Name]],'country codes'!$A$1:$D$253,4,FALSE)</f>
        <v>BMU</v>
      </c>
      <c r="B28" s="1" t="s">
        <v>1201</v>
      </c>
      <c r="C28" s="14" t="s">
        <v>12070</v>
      </c>
      <c r="D28" s="2"/>
      <c r="E28" s="2"/>
      <c r="F28" s="2"/>
      <c r="G28" s="2"/>
    </row>
    <row r="29" spans="1:7" x14ac:dyDescent="0.25">
      <c r="A29" s="2" t="str">
        <f>VLOOKUP(Table1[[#This Row],[Name]],'country codes'!$A$1:$D$253,4,FALSE)</f>
        <v>BTN</v>
      </c>
      <c r="B29" s="1" t="s">
        <v>19</v>
      </c>
      <c r="C29" s="2" t="s">
        <v>12069</v>
      </c>
      <c r="D29" s="2"/>
      <c r="E29" s="2"/>
      <c r="F29" s="2"/>
      <c r="G29" s="2"/>
    </row>
    <row r="30" spans="1:7" x14ac:dyDescent="0.25">
      <c r="A30" s="2" t="str">
        <f>VLOOKUP(Table1[[#This Row],[Name]],'country codes'!$A$1:$D$253,4,FALSE)</f>
        <v>BOL</v>
      </c>
      <c r="B30" s="1" t="s">
        <v>20</v>
      </c>
      <c r="C30" s="2" t="s">
        <v>12069</v>
      </c>
      <c r="D30" s="2"/>
      <c r="E30" s="2" t="s">
        <v>195</v>
      </c>
      <c r="F30" s="2"/>
      <c r="G30" s="2"/>
    </row>
    <row r="31" spans="1:7" x14ac:dyDescent="0.25">
      <c r="A31" s="2" t="str">
        <f>VLOOKUP(Table1[[#This Row],[Name]],'country codes'!$A$1:$D$253,4,FALSE)</f>
        <v>BIH</v>
      </c>
      <c r="B31" s="1" t="s">
        <v>21</v>
      </c>
      <c r="C31" s="2" t="s">
        <v>12069</v>
      </c>
      <c r="D31" s="2" t="s">
        <v>195</v>
      </c>
      <c r="E31" s="2" t="s">
        <v>195</v>
      </c>
      <c r="F31" s="2"/>
      <c r="G31" s="2"/>
    </row>
    <row r="32" spans="1:7" x14ac:dyDescent="0.25">
      <c r="A32" s="2" t="str">
        <f>VLOOKUP(Table1[[#This Row],[Name]],'country codes'!$A$1:$D$253,4,FALSE)</f>
        <v>BWA</v>
      </c>
      <c r="B32" s="1" t="s">
        <v>22</v>
      </c>
      <c r="C32" s="2" t="s">
        <v>12069</v>
      </c>
      <c r="D32" s="2" t="s">
        <v>195</v>
      </c>
      <c r="E32" s="2" t="s">
        <v>195</v>
      </c>
      <c r="F32" s="2" t="s">
        <v>195</v>
      </c>
      <c r="G32" s="2" t="s">
        <v>195</v>
      </c>
    </row>
    <row r="33" spans="1:7" x14ac:dyDescent="0.25">
      <c r="A33" s="2" t="str">
        <f>VLOOKUP(Table1[[#This Row],[Name]],'country codes'!$A$1:$D$253,4,FALSE)</f>
        <v>BRA</v>
      </c>
      <c r="B33" s="1" t="s">
        <v>23</v>
      </c>
      <c r="C33" s="2" t="s">
        <v>12069</v>
      </c>
      <c r="D33" s="2" t="s">
        <v>195</v>
      </c>
      <c r="E33" s="2" t="s">
        <v>195</v>
      </c>
      <c r="F33" s="2" t="s">
        <v>195</v>
      </c>
      <c r="G33" s="2" t="s">
        <v>195</v>
      </c>
    </row>
    <row r="34" spans="1:7" x14ac:dyDescent="0.25">
      <c r="A34" s="2" t="str">
        <f>VLOOKUP(Table1[[#This Row],[Name]],'country codes'!$A$1:$D$253,4,FALSE)</f>
        <v>VGB</v>
      </c>
      <c r="B34" s="1" t="s">
        <v>1237</v>
      </c>
      <c r="C34" s="14" t="s">
        <v>12070</v>
      </c>
      <c r="D34" s="2"/>
      <c r="E34" s="2"/>
      <c r="F34" s="2"/>
      <c r="G34" s="2"/>
    </row>
    <row r="35" spans="1:7" x14ac:dyDescent="0.25">
      <c r="A35" s="2" t="str">
        <f>VLOOKUP(Table1[[#This Row],[Name]],'country codes'!$A$1:$D$253,4,FALSE)</f>
        <v>BRN</v>
      </c>
      <c r="B35" s="1" t="s">
        <v>24</v>
      </c>
      <c r="C35" s="2" t="s">
        <v>12069</v>
      </c>
      <c r="D35" s="2"/>
      <c r="E35" s="2"/>
      <c r="F35" s="2"/>
      <c r="G35" s="2"/>
    </row>
    <row r="36" spans="1:7" x14ac:dyDescent="0.25">
      <c r="A36" s="2" t="str">
        <f>VLOOKUP(Table1[[#This Row],[Name]],'country codes'!$A$1:$D$253,4,FALSE)</f>
        <v>BGR</v>
      </c>
      <c r="B36" s="1" t="s">
        <v>25</v>
      </c>
      <c r="C36" s="2" t="s">
        <v>12069</v>
      </c>
      <c r="D36" s="2" t="s">
        <v>195</v>
      </c>
      <c r="E36" s="2" t="s">
        <v>195</v>
      </c>
      <c r="F36" s="2" t="s">
        <v>195</v>
      </c>
      <c r="G36" s="2"/>
    </row>
    <row r="37" spans="1:7" x14ac:dyDescent="0.25">
      <c r="A37" s="2" t="str">
        <f>VLOOKUP(Table1[[#This Row],[Name]],'country codes'!$A$1:$D$253,4,FALSE)</f>
        <v>BFA</v>
      </c>
      <c r="B37" s="1" t="s">
        <v>26</v>
      </c>
      <c r="C37" s="2" t="s">
        <v>12069</v>
      </c>
      <c r="D37" s="2" t="s">
        <v>195</v>
      </c>
      <c r="E37" s="2"/>
      <c r="F37" s="2"/>
      <c r="G37" s="2"/>
    </row>
    <row r="38" spans="1:7" x14ac:dyDescent="0.25">
      <c r="A38" s="2" t="str">
        <f>VLOOKUP(Table1[[#This Row],[Name]],'country codes'!$A$1:$D$253,4,FALSE)</f>
        <v>BDI</v>
      </c>
      <c r="B38" s="1" t="s">
        <v>27</v>
      </c>
      <c r="C38" s="2" t="s">
        <v>12069</v>
      </c>
      <c r="D38" s="2" t="s">
        <v>195</v>
      </c>
      <c r="E38" s="2" t="s">
        <v>195</v>
      </c>
      <c r="F38" s="2"/>
      <c r="G38" s="2"/>
    </row>
    <row r="39" spans="1:7" x14ac:dyDescent="0.25">
      <c r="A39" s="2" t="str">
        <f>VLOOKUP(Table1[[#This Row],[Name]],'country codes'!$A$1:$D$253,4,FALSE)</f>
        <v>CPV</v>
      </c>
      <c r="B39" s="1" t="s">
        <v>28</v>
      </c>
      <c r="C39" s="2" t="s">
        <v>12069</v>
      </c>
      <c r="D39" s="2"/>
      <c r="E39" s="2"/>
      <c r="F39" s="2"/>
      <c r="G39" s="2"/>
    </row>
    <row r="40" spans="1:7" x14ac:dyDescent="0.25">
      <c r="A40" s="2" t="str">
        <f>VLOOKUP(Table1[[#This Row],[Name]],'country codes'!$A$1:$D$253,4,FALSE)</f>
        <v>KHM</v>
      </c>
      <c r="B40" s="1" t="s">
        <v>29</v>
      </c>
      <c r="C40" s="2" t="s">
        <v>12069</v>
      </c>
      <c r="D40" s="2" t="s">
        <v>195</v>
      </c>
      <c r="E40" s="2" t="s">
        <v>195</v>
      </c>
      <c r="F40" s="2" t="s">
        <v>195</v>
      </c>
      <c r="G40" s="2" t="s">
        <v>195</v>
      </c>
    </row>
    <row r="41" spans="1:7" x14ac:dyDescent="0.25">
      <c r="A41" s="2" t="str">
        <f>VLOOKUP(Table1[[#This Row],[Name]],'country codes'!$A$1:$D$253,4,FALSE)</f>
        <v>CMR</v>
      </c>
      <c r="B41" s="1" t="s">
        <v>30</v>
      </c>
      <c r="C41" s="2" t="s">
        <v>12069</v>
      </c>
      <c r="D41" s="2" t="s">
        <v>195</v>
      </c>
      <c r="E41" s="2"/>
      <c r="F41" s="2"/>
      <c r="G41" s="2"/>
    </row>
    <row r="42" spans="1:7" x14ac:dyDescent="0.25">
      <c r="A42" s="2" t="str">
        <f>VLOOKUP(Table1[[#This Row],[Name]],'country codes'!$A$1:$D$253,4,FALSE)</f>
        <v>CAN</v>
      </c>
      <c r="B42" s="1" t="s">
        <v>31</v>
      </c>
      <c r="C42" s="2" t="s">
        <v>12069</v>
      </c>
      <c r="D42" s="2" t="s">
        <v>195</v>
      </c>
      <c r="E42" s="2" t="s">
        <v>195</v>
      </c>
      <c r="F42" s="2" t="s">
        <v>195</v>
      </c>
      <c r="G42" s="2" t="s">
        <v>195</v>
      </c>
    </row>
    <row r="43" spans="1:7" x14ac:dyDescent="0.25">
      <c r="A43" s="2" t="str">
        <f>VLOOKUP(Table1[[#This Row],[Name]],'country codes'!$A$1:$D$253,4,FALSE)</f>
        <v>ES-CN</v>
      </c>
      <c r="B43" s="27" t="s">
        <v>2023</v>
      </c>
      <c r="C43" s="14" t="s">
        <v>12070</v>
      </c>
      <c r="D43" s="26" t="s">
        <v>195</v>
      </c>
      <c r="E43" s="26" t="s">
        <v>195</v>
      </c>
      <c r="F43" s="26" t="s">
        <v>195</v>
      </c>
      <c r="G43" s="26" t="s">
        <v>195</v>
      </c>
    </row>
    <row r="44" spans="1:7" x14ac:dyDescent="0.25">
      <c r="A44" s="2" t="str">
        <f>VLOOKUP(Table1[[#This Row],[Name]],'country codes'!$A$1:$D$253,4,FALSE)</f>
        <v>CYM</v>
      </c>
      <c r="B44" s="16" t="s">
        <v>1204</v>
      </c>
      <c r="C44" s="14" t="s">
        <v>12070</v>
      </c>
      <c r="D44" s="14" t="s">
        <v>195</v>
      </c>
      <c r="E44" s="14" t="s">
        <v>195</v>
      </c>
      <c r="F44" s="14" t="s">
        <v>195</v>
      </c>
      <c r="G44" s="14" t="s">
        <v>195</v>
      </c>
    </row>
    <row r="45" spans="1:7" x14ac:dyDescent="0.25">
      <c r="A45" s="2" t="str">
        <f>VLOOKUP(Table1[[#This Row],[Name]],'country codes'!$A$1:$D$253,4,FALSE)</f>
        <v>CAF</v>
      </c>
      <c r="B45" s="1" t="s">
        <v>197</v>
      </c>
      <c r="C45" s="2" t="s">
        <v>12069</v>
      </c>
      <c r="D45" s="2"/>
      <c r="E45" s="2"/>
      <c r="F45" s="2"/>
      <c r="G45" s="2"/>
    </row>
    <row r="46" spans="1:7" x14ac:dyDescent="0.25">
      <c r="A46" s="2" t="str">
        <f>VLOOKUP(Table1[[#This Row],[Name]],'country codes'!$A$1:$D$253,4,FALSE)</f>
        <v>ES-CE</v>
      </c>
      <c r="B46" s="16" t="s">
        <v>4535</v>
      </c>
      <c r="C46" s="14" t="s">
        <v>12070</v>
      </c>
      <c r="D46" s="14"/>
      <c r="E46" s="14"/>
      <c r="F46" s="16"/>
      <c r="G46" s="16"/>
    </row>
    <row r="47" spans="1:7" x14ac:dyDescent="0.25">
      <c r="A47" s="2" t="str">
        <f>VLOOKUP(Table1[[#This Row],[Name]],'country codes'!$A$1:$D$253,4,FALSE)</f>
        <v>TCD</v>
      </c>
      <c r="B47" s="1" t="s">
        <v>32</v>
      </c>
      <c r="C47" s="2" t="s">
        <v>12069</v>
      </c>
      <c r="D47" s="2"/>
      <c r="E47" s="2"/>
      <c r="F47" s="2"/>
      <c r="G47" s="2"/>
    </row>
    <row r="48" spans="1:7" x14ac:dyDescent="0.25">
      <c r="A48" s="2" t="str">
        <f>VLOOKUP(Table1[[#This Row],[Name]],'country codes'!$A$1:$D$253,4,FALSE)</f>
        <v>CHL</v>
      </c>
      <c r="B48" s="1" t="s">
        <v>33</v>
      </c>
      <c r="C48" s="2" t="s">
        <v>12069</v>
      </c>
      <c r="D48" s="2" t="s">
        <v>195</v>
      </c>
      <c r="E48" s="2" t="s">
        <v>195</v>
      </c>
      <c r="F48" s="2" t="s">
        <v>195</v>
      </c>
      <c r="G48" s="2" t="s">
        <v>195</v>
      </c>
    </row>
    <row r="49" spans="1:7" x14ac:dyDescent="0.25">
      <c r="A49" s="2" t="str">
        <f>VLOOKUP(Table1[[#This Row],[Name]],'country codes'!$A$1:$D$253,4,FALSE)</f>
        <v>CHN</v>
      </c>
      <c r="B49" s="1" t="s">
        <v>1205</v>
      </c>
      <c r="C49" s="2" t="s">
        <v>12069</v>
      </c>
      <c r="D49" s="2" t="s">
        <v>195</v>
      </c>
      <c r="E49" s="2" t="s">
        <v>195</v>
      </c>
      <c r="F49" s="2" t="s">
        <v>195</v>
      </c>
      <c r="G49" s="2" t="s">
        <v>195</v>
      </c>
    </row>
    <row r="50" spans="1:7" x14ac:dyDescent="0.25">
      <c r="A50" s="2" t="str">
        <f>VLOOKUP(Table1[[#This Row],[Name]],'country codes'!$A$1:$D$253,4,FALSE)</f>
        <v>COL</v>
      </c>
      <c r="B50" s="1" t="s">
        <v>35</v>
      </c>
      <c r="C50" s="2" t="s">
        <v>12069</v>
      </c>
      <c r="D50" s="2" t="s">
        <v>195</v>
      </c>
      <c r="E50" s="2" t="s">
        <v>195</v>
      </c>
      <c r="F50" s="2" t="s">
        <v>195</v>
      </c>
      <c r="G50" s="2" t="s">
        <v>195</v>
      </c>
    </row>
    <row r="51" spans="1:7" x14ac:dyDescent="0.25">
      <c r="A51" s="2" t="str">
        <f>VLOOKUP(Table1[[#This Row],[Name]],'country codes'!$A$1:$D$253,4,FALSE)</f>
        <v>COM</v>
      </c>
      <c r="B51" s="1" t="s">
        <v>36</v>
      </c>
      <c r="C51" s="2" t="s">
        <v>12069</v>
      </c>
      <c r="D51" s="2"/>
      <c r="E51" s="2"/>
      <c r="F51" s="2"/>
      <c r="G51" s="2"/>
    </row>
    <row r="52" spans="1:7" x14ac:dyDescent="0.25">
      <c r="A52" s="2" t="str">
        <f>VLOOKUP(Table1[[#This Row],[Name]],'country codes'!$A$1:$D$253,4,FALSE)</f>
        <v>COG</v>
      </c>
      <c r="B52" t="s">
        <v>16329</v>
      </c>
      <c r="C52" s="2" t="s">
        <v>12069</v>
      </c>
      <c r="D52" s="2" t="s">
        <v>195</v>
      </c>
      <c r="E52" s="2"/>
      <c r="F52" s="2"/>
      <c r="G52" s="2"/>
    </row>
    <row r="53" spans="1:7" x14ac:dyDescent="0.25">
      <c r="A53" s="2" t="str">
        <f>VLOOKUP(Table1[[#This Row],[Name]],'country codes'!$A$1:$D$253,4,FALSE)</f>
        <v>COD</v>
      </c>
      <c r="B53" t="s">
        <v>13583</v>
      </c>
      <c r="C53" s="2" t="s">
        <v>12069</v>
      </c>
      <c r="D53" s="2" t="s">
        <v>195</v>
      </c>
      <c r="E53" s="2"/>
      <c r="F53" s="2"/>
      <c r="G53" s="2"/>
    </row>
    <row r="54" spans="1:7" x14ac:dyDescent="0.25">
      <c r="A54" s="2" t="str">
        <f>VLOOKUP(Table1[[#This Row],[Name]],'country codes'!$A$1:$D$253,4,FALSE)</f>
        <v>COK</v>
      </c>
      <c r="B54" t="s">
        <v>1206</v>
      </c>
      <c r="C54" s="2" t="s">
        <v>12069</v>
      </c>
      <c r="D54" s="2" t="s">
        <v>195</v>
      </c>
      <c r="E54" s="2" t="s">
        <v>195</v>
      </c>
      <c r="F54" s="2"/>
      <c r="G54" s="2"/>
    </row>
    <row r="55" spans="1:7" x14ac:dyDescent="0.25">
      <c r="A55" s="2" t="str">
        <f>VLOOKUP(Table1[[#This Row],[Name]],'country codes'!$A$1:$D$253,4,FALSE)</f>
        <v>CRI</v>
      </c>
      <c r="B55" s="1" t="s">
        <v>39</v>
      </c>
      <c r="C55" s="2" t="s">
        <v>12069</v>
      </c>
      <c r="D55" s="2" t="s">
        <v>195</v>
      </c>
      <c r="E55" s="2" t="s">
        <v>195</v>
      </c>
      <c r="F55" s="2" t="s">
        <v>195</v>
      </c>
      <c r="G55" s="2" t="s">
        <v>195</v>
      </c>
    </row>
    <row r="56" spans="1:7" x14ac:dyDescent="0.25">
      <c r="A56" s="2" t="str">
        <f>VLOOKUP(Table1[[#This Row],[Name]],'country codes'!$A$1:$D$253,4,FALSE)</f>
        <v>CIV</v>
      </c>
      <c r="B56" t="s">
        <v>18853</v>
      </c>
      <c r="C56" s="2" t="s">
        <v>12069</v>
      </c>
      <c r="D56" s="2" t="s">
        <v>195</v>
      </c>
      <c r="E56" s="2"/>
      <c r="F56" s="2"/>
      <c r="G56" s="2"/>
    </row>
    <row r="57" spans="1:7" x14ac:dyDescent="0.25">
      <c r="A57" s="2" t="str">
        <f>VLOOKUP(Table1[[#This Row],[Name]],'country codes'!$A$1:$D$253,4,FALSE)</f>
        <v>HRV</v>
      </c>
      <c r="B57" s="1" t="s">
        <v>41</v>
      </c>
      <c r="C57" s="2" t="s">
        <v>12069</v>
      </c>
      <c r="D57" s="2" t="s">
        <v>195</v>
      </c>
      <c r="E57" s="2" t="s">
        <v>195</v>
      </c>
      <c r="F57" s="2" t="s">
        <v>195</v>
      </c>
      <c r="G57" s="2" t="s">
        <v>195</v>
      </c>
    </row>
    <row r="58" spans="1:7" x14ac:dyDescent="0.25">
      <c r="A58" s="2" t="str">
        <f>VLOOKUP(Table1[[#This Row],[Name]],'country codes'!$A$1:$D$253,4,FALSE)</f>
        <v>CUB</v>
      </c>
      <c r="B58" s="1" t="s">
        <v>42</v>
      </c>
      <c r="C58" s="2" t="s">
        <v>12069</v>
      </c>
      <c r="D58" s="2"/>
      <c r="E58" s="2"/>
      <c r="F58" s="2"/>
      <c r="G58" s="2"/>
    </row>
    <row r="59" spans="1:7" x14ac:dyDescent="0.25">
      <c r="A59" s="2" t="str">
        <f>VLOOKUP(Table1[[#This Row],[Name]],'country codes'!$A$1:$D$253,4,FALSE)</f>
        <v>CUW</v>
      </c>
      <c r="B59" t="s">
        <v>18385</v>
      </c>
      <c r="C59" s="2" t="s">
        <v>12069</v>
      </c>
      <c r="D59" s="2"/>
      <c r="E59" s="2"/>
      <c r="F59" s="2"/>
      <c r="G59" s="2"/>
    </row>
    <row r="60" spans="1:7" x14ac:dyDescent="0.25">
      <c r="A60" s="2" t="str">
        <f>VLOOKUP(Table1[[#This Row],[Name]],'country codes'!$A$1:$D$253,4,FALSE)</f>
        <v>CYP</v>
      </c>
      <c r="B60" s="1" t="s">
        <v>43</v>
      </c>
      <c r="C60" s="2" t="s">
        <v>12069</v>
      </c>
      <c r="D60" s="2" t="s">
        <v>195</v>
      </c>
      <c r="E60" s="2" t="s">
        <v>195</v>
      </c>
      <c r="F60" s="2"/>
      <c r="G60" s="2"/>
    </row>
    <row r="61" spans="1:7" x14ac:dyDescent="0.25">
      <c r="A61" s="2" t="str">
        <f>VLOOKUP(Table1[[#This Row],[Name]],'country codes'!$A$1:$D$253,4,FALSE)</f>
        <v>CZE</v>
      </c>
      <c r="B61" t="s">
        <v>2146</v>
      </c>
      <c r="C61" s="2" t="s">
        <v>12069</v>
      </c>
      <c r="D61" s="2" t="s">
        <v>195</v>
      </c>
      <c r="E61" s="2" t="s">
        <v>195</v>
      </c>
      <c r="F61" s="2" t="s">
        <v>195</v>
      </c>
      <c r="G61" s="2"/>
    </row>
    <row r="62" spans="1:7" x14ac:dyDescent="0.25">
      <c r="A62" s="2" t="str">
        <f>VLOOKUP(Table1[[#This Row],[Name]],'country codes'!$A$1:$D$253,4,FALSE)</f>
        <v>DNK</v>
      </c>
      <c r="B62" s="1" t="s">
        <v>45</v>
      </c>
      <c r="C62" s="2" t="s">
        <v>12069</v>
      </c>
      <c r="D62" s="2" t="s">
        <v>195</v>
      </c>
      <c r="E62" s="2" t="s">
        <v>195</v>
      </c>
      <c r="F62" s="2"/>
      <c r="G62" s="2"/>
    </row>
    <row r="63" spans="1:7" x14ac:dyDescent="0.25">
      <c r="A63" s="2" t="str">
        <f>VLOOKUP(Table1[[#This Row],[Name]],'country codes'!$A$1:$D$253,4,FALSE)</f>
        <v>DJI</v>
      </c>
      <c r="B63" s="1" t="s">
        <v>46</v>
      </c>
      <c r="C63" s="2" t="s">
        <v>12069</v>
      </c>
      <c r="D63" s="2"/>
      <c r="E63" s="2"/>
      <c r="F63" s="2"/>
      <c r="G63" s="2"/>
    </row>
    <row r="64" spans="1:7" x14ac:dyDescent="0.25">
      <c r="A64" s="2" t="str">
        <f>VLOOKUP(Table1[[#This Row],[Name]],'country codes'!$A$1:$D$253,4,FALSE)</f>
        <v>DMA</v>
      </c>
      <c r="B64" s="1" t="s">
        <v>47</v>
      </c>
      <c r="C64" s="2" t="s">
        <v>12069</v>
      </c>
      <c r="D64" s="2" t="s">
        <v>195</v>
      </c>
      <c r="E64" s="2" t="s">
        <v>195</v>
      </c>
      <c r="F64" s="2" t="s">
        <v>195</v>
      </c>
      <c r="G64" s="2" t="s">
        <v>195</v>
      </c>
    </row>
    <row r="65" spans="1:7" x14ac:dyDescent="0.25">
      <c r="A65" s="2" t="str">
        <f>VLOOKUP(Table1[[#This Row],[Name]],'country codes'!$A$1:$D$253,4,FALSE)</f>
        <v>DOM</v>
      </c>
      <c r="B65" s="1" t="s">
        <v>48</v>
      </c>
      <c r="C65" s="2" t="s">
        <v>12069</v>
      </c>
      <c r="D65" s="2" t="s">
        <v>195</v>
      </c>
      <c r="E65" s="2" t="s">
        <v>195</v>
      </c>
      <c r="F65" s="2" t="s">
        <v>195</v>
      </c>
      <c r="G65" s="2" t="s">
        <v>195</v>
      </c>
    </row>
    <row r="66" spans="1:7" x14ac:dyDescent="0.25">
      <c r="A66" s="2" t="str">
        <f>VLOOKUP(Table1[[#This Row],[Name]],'country codes'!$A$1:$D$253,4,FALSE)</f>
        <v>ECU</v>
      </c>
      <c r="B66" s="1" t="s">
        <v>49</v>
      </c>
      <c r="C66" s="2" t="s">
        <v>12069</v>
      </c>
      <c r="D66" s="2"/>
      <c r="E66" s="2" t="s">
        <v>195</v>
      </c>
      <c r="F66" s="2"/>
      <c r="G66" s="2"/>
    </row>
    <row r="67" spans="1:7" x14ac:dyDescent="0.25">
      <c r="A67" s="2" t="str">
        <f>VLOOKUP(Table1[[#This Row],[Name]],'country codes'!$A$1:$D$253,4,FALSE)</f>
        <v>EGY</v>
      </c>
      <c r="B67" s="1" t="s">
        <v>50</v>
      </c>
      <c r="C67" s="2" t="s">
        <v>12069</v>
      </c>
      <c r="D67" s="2" t="s">
        <v>195</v>
      </c>
      <c r="E67" s="2" t="s">
        <v>195</v>
      </c>
      <c r="F67" s="2" t="s">
        <v>195</v>
      </c>
      <c r="G67" s="2" t="s">
        <v>195</v>
      </c>
    </row>
    <row r="68" spans="1:7" x14ac:dyDescent="0.25">
      <c r="A68" s="2" t="str">
        <f>VLOOKUP(Table1[[#This Row],[Name]],'country codes'!$A$1:$D$253,4,FALSE)</f>
        <v>SLV</v>
      </c>
      <c r="B68" s="1" t="s">
        <v>51</v>
      </c>
      <c r="C68" s="2" t="s">
        <v>12069</v>
      </c>
      <c r="D68" s="2"/>
      <c r="E68" s="2" t="s">
        <v>195</v>
      </c>
      <c r="F68" s="2"/>
      <c r="G68" s="2"/>
    </row>
    <row r="69" spans="1:7" x14ac:dyDescent="0.25">
      <c r="A69" s="2" t="str">
        <f>VLOOKUP(Table1[[#This Row],[Name]],'country codes'!$A$1:$D$253,4,FALSE)</f>
        <v>GNQ</v>
      </c>
      <c r="B69" s="1" t="s">
        <v>52</v>
      </c>
      <c r="C69" s="2" t="s">
        <v>12069</v>
      </c>
      <c r="D69" s="2" t="s">
        <v>195</v>
      </c>
      <c r="E69" s="2"/>
      <c r="F69" s="2"/>
      <c r="G69" s="2"/>
    </row>
    <row r="70" spans="1:7" x14ac:dyDescent="0.25">
      <c r="A70" s="2" t="str">
        <f>VLOOKUP(Table1[[#This Row],[Name]],'country codes'!$A$1:$D$253,4,FALSE)</f>
        <v>ERI</v>
      </c>
      <c r="B70" s="1" t="s">
        <v>53</v>
      </c>
      <c r="C70" s="2" t="s">
        <v>12069</v>
      </c>
      <c r="D70" s="2"/>
      <c r="E70" s="2"/>
      <c r="F70" s="2"/>
      <c r="G70" s="2"/>
    </row>
    <row r="71" spans="1:7" x14ac:dyDescent="0.25">
      <c r="A71" s="2" t="str">
        <f>VLOOKUP(Table1[[#This Row],[Name]],'country codes'!$A$1:$D$253,4,FALSE)</f>
        <v>EST</v>
      </c>
      <c r="B71" s="1" t="s">
        <v>54</v>
      </c>
      <c r="C71" s="2" t="s">
        <v>12069</v>
      </c>
      <c r="D71" s="2"/>
      <c r="E71" s="2"/>
      <c r="F71" s="2"/>
      <c r="G71" s="2"/>
    </row>
    <row r="72" spans="1:7" x14ac:dyDescent="0.25">
      <c r="A72" s="2" t="str">
        <f>VLOOKUP(Table1[[#This Row],[Name]],'country codes'!$A$1:$D$253,4,FALSE)</f>
        <v>SWZ</v>
      </c>
      <c r="B72" t="s">
        <v>2147</v>
      </c>
      <c r="C72" s="2" t="s">
        <v>12069</v>
      </c>
      <c r="D72" s="2" t="s">
        <v>195</v>
      </c>
      <c r="E72" s="2" t="s">
        <v>195</v>
      </c>
      <c r="F72" s="2" t="s">
        <v>195</v>
      </c>
      <c r="G72" s="2" t="s">
        <v>195</v>
      </c>
    </row>
    <row r="73" spans="1:7" x14ac:dyDescent="0.25">
      <c r="A73" s="2" t="str">
        <f>VLOOKUP(Table1[[#This Row],[Name]],'country codes'!$A$1:$D$253,4,FALSE)</f>
        <v>ETH</v>
      </c>
      <c r="B73" s="1" t="s">
        <v>55</v>
      </c>
      <c r="C73" s="2" t="s">
        <v>12069</v>
      </c>
      <c r="D73" s="2"/>
      <c r="E73" s="2"/>
      <c r="F73" s="2"/>
      <c r="G73" s="2"/>
    </row>
    <row r="74" spans="1:7" x14ac:dyDescent="0.25">
      <c r="A74" s="2" t="str">
        <f>VLOOKUP(Table1[[#This Row],[Name]],'country codes'!$A$1:$D$253,4,FALSE)</f>
        <v>FRO</v>
      </c>
      <c r="B74" s="1" t="s">
        <v>1207</v>
      </c>
      <c r="C74" s="14" t="s">
        <v>12070</v>
      </c>
      <c r="D74" s="2" t="s">
        <v>195</v>
      </c>
      <c r="E74" s="2" t="s">
        <v>195</v>
      </c>
      <c r="F74" s="2"/>
      <c r="G74" s="2"/>
    </row>
    <row r="75" spans="1:7" x14ac:dyDescent="0.25">
      <c r="A75" s="2" t="str">
        <f>VLOOKUP(Table1[[#This Row],[Name]],'country codes'!$A$1:$D$253,4,FALSE)</f>
        <v>FSM</v>
      </c>
      <c r="B75" s="1" t="s">
        <v>113</v>
      </c>
      <c r="C75" s="2" t="s">
        <v>12069</v>
      </c>
      <c r="D75" s="2"/>
      <c r="E75" s="2"/>
      <c r="F75" s="2"/>
      <c r="G75" s="2"/>
    </row>
    <row r="76" spans="1:7" x14ac:dyDescent="0.25">
      <c r="A76" s="2" t="str">
        <f>VLOOKUP(Table1[[#This Row],[Name]],'country codes'!$A$1:$D$253,4,FALSE)</f>
        <v>FJI</v>
      </c>
      <c r="B76" s="1" t="s">
        <v>56</v>
      </c>
      <c r="C76" s="2" t="s">
        <v>12069</v>
      </c>
      <c r="D76" s="2" t="s">
        <v>195</v>
      </c>
      <c r="E76" s="2" t="s">
        <v>195</v>
      </c>
      <c r="F76" s="2" t="s">
        <v>195</v>
      </c>
      <c r="G76" s="2" t="s">
        <v>195</v>
      </c>
    </row>
    <row r="77" spans="1:7" x14ac:dyDescent="0.25">
      <c r="A77" s="2" t="str">
        <f>VLOOKUP(Table1[[#This Row],[Name]],'country codes'!$A$1:$D$253,4,FALSE)</f>
        <v>FIN</v>
      </c>
      <c r="B77" s="1" t="s">
        <v>57</v>
      </c>
      <c r="C77" s="2" t="s">
        <v>12069</v>
      </c>
      <c r="D77" s="2"/>
      <c r="E77" s="2"/>
      <c r="F77" s="2"/>
      <c r="G77" s="2"/>
    </row>
    <row r="78" spans="1:7" x14ac:dyDescent="0.25">
      <c r="A78" s="2" t="str">
        <f>VLOOKUP(Table1[[#This Row],[Name]],'country codes'!$A$1:$D$253,4,FALSE)</f>
        <v>FRA</v>
      </c>
      <c r="B78" s="1" t="s">
        <v>58</v>
      </c>
      <c r="C78" s="2" t="s">
        <v>12069</v>
      </c>
      <c r="D78" s="2" t="s">
        <v>195</v>
      </c>
      <c r="E78" s="2" t="s">
        <v>195</v>
      </c>
      <c r="F78" s="2" t="s">
        <v>195</v>
      </c>
      <c r="G78" s="2" t="s">
        <v>195</v>
      </c>
    </row>
    <row r="79" spans="1:7" x14ac:dyDescent="0.25">
      <c r="A79" s="2" t="str">
        <f>VLOOKUP(Table1[[#This Row],[Name]],'country codes'!$A$1:$D$253,4,FALSE)</f>
        <v>FR-GF</v>
      </c>
      <c r="B79" s="16" t="s">
        <v>1208</v>
      </c>
      <c r="C79" s="14" t="s">
        <v>12070</v>
      </c>
      <c r="D79" s="14"/>
      <c r="E79" s="14"/>
      <c r="F79" s="16"/>
      <c r="G79" s="16"/>
    </row>
    <row r="80" spans="1:7" x14ac:dyDescent="0.25">
      <c r="A80" s="2" t="str">
        <f>VLOOKUP(Table1[[#This Row],[Name]],'country codes'!$A$1:$D$253,4,FALSE)</f>
        <v>PYF</v>
      </c>
      <c r="B80" s="16" t="s">
        <v>1209</v>
      </c>
      <c r="C80" s="14" t="s">
        <v>12070</v>
      </c>
      <c r="D80" s="14" t="s">
        <v>195</v>
      </c>
      <c r="E80" s="14" t="s">
        <v>195</v>
      </c>
      <c r="F80" s="16"/>
      <c r="G80" s="16"/>
    </row>
    <row r="81" spans="1:7" x14ac:dyDescent="0.25">
      <c r="A81" s="2" t="str">
        <f>VLOOKUP(Table1[[#This Row],[Name]],'country codes'!$A$1:$D$253,4,FALSE)</f>
        <v>GAB</v>
      </c>
      <c r="B81" s="1" t="s">
        <v>59</v>
      </c>
      <c r="C81" s="2" t="s">
        <v>12069</v>
      </c>
      <c r="D81" s="2" t="s">
        <v>195</v>
      </c>
      <c r="E81" s="2"/>
      <c r="F81" s="2"/>
      <c r="G81" s="2"/>
    </row>
    <row r="82" spans="1:7" x14ac:dyDescent="0.25">
      <c r="A82" s="2" t="str">
        <f>VLOOKUP(Table1[[#This Row],[Name]],'country codes'!$A$1:$D$253,4,FALSE)</f>
        <v>GEO</v>
      </c>
      <c r="B82" s="1" t="s">
        <v>61</v>
      </c>
      <c r="C82" s="2" t="s">
        <v>12069</v>
      </c>
      <c r="D82" s="2" t="s">
        <v>195</v>
      </c>
      <c r="E82" s="2" t="s">
        <v>195</v>
      </c>
      <c r="F82" s="2"/>
      <c r="G82" s="2"/>
    </row>
    <row r="83" spans="1:7" x14ac:dyDescent="0.25">
      <c r="A83" s="2" t="str">
        <f>VLOOKUP(Table1[[#This Row],[Name]],'country codes'!$A$1:$D$253,4,FALSE)</f>
        <v>DEU</v>
      </c>
      <c r="B83" s="1" t="s">
        <v>62</v>
      </c>
      <c r="C83" s="2" t="s">
        <v>12069</v>
      </c>
      <c r="D83" s="2" t="s">
        <v>195</v>
      </c>
      <c r="E83" s="2" t="s">
        <v>195</v>
      </c>
      <c r="F83" s="2" t="s">
        <v>195</v>
      </c>
      <c r="G83" s="2" t="s">
        <v>195</v>
      </c>
    </row>
    <row r="84" spans="1:7" x14ac:dyDescent="0.25">
      <c r="A84" s="2" t="str">
        <f>VLOOKUP(Table1[[#This Row],[Name]],'country codes'!$A$1:$D$253,4,FALSE)</f>
        <v>GHA</v>
      </c>
      <c r="B84" s="1" t="s">
        <v>63</v>
      </c>
      <c r="C84" s="2" t="s">
        <v>12069</v>
      </c>
      <c r="D84" s="2"/>
      <c r="E84" s="2"/>
      <c r="F84" s="2"/>
      <c r="G84" s="2"/>
    </row>
    <row r="85" spans="1:7" x14ac:dyDescent="0.25">
      <c r="A85" s="2" t="str">
        <f>VLOOKUP(Table1[[#This Row],[Name]],'country codes'!$A$1:$D$253,4,FALSE)</f>
        <v>GIB</v>
      </c>
      <c r="B85" s="16" t="s">
        <v>1211</v>
      </c>
      <c r="C85" s="14" t="s">
        <v>12070</v>
      </c>
      <c r="D85" s="14" t="s">
        <v>195</v>
      </c>
      <c r="E85" s="14" t="s">
        <v>195</v>
      </c>
      <c r="F85" s="16"/>
      <c r="G85" s="16"/>
    </row>
    <row r="86" spans="1:7" x14ac:dyDescent="0.25">
      <c r="A86" s="2" t="str">
        <f>VLOOKUP(Table1[[#This Row],[Name]],'country codes'!$A$1:$D$253,4,FALSE)</f>
        <v>GRC</v>
      </c>
      <c r="B86" s="1" t="s">
        <v>64</v>
      </c>
      <c r="C86" s="2" t="s">
        <v>12069</v>
      </c>
      <c r="D86" s="2" t="s">
        <v>195</v>
      </c>
      <c r="E86" s="2" t="s">
        <v>195</v>
      </c>
      <c r="F86" s="2" t="s">
        <v>195</v>
      </c>
      <c r="G86" s="2" t="s">
        <v>195</v>
      </c>
    </row>
    <row r="87" spans="1:7" x14ac:dyDescent="0.25">
      <c r="A87" s="2" t="str">
        <f>VLOOKUP(Table1[[#This Row],[Name]],'country codes'!$A$1:$D$253,4,FALSE)</f>
        <v>GRL</v>
      </c>
      <c r="B87" s="1" t="s">
        <v>1212</v>
      </c>
      <c r="C87" s="14" t="s">
        <v>12070</v>
      </c>
      <c r="D87" s="2"/>
      <c r="E87" s="2"/>
      <c r="F87" s="2"/>
      <c r="G87" s="2"/>
    </row>
    <row r="88" spans="1:7" x14ac:dyDescent="0.25">
      <c r="A88" s="2" t="str">
        <f>VLOOKUP(Table1[[#This Row],[Name]],'country codes'!$A$1:$D$253,4,FALSE)</f>
        <v>GRD</v>
      </c>
      <c r="B88" s="1" t="s">
        <v>65</v>
      </c>
      <c r="C88" s="2" t="s">
        <v>12069</v>
      </c>
      <c r="D88" s="2"/>
      <c r="E88" s="2"/>
      <c r="F88" s="2"/>
      <c r="G88" s="2"/>
    </row>
    <row r="89" spans="1:7" x14ac:dyDescent="0.25">
      <c r="A89" s="2" t="str">
        <f>VLOOKUP(Table1[[#This Row],[Name]],'country codes'!$A$1:$D$253,4,FALSE)</f>
        <v>FR-GP</v>
      </c>
      <c r="B89" s="16" t="s">
        <v>1213</v>
      </c>
      <c r="C89" s="14" t="s">
        <v>12070</v>
      </c>
      <c r="D89" s="14"/>
      <c r="E89" s="14" t="s">
        <v>195</v>
      </c>
      <c r="F89" s="16"/>
      <c r="G89" s="16"/>
    </row>
    <row r="90" spans="1:7" x14ac:dyDescent="0.25">
      <c r="A90" s="2" t="str">
        <f>VLOOKUP(Table1[[#This Row],[Name]],'country codes'!$A$1:$D$253,4,FALSE)</f>
        <v>GTM</v>
      </c>
      <c r="B90" s="1" t="s">
        <v>66</v>
      </c>
      <c r="C90" s="2" t="s">
        <v>12069</v>
      </c>
      <c r="D90" s="2" t="s">
        <v>195</v>
      </c>
      <c r="E90" s="2" t="s">
        <v>195</v>
      </c>
      <c r="F90" s="2"/>
      <c r="G90" s="2"/>
    </row>
    <row r="91" spans="1:7" x14ac:dyDescent="0.25">
      <c r="A91" s="2" t="str">
        <f>VLOOKUP(Table1[[#This Row],[Name]],'country codes'!$A$1:$D$253,4,FALSE)</f>
        <v>GIN</v>
      </c>
      <c r="B91" s="1" t="s">
        <v>67</v>
      </c>
      <c r="C91" s="2" t="s">
        <v>12069</v>
      </c>
      <c r="D91" s="2"/>
      <c r="E91" s="2"/>
      <c r="F91" s="2"/>
      <c r="G91" s="2"/>
    </row>
    <row r="92" spans="1:7" x14ac:dyDescent="0.25">
      <c r="A92" s="2" t="str">
        <f>VLOOKUP(Table1[[#This Row],[Name]],'country codes'!$A$1:$D$253,4,FALSE)</f>
        <v>GNB</v>
      </c>
      <c r="B92" s="1" t="s">
        <v>68</v>
      </c>
      <c r="C92" s="2" t="s">
        <v>12069</v>
      </c>
      <c r="D92" s="2"/>
      <c r="E92" s="2" t="s">
        <v>195</v>
      </c>
      <c r="F92" s="2"/>
      <c r="G92" s="2"/>
    </row>
    <row r="93" spans="1:7" x14ac:dyDescent="0.25">
      <c r="A93" s="2" t="str">
        <f>VLOOKUP(Table1[[#This Row],[Name]],'country codes'!$A$1:$D$253,4,FALSE)</f>
        <v>GUY</v>
      </c>
      <c r="B93" s="1" t="s">
        <v>69</v>
      </c>
      <c r="C93" s="2" t="s">
        <v>12069</v>
      </c>
      <c r="D93" s="2"/>
      <c r="E93" s="2"/>
      <c r="F93" s="2"/>
      <c r="G93" s="2"/>
    </row>
    <row r="94" spans="1:7" x14ac:dyDescent="0.25">
      <c r="A94" s="2" t="str">
        <f>VLOOKUP(Table1[[#This Row],[Name]],'country codes'!$A$1:$D$253,4,FALSE)</f>
        <v>HTI</v>
      </c>
      <c r="B94" s="1" t="s">
        <v>70</v>
      </c>
      <c r="C94" s="2" t="s">
        <v>12069</v>
      </c>
      <c r="D94" s="2"/>
      <c r="E94" s="2" t="s">
        <v>195</v>
      </c>
      <c r="F94" s="2"/>
      <c r="G94" s="2"/>
    </row>
    <row r="95" spans="1:7" x14ac:dyDescent="0.25">
      <c r="A95" s="2" t="str">
        <f>VLOOKUP(Table1[[#This Row],[Name]],'country codes'!$A$1:$D$253,4,FALSE)</f>
        <v>VAT</v>
      </c>
      <c r="B95" t="s">
        <v>18215</v>
      </c>
      <c r="C95" s="14" t="s">
        <v>12070</v>
      </c>
      <c r="D95" s="2" t="s">
        <v>195</v>
      </c>
      <c r="E95" s="2" t="s">
        <v>195</v>
      </c>
      <c r="F95" s="2" t="s">
        <v>195</v>
      </c>
      <c r="G95" s="2"/>
    </row>
    <row r="96" spans="1:7" x14ac:dyDescent="0.25">
      <c r="A96" s="2" t="str">
        <f>VLOOKUP(Table1[[#This Row],[Name]],'country codes'!$A$1:$D$253,4,FALSE)</f>
        <v>HND</v>
      </c>
      <c r="B96" s="1" t="s">
        <v>72</v>
      </c>
      <c r="C96" s="2" t="s">
        <v>12069</v>
      </c>
      <c r="D96" s="2"/>
      <c r="E96" s="2" t="s">
        <v>195</v>
      </c>
      <c r="F96" s="2" t="s">
        <v>195</v>
      </c>
      <c r="G96" s="2" t="s">
        <v>195</v>
      </c>
    </row>
    <row r="97" spans="1:7" x14ac:dyDescent="0.25">
      <c r="A97" s="2" t="str">
        <f>VLOOKUP(Table1[[#This Row],[Name]],'country codes'!$A$1:$D$253,4,FALSE)</f>
        <v>HKG</v>
      </c>
      <c r="B97" s="16" t="s">
        <v>1216</v>
      </c>
      <c r="C97" s="14" t="s">
        <v>12070</v>
      </c>
      <c r="D97" s="14" t="s">
        <v>195</v>
      </c>
      <c r="E97" s="14" t="s">
        <v>195</v>
      </c>
      <c r="F97" s="16"/>
      <c r="G97" s="16"/>
    </row>
    <row r="98" spans="1:7" x14ac:dyDescent="0.25">
      <c r="A98" s="2" t="str">
        <f>VLOOKUP(Table1[[#This Row],[Name]],'country codes'!$A$1:$D$253,4,FALSE)</f>
        <v>HUN</v>
      </c>
      <c r="B98" s="1" t="s">
        <v>73</v>
      </c>
      <c r="C98" s="2" t="s">
        <v>12069</v>
      </c>
      <c r="D98" s="2" t="s">
        <v>195</v>
      </c>
      <c r="E98" s="2" t="s">
        <v>195</v>
      </c>
      <c r="F98" s="2" t="s">
        <v>195</v>
      </c>
      <c r="G98" s="2"/>
    </row>
    <row r="99" spans="1:7" x14ac:dyDescent="0.25">
      <c r="A99" s="2" t="str">
        <f>VLOOKUP(Table1[[#This Row],[Name]],'country codes'!$A$1:$D$253,4,FALSE)</f>
        <v>ISL</v>
      </c>
      <c r="B99" s="1" t="s">
        <v>74</v>
      </c>
      <c r="C99" s="2" t="s">
        <v>12069</v>
      </c>
      <c r="D99" s="2" t="s">
        <v>195</v>
      </c>
      <c r="E99" s="2" t="s">
        <v>195</v>
      </c>
      <c r="F99" s="2"/>
      <c r="G99" s="2"/>
    </row>
    <row r="100" spans="1:7" x14ac:dyDescent="0.25">
      <c r="A100" s="2" t="str">
        <f>VLOOKUP(Table1[[#This Row],[Name]],'country codes'!$A$1:$D$253,4,FALSE)</f>
        <v>IND</v>
      </c>
      <c r="B100" s="1" t="s">
        <v>75</v>
      </c>
      <c r="C100" s="2" t="s">
        <v>12069</v>
      </c>
      <c r="D100" s="2" t="s">
        <v>195</v>
      </c>
      <c r="E100" s="2" t="s">
        <v>195</v>
      </c>
      <c r="F100" s="2"/>
      <c r="G100" s="2"/>
    </row>
    <row r="101" spans="1:7" x14ac:dyDescent="0.25">
      <c r="A101" s="2" t="str">
        <f>VLOOKUP(Table1[[#This Row],[Name]],'country codes'!$A$1:$D$253,4,FALSE)</f>
        <v>IDN</v>
      </c>
      <c r="B101" s="1" t="s">
        <v>76</v>
      </c>
      <c r="C101" s="2" t="s">
        <v>12069</v>
      </c>
      <c r="D101" s="2" t="s">
        <v>195</v>
      </c>
      <c r="E101" s="2" t="s">
        <v>195</v>
      </c>
      <c r="F101" s="2"/>
      <c r="G101" s="2"/>
    </row>
    <row r="102" spans="1:7" x14ac:dyDescent="0.25">
      <c r="A102" s="2" t="str">
        <f>VLOOKUP(Table1[[#This Row],[Name]],'country codes'!$A$1:$D$253,4,FALSE)</f>
        <v>IRN</v>
      </c>
      <c r="B102" s="1" t="s">
        <v>77</v>
      </c>
      <c r="C102" s="2" t="s">
        <v>12069</v>
      </c>
      <c r="D102" s="2"/>
      <c r="E102" s="2"/>
      <c r="F102" s="2"/>
      <c r="G102" s="2"/>
    </row>
    <row r="103" spans="1:7" x14ac:dyDescent="0.25">
      <c r="A103" s="2" t="str">
        <f>VLOOKUP(Table1[[#This Row],[Name]],'country codes'!$A$1:$D$253,4,FALSE)</f>
        <v>IRQ</v>
      </c>
      <c r="B103" s="1" t="s">
        <v>78</v>
      </c>
      <c r="C103" s="2" t="s">
        <v>12069</v>
      </c>
      <c r="D103" s="2"/>
      <c r="E103" s="2"/>
      <c r="F103" s="2"/>
      <c r="G103" s="2"/>
    </row>
    <row r="104" spans="1:7" x14ac:dyDescent="0.25">
      <c r="A104" s="2" t="str">
        <f>VLOOKUP(Table1[[#This Row],[Name]],'country codes'!$A$1:$D$253,4,FALSE)</f>
        <v>IRL</v>
      </c>
      <c r="B104" s="1" t="s">
        <v>79</v>
      </c>
      <c r="C104" s="2" t="s">
        <v>12069</v>
      </c>
      <c r="D104" s="2" t="s">
        <v>195</v>
      </c>
      <c r="E104" s="2" t="s">
        <v>195</v>
      </c>
      <c r="F104" s="2" t="s">
        <v>195</v>
      </c>
      <c r="G104" s="2"/>
    </row>
    <row r="105" spans="1:7" x14ac:dyDescent="0.25">
      <c r="A105" s="2" t="str">
        <f>VLOOKUP(Table1[[#This Row],[Name]],'country codes'!$A$1:$D$253,4,FALSE)</f>
        <v>IMN</v>
      </c>
      <c r="B105" s="1" t="s">
        <v>1217</v>
      </c>
      <c r="C105" s="14" t="s">
        <v>12070</v>
      </c>
      <c r="D105" s="2" t="s">
        <v>195</v>
      </c>
      <c r="E105" s="2" t="s">
        <v>195</v>
      </c>
      <c r="F105" s="2"/>
      <c r="G105" s="2"/>
    </row>
    <row r="106" spans="1:7" x14ac:dyDescent="0.25">
      <c r="A106" s="2" t="str">
        <f>VLOOKUP(Table1[[#This Row],[Name]],'country codes'!$A$1:$D$253,4,FALSE)</f>
        <v>ISR</v>
      </c>
      <c r="B106" s="1" t="s">
        <v>80</v>
      </c>
      <c r="C106" s="2" t="s">
        <v>12069</v>
      </c>
      <c r="D106" s="2" t="s">
        <v>195</v>
      </c>
      <c r="E106" s="2" t="s">
        <v>195</v>
      </c>
      <c r="F106" s="2" t="s">
        <v>195</v>
      </c>
      <c r="G106" s="2" t="s">
        <v>195</v>
      </c>
    </row>
    <row r="107" spans="1:7" x14ac:dyDescent="0.25">
      <c r="A107" s="2" t="str">
        <f>VLOOKUP(Table1[[#This Row],[Name]],'country codes'!$A$1:$D$253,4,FALSE)</f>
        <v>ITA</v>
      </c>
      <c r="B107" s="1" t="s">
        <v>81</v>
      </c>
      <c r="C107" s="2" t="s">
        <v>12069</v>
      </c>
      <c r="D107" s="2" t="s">
        <v>195</v>
      </c>
      <c r="E107" s="2" t="s">
        <v>195</v>
      </c>
      <c r="F107" s="2" t="s">
        <v>195</v>
      </c>
      <c r="G107" s="2" t="s">
        <v>195</v>
      </c>
    </row>
    <row r="108" spans="1:7" x14ac:dyDescent="0.25">
      <c r="A108" s="2" t="str">
        <f>VLOOKUP(Table1[[#This Row],[Name]],'country codes'!$A$1:$D$253,4,FALSE)</f>
        <v>JAM</v>
      </c>
      <c r="B108" s="1" t="s">
        <v>82</v>
      </c>
      <c r="C108" s="2" t="s">
        <v>12069</v>
      </c>
      <c r="D108" s="2" t="s">
        <v>195</v>
      </c>
      <c r="E108" s="2" t="s">
        <v>195</v>
      </c>
      <c r="F108" s="2" t="s">
        <v>195</v>
      </c>
      <c r="G108" s="2" t="s">
        <v>195</v>
      </c>
    </row>
    <row r="109" spans="1:7" x14ac:dyDescent="0.25">
      <c r="A109" s="2" t="str">
        <f>VLOOKUP(Table1[[#This Row],[Name]],'country codes'!$A$1:$D$253,4,FALSE)</f>
        <v>JPN</v>
      </c>
      <c r="B109" s="1" t="s">
        <v>83</v>
      </c>
      <c r="C109" s="2" t="s">
        <v>12069</v>
      </c>
      <c r="D109" s="2" t="s">
        <v>195</v>
      </c>
      <c r="E109" s="2" t="s">
        <v>195</v>
      </c>
      <c r="F109" s="2"/>
      <c r="G109" s="2"/>
    </row>
    <row r="110" spans="1:7" x14ac:dyDescent="0.25">
      <c r="A110" s="2" t="str">
        <f>VLOOKUP(Table1[[#This Row],[Name]],'country codes'!$A$1:$D$253,4,FALSE)</f>
        <v>JOR</v>
      </c>
      <c r="B110" s="1" t="s">
        <v>84</v>
      </c>
      <c r="C110" s="2" t="s">
        <v>12069</v>
      </c>
      <c r="D110" s="2" t="s">
        <v>195</v>
      </c>
      <c r="E110" s="2" t="s">
        <v>195</v>
      </c>
      <c r="F110" s="2" t="s">
        <v>195</v>
      </c>
      <c r="G110" s="2" t="s">
        <v>195</v>
      </c>
    </row>
    <row r="111" spans="1:7" x14ac:dyDescent="0.25">
      <c r="A111" s="2" t="str">
        <f>VLOOKUP(Table1[[#This Row],[Name]],'country codes'!$A$1:$D$253,4,FALSE)</f>
        <v>KAZ</v>
      </c>
      <c r="B111" s="1" t="s">
        <v>85</v>
      </c>
      <c r="C111" s="2" t="s">
        <v>12069</v>
      </c>
      <c r="D111" s="2" t="s">
        <v>195</v>
      </c>
      <c r="E111" s="2" t="s">
        <v>195</v>
      </c>
      <c r="F111" s="2"/>
      <c r="G111" s="2"/>
    </row>
    <row r="112" spans="1:7" x14ac:dyDescent="0.25">
      <c r="A112" s="2" t="str">
        <f>VLOOKUP(Table1[[#This Row],[Name]],'country codes'!$A$1:$D$253,4,FALSE)</f>
        <v>KEN</v>
      </c>
      <c r="B112" s="1" t="s">
        <v>86</v>
      </c>
      <c r="C112" s="2" t="s">
        <v>12069</v>
      </c>
      <c r="D112" s="2" t="s">
        <v>195</v>
      </c>
      <c r="E112" s="2" t="s">
        <v>195</v>
      </c>
      <c r="F112" s="2"/>
      <c r="G112" s="2"/>
    </row>
    <row r="113" spans="1:7" x14ac:dyDescent="0.25">
      <c r="A113" s="2" t="str">
        <f>VLOOKUP(Table1[[#This Row],[Name]],'country codes'!$A$1:$D$253,4,FALSE)</f>
        <v>KIR</v>
      </c>
      <c r="B113" s="1" t="s">
        <v>87</v>
      </c>
      <c r="C113" s="2" t="s">
        <v>12069</v>
      </c>
      <c r="D113" s="2" t="s">
        <v>195</v>
      </c>
      <c r="E113" s="2" t="s">
        <v>195</v>
      </c>
      <c r="F113" s="2"/>
      <c r="G113" s="2"/>
    </row>
    <row r="114" spans="1:7" x14ac:dyDescent="0.25">
      <c r="A114" s="2" t="str">
        <f>VLOOKUP(Table1[[#This Row],[Name]],'country codes'!$A$1:$D$253,4,FALSE)</f>
        <v>KOS</v>
      </c>
      <c r="B114" s="1" t="s">
        <v>12071</v>
      </c>
      <c r="C114" s="14" t="s">
        <v>12070</v>
      </c>
      <c r="D114" s="2" t="s">
        <v>195</v>
      </c>
      <c r="E114" s="2" t="s">
        <v>195</v>
      </c>
      <c r="F114" s="2"/>
      <c r="G114" s="2"/>
    </row>
    <row r="115" spans="1:7" x14ac:dyDescent="0.25">
      <c r="A115" s="2" t="str">
        <f>VLOOKUP(Table1[[#This Row],[Name]],'country codes'!$A$1:$D$253,4,FALSE)</f>
        <v>KWT</v>
      </c>
      <c r="B115" s="1" t="s">
        <v>91</v>
      </c>
      <c r="C115" s="2" t="s">
        <v>12069</v>
      </c>
      <c r="D115" s="2"/>
      <c r="E115" s="2"/>
      <c r="F115" s="2"/>
      <c r="G115" s="2"/>
    </row>
    <row r="116" spans="1:7" x14ac:dyDescent="0.25">
      <c r="A116" s="2" t="str">
        <f>VLOOKUP(Table1[[#This Row],[Name]],'country codes'!$A$1:$D$253,4,FALSE)</f>
        <v>KGZ</v>
      </c>
      <c r="B116" s="1" t="s">
        <v>92</v>
      </c>
      <c r="C116" s="2" t="s">
        <v>12069</v>
      </c>
      <c r="D116" s="2" t="s">
        <v>195</v>
      </c>
      <c r="E116" s="2" t="s">
        <v>195</v>
      </c>
      <c r="F116" s="2"/>
      <c r="G116" s="2"/>
    </row>
    <row r="117" spans="1:7" x14ac:dyDescent="0.25">
      <c r="A117" s="2" t="str">
        <f>VLOOKUP(Table1[[#This Row],[Name]],'country codes'!$A$1:$D$253,4,FALSE)</f>
        <v>FR-RE</v>
      </c>
      <c r="B117" s="16" t="s">
        <v>4892</v>
      </c>
      <c r="C117" s="14" t="s">
        <v>12070</v>
      </c>
      <c r="D117" s="14" t="s">
        <v>195</v>
      </c>
      <c r="E117" s="14" t="s">
        <v>195</v>
      </c>
      <c r="F117" s="16"/>
      <c r="G117" s="16"/>
    </row>
    <row r="118" spans="1:7" x14ac:dyDescent="0.25">
      <c r="A118" s="2" t="str">
        <f>VLOOKUP(Table1[[#This Row],[Name]],'country codes'!$A$1:$D$253,4,FALSE)</f>
        <v>LAO</v>
      </c>
      <c r="B118" s="1" t="s">
        <v>93</v>
      </c>
      <c r="C118" s="2" t="s">
        <v>12069</v>
      </c>
      <c r="D118" s="2" t="s">
        <v>195</v>
      </c>
      <c r="E118" s="2" t="s">
        <v>195</v>
      </c>
      <c r="F118" s="2" t="s">
        <v>195</v>
      </c>
      <c r="G118" s="2" t="s">
        <v>195</v>
      </c>
    </row>
    <row r="119" spans="1:7" x14ac:dyDescent="0.25">
      <c r="A119" s="2" t="str">
        <f>VLOOKUP(Table1[[#This Row],[Name]],'country codes'!$A$1:$D$253,4,FALSE)</f>
        <v>LVA</v>
      </c>
      <c r="B119" s="1" t="s">
        <v>94</v>
      </c>
      <c r="C119" s="2" t="s">
        <v>12069</v>
      </c>
      <c r="D119" s="2" t="s">
        <v>195</v>
      </c>
      <c r="E119" s="2" t="s">
        <v>195</v>
      </c>
      <c r="F119" s="2"/>
      <c r="G119" s="2"/>
    </row>
    <row r="120" spans="1:7" x14ac:dyDescent="0.25">
      <c r="A120" s="2" t="str">
        <f>VLOOKUP(Table1[[#This Row],[Name]],'country codes'!$A$1:$D$253,4,FALSE)</f>
        <v>LBN</v>
      </c>
      <c r="B120" s="1" t="s">
        <v>95</v>
      </c>
      <c r="C120" s="2" t="s">
        <v>12069</v>
      </c>
      <c r="D120" s="2"/>
      <c r="E120" s="2"/>
      <c r="F120" s="2"/>
      <c r="G120" s="2"/>
    </row>
    <row r="121" spans="1:7" x14ac:dyDescent="0.25">
      <c r="A121" s="2" t="str">
        <f>VLOOKUP(Table1[[#This Row],[Name]],'country codes'!$A$1:$D$253,4,FALSE)</f>
        <v>LSO</v>
      </c>
      <c r="B121" s="1" t="s">
        <v>96</v>
      </c>
      <c r="C121" s="2" t="s">
        <v>12069</v>
      </c>
      <c r="D121" s="2" t="s">
        <v>195</v>
      </c>
      <c r="E121" s="2" t="s">
        <v>195</v>
      </c>
      <c r="F121" s="2" t="s">
        <v>195</v>
      </c>
      <c r="G121" s="2" t="s">
        <v>195</v>
      </c>
    </row>
    <row r="122" spans="1:7" x14ac:dyDescent="0.25">
      <c r="A122" s="2" t="str">
        <f>VLOOKUP(Table1[[#This Row],[Name]],'country codes'!$A$1:$D$253,4,FALSE)</f>
        <v>LBR</v>
      </c>
      <c r="B122" s="1" t="s">
        <v>97</v>
      </c>
      <c r="C122" s="2" t="s">
        <v>12069</v>
      </c>
      <c r="D122" s="2"/>
      <c r="E122" s="2"/>
      <c r="F122" s="2"/>
      <c r="G122" s="2"/>
    </row>
    <row r="123" spans="1:7" x14ac:dyDescent="0.25">
      <c r="A123" s="2" t="str">
        <f>VLOOKUP(Table1[[#This Row],[Name]],'country codes'!$A$1:$D$253,4,FALSE)</f>
        <v>LBY</v>
      </c>
      <c r="B123" s="1" t="s">
        <v>98</v>
      </c>
      <c r="C123" s="2" t="s">
        <v>12069</v>
      </c>
      <c r="D123" s="2"/>
      <c r="E123" s="2"/>
      <c r="F123" s="2"/>
      <c r="G123" s="2"/>
    </row>
    <row r="124" spans="1:7" x14ac:dyDescent="0.25">
      <c r="A124" s="2" t="str">
        <f>VLOOKUP(Table1[[#This Row],[Name]],'country codes'!$A$1:$D$253,4,FALSE)</f>
        <v>LIE</v>
      </c>
      <c r="B124" s="1" t="s">
        <v>99</v>
      </c>
      <c r="C124" s="2" t="s">
        <v>12069</v>
      </c>
      <c r="D124" s="2" t="s">
        <v>195</v>
      </c>
      <c r="E124" s="2" t="s">
        <v>195</v>
      </c>
      <c r="F124" s="2" t="s">
        <v>195</v>
      </c>
      <c r="G124" s="2" t="s">
        <v>195</v>
      </c>
    </row>
    <row r="125" spans="1:7" x14ac:dyDescent="0.25">
      <c r="A125" s="2" t="str">
        <f>VLOOKUP(Table1[[#This Row],[Name]],'country codes'!$A$1:$D$253,4,FALSE)</f>
        <v>LTU</v>
      </c>
      <c r="B125" s="1" t="s">
        <v>100</v>
      </c>
      <c r="C125" s="2" t="s">
        <v>12069</v>
      </c>
      <c r="D125" s="2" t="s">
        <v>195</v>
      </c>
      <c r="E125" s="2" t="s">
        <v>195</v>
      </c>
      <c r="F125" s="2"/>
      <c r="G125" s="2"/>
    </row>
    <row r="126" spans="1:7" x14ac:dyDescent="0.25">
      <c r="A126" s="2" t="str">
        <f>VLOOKUP(Table1[[#This Row],[Name]],'country codes'!$A$1:$D$253,4,FALSE)</f>
        <v>LUX</v>
      </c>
      <c r="B126" s="1" t="s">
        <v>101</v>
      </c>
      <c r="C126" s="2" t="s">
        <v>12069</v>
      </c>
      <c r="D126" s="2" t="s">
        <v>195</v>
      </c>
      <c r="E126" s="2" t="s">
        <v>195</v>
      </c>
      <c r="F126" s="2"/>
      <c r="G126" s="2"/>
    </row>
    <row r="127" spans="1:7" x14ac:dyDescent="0.25">
      <c r="A127" s="2" t="str">
        <f>VLOOKUP(Table1[[#This Row],[Name]],'country codes'!$A$1:$D$253,4,FALSE)</f>
        <v>MAC</v>
      </c>
      <c r="B127" t="s">
        <v>1219</v>
      </c>
      <c r="C127" s="14" t="s">
        <v>12070</v>
      </c>
      <c r="D127" s="14" t="s">
        <v>195</v>
      </c>
      <c r="E127" s="14" t="s">
        <v>195</v>
      </c>
      <c r="F127" s="16"/>
      <c r="G127" s="16"/>
    </row>
    <row r="128" spans="1:7" x14ac:dyDescent="0.25">
      <c r="A128" s="2" t="str">
        <f>VLOOKUP(Table1[[#This Row],[Name]],'country codes'!$A$1:$D$253,4,FALSE)</f>
        <v>MKD</v>
      </c>
      <c r="B128" t="s">
        <v>15989</v>
      </c>
      <c r="C128" s="2" t="s">
        <v>12069</v>
      </c>
      <c r="D128" s="2" t="s">
        <v>195</v>
      </c>
      <c r="E128" s="2" t="s">
        <v>195</v>
      </c>
      <c r="F128" s="2"/>
      <c r="G128" s="2"/>
    </row>
    <row r="129" spans="1:7" x14ac:dyDescent="0.25">
      <c r="A129" s="2" t="str">
        <f>VLOOKUP(Table1[[#This Row],[Name]],'country codes'!$A$1:$D$253,4,FALSE)</f>
        <v>MDG</v>
      </c>
      <c r="B129" s="1" t="s">
        <v>103</v>
      </c>
      <c r="C129" s="2" t="s">
        <v>12069</v>
      </c>
      <c r="D129" s="2" t="s">
        <v>195</v>
      </c>
      <c r="E129" s="2" t="s">
        <v>195</v>
      </c>
      <c r="F129" s="2"/>
      <c r="G129" s="2"/>
    </row>
    <row r="130" spans="1:7" x14ac:dyDescent="0.25">
      <c r="A130" s="2" t="str">
        <f>VLOOKUP(Table1[[#This Row],[Name]],'country codes'!$A$1:$D$253,4,FALSE)</f>
        <v>PT-30</v>
      </c>
      <c r="B130" s="27" t="s">
        <v>2021</v>
      </c>
      <c r="C130" s="14" t="s">
        <v>12070</v>
      </c>
      <c r="D130" s="26" t="s">
        <v>195</v>
      </c>
      <c r="E130" s="26" t="s">
        <v>195</v>
      </c>
      <c r="F130" s="26" t="s">
        <v>195</v>
      </c>
      <c r="G130" s="26" t="s">
        <v>195</v>
      </c>
    </row>
    <row r="131" spans="1:7" x14ac:dyDescent="0.25">
      <c r="A131" s="2" t="str">
        <f>VLOOKUP(Table1[[#This Row],[Name]],'country codes'!$A$1:$D$253,4,FALSE)</f>
        <v>MWI</v>
      </c>
      <c r="B131" s="1" t="s">
        <v>104</v>
      </c>
      <c r="C131" s="2" t="s">
        <v>12069</v>
      </c>
      <c r="D131" s="2" t="s">
        <v>195</v>
      </c>
      <c r="E131" s="2"/>
      <c r="F131" s="2"/>
      <c r="G131" s="2"/>
    </row>
    <row r="132" spans="1:7" x14ac:dyDescent="0.25">
      <c r="A132" s="2" t="str">
        <f>VLOOKUP(Table1[[#This Row],[Name]],'country codes'!$A$1:$D$253,4,FALSE)</f>
        <v>MYS</v>
      </c>
      <c r="B132" s="1" t="s">
        <v>105</v>
      </c>
      <c r="C132" s="2" t="s">
        <v>12069</v>
      </c>
      <c r="D132" s="2" t="s">
        <v>195</v>
      </c>
      <c r="E132" s="2" t="s">
        <v>195</v>
      </c>
      <c r="F132" s="2"/>
      <c r="G132" s="2"/>
    </row>
    <row r="133" spans="1:7" x14ac:dyDescent="0.25">
      <c r="A133" s="2" t="str">
        <f>VLOOKUP(Table1[[#This Row],[Name]],'country codes'!$A$1:$D$253,4,FALSE)</f>
        <v>MDV</v>
      </c>
      <c r="B133" s="1" t="s">
        <v>106</v>
      </c>
      <c r="C133" s="2" t="s">
        <v>12069</v>
      </c>
      <c r="D133" s="2" t="s">
        <v>195</v>
      </c>
      <c r="E133" s="2" t="s">
        <v>195</v>
      </c>
      <c r="F133" s="2" t="s">
        <v>195</v>
      </c>
      <c r="G133" s="2" t="s">
        <v>195</v>
      </c>
    </row>
    <row r="134" spans="1:7" x14ac:dyDescent="0.25">
      <c r="A134" s="2" t="str">
        <f>VLOOKUP(Table1[[#This Row],[Name]],'country codes'!$A$1:$D$253,4,FALSE)</f>
        <v>MLI</v>
      </c>
      <c r="B134" s="1" t="s">
        <v>107</v>
      </c>
      <c r="C134" s="2" t="s">
        <v>12069</v>
      </c>
      <c r="D134" s="2" t="s">
        <v>195</v>
      </c>
      <c r="E134" s="2"/>
      <c r="F134" s="2"/>
      <c r="G134" s="2"/>
    </row>
    <row r="135" spans="1:7" x14ac:dyDescent="0.25">
      <c r="A135" s="2" t="str">
        <f>VLOOKUP(Table1[[#This Row],[Name]],'country codes'!$A$1:$D$253,4,FALSE)</f>
        <v>MLT</v>
      </c>
      <c r="B135" s="1" t="s">
        <v>108</v>
      </c>
      <c r="C135" s="2" t="s">
        <v>12069</v>
      </c>
      <c r="D135" s="2" t="s">
        <v>195</v>
      </c>
      <c r="E135" s="2" t="s">
        <v>195</v>
      </c>
      <c r="F135" s="2"/>
      <c r="G135" s="2"/>
    </row>
    <row r="136" spans="1:7" x14ac:dyDescent="0.25">
      <c r="A136" s="2" t="str">
        <f>VLOOKUP(Table1[[#This Row],[Name]],'country codes'!$A$1:$D$253,4,FALSE)</f>
        <v>MHL</v>
      </c>
      <c r="B136" s="1" t="s">
        <v>109</v>
      </c>
      <c r="C136" s="2" t="s">
        <v>12069</v>
      </c>
      <c r="D136" s="2"/>
      <c r="E136" s="2"/>
      <c r="F136" s="2"/>
      <c r="G136" s="2"/>
    </row>
    <row r="137" spans="1:7" x14ac:dyDescent="0.25">
      <c r="A137" s="2" t="str">
        <f>VLOOKUP(Table1[[#This Row],[Name]],'country codes'!$A$1:$D$253,4,FALSE)</f>
        <v>FR-MQ</v>
      </c>
      <c r="B137" s="16" t="s">
        <v>1220</v>
      </c>
      <c r="C137" s="14" t="s">
        <v>12070</v>
      </c>
      <c r="D137" s="14"/>
      <c r="E137" s="14" t="s">
        <v>195</v>
      </c>
      <c r="F137" s="16"/>
      <c r="G137" s="16"/>
    </row>
    <row r="138" spans="1:7" x14ac:dyDescent="0.25">
      <c r="A138" s="2" t="str">
        <f>VLOOKUP(Table1[[#This Row],[Name]],'country codes'!$A$1:$D$253,4,FALSE)</f>
        <v>MRT</v>
      </c>
      <c r="B138" s="1" t="s">
        <v>110</v>
      </c>
      <c r="C138" s="2" t="s">
        <v>12069</v>
      </c>
      <c r="D138" s="2"/>
      <c r="E138" s="2"/>
      <c r="F138" s="2"/>
      <c r="G138" s="2"/>
    </row>
    <row r="139" spans="1:7" x14ac:dyDescent="0.25">
      <c r="A139" s="2" t="str">
        <f>VLOOKUP(Table1[[#This Row],[Name]],'country codes'!$A$1:$D$253,4,FALSE)</f>
        <v>MUS</v>
      </c>
      <c r="B139" s="1" t="s">
        <v>111</v>
      </c>
      <c r="C139" s="2" t="s">
        <v>12069</v>
      </c>
      <c r="D139" s="2" t="s">
        <v>195</v>
      </c>
      <c r="E139" s="2" t="s">
        <v>195</v>
      </c>
      <c r="F139" s="2"/>
      <c r="G139" s="2"/>
    </row>
    <row r="140" spans="1:7" x14ac:dyDescent="0.25">
      <c r="A140" s="2" t="str">
        <f>VLOOKUP(Table1[[#This Row],[Name]],'country codes'!$A$1:$D$253,4,FALSE)</f>
        <v>ES-ML</v>
      </c>
      <c r="B140" s="16" t="s">
        <v>4547</v>
      </c>
      <c r="C140" s="14" t="s">
        <v>12070</v>
      </c>
      <c r="D140" s="14"/>
      <c r="E140" s="14"/>
      <c r="F140" s="16"/>
      <c r="G140" s="16"/>
    </row>
    <row r="141" spans="1:7" x14ac:dyDescent="0.25">
      <c r="A141" s="2" t="str">
        <f>VLOOKUP(Table1[[#This Row],[Name]],'country codes'!$A$1:$D$253,4,FALSE)</f>
        <v>MEX</v>
      </c>
      <c r="B141" s="1" t="s">
        <v>112</v>
      </c>
      <c r="C141" s="2" t="s">
        <v>12069</v>
      </c>
      <c r="D141" s="2" t="s">
        <v>195</v>
      </c>
      <c r="E141" s="2" t="s">
        <v>195</v>
      </c>
      <c r="F141" s="2" t="s">
        <v>195</v>
      </c>
      <c r="G141" s="2" t="s">
        <v>195</v>
      </c>
    </row>
    <row r="142" spans="1:7" x14ac:dyDescent="0.25">
      <c r="A142" s="2" t="str">
        <f>VLOOKUP(Table1[[#This Row],[Name]],'country codes'!$A$1:$D$253,4,FALSE)</f>
        <v>MDA</v>
      </c>
      <c r="B142" s="1" t="s">
        <v>114</v>
      </c>
      <c r="C142" s="2" t="s">
        <v>12069</v>
      </c>
      <c r="D142" s="2" t="s">
        <v>195</v>
      </c>
      <c r="E142" s="2" t="s">
        <v>195</v>
      </c>
      <c r="F142" s="2"/>
      <c r="G142" s="2"/>
    </row>
    <row r="143" spans="1:7" x14ac:dyDescent="0.25">
      <c r="A143" s="2" t="str">
        <f>VLOOKUP(Table1[[#This Row],[Name]],'country codes'!$A$1:$D$253,4,FALSE)</f>
        <v>MCO</v>
      </c>
      <c r="B143" s="1" t="s">
        <v>115</v>
      </c>
      <c r="C143" s="2" t="s">
        <v>12069</v>
      </c>
      <c r="D143" s="2" t="s">
        <v>195</v>
      </c>
      <c r="E143" s="2" t="s">
        <v>195</v>
      </c>
      <c r="F143" s="2"/>
      <c r="G143" s="2"/>
    </row>
    <row r="144" spans="1:7" x14ac:dyDescent="0.25">
      <c r="A144" s="2" t="str">
        <f>VLOOKUP(Table1[[#This Row],[Name]],'country codes'!$A$1:$D$253,4,FALSE)</f>
        <v>MNG</v>
      </c>
      <c r="B144" s="1" t="s">
        <v>116</v>
      </c>
      <c r="C144" s="2" t="s">
        <v>12069</v>
      </c>
      <c r="D144" s="2" t="s">
        <v>195</v>
      </c>
      <c r="E144" s="2"/>
      <c r="F144" s="2"/>
      <c r="G144" s="2"/>
    </row>
    <row r="145" spans="1:7" x14ac:dyDescent="0.25">
      <c r="A145" s="2" t="str">
        <f>VLOOKUP(Table1[[#This Row],[Name]],'country codes'!$A$1:$D$253,4,FALSE)</f>
        <v>MNE</v>
      </c>
      <c r="B145" s="1" t="s">
        <v>117</v>
      </c>
      <c r="C145" s="2" t="s">
        <v>12069</v>
      </c>
      <c r="D145" s="2" t="s">
        <v>195</v>
      </c>
      <c r="E145" s="2" t="s">
        <v>195</v>
      </c>
      <c r="F145" s="2"/>
      <c r="G145" s="2"/>
    </row>
    <row r="146" spans="1:7" x14ac:dyDescent="0.25">
      <c r="A146" s="2" t="str">
        <f>VLOOKUP(Table1[[#This Row],[Name]],'country codes'!$A$1:$D$253,4,FALSE)</f>
        <v>MAR</v>
      </c>
      <c r="B146" s="1" t="s">
        <v>118</v>
      </c>
      <c r="C146" s="2" t="s">
        <v>12069</v>
      </c>
      <c r="D146" s="2"/>
      <c r="E146" s="2"/>
      <c r="F146" s="2"/>
      <c r="G146" s="2"/>
    </row>
    <row r="147" spans="1:7" x14ac:dyDescent="0.25">
      <c r="A147" s="2" t="str">
        <f>VLOOKUP(Table1[[#This Row],[Name]],'country codes'!$A$1:$D$253,4,FALSE)</f>
        <v>MOZ</v>
      </c>
      <c r="B147" s="1" t="s">
        <v>119</v>
      </c>
      <c r="C147" s="2" t="s">
        <v>12069</v>
      </c>
      <c r="D147" s="2" t="s">
        <v>195</v>
      </c>
      <c r="E147" s="2" t="s">
        <v>195</v>
      </c>
      <c r="F147" s="2" t="s">
        <v>195</v>
      </c>
      <c r="G147" s="2" t="s">
        <v>195</v>
      </c>
    </row>
    <row r="148" spans="1:7" x14ac:dyDescent="0.25">
      <c r="A148" s="2" t="str">
        <f>VLOOKUP(Table1[[#This Row],[Name]],'country codes'!$A$1:$D$253,4,FALSE)</f>
        <v>MMR</v>
      </c>
      <c r="B148" s="1" t="s">
        <v>1223</v>
      </c>
      <c r="C148" s="2" t="s">
        <v>12069</v>
      </c>
      <c r="D148" s="2" t="s">
        <v>195</v>
      </c>
      <c r="E148" s="2" t="s">
        <v>195</v>
      </c>
      <c r="F148" s="2" t="s">
        <v>195</v>
      </c>
      <c r="G148" s="2" t="s">
        <v>195</v>
      </c>
    </row>
    <row r="149" spans="1:7" x14ac:dyDescent="0.25">
      <c r="A149" s="2" t="str">
        <f>VLOOKUP(Table1[[#This Row],[Name]],'country codes'!$A$1:$D$253,4,FALSE)</f>
        <v>NAM</v>
      </c>
      <c r="B149" s="1" t="s">
        <v>120</v>
      </c>
      <c r="C149" s="2" t="s">
        <v>12069</v>
      </c>
      <c r="D149" s="2" t="s">
        <v>195</v>
      </c>
      <c r="E149" s="2" t="s">
        <v>195</v>
      </c>
      <c r="F149" s="2" t="s">
        <v>195</v>
      </c>
      <c r="G149" s="2" t="s">
        <v>195</v>
      </c>
    </row>
    <row r="150" spans="1:7" x14ac:dyDescent="0.25">
      <c r="A150" s="2" t="str">
        <f>VLOOKUP(Table1[[#This Row],[Name]],'country codes'!$A$1:$D$253,4,FALSE)</f>
        <v>NRU</v>
      </c>
      <c r="B150" s="1" t="s">
        <v>121</v>
      </c>
      <c r="C150" s="2" t="s">
        <v>12069</v>
      </c>
      <c r="D150" s="2"/>
      <c r="E150" s="2"/>
      <c r="F150" s="2"/>
      <c r="G150" s="2"/>
    </row>
    <row r="151" spans="1:7" x14ac:dyDescent="0.25">
      <c r="A151" s="2" t="str">
        <f>VLOOKUP(Table1[[#This Row],[Name]],'country codes'!$A$1:$D$253,4,FALSE)</f>
        <v>NPL</v>
      </c>
      <c r="B151" s="1" t="s">
        <v>122</v>
      </c>
      <c r="C151" s="2" t="s">
        <v>12069</v>
      </c>
      <c r="D151" s="2" t="s">
        <v>195</v>
      </c>
      <c r="E151" s="2"/>
      <c r="F151" s="2"/>
      <c r="G151" s="2"/>
    </row>
    <row r="152" spans="1:7" x14ac:dyDescent="0.25">
      <c r="A152" s="2" t="str">
        <f>VLOOKUP(Table1[[#This Row],[Name]],'country codes'!$A$1:$D$253,4,FALSE)</f>
        <v>NLD</v>
      </c>
      <c r="B152" s="1" t="s">
        <v>123</v>
      </c>
      <c r="C152" s="2" t="s">
        <v>12069</v>
      </c>
      <c r="D152" s="2" t="s">
        <v>195</v>
      </c>
      <c r="E152" s="2" t="s">
        <v>195</v>
      </c>
      <c r="F152" s="2" t="s">
        <v>195</v>
      </c>
      <c r="G152" s="2"/>
    </row>
    <row r="153" spans="1:7" x14ac:dyDescent="0.25">
      <c r="A153" s="2" t="str">
        <f>VLOOKUP(Table1[[#This Row],[Name]],'country codes'!$A$1:$D$253,4,FALSE)</f>
        <v>NCL</v>
      </c>
      <c r="B153" s="16" t="s">
        <v>1224</v>
      </c>
      <c r="C153" s="14" t="s">
        <v>12070</v>
      </c>
      <c r="D153" s="14"/>
      <c r="E153" s="14"/>
      <c r="F153" s="16"/>
      <c r="G153" s="16"/>
    </row>
    <row r="154" spans="1:7" x14ac:dyDescent="0.25">
      <c r="A154" s="2" t="str">
        <f>VLOOKUP(Table1[[#This Row],[Name]],'country codes'!$A$1:$D$253,4,FALSE)</f>
        <v>NZL</v>
      </c>
      <c r="B154" s="1" t="s">
        <v>124</v>
      </c>
      <c r="C154" s="2" t="s">
        <v>12069</v>
      </c>
      <c r="D154" s="2"/>
      <c r="E154" s="2" t="s">
        <v>195</v>
      </c>
      <c r="F154" s="2"/>
      <c r="G154" s="2"/>
    </row>
    <row r="155" spans="1:7" x14ac:dyDescent="0.25">
      <c r="A155" s="2" t="str">
        <f>VLOOKUP(Table1[[#This Row],[Name]],'country codes'!$A$1:$D$253,4,FALSE)</f>
        <v>NIC</v>
      </c>
      <c r="B155" s="1" t="s">
        <v>125</v>
      </c>
      <c r="C155" s="2" t="s">
        <v>12069</v>
      </c>
      <c r="D155" s="2" t="s">
        <v>195</v>
      </c>
      <c r="E155" s="2"/>
      <c r="F155" s="2"/>
      <c r="G155" s="2"/>
    </row>
    <row r="156" spans="1:7" x14ac:dyDescent="0.25">
      <c r="A156" s="2" t="str">
        <f>VLOOKUP(Table1[[#This Row],[Name]],'country codes'!$A$1:$D$253,4,FALSE)</f>
        <v>NER</v>
      </c>
      <c r="B156" s="1" t="s">
        <v>126</v>
      </c>
      <c r="C156" s="2" t="s">
        <v>12069</v>
      </c>
      <c r="D156" s="2"/>
      <c r="E156" s="2"/>
      <c r="F156" s="2"/>
      <c r="G156" s="2"/>
    </row>
    <row r="157" spans="1:7" x14ac:dyDescent="0.25">
      <c r="A157" s="2" t="str">
        <f>VLOOKUP(Table1[[#This Row],[Name]],'country codes'!$A$1:$D$253,4,FALSE)</f>
        <v>NGA</v>
      </c>
      <c r="B157" s="1" t="s">
        <v>127</v>
      </c>
      <c r="C157" s="2" t="s">
        <v>12069</v>
      </c>
      <c r="D157" s="2" t="s">
        <v>195</v>
      </c>
      <c r="E157" s="2"/>
      <c r="F157" s="2"/>
      <c r="G157" s="2"/>
    </row>
    <row r="158" spans="1:7" x14ac:dyDescent="0.25">
      <c r="A158" s="2" t="str">
        <f>VLOOKUP(Table1[[#This Row],[Name]],'country codes'!$A$1:$D$253,4,FALSE)</f>
        <v>PRK</v>
      </c>
      <c r="B158" t="s">
        <v>88</v>
      </c>
      <c r="C158" s="2" t="s">
        <v>12069</v>
      </c>
      <c r="D158" s="2"/>
      <c r="E158" s="2"/>
      <c r="F158" s="2"/>
      <c r="G158" s="2"/>
    </row>
    <row r="159" spans="1:7" x14ac:dyDescent="0.25">
      <c r="A159" s="2" t="str">
        <f>VLOOKUP(Table1[[#This Row],[Name]],'country codes'!$A$1:$D$253,4,FALSE)</f>
        <v>NOR</v>
      </c>
      <c r="B159" s="1" t="s">
        <v>128</v>
      </c>
      <c r="C159" s="2" t="s">
        <v>12069</v>
      </c>
      <c r="D159" s="2" t="s">
        <v>195</v>
      </c>
      <c r="E159" s="2" t="s">
        <v>195</v>
      </c>
      <c r="F159" s="2"/>
      <c r="G159" s="2"/>
    </row>
    <row r="160" spans="1:7" x14ac:dyDescent="0.25">
      <c r="A160" s="2" t="str">
        <f>VLOOKUP(Table1[[#This Row],[Name]],'country codes'!$A$1:$D$253,4,FALSE)</f>
        <v>OMN</v>
      </c>
      <c r="B160" s="1" t="s">
        <v>129</v>
      </c>
      <c r="C160" s="2" t="s">
        <v>12069</v>
      </c>
      <c r="D160" s="2" t="s">
        <v>195</v>
      </c>
      <c r="E160" s="2" t="s">
        <v>195</v>
      </c>
      <c r="F160" s="2" t="s">
        <v>195</v>
      </c>
      <c r="G160" s="2" t="s">
        <v>195</v>
      </c>
    </row>
    <row r="161" spans="1:7" x14ac:dyDescent="0.25">
      <c r="A161" s="2" t="str">
        <f>VLOOKUP(Table1[[#This Row],[Name]],'country codes'!$A$1:$D$253,4,FALSE)</f>
        <v>PAK</v>
      </c>
      <c r="B161" s="1" t="s">
        <v>130</v>
      </c>
      <c r="C161" s="2" t="s">
        <v>12069</v>
      </c>
      <c r="D161" s="2" t="s">
        <v>195</v>
      </c>
      <c r="E161" s="2"/>
      <c r="F161" s="2"/>
      <c r="G161" s="2"/>
    </row>
    <row r="162" spans="1:7" x14ac:dyDescent="0.25">
      <c r="A162" s="2" t="str">
        <f>VLOOKUP(Table1[[#This Row],[Name]],'country codes'!$A$1:$D$253,4,FALSE)</f>
        <v>PLW</v>
      </c>
      <c r="B162" s="1" t="s">
        <v>131</v>
      </c>
      <c r="C162" s="2" t="s">
        <v>12069</v>
      </c>
      <c r="D162" s="2"/>
      <c r="E162" s="2"/>
      <c r="F162" s="2"/>
      <c r="G162" s="2"/>
    </row>
    <row r="163" spans="1:7" x14ac:dyDescent="0.25">
      <c r="A163" s="2" t="str">
        <f>VLOOKUP(Table1[[#This Row],[Name]],'country codes'!$A$1:$D$253,4,FALSE)</f>
        <v>PAN</v>
      </c>
      <c r="B163" s="1" t="s">
        <v>132</v>
      </c>
      <c r="C163" s="2" t="s">
        <v>12069</v>
      </c>
      <c r="D163" s="2" t="s">
        <v>195</v>
      </c>
      <c r="E163" s="2" t="s">
        <v>195</v>
      </c>
      <c r="F163" s="2" t="s">
        <v>195</v>
      </c>
      <c r="G163" s="2" t="s">
        <v>195</v>
      </c>
    </row>
    <row r="164" spans="1:7" x14ac:dyDescent="0.25">
      <c r="A164" s="2" t="str">
        <f>VLOOKUP(Table1[[#This Row],[Name]],'country codes'!$A$1:$D$253,4,FALSE)</f>
        <v>PNG</v>
      </c>
      <c r="B164" s="1" t="s">
        <v>133</v>
      </c>
      <c r="C164" s="2" t="s">
        <v>12069</v>
      </c>
      <c r="D164" s="2"/>
      <c r="E164" s="2"/>
      <c r="F164" s="2"/>
      <c r="G164" s="2"/>
    </row>
    <row r="165" spans="1:7" x14ac:dyDescent="0.25">
      <c r="A165" s="2" t="str">
        <f>VLOOKUP(Table1[[#This Row],[Name]],'country codes'!$A$1:$D$253,4,FALSE)</f>
        <v>PRY</v>
      </c>
      <c r="B165" s="1" t="s">
        <v>134</v>
      </c>
      <c r="C165" s="2" t="s">
        <v>12069</v>
      </c>
      <c r="D165" s="2"/>
      <c r="E165" s="2" t="s">
        <v>195</v>
      </c>
      <c r="F165" s="2"/>
      <c r="G165" s="2"/>
    </row>
    <row r="166" spans="1:7" x14ac:dyDescent="0.25">
      <c r="A166" s="2" t="str">
        <f>VLOOKUP(Table1[[#This Row],[Name]],'country codes'!$A$1:$D$253,4,FALSE)</f>
        <v>PER</v>
      </c>
      <c r="B166" s="1" t="s">
        <v>135</v>
      </c>
      <c r="C166" s="2" t="s">
        <v>12069</v>
      </c>
      <c r="D166" s="2" t="s">
        <v>195</v>
      </c>
      <c r="E166" s="2" t="s">
        <v>195</v>
      </c>
      <c r="F166" s="2" t="s">
        <v>195</v>
      </c>
      <c r="G166" s="2" t="s">
        <v>195</v>
      </c>
    </row>
    <row r="167" spans="1:7" x14ac:dyDescent="0.25">
      <c r="A167" s="2" t="str">
        <f>VLOOKUP(Table1[[#This Row],[Name]],'country codes'!$A$1:$D$253,4,FALSE)</f>
        <v>PHL</v>
      </c>
      <c r="B167" s="1" t="s">
        <v>136</v>
      </c>
      <c r="C167" s="2" t="s">
        <v>12069</v>
      </c>
      <c r="D167" s="2" t="s">
        <v>195</v>
      </c>
      <c r="E167" s="2" t="s">
        <v>195</v>
      </c>
      <c r="F167" s="2"/>
      <c r="G167" s="2"/>
    </row>
    <row r="168" spans="1:7" x14ac:dyDescent="0.25">
      <c r="A168" s="2" t="str">
        <f>VLOOKUP(Table1[[#This Row],[Name]],'country codes'!$A$1:$D$253,4,FALSE)</f>
        <v>POL</v>
      </c>
      <c r="B168" s="1" t="s">
        <v>137</v>
      </c>
      <c r="C168" s="2" t="s">
        <v>12069</v>
      </c>
      <c r="D168" s="2" t="s">
        <v>195</v>
      </c>
      <c r="E168" s="2" t="s">
        <v>195</v>
      </c>
      <c r="F168" s="2"/>
      <c r="G168" s="2"/>
    </row>
    <row r="169" spans="1:7" x14ac:dyDescent="0.25">
      <c r="A169" s="2" t="str">
        <f>VLOOKUP(Table1[[#This Row],[Name]],'country codes'!$A$1:$D$253,4,FALSE)</f>
        <v>PRT</v>
      </c>
      <c r="B169" s="1" t="s">
        <v>138</v>
      </c>
      <c r="C169" s="2" t="s">
        <v>12069</v>
      </c>
      <c r="D169" s="2" t="s">
        <v>195</v>
      </c>
      <c r="E169" s="2" t="s">
        <v>195</v>
      </c>
      <c r="F169" s="2" t="s">
        <v>195</v>
      </c>
      <c r="G169" s="2" t="s">
        <v>195</v>
      </c>
    </row>
    <row r="170" spans="1:7" x14ac:dyDescent="0.25">
      <c r="A170" s="2" t="str">
        <f>VLOOKUP(Table1[[#This Row],[Name]],'country codes'!$A$1:$D$253,4,FALSE)</f>
        <v>PRI</v>
      </c>
      <c r="B170" s="16" t="s">
        <v>1229</v>
      </c>
      <c r="C170" s="14" t="s">
        <v>12070</v>
      </c>
      <c r="D170" s="14" t="s">
        <v>195</v>
      </c>
      <c r="E170" s="14" t="s">
        <v>195</v>
      </c>
      <c r="F170" s="14" t="s">
        <v>195</v>
      </c>
      <c r="G170" s="14" t="s">
        <v>195</v>
      </c>
    </row>
    <row r="171" spans="1:7" x14ac:dyDescent="0.25">
      <c r="A171" s="2" t="str">
        <f>VLOOKUP(Table1[[#This Row],[Name]],'country codes'!$A$1:$D$253,4,FALSE)</f>
        <v>QAT</v>
      </c>
      <c r="B171" s="1" t="s">
        <v>139</v>
      </c>
      <c r="C171" s="2" t="s">
        <v>12069</v>
      </c>
      <c r="D171" s="2" t="s">
        <v>195</v>
      </c>
      <c r="E171" s="2" t="s">
        <v>195</v>
      </c>
      <c r="F171" s="2" t="s">
        <v>195</v>
      </c>
      <c r="G171" s="2" t="s">
        <v>195</v>
      </c>
    </row>
    <row r="172" spans="1:7" x14ac:dyDescent="0.25">
      <c r="A172" s="2" t="str">
        <f>VLOOKUP(Table1[[#This Row],[Name]],'country codes'!$A$1:$D$253,4,FALSE)</f>
        <v>ROU</v>
      </c>
      <c r="B172" s="1" t="s">
        <v>140</v>
      </c>
      <c r="C172" s="2" t="s">
        <v>12069</v>
      </c>
      <c r="D172" s="2" t="s">
        <v>195</v>
      </c>
      <c r="E172" s="2" t="s">
        <v>195</v>
      </c>
      <c r="F172" s="2" t="s">
        <v>195</v>
      </c>
      <c r="G172" s="2" t="s">
        <v>195</v>
      </c>
    </row>
    <row r="173" spans="1:7" x14ac:dyDescent="0.25">
      <c r="A173" s="2" t="str">
        <f>VLOOKUP(Table1[[#This Row],[Name]],'country codes'!$A$1:$D$253,4,FALSE)</f>
        <v>RUS</v>
      </c>
      <c r="B173" s="1" t="s">
        <v>141</v>
      </c>
      <c r="C173" s="2" t="s">
        <v>12069</v>
      </c>
      <c r="D173" s="2"/>
      <c r="E173" s="2"/>
      <c r="F173" s="2"/>
      <c r="G173" s="2"/>
    </row>
    <row r="174" spans="1:7" x14ac:dyDescent="0.25">
      <c r="A174" s="2" t="str">
        <f>VLOOKUP(Table1[[#This Row],[Name]],'country codes'!$A$1:$D$253,4,FALSE)</f>
        <v>RWA</v>
      </c>
      <c r="B174" s="1" t="s">
        <v>142</v>
      </c>
      <c r="C174" s="2" t="s">
        <v>12069</v>
      </c>
      <c r="D174" s="2" t="s">
        <v>195</v>
      </c>
      <c r="E174" s="2" t="s">
        <v>195</v>
      </c>
      <c r="F174" s="2"/>
      <c r="G174" s="2"/>
    </row>
    <row r="175" spans="1:7" x14ac:dyDescent="0.25">
      <c r="A175" s="2" t="str">
        <f>VLOOKUP(Table1[[#This Row],[Name]],'country codes'!$A$1:$D$253,4,FALSE)</f>
        <v>KNA</v>
      </c>
      <c r="B175" s="1" t="s">
        <v>143</v>
      </c>
      <c r="C175" s="2" t="s">
        <v>12069</v>
      </c>
      <c r="D175" s="2"/>
      <c r="E175" s="2"/>
      <c r="F175" s="2"/>
      <c r="G175" s="2"/>
    </row>
    <row r="176" spans="1:7" x14ac:dyDescent="0.25">
      <c r="A176" s="2" t="str">
        <f>VLOOKUP(Table1[[#This Row],[Name]],'country codes'!$A$1:$D$253,4,FALSE)</f>
        <v>LCA</v>
      </c>
      <c r="B176" s="1" t="s">
        <v>144</v>
      </c>
      <c r="C176" s="2" t="s">
        <v>12069</v>
      </c>
      <c r="D176" s="2" t="s">
        <v>195</v>
      </c>
      <c r="E176" s="2" t="s">
        <v>195</v>
      </c>
      <c r="F176" s="2" t="s">
        <v>195</v>
      </c>
      <c r="G176" s="2" t="s">
        <v>195</v>
      </c>
    </row>
    <row r="177" spans="1:7" x14ac:dyDescent="0.25">
      <c r="A177" s="2" t="str">
        <f>VLOOKUP(Table1[[#This Row],[Name]],'country codes'!$A$1:$D$253,4,FALSE)</f>
        <v>VCT</v>
      </c>
      <c r="B177" s="1" t="s">
        <v>145</v>
      </c>
      <c r="C177" s="2" t="s">
        <v>12069</v>
      </c>
      <c r="D177" s="2"/>
      <c r="E177" s="2"/>
      <c r="F177" s="2"/>
      <c r="G177" s="2"/>
    </row>
    <row r="178" spans="1:7" x14ac:dyDescent="0.25">
      <c r="A178" s="2" t="str">
        <f>VLOOKUP(Table1[[#This Row],[Name]],'country codes'!$A$1:$D$253,4,FALSE)</f>
        <v>WSM</v>
      </c>
      <c r="B178" s="1" t="s">
        <v>146</v>
      </c>
      <c r="C178" s="2" t="s">
        <v>12069</v>
      </c>
      <c r="D178" s="2" t="s">
        <v>195</v>
      </c>
      <c r="E178" s="2" t="s">
        <v>195</v>
      </c>
      <c r="F178" s="2"/>
      <c r="G178" s="2"/>
    </row>
    <row r="179" spans="1:7" x14ac:dyDescent="0.25">
      <c r="A179" s="2" t="str">
        <f>VLOOKUP(Table1[[#This Row],[Name]],'country codes'!$A$1:$D$253,4,FALSE)</f>
        <v>SMR</v>
      </c>
      <c r="B179" s="1" t="s">
        <v>147</v>
      </c>
      <c r="C179" s="2" t="s">
        <v>12069</v>
      </c>
      <c r="D179" s="2" t="s">
        <v>195</v>
      </c>
      <c r="E179" s="2" t="s">
        <v>195</v>
      </c>
      <c r="F179" s="2"/>
      <c r="G179" s="2"/>
    </row>
    <row r="180" spans="1:7" x14ac:dyDescent="0.25">
      <c r="A180" s="2" t="str">
        <f>VLOOKUP(Table1[[#This Row],[Name]],'country codes'!$A$1:$D$253,4,FALSE)</f>
        <v>STP</v>
      </c>
      <c r="B180" t="s">
        <v>18386</v>
      </c>
      <c r="C180" s="2" t="s">
        <v>12069</v>
      </c>
      <c r="D180" s="2"/>
      <c r="E180" s="2"/>
      <c r="F180" s="2"/>
      <c r="G180" s="2"/>
    </row>
    <row r="181" spans="1:7" x14ac:dyDescent="0.25">
      <c r="A181" s="2" t="str">
        <f>VLOOKUP(Table1[[#This Row],[Name]],'country codes'!$A$1:$D$253,4,FALSE)</f>
        <v>SAU</v>
      </c>
      <c r="B181" s="1" t="s">
        <v>149</v>
      </c>
      <c r="C181" s="2" t="s">
        <v>12069</v>
      </c>
      <c r="D181" s="2"/>
      <c r="E181" s="2"/>
      <c r="F181" s="2"/>
      <c r="G181" s="2"/>
    </row>
    <row r="182" spans="1:7" x14ac:dyDescent="0.25">
      <c r="A182" s="2" t="str">
        <f>VLOOKUP(Table1[[#This Row],[Name]],'country codes'!$A$1:$D$253,4,FALSE)</f>
        <v>SEN</v>
      </c>
      <c r="B182" s="1" t="s">
        <v>150</v>
      </c>
      <c r="C182" s="2" t="s">
        <v>12069</v>
      </c>
      <c r="D182" s="2" t="s">
        <v>195</v>
      </c>
      <c r="E182" s="2"/>
      <c r="F182" s="2"/>
      <c r="G182" s="2"/>
    </row>
    <row r="183" spans="1:7" x14ac:dyDescent="0.25">
      <c r="A183" s="2" t="str">
        <f>VLOOKUP(Table1[[#This Row],[Name]],'country codes'!$A$1:$D$253,4,FALSE)</f>
        <v>SRB</v>
      </c>
      <c r="B183" s="1" t="s">
        <v>151</v>
      </c>
      <c r="C183" s="2" t="s">
        <v>12069</v>
      </c>
      <c r="D183" s="2" t="s">
        <v>195</v>
      </c>
      <c r="E183" s="2" t="s">
        <v>195</v>
      </c>
      <c r="F183" s="2"/>
      <c r="G183" s="2"/>
    </row>
    <row r="184" spans="1:7" x14ac:dyDescent="0.25">
      <c r="A184" s="2" t="str">
        <f>VLOOKUP(Table1[[#This Row],[Name]],'country codes'!$A$1:$D$253,4,FALSE)</f>
        <v>SYC</v>
      </c>
      <c r="B184" s="1" t="s">
        <v>152</v>
      </c>
      <c r="C184" s="2" t="s">
        <v>12069</v>
      </c>
      <c r="D184" s="2" t="s">
        <v>195</v>
      </c>
      <c r="E184" s="2" t="s">
        <v>195</v>
      </c>
      <c r="F184" s="2"/>
      <c r="G184" s="2"/>
    </row>
    <row r="185" spans="1:7" x14ac:dyDescent="0.25">
      <c r="A185" s="2" t="str">
        <f>VLOOKUP(Table1[[#This Row],[Name]],'country codes'!$A$1:$D$253,4,FALSE)</f>
        <v>SLE</v>
      </c>
      <c r="B185" s="1" t="s">
        <v>153</v>
      </c>
      <c r="C185" s="2" t="s">
        <v>12069</v>
      </c>
      <c r="D185" s="2" t="s">
        <v>195</v>
      </c>
      <c r="E185" s="2"/>
      <c r="F185" s="2"/>
      <c r="G185" s="2"/>
    </row>
    <row r="186" spans="1:7" x14ac:dyDescent="0.25">
      <c r="A186" s="2" t="str">
        <f>VLOOKUP(Table1[[#This Row],[Name]],'country codes'!$A$1:$D$253,4,FALSE)</f>
        <v>SGP</v>
      </c>
      <c r="B186" s="1" t="s">
        <v>154</v>
      </c>
      <c r="C186" s="2" t="s">
        <v>12069</v>
      </c>
      <c r="D186" s="2" t="s">
        <v>195</v>
      </c>
      <c r="E186" s="2" t="s">
        <v>195</v>
      </c>
      <c r="F186" s="2"/>
      <c r="G186" s="2"/>
    </row>
    <row r="187" spans="1:7" x14ac:dyDescent="0.25">
      <c r="A187" s="2" t="str">
        <f>VLOOKUP(Table1[[#This Row],[Name]],'country codes'!$A$1:$D$253,4,FALSE)</f>
        <v>SVK</v>
      </c>
      <c r="B187" s="1" t="s">
        <v>155</v>
      </c>
      <c r="C187" s="2" t="s">
        <v>12069</v>
      </c>
      <c r="D187" s="2" t="s">
        <v>195</v>
      </c>
      <c r="E187" s="2" t="s">
        <v>195</v>
      </c>
      <c r="F187" s="2" t="s">
        <v>195</v>
      </c>
      <c r="G187" s="2"/>
    </row>
    <row r="188" spans="1:7" x14ac:dyDescent="0.25">
      <c r="A188" s="2" t="str">
        <f>VLOOKUP(Table1[[#This Row],[Name]],'country codes'!$A$1:$D$253,4,FALSE)</f>
        <v>SVN</v>
      </c>
      <c r="B188" s="1" t="s">
        <v>156</v>
      </c>
      <c r="C188" s="2" t="s">
        <v>12069</v>
      </c>
      <c r="D188" s="2" t="s">
        <v>195</v>
      </c>
      <c r="E188" s="2" t="s">
        <v>195</v>
      </c>
      <c r="F188" s="2"/>
      <c r="G188" s="2"/>
    </row>
    <row r="189" spans="1:7" x14ac:dyDescent="0.25">
      <c r="A189" s="2" t="str">
        <f>VLOOKUP(Table1[[#This Row],[Name]],'country codes'!$A$1:$D$253,4,FALSE)</f>
        <v>SLB</v>
      </c>
      <c r="B189" s="1" t="s">
        <v>157</v>
      </c>
      <c r="C189" s="2" t="s">
        <v>12069</v>
      </c>
      <c r="D189" s="2" t="s">
        <v>195</v>
      </c>
      <c r="E189" s="2"/>
      <c r="F189" s="2"/>
      <c r="G189" s="2"/>
    </row>
    <row r="190" spans="1:7" x14ac:dyDescent="0.25">
      <c r="A190" s="2" t="str">
        <f>VLOOKUP(Table1[[#This Row],[Name]],'country codes'!$A$1:$D$253,4,FALSE)</f>
        <v>SOM</v>
      </c>
      <c r="B190" s="1" t="s">
        <v>158</v>
      </c>
      <c r="C190" s="2" t="s">
        <v>12069</v>
      </c>
      <c r="D190" s="2"/>
      <c r="E190" s="2"/>
      <c r="F190" s="2"/>
      <c r="G190" s="2"/>
    </row>
    <row r="191" spans="1:7" x14ac:dyDescent="0.25">
      <c r="A191" s="2" t="str">
        <f>VLOOKUP(Table1[[#This Row],[Name]],'country codes'!$A$1:$D$253,4,FALSE)</f>
        <v>ZAF</v>
      </c>
      <c r="B191" s="1" t="s">
        <v>159</v>
      </c>
      <c r="C191" s="2" t="s">
        <v>12069</v>
      </c>
      <c r="D191" s="2" t="s">
        <v>195</v>
      </c>
      <c r="E191" s="2" t="s">
        <v>195</v>
      </c>
      <c r="F191" s="2" t="s">
        <v>195</v>
      </c>
      <c r="G191" s="2" t="s">
        <v>195</v>
      </c>
    </row>
    <row r="192" spans="1:7" x14ac:dyDescent="0.25">
      <c r="A192" s="2" t="str">
        <f>VLOOKUP(Table1[[#This Row],[Name]],'country codes'!$A$1:$D$253,4,FALSE)</f>
        <v>KOR</v>
      </c>
      <c r="B192" s="1" t="s">
        <v>89</v>
      </c>
      <c r="C192" s="2" t="s">
        <v>12069</v>
      </c>
      <c r="D192" s="2" t="s">
        <v>195</v>
      </c>
      <c r="E192" s="2" t="s">
        <v>195</v>
      </c>
      <c r="F192" s="2" t="s">
        <v>195</v>
      </c>
      <c r="G192" s="2" t="s">
        <v>195</v>
      </c>
    </row>
    <row r="193" spans="1:7" x14ac:dyDescent="0.25">
      <c r="A193" s="2" t="str">
        <f>VLOOKUP(Table1[[#This Row],[Name]],'country codes'!$A$1:$D$253,4,FALSE)</f>
        <v>SDS</v>
      </c>
      <c r="B193" s="1" t="s">
        <v>160</v>
      </c>
      <c r="C193" s="2" t="s">
        <v>12069</v>
      </c>
      <c r="D193" s="2"/>
      <c r="E193" s="2"/>
      <c r="F193" s="2"/>
      <c r="G193" s="2"/>
    </row>
    <row r="194" spans="1:7" x14ac:dyDescent="0.25">
      <c r="A194" s="2" t="str">
        <f>VLOOKUP(Table1[[#This Row],[Name]],'country codes'!$A$1:$D$253,4,FALSE)</f>
        <v>ESP</v>
      </c>
      <c r="B194" s="1" t="s">
        <v>161</v>
      </c>
      <c r="C194" s="2" t="s">
        <v>12069</v>
      </c>
      <c r="D194" s="2" t="s">
        <v>195</v>
      </c>
      <c r="E194" s="2" t="s">
        <v>195</v>
      </c>
      <c r="F194" s="2" t="s">
        <v>195</v>
      </c>
      <c r="G194" s="2" t="s">
        <v>195</v>
      </c>
    </row>
    <row r="195" spans="1:7" x14ac:dyDescent="0.25">
      <c r="A195" s="2" t="str">
        <f>VLOOKUP(Table1[[#This Row],[Name]],'country codes'!$A$1:$D$253,4,FALSE)</f>
        <v>LKA</v>
      </c>
      <c r="B195" s="1" t="s">
        <v>162</v>
      </c>
      <c r="C195" s="2" t="s">
        <v>12069</v>
      </c>
      <c r="D195" s="2"/>
      <c r="E195" s="2" t="s">
        <v>195</v>
      </c>
      <c r="F195" s="2"/>
      <c r="G195" s="2"/>
    </row>
    <row r="196" spans="1:7" x14ac:dyDescent="0.25">
      <c r="A196" s="2" t="str">
        <f>VLOOKUP(Table1[[#This Row],[Name]],'country codes'!$A$1:$D$253,4,FALSE)</f>
        <v>SDN</v>
      </c>
      <c r="B196" s="1" t="s">
        <v>163</v>
      </c>
      <c r="C196" s="2" t="s">
        <v>12069</v>
      </c>
      <c r="D196" s="2"/>
      <c r="E196" s="2"/>
      <c r="F196" s="2"/>
      <c r="G196" s="2"/>
    </row>
    <row r="197" spans="1:7" x14ac:dyDescent="0.25">
      <c r="A197" s="2" t="str">
        <f>VLOOKUP(Table1[[#This Row],[Name]],'country codes'!$A$1:$D$253,4,FALSE)</f>
        <v>SUR</v>
      </c>
      <c r="B197" s="1" t="s">
        <v>164</v>
      </c>
      <c r="C197" s="2" t="s">
        <v>12069</v>
      </c>
      <c r="D197" s="2"/>
      <c r="E197" s="2"/>
      <c r="F197" s="2"/>
      <c r="G197" s="2"/>
    </row>
    <row r="198" spans="1:7" x14ac:dyDescent="0.25">
      <c r="A198" s="2" t="str">
        <f>VLOOKUP(Table1[[#This Row],[Name]],'country codes'!$A$1:$D$253,4,FALSE)</f>
        <v>SWE</v>
      </c>
      <c r="B198" s="1" t="s">
        <v>165</v>
      </c>
      <c r="C198" s="2" t="s">
        <v>12069</v>
      </c>
      <c r="D198" s="2" t="s">
        <v>195</v>
      </c>
      <c r="E198" s="2" t="s">
        <v>195</v>
      </c>
      <c r="F198" s="2" t="s">
        <v>195</v>
      </c>
      <c r="G198" s="2"/>
    </row>
    <row r="199" spans="1:7" x14ac:dyDescent="0.25">
      <c r="A199" s="2" t="str">
        <f>VLOOKUP(Table1[[#This Row],[Name]],'country codes'!$A$1:$D$253,4,FALSE)</f>
        <v>CHE</v>
      </c>
      <c r="B199" s="1" t="s">
        <v>166</v>
      </c>
      <c r="C199" s="2" t="s">
        <v>12069</v>
      </c>
      <c r="D199" s="2" t="s">
        <v>195</v>
      </c>
      <c r="E199" s="2" t="s">
        <v>195</v>
      </c>
      <c r="F199" s="2" t="s">
        <v>195</v>
      </c>
      <c r="G199" s="2" t="s">
        <v>195</v>
      </c>
    </row>
    <row r="200" spans="1:7" x14ac:dyDescent="0.25">
      <c r="A200" s="2" t="str">
        <f>VLOOKUP(Table1[[#This Row],[Name]],'country codes'!$A$1:$D$253,4,FALSE)</f>
        <v>SYR</v>
      </c>
      <c r="B200" s="1" t="s">
        <v>167</v>
      </c>
      <c r="C200" s="2" t="s">
        <v>12069</v>
      </c>
      <c r="D200" s="2"/>
      <c r="E200" s="2"/>
      <c r="F200" s="2"/>
      <c r="G200" s="2"/>
    </row>
    <row r="201" spans="1:7" x14ac:dyDescent="0.25">
      <c r="A201" s="2" t="str">
        <f>VLOOKUP(Table1[[#This Row],[Name]],'country codes'!$A$1:$D$253,4,FALSE)</f>
        <v>TWN</v>
      </c>
      <c r="B201" s="1" t="s">
        <v>192</v>
      </c>
      <c r="C201" s="14" t="s">
        <v>12070</v>
      </c>
      <c r="D201" s="2" t="s">
        <v>195</v>
      </c>
      <c r="E201" s="2" t="s">
        <v>195</v>
      </c>
      <c r="F201" s="2"/>
      <c r="G201" s="2"/>
    </row>
    <row r="202" spans="1:7" x14ac:dyDescent="0.25">
      <c r="A202" s="2" t="str">
        <f>VLOOKUP(Table1[[#This Row],[Name]],'country codes'!$A$1:$D$253,4,FALSE)</f>
        <v>TJK</v>
      </c>
      <c r="B202" s="1" t="s">
        <v>168</v>
      </c>
      <c r="C202" s="2" t="s">
        <v>12069</v>
      </c>
      <c r="D202" s="2" t="s">
        <v>195</v>
      </c>
      <c r="E202" s="2" t="s">
        <v>195</v>
      </c>
      <c r="F202" s="2"/>
      <c r="G202" s="2"/>
    </row>
    <row r="203" spans="1:7" x14ac:dyDescent="0.25">
      <c r="A203" s="2" t="str">
        <f>VLOOKUP(Table1[[#This Row],[Name]],'country codes'!$A$1:$D$253,4,FALSE)</f>
        <v>TZA</v>
      </c>
      <c r="B203" s="1" t="s">
        <v>169</v>
      </c>
      <c r="C203" s="2" t="s">
        <v>12069</v>
      </c>
      <c r="D203" s="2" t="s">
        <v>195</v>
      </c>
      <c r="E203" s="2"/>
      <c r="F203" s="2"/>
      <c r="G203" s="2"/>
    </row>
    <row r="204" spans="1:7" x14ac:dyDescent="0.25">
      <c r="A204" s="2" t="str">
        <f>VLOOKUP(Table1[[#This Row],[Name]],'country codes'!$A$1:$D$253,4,FALSE)</f>
        <v>THA</v>
      </c>
      <c r="B204" s="1" t="s">
        <v>170</v>
      </c>
      <c r="C204" s="2" t="s">
        <v>12069</v>
      </c>
      <c r="D204" s="2" t="s">
        <v>195</v>
      </c>
      <c r="E204" s="2" t="s">
        <v>195</v>
      </c>
      <c r="F204" s="2" t="s">
        <v>195</v>
      </c>
      <c r="G204" s="2" t="s">
        <v>195</v>
      </c>
    </row>
    <row r="205" spans="1:7" x14ac:dyDescent="0.25">
      <c r="A205" s="2" t="str">
        <f>VLOOKUP(Table1[[#This Row],[Name]],'country codes'!$A$1:$D$253,4,FALSE)</f>
        <v>BHS</v>
      </c>
      <c r="B205" t="s">
        <v>17255</v>
      </c>
      <c r="C205" s="2" t="s">
        <v>12069</v>
      </c>
      <c r="D205" s="2" t="s">
        <v>195</v>
      </c>
      <c r="E205" s="2" t="s">
        <v>195</v>
      </c>
      <c r="F205" s="2" t="s">
        <v>195</v>
      </c>
      <c r="G205" s="2" t="s">
        <v>195</v>
      </c>
    </row>
    <row r="206" spans="1:7" x14ac:dyDescent="0.25">
      <c r="A206" s="2" t="str">
        <f>VLOOKUP(Table1[[#This Row],[Name]],'country codes'!$A$1:$D$253,4,FALSE)</f>
        <v>GMB</v>
      </c>
      <c r="B206" s="1" t="s">
        <v>14364</v>
      </c>
      <c r="C206" s="2" t="s">
        <v>12069</v>
      </c>
      <c r="D206" s="2" t="s">
        <v>195</v>
      </c>
      <c r="E206" s="2"/>
      <c r="F206" s="2"/>
      <c r="G206" s="2"/>
    </row>
    <row r="207" spans="1:7" x14ac:dyDescent="0.25">
      <c r="A207" s="2" t="str">
        <f>VLOOKUP(Table1[[#This Row],[Name]],'country codes'!$A$1:$D$253,4,FALSE)</f>
        <v>CN-XZ</v>
      </c>
      <c r="B207" s="39" t="s">
        <v>12065</v>
      </c>
      <c r="C207" s="14" t="s">
        <v>12070</v>
      </c>
      <c r="D207" s="38"/>
      <c r="E207" s="38"/>
      <c r="F207" s="39"/>
      <c r="G207" s="39"/>
    </row>
    <row r="208" spans="1:7" x14ac:dyDescent="0.25">
      <c r="A208" s="2" t="str">
        <f>VLOOKUP(Table1[[#This Row],[Name]],'country codes'!$A$1:$D$253,4,FALSE)</f>
        <v>TLS</v>
      </c>
      <c r="B208" s="1" t="s">
        <v>171</v>
      </c>
      <c r="C208" s="2" t="s">
        <v>12069</v>
      </c>
      <c r="D208" s="2"/>
      <c r="E208" s="2"/>
      <c r="F208" s="2"/>
      <c r="G208" s="2"/>
    </row>
    <row r="209" spans="1:7" x14ac:dyDescent="0.25">
      <c r="A209" s="2" t="str">
        <f>VLOOKUP(Table1[[#This Row],[Name]],'country codes'!$A$1:$D$253,4,FALSE)</f>
        <v>TGO</v>
      </c>
      <c r="B209" s="1" t="s">
        <v>172</v>
      </c>
      <c r="C209" s="2" t="s">
        <v>12069</v>
      </c>
      <c r="D209" s="2"/>
      <c r="E209" s="2"/>
      <c r="F209" s="2"/>
      <c r="G209" s="2"/>
    </row>
    <row r="210" spans="1:7" x14ac:dyDescent="0.25">
      <c r="A210" s="2" t="str">
        <f>VLOOKUP(Table1[[#This Row],[Name]],'country codes'!$A$1:$D$253,4,FALSE)</f>
        <v>TON</v>
      </c>
      <c r="B210" s="1" t="s">
        <v>173</v>
      </c>
      <c r="C210" s="2" t="s">
        <v>12069</v>
      </c>
      <c r="D210" s="2" t="s">
        <v>195</v>
      </c>
      <c r="E210" s="2" t="s">
        <v>195</v>
      </c>
      <c r="F210" s="2"/>
      <c r="G210" s="2"/>
    </row>
    <row r="211" spans="1:7" x14ac:dyDescent="0.25">
      <c r="A211" s="2" t="str">
        <f>VLOOKUP(Table1[[#This Row],[Name]],'country codes'!$A$1:$D$253,4,FALSE)</f>
        <v>TTO</v>
      </c>
      <c r="B211" s="1" t="s">
        <v>174</v>
      </c>
      <c r="C211" s="2" t="s">
        <v>12069</v>
      </c>
      <c r="D211" s="2"/>
      <c r="E211" s="2"/>
      <c r="F211" s="2"/>
      <c r="G211" s="2"/>
    </row>
    <row r="212" spans="1:7" x14ac:dyDescent="0.25">
      <c r="A212" s="2" t="str">
        <f>VLOOKUP(Table1[[#This Row],[Name]],'country codes'!$A$1:$D$253,4,FALSE)</f>
        <v>TUN</v>
      </c>
      <c r="B212" s="1" t="s">
        <v>175</v>
      </c>
      <c r="C212" s="2" t="s">
        <v>12069</v>
      </c>
      <c r="D212" s="2"/>
      <c r="E212" s="2" t="s">
        <v>195</v>
      </c>
      <c r="F212" s="2"/>
      <c r="G212" s="2"/>
    </row>
    <row r="213" spans="1:7" x14ac:dyDescent="0.25">
      <c r="A213" s="2" t="str">
        <f>VLOOKUP(Table1[[#This Row],[Name]],'country codes'!$A$1:$D$253,4,FALSE)</f>
        <v>TUR</v>
      </c>
      <c r="B213" s="1" t="s">
        <v>176</v>
      </c>
      <c r="C213" s="2" t="s">
        <v>12069</v>
      </c>
      <c r="D213" s="2" t="s">
        <v>195</v>
      </c>
      <c r="E213" s="2" t="s">
        <v>195</v>
      </c>
      <c r="F213" s="2" t="s">
        <v>195</v>
      </c>
      <c r="G213" s="2"/>
    </row>
    <row r="214" spans="1:7" x14ac:dyDescent="0.25">
      <c r="A214" s="2" t="str">
        <f>VLOOKUP(Table1[[#This Row],[Name]],'country codes'!$A$1:$D$253,4,FALSE)</f>
        <v>TKM</v>
      </c>
      <c r="B214" s="1" t="s">
        <v>177</v>
      </c>
      <c r="C214" s="2" t="s">
        <v>12069</v>
      </c>
      <c r="D214" s="2" t="s">
        <v>195</v>
      </c>
      <c r="E214" s="2" t="s">
        <v>195</v>
      </c>
      <c r="F214" s="2"/>
      <c r="G214" s="2"/>
    </row>
    <row r="215" spans="1:7" x14ac:dyDescent="0.25">
      <c r="A215" s="2" t="str">
        <f>VLOOKUP(Table1[[#This Row],[Name]],'country codes'!$A$1:$D$253,4,FALSE)</f>
        <v>TUV</v>
      </c>
      <c r="B215" s="1" t="s">
        <v>178</v>
      </c>
      <c r="C215" s="2" t="s">
        <v>12069</v>
      </c>
      <c r="D215" s="2"/>
      <c r="E215" s="2"/>
      <c r="F215" s="2"/>
      <c r="G215" s="2"/>
    </row>
    <row r="216" spans="1:7" x14ac:dyDescent="0.25">
      <c r="A216" s="2" t="str">
        <f>VLOOKUP(Table1[[#This Row],[Name]],'country codes'!$A$1:$D$253,4,FALSE)</f>
        <v>UGA</v>
      </c>
      <c r="B216" s="1" t="s">
        <v>179</v>
      </c>
      <c r="C216" s="2" t="s">
        <v>12069</v>
      </c>
      <c r="D216" s="2" t="s">
        <v>195</v>
      </c>
      <c r="E216" s="2"/>
      <c r="F216" s="2"/>
      <c r="G216" s="2"/>
    </row>
    <row r="217" spans="1:7" x14ac:dyDescent="0.25">
      <c r="A217" s="2" t="str">
        <f>VLOOKUP(Table1[[#This Row],[Name]],'country codes'!$A$1:$D$253,4,FALSE)</f>
        <v>UKR</v>
      </c>
      <c r="B217" s="1" t="s">
        <v>180</v>
      </c>
      <c r="C217" s="2" t="s">
        <v>12069</v>
      </c>
      <c r="D217" s="2" t="s">
        <v>195</v>
      </c>
      <c r="E217" s="2" t="s">
        <v>195</v>
      </c>
      <c r="F217" s="2"/>
      <c r="G217" s="2"/>
    </row>
    <row r="218" spans="1:7" x14ac:dyDescent="0.25">
      <c r="A218" s="2" t="str">
        <f>VLOOKUP(Table1[[#This Row],[Name]],'country codes'!$A$1:$D$253,4,FALSE)</f>
        <v>ARE</v>
      </c>
      <c r="B218" s="1" t="s">
        <v>181</v>
      </c>
      <c r="C218" s="2" t="s">
        <v>12069</v>
      </c>
      <c r="D218" s="2" t="s">
        <v>195</v>
      </c>
      <c r="E218" s="2" t="s">
        <v>195</v>
      </c>
      <c r="F218" s="2" t="s">
        <v>195</v>
      </c>
      <c r="G218" s="2" t="s">
        <v>195</v>
      </c>
    </row>
    <row r="219" spans="1:7" x14ac:dyDescent="0.25">
      <c r="A219" s="2" t="str">
        <f>VLOOKUP(Table1[[#This Row],[Name]],'country codes'!$A$1:$D$253,4,FALSE)</f>
        <v>GBR</v>
      </c>
      <c r="B219" s="1" t="s">
        <v>182</v>
      </c>
      <c r="C219" s="2" t="s">
        <v>12069</v>
      </c>
      <c r="D219" s="2" t="s">
        <v>195</v>
      </c>
      <c r="E219" s="2" t="s">
        <v>195</v>
      </c>
      <c r="F219" s="2" t="s">
        <v>195</v>
      </c>
      <c r="G219" s="2" t="s">
        <v>195</v>
      </c>
    </row>
    <row r="220" spans="1:7" x14ac:dyDescent="0.25">
      <c r="A220" s="2" t="str">
        <f>VLOOKUP(Table1[[#This Row],[Name]],'country codes'!$A$1:$D$253,4,FALSE)</f>
        <v>USA</v>
      </c>
      <c r="B220" s="1" t="s">
        <v>12532</v>
      </c>
      <c r="C220" s="2" t="s">
        <v>12069</v>
      </c>
      <c r="D220" s="2" t="s">
        <v>195</v>
      </c>
      <c r="E220" s="2" t="s">
        <v>195</v>
      </c>
      <c r="F220" s="2" t="s">
        <v>195</v>
      </c>
      <c r="G220" s="2" t="s">
        <v>195</v>
      </c>
    </row>
    <row r="221" spans="1:7" x14ac:dyDescent="0.25">
      <c r="A221" s="2" t="str">
        <f>VLOOKUP(Table1[[#This Row],[Name]],'country codes'!$A$1:$D$253,4,FALSE)</f>
        <v>URY</v>
      </c>
      <c r="B221" s="1" t="s">
        <v>184</v>
      </c>
      <c r="C221" s="2" t="s">
        <v>12069</v>
      </c>
      <c r="D221" s="2" t="s">
        <v>195</v>
      </c>
      <c r="E221" s="2" t="s">
        <v>195</v>
      </c>
      <c r="F221" s="2" t="s">
        <v>195</v>
      </c>
      <c r="G221" s="2" t="s">
        <v>195</v>
      </c>
    </row>
    <row r="222" spans="1:7" x14ac:dyDescent="0.25">
      <c r="A222" s="2" t="str">
        <f>VLOOKUP(Table1[[#This Row],[Name]],'country codes'!$A$1:$D$253,4,FALSE)</f>
        <v>VIR</v>
      </c>
      <c r="B222" s="50" t="s">
        <v>2018</v>
      </c>
      <c r="C222" s="14" t="s">
        <v>12070</v>
      </c>
      <c r="D222" s="14" t="s">
        <v>195</v>
      </c>
      <c r="E222" s="14" t="s">
        <v>195</v>
      </c>
      <c r="F222" s="14" t="s">
        <v>195</v>
      </c>
      <c r="G222" s="14" t="s">
        <v>195</v>
      </c>
    </row>
    <row r="223" spans="1:7" x14ac:dyDescent="0.25">
      <c r="A223" s="2" t="str">
        <f>VLOOKUP(Table1[[#This Row],[Name]],'country codes'!$A$1:$D$253,4,FALSE)</f>
        <v>UZB</v>
      </c>
      <c r="B223" s="24" t="s">
        <v>185</v>
      </c>
      <c r="C223" s="2" t="s">
        <v>12069</v>
      </c>
      <c r="D223" s="2" t="s">
        <v>195</v>
      </c>
      <c r="E223" s="2" t="s">
        <v>195</v>
      </c>
      <c r="F223" s="2"/>
      <c r="G223" s="2"/>
    </row>
    <row r="224" spans="1:7" x14ac:dyDescent="0.25">
      <c r="A224" s="2" t="str">
        <f>VLOOKUP(Table1[[#This Row],[Name]],'country codes'!$A$1:$D$253,4,FALSE)</f>
        <v>VUT</v>
      </c>
      <c r="B224" s="24" t="s">
        <v>186</v>
      </c>
      <c r="C224" s="49" t="s">
        <v>12069</v>
      </c>
      <c r="D224" s="2" t="s">
        <v>195</v>
      </c>
      <c r="E224" s="2"/>
      <c r="F224" s="2"/>
      <c r="G224" s="2"/>
    </row>
    <row r="225" spans="1:7" x14ac:dyDescent="0.25">
      <c r="A225" s="2" t="str">
        <f>VLOOKUP(Table1[[#This Row],[Name]],'country codes'!$A$1:$D$253,4,FALSE)</f>
        <v>VEN</v>
      </c>
      <c r="B225" s="24" t="s">
        <v>187</v>
      </c>
      <c r="C225" s="49" t="s">
        <v>12069</v>
      </c>
      <c r="D225" s="2"/>
      <c r="E225" s="2" t="s">
        <v>195</v>
      </c>
      <c r="F225" s="2"/>
      <c r="G225" s="2"/>
    </row>
    <row r="226" spans="1:7" x14ac:dyDescent="0.25">
      <c r="A226" s="2" t="str">
        <f>VLOOKUP(Table1[[#This Row],[Name]],'country codes'!$A$1:$D$253,4,FALSE)</f>
        <v>VNM</v>
      </c>
      <c r="B226" s="24" t="s">
        <v>188</v>
      </c>
      <c r="C226" s="49" t="s">
        <v>12069</v>
      </c>
      <c r="D226" s="2" t="s">
        <v>195</v>
      </c>
      <c r="E226" s="2" t="s">
        <v>195</v>
      </c>
      <c r="F226" s="2" t="s">
        <v>195</v>
      </c>
      <c r="G226" s="2" t="s">
        <v>195</v>
      </c>
    </row>
    <row r="227" spans="1:7" x14ac:dyDescent="0.25">
      <c r="A227" s="2" t="str">
        <f>VLOOKUP(Table1[[#This Row],[Name]],'country codes'!$A$1:$D$253,4,FALSE)</f>
        <v>YEM</v>
      </c>
      <c r="B227" s="24" t="s">
        <v>189</v>
      </c>
      <c r="C227" s="49" t="s">
        <v>12069</v>
      </c>
      <c r="D227" s="2"/>
      <c r="E227" s="2" t="s">
        <v>195</v>
      </c>
      <c r="F227" s="2"/>
      <c r="G227" s="2"/>
    </row>
    <row r="228" spans="1:7" x14ac:dyDescent="0.25">
      <c r="A228" s="2" t="str">
        <f>VLOOKUP(Table1[[#This Row],[Name]],'country codes'!$A$1:$D$253,4,FALSE)</f>
        <v>ZMB</v>
      </c>
      <c r="B228" s="24" t="s">
        <v>190</v>
      </c>
      <c r="C228" s="49" t="s">
        <v>12069</v>
      </c>
      <c r="D228" s="2" t="s">
        <v>195</v>
      </c>
      <c r="E228" s="2" t="s">
        <v>195</v>
      </c>
      <c r="F228" s="2" t="s">
        <v>195</v>
      </c>
      <c r="G228" s="2" t="s">
        <v>195</v>
      </c>
    </row>
    <row r="229" spans="1:7" x14ac:dyDescent="0.25">
      <c r="A229" s="2" t="str">
        <f>VLOOKUP(Table1[[#This Row],[Name]],'country codes'!$A$1:$D$253,4,FALSE)</f>
        <v>ZWE</v>
      </c>
      <c r="B229" s="24" t="s">
        <v>191</v>
      </c>
      <c r="C229" s="2" t="s">
        <v>12069</v>
      </c>
      <c r="D229" s="2" t="s">
        <v>195</v>
      </c>
      <c r="E229" s="2" t="s">
        <v>195</v>
      </c>
      <c r="F229" s="2" t="s">
        <v>195</v>
      </c>
      <c r="G229" s="2" t="s">
        <v>195</v>
      </c>
    </row>
    <row r="230" spans="1:7" x14ac:dyDescent="0.25">
      <c r="A230" s="2" t="str">
        <f>VLOOKUP(Table1[[#This Row],[Name]],'country codes'!$A$1:$D$253,4,FALSE)</f>
        <v>SXM</v>
      </c>
      <c r="B230" t="s">
        <v>8864</v>
      </c>
      <c r="C230" s="14" t="s">
        <v>12070</v>
      </c>
      <c r="D230" s="51"/>
      <c r="E230" s="51"/>
      <c r="F230" s="52"/>
      <c r="G230" s="52"/>
    </row>
    <row r="231" spans="1:7" x14ac:dyDescent="0.25">
      <c r="A231" s="2" t="str">
        <f>VLOOKUP(Table1[[#This Row],[Name]],'country codes'!$A$1:$D$253,4,FALSE)</f>
        <v>ATA</v>
      </c>
      <c r="B231" s="52" t="s">
        <v>1199</v>
      </c>
      <c r="C231" s="14" t="s">
        <v>12070</v>
      </c>
      <c r="D231" s="51"/>
      <c r="E231" s="51"/>
      <c r="F231" s="52"/>
      <c r="G231" s="5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39BE-4B43-4448-BE9C-3C88D961AC8F}">
  <dimension ref="A2:L219"/>
  <sheetViews>
    <sheetView topLeftCell="A109" workbookViewId="0">
      <selection activeCell="E133" sqref="E133"/>
    </sheetView>
  </sheetViews>
  <sheetFormatPr defaultRowHeight="15" x14ac:dyDescent="0.25"/>
  <cols>
    <col min="1" max="1" width="7.7109375" style="3" customWidth="1"/>
    <col min="2" max="2" width="28.28515625" bestFit="1" customWidth="1"/>
    <col min="3" max="3" width="40.5703125" style="3" customWidth="1"/>
    <col min="4" max="4" width="8.85546875" style="3"/>
    <col min="5" max="5" width="9.7109375" style="3" customWidth="1"/>
    <col min="6" max="7" width="9.7109375" customWidth="1"/>
  </cols>
  <sheetData>
    <row r="2" spans="1:9" ht="18.75" x14ac:dyDescent="0.3">
      <c r="D2" s="44" t="s">
        <v>193</v>
      </c>
      <c r="E2" s="44" t="s">
        <v>194</v>
      </c>
      <c r="F2" s="44" t="s">
        <v>199</v>
      </c>
      <c r="G2" s="44" t="s">
        <v>2009</v>
      </c>
    </row>
    <row r="3" spans="1:9" ht="23.25" x14ac:dyDescent="0.35">
      <c r="A3" s="41"/>
      <c r="B3" s="42"/>
      <c r="C3" s="43" t="s">
        <v>2149</v>
      </c>
      <c r="D3" s="5">
        <f>COUNTA(D7:D219)</f>
        <v>140</v>
      </c>
      <c r="E3" s="5">
        <f>COUNTA(E7:E219)</f>
        <v>134</v>
      </c>
      <c r="F3" s="5">
        <f>COUNTA(F7:F219)</f>
        <v>69</v>
      </c>
      <c r="G3" s="5">
        <f>COUNTA(G7:G219)</f>
        <v>60</v>
      </c>
    </row>
    <row r="4" spans="1:9" ht="23.25" x14ac:dyDescent="0.35">
      <c r="A4" s="41"/>
      <c r="B4" s="42"/>
      <c r="C4" s="43" t="s">
        <v>2150</v>
      </c>
      <c r="D4" s="5">
        <f>COUNTIFS($C$7:$C$219, "sovereign state", D7:D219, "&lt;&gt;")</f>
        <v>125</v>
      </c>
      <c r="E4" s="5">
        <f>COUNTIFS($C$7:$C$219, "sovereign state", E7:E219, "&lt;&gt;")</f>
        <v>116</v>
      </c>
      <c r="F4" s="5">
        <f>COUNTIFS($C$7:$C$219, "sovereign state", F7:F219, "&lt;&gt;")</f>
        <v>62</v>
      </c>
      <c r="G4" s="5">
        <f>COUNTIFS($C$7:$C$219, "sovereign state", G7:G219, "&lt;&gt;")</f>
        <v>54</v>
      </c>
    </row>
    <row r="6" spans="1:9" s="20" customFormat="1" x14ac:dyDescent="0.25">
      <c r="A6" s="18" t="s">
        <v>1241</v>
      </c>
      <c r="B6" s="19" t="s">
        <v>201</v>
      </c>
      <c r="C6" s="18" t="s">
        <v>207</v>
      </c>
      <c r="D6" s="18" t="s">
        <v>193</v>
      </c>
      <c r="E6" s="18" t="s">
        <v>194</v>
      </c>
      <c r="F6" s="18" t="s">
        <v>199</v>
      </c>
      <c r="G6" s="18" t="s">
        <v>200</v>
      </c>
    </row>
    <row r="7" spans="1:9" ht="15.75" x14ac:dyDescent="0.25">
      <c r="A7" s="2" t="str">
        <f>VLOOKUP(B7,'country codes'!A2:B252,2,FALSE)</f>
        <v>AF</v>
      </c>
      <c r="B7" s="1" t="s">
        <v>0</v>
      </c>
      <c r="C7" s="2" t="s">
        <v>206</v>
      </c>
      <c r="D7" s="2">
        <v>2018</v>
      </c>
      <c r="E7" s="2"/>
      <c r="F7" s="2"/>
      <c r="G7" s="2"/>
      <c r="I7" s="17" t="s">
        <v>2016</v>
      </c>
    </row>
    <row r="8" spans="1:9" x14ac:dyDescent="0.25">
      <c r="A8" s="2" t="str">
        <f>VLOOKUP(B8,'country codes'!A3:B253,2,FALSE)</f>
        <v>AL</v>
      </c>
      <c r="B8" s="1" t="s">
        <v>1</v>
      </c>
      <c r="C8" s="2" t="s">
        <v>206</v>
      </c>
      <c r="D8" s="2">
        <v>2017</v>
      </c>
      <c r="E8" s="2">
        <v>2017</v>
      </c>
      <c r="F8" s="2"/>
      <c r="G8" s="2"/>
      <c r="I8" t="s">
        <v>2017</v>
      </c>
    </row>
    <row r="9" spans="1:9" x14ac:dyDescent="0.25">
      <c r="A9" s="2" t="str">
        <f>VLOOKUP(B9,'country codes'!A4:B253,2,FALSE)</f>
        <v>DZ</v>
      </c>
      <c r="B9" s="1" t="s">
        <v>2</v>
      </c>
      <c r="C9" s="2" t="s">
        <v>206</v>
      </c>
      <c r="D9" s="2"/>
      <c r="E9" s="2"/>
      <c r="F9" s="2"/>
      <c r="G9" s="2"/>
      <c r="I9" t="s">
        <v>2129</v>
      </c>
    </row>
    <row r="10" spans="1:9" x14ac:dyDescent="0.25">
      <c r="A10" s="2" t="str">
        <f>VLOOKUP(B10,'country codes'!A5:B253,2,FALSE)</f>
        <v>AD</v>
      </c>
      <c r="B10" s="1" t="s">
        <v>3</v>
      </c>
      <c r="C10" s="2" t="s">
        <v>206</v>
      </c>
      <c r="D10" s="2"/>
      <c r="E10" s="2"/>
      <c r="F10" s="2"/>
      <c r="G10" s="2"/>
    </row>
    <row r="11" spans="1:9" x14ac:dyDescent="0.25">
      <c r="A11" s="2" t="str">
        <f>VLOOKUP(B11,'country codes'!A6:B253,2,FALSE)</f>
        <v>AO</v>
      </c>
      <c r="B11" s="1" t="s">
        <v>4</v>
      </c>
      <c r="C11" s="2" t="s">
        <v>206</v>
      </c>
      <c r="D11" s="2"/>
      <c r="E11" s="2"/>
      <c r="F11" s="2"/>
      <c r="G11" s="2"/>
      <c r="I11" t="s">
        <v>2020</v>
      </c>
    </row>
    <row r="12" spans="1:9" x14ac:dyDescent="0.25">
      <c r="A12" s="2" t="str">
        <f>VLOOKUP(B12,'country codes'!A7:B254,2,FALSE)</f>
        <v>AG</v>
      </c>
      <c r="B12" s="1" t="s">
        <v>5</v>
      </c>
      <c r="C12" s="2" t="s">
        <v>206</v>
      </c>
      <c r="D12" s="2">
        <v>2014</v>
      </c>
      <c r="E12" s="2">
        <v>2014</v>
      </c>
      <c r="F12" s="2">
        <v>2014</v>
      </c>
      <c r="G12" s="2">
        <v>2014</v>
      </c>
    </row>
    <row r="13" spans="1:9" x14ac:dyDescent="0.25">
      <c r="A13" s="2" t="str">
        <f>VLOOKUP(B13,'country codes'!A8:B255,2,FALSE)</f>
        <v>AR</v>
      </c>
      <c r="B13" s="1" t="s">
        <v>6</v>
      </c>
      <c r="C13" s="2" t="s">
        <v>206</v>
      </c>
      <c r="D13" s="2">
        <v>2013</v>
      </c>
      <c r="E13" s="2">
        <v>2013</v>
      </c>
      <c r="F13" s="2">
        <v>2013</v>
      </c>
      <c r="G13" s="2">
        <v>2013</v>
      </c>
      <c r="I13" s="8" t="s">
        <v>2140</v>
      </c>
    </row>
    <row r="14" spans="1:9" x14ac:dyDescent="0.25">
      <c r="A14" s="2" t="str">
        <f>VLOOKUP(B14,'country codes'!A9:B256,2,FALSE)</f>
        <v>AM</v>
      </c>
      <c r="B14" s="1" t="s">
        <v>7</v>
      </c>
      <c r="C14" s="2" t="s">
        <v>206</v>
      </c>
      <c r="D14" s="2">
        <v>2021</v>
      </c>
      <c r="E14" s="2">
        <v>2021</v>
      </c>
      <c r="F14" s="2"/>
      <c r="G14" s="2"/>
    </row>
    <row r="15" spans="1:9" x14ac:dyDescent="0.25">
      <c r="A15" s="15" t="s">
        <v>1283</v>
      </c>
      <c r="B15" s="16" t="s">
        <v>1200</v>
      </c>
      <c r="C15" s="21" t="s">
        <v>219</v>
      </c>
      <c r="D15" s="14">
        <v>2014</v>
      </c>
      <c r="E15" s="14">
        <v>2014</v>
      </c>
      <c r="F15" s="14">
        <v>2014</v>
      </c>
      <c r="G15" s="14">
        <v>2014</v>
      </c>
    </row>
    <row r="16" spans="1:9" x14ac:dyDescent="0.25">
      <c r="A16" s="2" t="str">
        <f>VLOOKUP(B16,'country codes'!A10:B257,2,FALSE)</f>
        <v>AU</v>
      </c>
      <c r="B16" s="1" t="s">
        <v>8</v>
      </c>
      <c r="C16" s="2" t="s">
        <v>206</v>
      </c>
      <c r="D16" s="2">
        <v>2002</v>
      </c>
      <c r="E16" s="2">
        <v>2002</v>
      </c>
      <c r="F16" s="2">
        <v>2002</v>
      </c>
      <c r="G16" s="2">
        <v>2002</v>
      </c>
    </row>
    <row r="17" spans="1:7" x14ac:dyDescent="0.25">
      <c r="A17" s="2" t="str">
        <f>VLOOKUP(B17,'country codes'!A11:B258,2,FALSE)</f>
        <v>AT</v>
      </c>
      <c r="B17" s="1" t="s">
        <v>9</v>
      </c>
      <c r="C17" s="2" t="s">
        <v>206</v>
      </c>
      <c r="D17" s="2">
        <v>2016</v>
      </c>
      <c r="E17" s="2">
        <v>2016</v>
      </c>
      <c r="F17" s="2">
        <v>2016</v>
      </c>
      <c r="G17" s="2">
        <v>2016</v>
      </c>
    </row>
    <row r="18" spans="1:7" x14ac:dyDescent="0.25">
      <c r="A18" s="2" t="str">
        <f>VLOOKUP(B18,'country codes'!A12:B259,2,FALSE)</f>
        <v>AZ</v>
      </c>
      <c r="B18" s="1" t="s">
        <v>10</v>
      </c>
      <c r="C18" s="2" t="s">
        <v>206</v>
      </c>
      <c r="D18" s="2">
        <v>2021</v>
      </c>
      <c r="E18" s="2">
        <v>2021</v>
      </c>
      <c r="F18" s="2"/>
      <c r="G18" s="2"/>
    </row>
    <row r="19" spans="1:7" x14ac:dyDescent="0.25">
      <c r="A19" s="2" t="str">
        <f>VLOOKUP(B19,'country codes'!A14:B261,2,FALSE)</f>
        <v>BH</v>
      </c>
      <c r="B19" s="1" t="s">
        <v>12</v>
      </c>
      <c r="C19" s="2" t="s">
        <v>206</v>
      </c>
      <c r="D19" s="2"/>
      <c r="E19" s="2" t="s">
        <v>196</v>
      </c>
      <c r="F19" s="2"/>
      <c r="G19" s="2"/>
    </row>
    <row r="20" spans="1:7" x14ac:dyDescent="0.25">
      <c r="A20" s="2" t="str">
        <f>VLOOKUP(B20,'country codes'!A15:B262,2,FALSE)</f>
        <v>BD</v>
      </c>
      <c r="B20" s="1" t="s">
        <v>13</v>
      </c>
      <c r="C20" s="2" t="s">
        <v>206</v>
      </c>
      <c r="D20" s="2"/>
      <c r="E20" s="2"/>
      <c r="F20" s="2"/>
      <c r="G20" s="2"/>
    </row>
    <row r="21" spans="1:7" x14ac:dyDescent="0.25">
      <c r="A21" s="2" t="str">
        <f>VLOOKUP(B21,'country codes'!A16:B263,2,FALSE)</f>
        <v>BB</v>
      </c>
      <c r="B21" s="1" t="s">
        <v>14</v>
      </c>
      <c r="C21" s="2" t="s">
        <v>206</v>
      </c>
      <c r="D21" s="2"/>
      <c r="E21" s="2"/>
      <c r="F21" s="2"/>
      <c r="G21" s="2"/>
    </row>
    <row r="22" spans="1:7" x14ac:dyDescent="0.25">
      <c r="A22" s="2" t="str">
        <f>VLOOKUP(B22,'country codes'!A18:B264,2,FALSE)</f>
        <v>BY</v>
      </c>
      <c r="B22" s="1" t="s">
        <v>15</v>
      </c>
      <c r="C22" s="2" t="s">
        <v>206</v>
      </c>
      <c r="D22" s="2"/>
      <c r="E22" s="2"/>
      <c r="F22" s="2"/>
      <c r="G22" s="2"/>
    </row>
    <row r="23" spans="1:7" x14ac:dyDescent="0.25">
      <c r="A23" s="2" t="str">
        <f>VLOOKUP(B23,'country codes'!A19:B265,2,FALSE)</f>
        <v>BE</v>
      </c>
      <c r="B23" s="1" t="s">
        <v>16</v>
      </c>
      <c r="C23" s="2" t="s">
        <v>206</v>
      </c>
      <c r="D23" s="2">
        <v>1995</v>
      </c>
      <c r="E23" s="2" t="s">
        <v>195</v>
      </c>
      <c r="F23" s="2"/>
      <c r="G23" s="2"/>
    </row>
    <row r="24" spans="1:7" x14ac:dyDescent="0.25">
      <c r="A24" s="2" t="str">
        <f>VLOOKUP(B24,'country codes'!A21:B266,2,FALSE)</f>
        <v>BZ</v>
      </c>
      <c r="B24" s="1" t="s">
        <v>17</v>
      </c>
      <c r="C24" s="2" t="s">
        <v>206</v>
      </c>
      <c r="D24" s="2">
        <v>1997</v>
      </c>
      <c r="E24" s="2" t="s">
        <v>195</v>
      </c>
      <c r="F24" s="2"/>
      <c r="G24" s="2"/>
    </row>
    <row r="25" spans="1:7" x14ac:dyDescent="0.25">
      <c r="A25" s="2" t="str">
        <f>VLOOKUP(B25,'country codes'!A22:B267,2,FALSE)</f>
        <v>BJ</v>
      </c>
      <c r="B25" s="1" t="s">
        <v>18</v>
      </c>
      <c r="C25" s="2" t="s">
        <v>206</v>
      </c>
      <c r="D25" s="2"/>
      <c r="E25" s="2"/>
      <c r="F25" s="2"/>
      <c r="G25" s="2"/>
    </row>
    <row r="26" spans="1:7" x14ac:dyDescent="0.25">
      <c r="A26" s="2" t="s">
        <v>1326</v>
      </c>
      <c r="B26" s="1" t="s">
        <v>1201</v>
      </c>
      <c r="C26" s="2" t="s">
        <v>211</v>
      </c>
      <c r="D26" s="2"/>
      <c r="E26" s="2"/>
      <c r="F26" s="2"/>
      <c r="G26" s="2"/>
    </row>
    <row r="27" spans="1:7" x14ac:dyDescent="0.25">
      <c r="A27" s="2" t="str">
        <f>VLOOKUP(B27,'country codes'!A23:B268,2,FALSE)</f>
        <v>BT</v>
      </c>
      <c r="B27" s="1" t="s">
        <v>19</v>
      </c>
      <c r="C27" s="2" t="s">
        <v>206</v>
      </c>
      <c r="D27" s="2"/>
      <c r="E27" s="2"/>
      <c r="F27" s="2"/>
      <c r="G27" s="2"/>
    </row>
    <row r="28" spans="1:7" x14ac:dyDescent="0.25">
      <c r="A28" s="2" t="str">
        <f>VLOOKUP(B28,'country codes'!A24:B269,2,FALSE)</f>
        <v>BO</v>
      </c>
      <c r="B28" s="1" t="s">
        <v>20</v>
      </c>
      <c r="C28" s="2" t="s">
        <v>206</v>
      </c>
      <c r="D28" s="2"/>
      <c r="E28" s="2" t="s">
        <v>195</v>
      </c>
      <c r="F28" s="2"/>
      <c r="G28" s="2"/>
    </row>
    <row r="29" spans="1:7" x14ac:dyDescent="0.25">
      <c r="A29" s="2" t="str">
        <f>VLOOKUP(B29,'country codes'!A25:B270,2,FALSE)</f>
        <v>BA</v>
      </c>
      <c r="B29" s="1" t="s">
        <v>21</v>
      </c>
      <c r="C29" s="2" t="s">
        <v>206</v>
      </c>
      <c r="D29" s="2">
        <v>2017</v>
      </c>
      <c r="E29" s="2">
        <v>2017</v>
      </c>
      <c r="F29" s="2"/>
      <c r="G29" s="2"/>
    </row>
    <row r="30" spans="1:7" x14ac:dyDescent="0.25">
      <c r="A30" s="2" t="str">
        <f>VLOOKUP(B30,'country codes'!A26:B271,2,FALSE)</f>
        <v>BW</v>
      </c>
      <c r="B30" s="1" t="s">
        <v>22</v>
      </c>
      <c r="C30" s="2" t="s">
        <v>206</v>
      </c>
      <c r="D30" s="2">
        <v>2003</v>
      </c>
      <c r="E30" s="2">
        <v>2003</v>
      </c>
      <c r="F30" s="2">
        <v>2003</v>
      </c>
      <c r="G30" s="2">
        <v>2003</v>
      </c>
    </row>
    <row r="31" spans="1:7" x14ac:dyDescent="0.25">
      <c r="A31" s="2" t="str">
        <f>VLOOKUP(B31,'country codes'!A27:B272,2,FALSE)</f>
        <v>BR</v>
      </c>
      <c r="B31" s="1" t="s">
        <v>23</v>
      </c>
      <c r="C31" s="2" t="s">
        <v>206</v>
      </c>
      <c r="D31" s="2">
        <v>2013</v>
      </c>
      <c r="E31" s="2">
        <v>2013</v>
      </c>
      <c r="F31" s="2">
        <v>2013</v>
      </c>
      <c r="G31" s="2">
        <v>2013</v>
      </c>
    </row>
    <row r="32" spans="1:7" x14ac:dyDescent="0.25">
      <c r="A32" s="2" t="str">
        <f>VLOOKUP(B32,'country codes'!A28:B273,2,FALSE)</f>
        <v>BN</v>
      </c>
      <c r="B32" s="1" t="s">
        <v>24</v>
      </c>
      <c r="C32" s="2" t="s">
        <v>206</v>
      </c>
      <c r="D32" s="2"/>
      <c r="E32" s="2"/>
      <c r="F32" s="2"/>
      <c r="G32" s="2"/>
    </row>
    <row r="33" spans="1:12" x14ac:dyDescent="0.25">
      <c r="A33" s="2" t="str">
        <f>VLOOKUP(B33,'country codes'!A29:B274,2,FALSE)</f>
        <v>BG</v>
      </c>
      <c r="B33" s="1" t="s">
        <v>25</v>
      </c>
      <c r="C33" s="2" t="s">
        <v>206</v>
      </c>
      <c r="D33" s="2">
        <v>2019</v>
      </c>
      <c r="E33" s="2">
        <v>2019</v>
      </c>
      <c r="F33" s="2">
        <v>2019</v>
      </c>
      <c r="G33" s="2"/>
    </row>
    <row r="34" spans="1:12" x14ac:dyDescent="0.25">
      <c r="A34" s="2" t="str">
        <f>VLOOKUP(B34,'country codes'!A30:B275,2,FALSE)</f>
        <v>BF</v>
      </c>
      <c r="B34" s="1" t="s">
        <v>26</v>
      </c>
      <c r="C34" s="2" t="s">
        <v>206</v>
      </c>
      <c r="D34" s="2">
        <v>1988</v>
      </c>
      <c r="E34" s="2"/>
      <c r="F34" s="2"/>
      <c r="G34" s="2"/>
    </row>
    <row r="35" spans="1:12" x14ac:dyDescent="0.25">
      <c r="A35" s="2" t="str">
        <f>VLOOKUP(B35,'country codes'!A32:B277,2,FALSE)</f>
        <v>BI</v>
      </c>
      <c r="B35" s="1" t="s">
        <v>27</v>
      </c>
      <c r="C35" s="2" t="s">
        <v>206</v>
      </c>
      <c r="D35" s="2">
        <v>1989</v>
      </c>
      <c r="E35" s="45">
        <v>1989</v>
      </c>
      <c r="F35" s="2"/>
      <c r="G35" s="2"/>
    </row>
    <row r="36" spans="1:12" x14ac:dyDescent="0.25">
      <c r="A36" s="2" t="str">
        <f>VLOOKUP(B36,'country codes'!A33:B278,2,FALSE)</f>
        <v>CV</v>
      </c>
      <c r="B36" s="1" t="s">
        <v>28</v>
      </c>
      <c r="C36" s="2" t="s">
        <v>206</v>
      </c>
      <c r="D36" s="2"/>
      <c r="E36" s="2"/>
      <c r="F36" s="2"/>
      <c r="G36" s="2"/>
    </row>
    <row r="37" spans="1:12" x14ac:dyDescent="0.25">
      <c r="A37" s="2" t="str">
        <f>VLOOKUP(B37,'country codes'!A33:B279,2,FALSE)</f>
        <v>KH</v>
      </c>
      <c r="B37" s="1" t="s">
        <v>29</v>
      </c>
      <c r="C37" s="2" t="s">
        <v>206</v>
      </c>
      <c r="D37" s="2">
        <v>2010</v>
      </c>
      <c r="E37" s="2">
        <v>2010</v>
      </c>
      <c r="F37" s="2">
        <v>2010</v>
      </c>
      <c r="G37" s="2">
        <v>2010</v>
      </c>
      <c r="L37" s="22"/>
    </row>
    <row r="38" spans="1:12" x14ac:dyDescent="0.25">
      <c r="A38" s="2" t="str">
        <f>VLOOKUP(B38,'country codes'!A34:B280,2,FALSE)</f>
        <v>CM</v>
      </c>
      <c r="B38" s="1" t="s">
        <v>30</v>
      </c>
      <c r="C38" s="2" t="s">
        <v>206</v>
      </c>
      <c r="D38" s="2">
        <v>1990</v>
      </c>
      <c r="E38" s="2"/>
      <c r="F38" s="2"/>
      <c r="G38" s="2"/>
      <c r="L38" s="22"/>
    </row>
    <row r="39" spans="1:12" x14ac:dyDescent="0.25">
      <c r="A39" s="2" t="str">
        <f>VLOOKUP(B39,'country codes'!A34:B281,2,FALSE)</f>
        <v>CA</v>
      </c>
      <c r="B39" s="1" t="s">
        <v>31</v>
      </c>
      <c r="C39" s="2" t="s">
        <v>206</v>
      </c>
      <c r="D39" s="2">
        <v>1980</v>
      </c>
      <c r="E39" s="45">
        <v>2024</v>
      </c>
      <c r="F39" s="45">
        <v>2024</v>
      </c>
      <c r="G39" s="45">
        <v>2024</v>
      </c>
    </row>
    <row r="40" spans="1:12" x14ac:dyDescent="0.25">
      <c r="A40" s="2" t="str">
        <f>VLOOKUP(B40,'country codes'!A35:B282,2,FALSE)</f>
        <v>IC</v>
      </c>
      <c r="B40" s="27" t="s">
        <v>2023</v>
      </c>
      <c r="C40" s="26" t="s">
        <v>2024</v>
      </c>
      <c r="D40" s="46">
        <v>2019</v>
      </c>
      <c r="E40" s="46">
        <v>2019</v>
      </c>
      <c r="F40" s="46">
        <v>2019</v>
      </c>
      <c r="G40" s="46">
        <v>2019</v>
      </c>
    </row>
    <row r="41" spans="1:12" x14ac:dyDescent="0.25">
      <c r="A41" s="15" t="s">
        <v>1622</v>
      </c>
      <c r="B41" s="16" t="s">
        <v>1204</v>
      </c>
      <c r="C41" s="21" t="s">
        <v>216</v>
      </c>
      <c r="D41" s="46">
        <v>2019</v>
      </c>
      <c r="E41" s="46">
        <v>2019</v>
      </c>
      <c r="F41" s="46">
        <v>2019</v>
      </c>
      <c r="G41" s="46">
        <v>2019</v>
      </c>
    </row>
    <row r="42" spans="1:12" x14ac:dyDescent="0.25">
      <c r="A42" s="2" t="str">
        <f>VLOOKUP(B42,'country codes'!A35:B282,2,FALSE)</f>
        <v>CF</v>
      </c>
      <c r="B42" s="1" t="s">
        <v>197</v>
      </c>
      <c r="C42" s="2" t="s">
        <v>206</v>
      </c>
      <c r="D42" s="2"/>
      <c r="E42" s="2"/>
      <c r="F42" s="2"/>
      <c r="G42" s="2"/>
    </row>
    <row r="43" spans="1:12" x14ac:dyDescent="0.25">
      <c r="A43" s="2" t="str">
        <f>VLOOKUP(B43,'country codes'!A36:B283,2,FALSE)</f>
        <v>TD</v>
      </c>
      <c r="B43" s="1" t="s">
        <v>32</v>
      </c>
      <c r="C43" s="2" t="s">
        <v>206</v>
      </c>
      <c r="D43" s="2"/>
      <c r="E43" s="2"/>
      <c r="F43" s="2"/>
      <c r="G43" s="2"/>
    </row>
    <row r="44" spans="1:12" x14ac:dyDescent="0.25">
      <c r="A44" s="2" t="str">
        <f>VLOOKUP(B44,'country codes'!A37:B284,2,FALSE)</f>
        <v>CL</v>
      </c>
      <c r="B44" s="1" t="s">
        <v>33</v>
      </c>
      <c r="C44" s="2" t="s">
        <v>206</v>
      </c>
      <c r="D44" s="2">
        <v>2013</v>
      </c>
      <c r="E44" s="2">
        <v>2013</v>
      </c>
      <c r="F44" s="2">
        <v>2013</v>
      </c>
      <c r="G44" s="2">
        <v>2013</v>
      </c>
    </row>
    <row r="45" spans="1:12" x14ac:dyDescent="0.25">
      <c r="A45" s="2" t="str">
        <f>VLOOKUP(B45,'country codes'!A38:B285,2,FALSE)</f>
        <v>CN</v>
      </c>
      <c r="B45" s="1" t="s">
        <v>1205</v>
      </c>
      <c r="C45" s="2" t="s">
        <v>206</v>
      </c>
      <c r="D45" s="2">
        <v>2008</v>
      </c>
      <c r="E45" s="2">
        <v>2008</v>
      </c>
      <c r="F45" s="2">
        <v>2008</v>
      </c>
      <c r="G45" s="2">
        <v>2008</v>
      </c>
    </row>
    <row r="46" spans="1:12" x14ac:dyDescent="0.25">
      <c r="A46" s="2" t="str">
        <f>VLOOKUP(B46,'country codes'!A39:B286,2,FALSE)</f>
        <v>CO</v>
      </c>
      <c r="B46" s="1" t="s">
        <v>35</v>
      </c>
      <c r="C46" s="2" t="s">
        <v>206</v>
      </c>
      <c r="D46" s="2">
        <v>2014</v>
      </c>
      <c r="E46" s="2">
        <v>2014</v>
      </c>
      <c r="F46" s="2">
        <v>2014</v>
      </c>
      <c r="G46" s="2">
        <v>2014</v>
      </c>
    </row>
    <row r="47" spans="1:12" x14ac:dyDescent="0.25">
      <c r="A47" s="2" t="str">
        <f>VLOOKUP(B47,'country codes'!A40:B287,2,FALSE)</f>
        <v>KM</v>
      </c>
      <c r="B47" s="1" t="s">
        <v>36</v>
      </c>
      <c r="C47" s="2" t="s">
        <v>206</v>
      </c>
      <c r="D47" s="2"/>
      <c r="E47" s="2"/>
      <c r="F47" s="2"/>
      <c r="G47" s="2"/>
    </row>
    <row r="48" spans="1:12" x14ac:dyDescent="0.25">
      <c r="A48" s="2" t="e">
        <f>VLOOKUP(B48,'country codes'!A41:B288,2,FALSE)</f>
        <v>#N/A</v>
      </c>
      <c r="B48" s="1" t="s">
        <v>37</v>
      </c>
      <c r="C48" s="2" t="s">
        <v>206</v>
      </c>
      <c r="D48" s="2">
        <v>1990</v>
      </c>
      <c r="E48" s="2"/>
      <c r="F48" s="2"/>
      <c r="G48" s="2"/>
    </row>
    <row r="49" spans="1:7" x14ac:dyDescent="0.25">
      <c r="A49" s="2" t="e">
        <f>VLOOKUP(B49,'country codes'!A43:B289,2,FALSE)</f>
        <v>#N/A</v>
      </c>
      <c r="B49" s="1" t="s">
        <v>38</v>
      </c>
      <c r="C49" s="2" t="s">
        <v>206</v>
      </c>
      <c r="D49" s="2">
        <v>1989</v>
      </c>
      <c r="E49" s="2"/>
      <c r="F49" s="2"/>
      <c r="G49" s="2"/>
    </row>
    <row r="50" spans="1:7" x14ac:dyDescent="0.25">
      <c r="A50" s="2" t="str">
        <f>VLOOKUP(B50,'country codes'!A44:B290,2,FALSE)</f>
        <v>CR</v>
      </c>
      <c r="B50" s="1" t="s">
        <v>39</v>
      </c>
      <c r="C50" s="2" t="s">
        <v>206</v>
      </c>
      <c r="D50" s="2">
        <v>2014</v>
      </c>
      <c r="E50" s="2">
        <v>2014</v>
      </c>
      <c r="F50" s="2">
        <v>2014</v>
      </c>
      <c r="G50" s="2">
        <v>2014</v>
      </c>
    </row>
    <row r="51" spans="1:7" x14ac:dyDescent="0.25">
      <c r="A51" s="2" t="e">
        <f>VLOOKUP(B51,'country codes'!A46:B291,2,FALSE)</f>
        <v>#N/A</v>
      </c>
      <c r="B51" s="1" t="s">
        <v>40</v>
      </c>
      <c r="C51" s="2" t="s">
        <v>206</v>
      </c>
      <c r="D51" s="2">
        <v>1988</v>
      </c>
      <c r="E51" s="2"/>
      <c r="F51" s="2"/>
      <c r="G51" s="2"/>
    </row>
    <row r="52" spans="1:7" x14ac:dyDescent="0.25">
      <c r="A52" s="2" t="str">
        <f>VLOOKUP(B52,'country codes'!A47:B292,2,FALSE)</f>
        <v>HR</v>
      </c>
      <c r="B52" s="1" t="s">
        <v>41</v>
      </c>
      <c r="C52" s="2" t="s">
        <v>206</v>
      </c>
      <c r="D52" s="2">
        <v>2016</v>
      </c>
      <c r="E52" s="2">
        <v>2016</v>
      </c>
      <c r="F52" s="2">
        <v>2016</v>
      </c>
      <c r="G52" s="2">
        <v>2016</v>
      </c>
    </row>
    <row r="53" spans="1:7" x14ac:dyDescent="0.25">
      <c r="A53" s="2" t="str">
        <f>VLOOKUP(B53,'country codes'!A48:B293,2,FALSE)</f>
        <v>CU</v>
      </c>
      <c r="B53" s="1" t="s">
        <v>42</v>
      </c>
      <c r="C53" s="2" t="s">
        <v>206</v>
      </c>
      <c r="D53" s="2"/>
      <c r="E53" s="2"/>
      <c r="F53" s="2"/>
      <c r="G53" s="2"/>
    </row>
    <row r="54" spans="1:7" x14ac:dyDescent="0.25">
      <c r="A54" s="2" t="str">
        <f>VLOOKUP(B54,'country codes'!A49:B294,2,FALSE)</f>
        <v>CY</v>
      </c>
      <c r="B54" s="1" t="s">
        <v>43</v>
      </c>
      <c r="C54" s="2" t="s">
        <v>206</v>
      </c>
      <c r="D54" s="2">
        <v>2021</v>
      </c>
      <c r="E54" s="2">
        <v>2021</v>
      </c>
      <c r="F54" s="2"/>
      <c r="G54" s="2"/>
    </row>
    <row r="55" spans="1:7" x14ac:dyDescent="0.25">
      <c r="A55" s="2" t="e">
        <f>VLOOKUP(B55,'country codes'!A50:B295,2,FALSE)</f>
        <v>#N/A</v>
      </c>
      <c r="B55" s="1" t="s">
        <v>44</v>
      </c>
      <c r="C55" s="2" t="s">
        <v>206</v>
      </c>
      <c r="D55" s="2">
        <v>2016</v>
      </c>
      <c r="E55" s="2">
        <v>2016</v>
      </c>
      <c r="F55" s="2">
        <v>2016</v>
      </c>
      <c r="G55" s="2"/>
    </row>
    <row r="56" spans="1:7" x14ac:dyDescent="0.25">
      <c r="A56" s="2" t="str">
        <f>VLOOKUP(B56,'country codes'!A50:B296,2,FALSE)</f>
        <v>DK</v>
      </c>
      <c r="B56" s="1" t="s">
        <v>45</v>
      </c>
      <c r="C56" s="2" t="s">
        <v>206</v>
      </c>
      <c r="D56" s="2">
        <v>2023</v>
      </c>
      <c r="E56" s="2">
        <v>2023</v>
      </c>
      <c r="F56" s="2"/>
      <c r="G56" s="2"/>
    </row>
    <row r="57" spans="1:7" x14ac:dyDescent="0.25">
      <c r="A57" s="2" t="str">
        <f>VLOOKUP(B57,'country codes'!A51:B297,2,FALSE)</f>
        <v>DJ</v>
      </c>
      <c r="B57" s="1" t="s">
        <v>46</v>
      </c>
      <c r="C57" s="2" t="s">
        <v>206</v>
      </c>
      <c r="D57" s="2"/>
      <c r="E57" s="2"/>
      <c r="F57" s="2"/>
      <c r="G57" s="2"/>
    </row>
    <row r="58" spans="1:7" x14ac:dyDescent="0.25">
      <c r="A58" s="2" t="str">
        <f>VLOOKUP(B58,'country codes'!A52:B298,2,FALSE)</f>
        <v>DM</v>
      </c>
      <c r="B58" s="1" t="s">
        <v>47</v>
      </c>
      <c r="C58" s="2" t="s">
        <v>206</v>
      </c>
      <c r="D58" s="2">
        <v>2004</v>
      </c>
      <c r="E58" s="2">
        <v>2004</v>
      </c>
      <c r="F58" s="2">
        <v>2004</v>
      </c>
      <c r="G58" s="2">
        <v>2004</v>
      </c>
    </row>
    <row r="59" spans="1:7" x14ac:dyDescent="0.25">
      <c r="A59" s="2" t="str">
        <f>VLOOKUP(B59,'country codes'!A53:B299,2,FALSE)</f>
        <v>DO</v>
      </c>
      <c r="B59" s="1" t="s">
        <v>48</v>
      </c>
      <c r="C59" s="2" t="s">
        <v>206</v>
      </c>
      <c r="D59" s="2">
        <v>1994</v>
      </c>
      <c r="E59" s="45">
        <v>2004</v>
      </c>
      <c r="F59" s="2">
        <v>2004</v>
      </c>
      <c r="G59" s="2">
        <v>2004</v>
      </c>
    </row>
    <row r="60" spans="1:7" x14ac:dyDescent="0.25">
      <c r="A60" s="2" t="str">
        <f>VLOOKUP(B60,'country codes'!A54:B300,2,FALSE)</f>
        <v>EC</v>
      </c>
      <c r="B60" s="1" t="s">
        <v>49</v>
      </c>
      <c r="C60" s="2" t="s">
        <v>206</v>
      </c>
      <c r="D60" s="2"/>
      <c r="E60" s="2" t="s">
        <v>195</v>
      </c>
      <c r="F60" s="2"/>
      <c r="G60" s="2"/>
    </row>
    <row r="61" spans="1:7" x14ac:dyDescent="0.25">
      <c r="A61" s="2" t="str">
        <f>VLOOKUP(B61,'country codes'!A55:B301,2,FALSE)</f>
        <v>EG</v>
      </c>
      <c r="B61" s="1" t="s">
        <v>50</v>
      </c>
      <c r="C61" s="2" t="s">
        <v>206</v>
      </c>
      <c r="D61" s="2">
        <v>2006</v>
      </c>
      <c r="E61" s="2">
        <v>2006</v>
      </c>
      <c r="F61" s="2">
        <v>2006</v>
      </c>
      <c r="G61" s="2">
        <v>2006</v>
      </c>
    </row>
    <row r="62" spans="1:7" x14ac:dyDescent="0.25">
      <c r="A62" s="2" t="str">
        <f>VLOOKUP(B62,'country codes'!A56:B302,2,FALSE)</f>
        <v>SV</v>
      </c>
      <c r="B62" s="1" t="s">
        <v>51</v>
      </c>
      <c r="C62" s="2" t="s">
        <v>206</v>
      </c>
      <c r="D62" s="2"/>
      <c r="E62" s="2" t="s">
        <v>195</v>
      </c>
      <c r="F62" s="2"/>
      <c r="G62" s="2"/>
    </row>
    <row r="63" spans="1:7" x14ac:dyDescent="0.25">
      <c r="A63" s="2" t="str">
        <f>VLOOKUP(B63,'country codes'!A57:B303,2,FALSE)</f>
        <v>GQ</v>
      </c>
      <c r="B63" s="1" t="s">
        <v>52</v>
      </c>
      <c r="C63" s="2" t="s">
        <v>206</v>
      </c>
      <c r="D63" s="2">
        <v>1990</v>
      </c>
      <c r="E63" s="2"/>
      <c r="F63" s="2"/>
      <c r="G63" s="2"/>
    </row>
    <row r="64" spans="1:7" x14ac:dyDescent="0.25">
      <c r="A64" s="2" t="str">
        <f>VLOOKUP(B64,'country codes'!A58:B304,2,FALSE)</f>
        <v>ER</v>
      </c>
      <c r="B64" s="1" t="s">
        <v>53</v>
      </c>
      <c r="C64" s="2" t="s">
        <v>206</v>
      </c>
      <c r="D64" s="2"/>
      <c r="E64" s="2"/>
      <c r="F64" s="2"/>
      <c r="G64" s="2"/>
    </row>
    <row r="65" spans="1:7" x14ac:dyDescent="0.25">
      <c r="A65" s="2" t="str">
        <f>VLOOKUP(B65,'country codes'!A59:B305,2,FALSE)</f>
        <v>EE</v>
      </c>
      <c r="B65" s="1" t="s">
        <v>54</v>
      </c>
      <c r="C65" s="2" t="s">
        <v>206</v>
      </c>
      <c r="D65" s="2"/>
      <c r="E65" s="2"/>
      <c r="F65" s="2"/>
      <c r="G65" s="2"/>
    </row>
    <row r="66" spans="1:7" x14ac:dyDescent="0.25">
      <c r="A66" s="2" t="e">
        <f>VLOOKUP(B66,'country codes'!A172:B416,2,FALSE)</f>
        <v>#N/A</v>
      </c>
      <c r="B66" s="1" t="s">
        <v>2127</v>
      </c>
      <c r="C66" s="2" t="s">
        <v>206</v>
      </c>
      <c r="D66" s="2">
        <v>1997</v>
      </c>
      <c r="E66" s="2">
        <v>1997</v>
      </c>
      <c r="F66" s="2">
        <v>1997</v>
      </c>
      <c r="G66" s="2">
        <v>1997</v>
      </c>
    </row>
    <row r="67" spans="1:7" x14ac:dyDescent="0.25">
      <c r="A67" s="2" t="str">
        <f>VLOOKUP(B67,'country codes'!A60:B306,2,FALSE)</f>
        <v>ET</v>
      </c>
      <c r="B67" s="1" t="s">
        <v>55</v>
      </c>
      <c r="C67" s="2" t="s">
        <v>206</v>
      </c>
      <c r="D67" s="2"/>
      <c r="E67" s="2"/>
      <c r="F67" s="2"/>
      <c r="G67" s="2"/>
    </row>
    <row r="68" spans="1:7" x14ac:dyDescent="0.25">
      <c r="A68" s="2" t="s">
        <v>1467</v>
      </c>
      <c r="B68" s="1" t="s">
        <v>476</v>
      </c>
      <c r="C68" s="2" t="s">
        <v>215</v>
      </c>
      <c r="D68" s="2">
        <v>2024</v>
      </c>
      <c r="E68" s="2">
        <v>2024</v>
      </c>
      <c r="F68" s="2"/>
      <c r="G68" s="2"/>
    </row>
    <row r="69" spans="1:7" x14ac:dyDescent="0.25">
      <c r="A69" s="2" t="e">
        <f>VLOOKUP(B69,'country codes'!A118:B364,2,FALSE)</f>
        <v>#N/A</v>
      </c>
      <c r="B69" s="1" t="s">
        <v>113</v>
      </c>
      <c r="C69" s="2" t="s">
        <v>206</v>
      </c>
      <c r="D69" s="2"/>
      <c r="E69" s="2"/>
      <c r="F69" s="2"/>
      <c r="G69" s="2"/>
    </row>
    <row r="70" spans="1:7" x14ac:dyDescent="0.25">
      <c r="A70" s="2" t="str">
        <f>VLOOKUP(B70,'country codes'!A61:B307,2,FALSE)</f>
        <v>FJ</v>
      </c>
      <c r="B70" s="1" t="s">
        <v>56</v>
      </c>
      <c r="C70" s="2" t="s">
        <v>206</v>
      </c>
      <c r="D70" s="2">
        <v>2009</v>
      </c>
      <c r="E70" s="2">
        <v>2009</v>
      </c>
      <c r="F70" s="2">
        <v>2009</v>
      </c>
      <c r="G70" s="2">
        <v>2009</v>
      </c>
    </row>
    <row r="71" spans="1:7" x14ac:dyDescent="0.25">
      <c r="A71" s="2" t="str">
        <f>VLOOKUP(B71,'country codes'!A62:B308,2,FALSE)</f>
        <v>FI</v>
      </c>
      <c r="B71" s="1" t="s">
        <v>57</v>
      </c>
      <c r="C71" s="2" t="s">
        <v>206</v>
      </c>
      <c r="D71" s="2"/>
      <c r="E71" s="2"/>
      <c r="F71" s="2"/>
      <c r="G71" s="2"/>
    </row>
    <row r="72" spans="1:7" x14ac:dyDescent="0.25">
      <c r="A72" s="2" t="str">
        <f>VLOOKUP(B72,'country codes'!A63:B309,2,FALSE)</f>
        <v>FR</v>
      </c>
      <c r="B72" s="1" t="s">
        <v>58</v>
      </c>
      <c r="C72" s="2" t="s">
        <v>206</v>
      </c>
      <c r="D72" s="2">
        <v>1995</v>
      </c>
      <c r="E72" s="45">
        <v>2008</v>
      </c>
      <c r="F72" s="2">
        <v>2008</v>
      </c>
      <c r="G72" s="2">
        <v>2008</v>
      </c>
    </row>
    <row r="73" spans="1:7" x14ac:dyDescent="0.25">
      <c r="A73" s="15" t="s">
        <v>1777</v>
      </c>
      <c r="B73" s="16" t="s">
        <v>1209</v>
      </c>
      <c r="C73" s="21" t="s">
        <v>205</v>
      </c>
      <c r="D73" s="14"/>
      <c r="E73" s="14" t="s">
        <v>195</v>
      </c>
      <c r="F73" s="16"/>
      <c r="G73" s="16"/>
    </row>
    <row r="74" spans="1:7" x14ac:dyDescent="0.25">
      <c r="A74" s="2" t="str">
        <f>VLOOKUP(B74,'country codes'!A64:B310,2,FALSE)</f>
        <v>GA</v>
      </c>
      <c r="B74" s="1" t="s">
        <v>59</v>
      </c>
      <c r="C74" s="2" t="s">
        <v>206</v>
      </c>
      <c r="D74" s="2">
        <v>1989</v>
      </c>
      <c r="E74" s="2"/>
      <c r="F74" s="2"/>
      <c r="G74" s="2"/>
    </row>
    <row r="75" spans="1:7" x14ac:dyDescent="0.25">
      <c r="A75" s="2" t="str">
        <f>VLOOKUP(B75,'country codes'!A66:B312,2,FALSE)</f>
        <v>GE</v>
      </c>
      <c r="B75" s="1" t="s">
        <v>61</v>
      </c>
      <c r="C75" s="2" t="s">
        <v>206</v>
      </c>
      <c r="D75" s="2">
        <v>2021</v>
      </c>
      <c r="E75" s="2">
        <v>2021</v>
      </c>
      <c r="F75" s="2"/>
      <c r="G75" s="2"/>
    </row>
    <row r="76" spans="1:7" x14ac:dyDescent="0.25">
      <c r="A76" s="2" t="str">
        <f>VLOOKUP(B76,'country codes'!A67:B313,2,FALSE)</f>
        <v>DE</v>
      </c>
      <c r="B76" s="1" t="s">
        <v>62</v>
      </c>
      <c r="C76" s="2" t="s">
        <v>206</v>
      </c>
      <c r="D76" s="2">
        <v>2015</v>
      </c>
      <c r="E76" s="2">
        <v>2015</v>
      </c>
      <c r="F76" s="2">
        <v>2015</v>
      </c>
      <c r="G76" s="2">
        <v>2015</v>
      </c>
    </row>
    <row r="77" spans="1:7" x14ac:dyDescent="0.25">
      <c r="A77" s="2" t="str">
        <f>VLOOKUP(B77,'country codes'!A68:B314,2,FALSE)</f>
        <v>GH</v>
      </c>
      <c r="B77" s="1" t="s">
        <v>63</v>
      </c>
      <c r="C77" s="2" t="s">
        <v>206</v>
      </c>
      <c r="D77" s="2"/>
      <c r="E77" s="2"/>
      <c r="F77" s="2"/>
      <c r="G77" s="2"/>
    </row>
    <row r="78" spans="1:7" x14ac:dyDescent="0.25">
      <c r="A78" s="15" t="s">
        <v>1498</v>
      </c>
      <c r="B78" s="16" t="s">
        <v>1211</v>
      </c>
      <c r="C78" s="21" t="s">
        <v>211</v>
      </c>
      <c r="D78" s="14">
        <v>2016</v>
      </c>
      <c r="E78" s="14">
        <v>2016</v>
      </c>
      <c r="F78" s="16"/>
      <c r="G78" s="16"/>
    </row>
    <row r="79" spans="1:7" x14ac:dyDescent="0.25">
      <c r="A79" s="2" t="str">
        <f>VLOOKUP(B79,'country codes'!A69:B315,2,FALSE)</f>
        <v>GR</v>
      </c>
      <c r="B79" s="1" t="s">
        <v>64</v>
      </c>
      <c r="C79" s="2" t="s">
        <v>206</v>
      </c>
      <c r="D79" s="2">
        <v>2016</v>
      </c>
      <c r="E79" s="2">
        <v>2016</v>
      </c>
      <c r="F79" s="2">
        <v>2016</v>
      </c>
      <c r="G79" s="2">
        <v>2016</v>
      </c>
    </row>
    <row r="80" spans="1:7" x14ac:dyDescent="0.25">
      <c r="A80" s="2" t="str">
        <f>VLOOKUP(B80,'country codes'!A70:B316,2,FALSE)</f>
        <v>GL</v>
      </c>
      <c r="B80" s="1" t="s">
        <v>1212</v>
      </c>
      <c r="C80" s="2" t="s">
        <v>215</v>
      </c>
      <c r="D80" s="2"/>
      <c r="E80" s="2"/>
      <c r="F80" s="2"/>
      <c r="G80" s="2"/>
    </row>
    <row r="81" spans="1:7" x14ac:dyDescent="0.25">
      <c r="A81" s="2" t="str">
        <f>VLOOKUP(B81,'country codes'!A70:B316,2,FALSE)</f>
        <v>GD</v>
      </c>
      <c r="B81" s="1" t="s">
        <v>65</v>
      </c>
      <c r="C81" s="2" t="s">
        <v>206</v>
      </c>
      <c r="D81" s="2"/>
      <c r="E81" s="2"/>
      <c r="F81" s="2"/>
      <c r="G81" s="2"/>
    </row>
    <row r="82" spans="1:7" x14ac:dyDescent="0.25">
      <c r="A82" s="14" t="s">
        <v>1511</v>
      </c>
      <c r="B82" s="16" t="s">
        <v>1213</v>
      </c>
      <c r="C82" s="14" t="s">
        <v>209</v>
      </c>
      <c r="D82" s="14"/>
      <c r="E82" s="14" t="s">
        <v>195</v>
      </c>
      <c r="F82" s="16"/>
      <c r="G82" s="16"/>
    </row>
    <row r="83" spans="1:7" x14ac:dyDescent="0.25">
      <c r="A83" s="2" t="str">
        <f>VLOOKUP(B83,'country codes'!A71:B317,2,FALSE)</f>
        <v>GT</v>
      </c>
      <c r="B83" s="1" t="s">
        <v>66</v>
      </c>
      <c r="C83" s="2" t="s">
        <v>206</v>
      </c>
      <c r="D83" s="2">
        <v>1997</v>
      </c>
      <c r="E83" s="2" t="s">
        <v>195</v>
      </c>
      <c r="F83" s="2"/>
      <c r="G83" s="2"/>
    </row>
    <row r="84" spans="1:7" x14ac:dyDescent="0.25">
      <c r="A84" s="2" t="str">
        <f>VLOOKUP(B84,'country codes'!A72:B318,2,FALSE)</f>
        <v>GN</v>
      </c>
      <c r="B84" s="1" t="s">
        <v>67</v>
      </c>
      <c r="C84" s="2" t="s">
        <v>206</v>
      </c>
      <c r="D84" s="2"/>
      <c r="E84" s="2"/>
      <c r="F84" s="2"/>
      <c r="G84" s="2"/>
    </row>
    <row r="85" spans="1:7" x14ac:dyDescent="0.25">
      <c r="A85" s="2" t="str">
        <f>VLOOKUP(B85,'country codes'!A73:B319,2,FALSE)</f>
        <v>GW</v>
      </c>
      <c r="B85" s="1" t="s">
        <v>68</v>
      </c>
      <c r="C85" s="2" t="s">
        <v>206</v>
      </c>
      <c r="D85" s="2"/>
      <c r="E85" s="2" t="s">
        <v>195</v>
      </c>
      <c r="F85" s="2"/>
      <c r="G85" s="2"/>
    </row>
    <row r="86" spans="1:7" x14ac:dyDescent="0.25">
      <c r="A86" s="2" t="str">
        <f>VLOOKUP(B86,'country codes'!A74:B320,2,FALSE)</f>
        <v>GY</v>
      </c>
      <c r="B86" s="1" t="s">
        <v>69</v>
      </c>
      <c r="C86" s="2" t="s">
        <v>206</v>
      </c>
      <c r="D86" s="2"/>
      <c r="E86" s="2"/>
      <c r="F86" s="2"/>
      <c r="G86" s="2"/>
    </row>
    <row r="87" spans="1:7" x14ac:dyDescent="0.25">
      <c r="A87" s="2" t="str">
        <f>VLOOKUP(B87,'country codes'!A75:B321,2,FALSE)</f>
        <v>HT</v>
      </c>
      <c r="B87" s="1" t="s">
        <v>70</v>
      </c>
      <c r="C87" s="2" t="s">
        <v>206</v>
      </c>
      <c r="D87" s="2"/>
      <c r="E87" s="2" t="s">
        <v>195</v>
      </c>
      <c r="F87" s="2"/>
      <c r="G87" s="2"/>
    </row>
    <row r="88" spans="1:7" x14ac:dyDescent="0.25">
      <c r="A88" s="2" t="e">
        <f>VLOOKUP(B88,'country codes'!A76:B322,2,FALSE)</f>
        <v>#N/A</v>
      </c>
      <c r="B88" s="1" t="s">
        <v>71</v>
      </c>
      <c r="C88" s="2" t="s">
        <v>2148</v>
      </c>
      <c r="D88" s="2">
        <v>2016</v>
      </c>
      <c r="E88" s="2">
        <v>2016</v>
      </c>
      <c r="F88" s="2">
        <v>2016</v>
      </c>
      <c r="G88" s="2"/>
    </row>
    <row r="89" spans="1:7" x14ac:dyDescent="0.25">
      <c r="A89" s="2" t="str">
        <f>VLOOKUP(B89,'country codes'!A77:B323,2,FALSE)</f>
        <v>HN</v>
      </c>
      <c r="B89" s="1" t="s">
        <v>72</v>
      </c>
      <c r="C89" s="2" t="s">
        <v>206</v>
      </c>
      <c r="D89" s="2"/>
      <c r="E89" s="2" t="s">
        <v>195</v>
      </c>
      <c r="F89" s="2" t="s">
        <v>195</v>
      </c>
      <c r="G89" s="2" t="s">
        <v>195</v>
      </c>
    </row>
    <row r="90" spans="1:7" x14ac:dyDescent="0.25">
      <c r="A90" s="15" t="s">
        <v>1536</v>
      </c>
      <c r="B90" s="16" t="s">
        <v>1216</v>
      </c>
      <c r="C90" s="21" t="s">
        <v>2011</v>
      </c>
      <c r="D90" s="14">
        <v>2018</v>
      </c>
      <c r="E90" s="14">
        <v>2018</v>
      </c>
      <c r="F90" s="16"/>
      <c r="G90" s="16"/>
    </row>
    <row r="91" spans="1:7" x14ac:dyDescent="0.25">
      <c r="A91" s="2" t="str">
        <f>VLOOKUP(B91,'country codes'!A78:B324,2,FALSE)</f>
        <v>HU</v>
      </c>
      <c r="B91" s="1" t="s">
        <v>73</v>
      </c>
      <c r="C91" s="2" t="s">
        <v>206</v>
      </c>
      <c r="D91" s="2">
        <v>2016</v>
      </c>
      <c r="E91" s="2">
        <v>2016</v>
      </c>
      <c r="F91" s="2">
        <v>2016</v>
      </c>
      <c r="G91" s="2"/>
    </row>
    <row r="92" spans="1:7" x14ac:dyDescent="0.25">
      <c r="A92" s="2" t="str">
        <f>VLOOKUP(B92,'country codes'!A79:B325,2,FALSE)</f>
        <v>IS</v>
      </c>
      <c r="B92" s="1" t="s">
        <v>74</v>
      </c>
      <c r="C92" s="2" t="s">
        <v>206</v>
      </c>
      <c r="D92" s="2">
        <v>2024</v>
      </c>
      <c r="E92" s="45">
        <v>2024</v>
      </c>
      <c r="F92" s="2"/>
      <c r="G92" s="2"/>
    </row>
    <row r="93" spans="1:7" x14ac:dyDescent="0.25">
      <c r="A93" s="2" t="str">
        <f>VLOOKUP(B93,'country codes'!A80:B326,2,FALSE)</f>
        <v>IN</v>
      </c>
      <c r="B93" s="1" t="s">
        <v>75</v>
      </c>
      <c r="C93" s="2" t="s">
        <v>206</v>
      </c>
      <c r="D93" s="2">
        <v>1991</v>
      </c>
      <c r="E93" s="2" t="s">
        <v>195</v>
      </c>
      <c r="F93" s="2"/>
      <c r="G93" s="2"/>
    </row>
    <row r="94" spans="1:7" x14ac:dyDescent="0.25">
      <c r="A94" s="2" t="str">
        <f>VLOOKUP(B94,'country codes'!A81:B327,2,FALSE)</f>
        <v>ID</v>
      </c>
      <c r="B94" s="1" t="s">
        <v>76</v>
      </c>
      <c r="C94" s="2" t="s">
        <v>206</v>
      </c>
      <c r="D94" s="2">
        <v>2023</v>
      </c>
      <c r="E94" s="2">
        <v>2023</v>
      </c>
      <c r="F94" s="2"/>
      <c r="G94" s="2"/>
    </row>
    <row r="95" spans="1:7" x14ac:dyDescent="0.25">
      <c r="A95" s="2" t="str">
        <f>VLOOKUP(B95,'country codes'!A82:B328,2,FALSE)</f>
        <v>IR</v>
      </c>
      <c r="B95" s="1" t="s">
        <v>77</v>
      </c>
      <c r="C95" s="2" t="s">
        <v>206</v>
      </c>
      <c r="D95" s="2"/>
      <c r="E95" s="2"/>
      <c r="F95" s="2"/>
      <c r="G95" s="2"/>
    </row>
    <row r="96" spans="1:7" x14ac:dyDescent="0.25">
      <c r="A96" s="2" t="str">
        <f>VLOOKUP(B96,'country codes'!A83:B329,2,FALSE)</f>
        <v>IQ</v>
      </c>
      <c r="B96" s="1" t="s">
        <v>78</v>
      </c>
      <c r="C96" s="2" t="s">
        <v>206</v>
      </c>
      <c r="D96" s="2"/>
      <c r="E96" s="2"/>
      <c r="F96" s="2"/>
      <c r="G96" s="2"/>
    </row>
    <row r="97" spans="1:7" x14ac:dyDescent="0.25">
      <c r="A97" s="2" t="str">
        <f>VLOOKUP(B97,'country codes'!A84:B330,2,FALSE)</f>
        <v>IE</v>
      </c>
      <c r="B97" s="1" t="s">
        <v>79</v>
      </c>
      <c r="C97" s="2" t="s">
        <v>206</v>
      </c>
      <c r="D97" s="2">
        <v>2023</v>
      </c>
      <c r="E97" s="45">
        <v>2023</v>
      </c>
      <c r="F97" s="2">
        <v>2023</v>
      </c>
      <c r="G97" s="2"/>
    </row>
    <row r="98" spans="1:7" x14ac:dyDescent="0.25">
      <c r="A98" s="2" t="s">
        <v>1563</v>
      </c>
      <c r="B98" s="1" t="s">
        <v>495</v>
      </c>
      <c r="C98" s="2" t="s">
        <v>216</v>
      </c>
      <c r="D98" s="2">
        <v>2024</v>
      </c>
      <c r="E98" s="2">
        <v>2024</v>
      </c>
      <c r="F98" s="2"/>
      <c r="G98" s="2"/>
    </row>
    <row r="99" spans="1:7" x14ac:dyDescent="0.25">
      <c r="A99" s="2" t="str">
        <f>VLOOKUP(B99,'country codes'!A85:B331,2,FALSE)</f>
        <v>IL</v>
      </c>
      <c r="B99" s="1" t="s">
        <v>80</v>
      </c>
      <c r="C99" s="2" t="s">
        <v>206</v>
      </c>
      <c r="D99" s="2">
        <v>2007</v>
      </c>
      <c r="E99" s="2">
        <v>2007</v>
      </c>
      <c r="F99" s="2">
        <v>2007</v>
      </c>
      <c r="G99" s="2">
        <v>2007</v>
      </c>
    </row>
    <row r="100" spans="1:7" x14ac:dyDescent="0.25">
      <c r="A100" s="2" t="str">
        <f>VLOOKUP(B100,'country codes'!A86:B332,2,FALSE)</f>
        <v>IT</v>
      </c>
      <c r="B100" s="1" t="s">
        <v>81</v>
      </c>
      <c r="C100" s="2" t="s">
        <v>206</v>
      </c>
      <c r="D100" s="2">
        <v>2016</v>
      </c>
      <c r="E100" s="45">
        <v>2016</v>
      </c>
      <c r="F100" s="2">
        <v>2016</v>
      </c>
      <c r="G100" s="2">
        <v>2016</v>
      </c>
    </row>
    <row r="101" spans="1:7" x14ac:dyDescent="0.25">
      <c r="A101" s="2" t="str">
        <f>VLOOKUP(B101,'country codes'!A87:B333,2,FALSE)</f>
        <v>JM</v>
      </c>
      <c r="B101" s="1" t="s">
        <v>82</v>
      </c>
      <c r="C101" s="2" t="s">
        <v>206</v>
      </c>
      <c r="D101" s="2">
        <v>2004</v>
      </c>
      <c r="E101" s="2">
        <v>2004</v>
      </c>
      <c r="F101" s="2">
        <v>2004</v>
      </c>
      <c r="G101" s="2">
        <v>2004</v>
      </c>
    </row>
    <row r="102" spans="1:7" x14ac:dyDescent="0.25">
      <c r="A102" s="2" t="str">
        <f>VLOOKUP(B102,'country codes'!A88:B334,2,FALSE)</f>
        <v>JP</v>
      </c>
      <c r="B102" s="1" t="s">
        <v>83</v>
      </c>
      <c r="C102" s="2" t="s">
        <v>206</v>
      </c>
      <c r="D102" s="2">
        <v>2018</v>
      </c>
      <c r="E102" s="2">
        <v>2018</v>
      </c>
      <c r="F102" s="2"/>
      <c r="G102" s="2"/>
    </row>
    <row r="103" spans="1:7" x14ac:dyDescent="0.25">
      <c r="A103" s="2" t="str">
        <f>VLOOKUP(B103,'country codes'!A89:B335,2,FALSE)</f>
        <v>JO</v>
      </c>
      <c r="B103" s="1" t="s">
        <v>84</v>
      </c>
      <c r="C103" s="2" t="s">
        <v>206</v>
      </c>
      <c r="D103" s="2">
        <v>2007</v>
      </c>
      <c r="E103" s="2">
        <v>2007</v>
      </c>
      <c r="F103" s="2">
        <v>2007</v>
      </c>
      <c r="G103" s="2">
        <v>2007</v>
      </c>
    </row>
    <row r="104" spans="1:7" x14ac:dyDescent="0.25">
      <c r="A104" s="2" t="str">
        <f>VLOOKUP(B104,'country codes'!A90:B336,2,FALSE)</f>
        <v>KZ</v>
      </c>
      <c r="B104" s="1" t="s">
        <v>85</v>
      </c>
      <c r="C104" s="2" t="s">
        <v>206</v>
      </c>
      <c r="D104" s="2">
        <v>2025</v>
      </c>
      <c r="E104" s="2">
        <v>2025</v>
      </c>
      <c r="F104" s="2"/>
      <c r="G104" s="2"/>
    </row>
    <row r="105" spans="1:7" x14ac:dyDescent="0.25">
      <c r="A105" s="2" t="str">
        <f>VLOOKUP(B105,'country codes'!A91:B337,2,FALSE)</f>
        <v>KE</v>
      </c>
      <c r="B105" s="1" t="s">
        <v>86</v>
      </c>
      <c r="C105" s="2" t="s">
        <v>206</v>
      </c>
      <c r="D105" s="2">
        <v>1991</v>
      </c>
      <c r="E105" s="2" t="s">
        <v>195</v>
      </c>
      <c r="F105" s="2"/>
      <c r="G105" s="2"/>
    </row>
    <row r="106" spans="1:7" x14ac:dyDescent="0.25">
      <c r="A106" s="2" t="str">
        <f>VLOOKUP(B106,'country codes'!A92:B338,2,FALSE)</f>
        <v>KI</v>
      </c>
      <c r="B106" s="1" t="s">
        <v>87</v>
      </c>
      <c r="C106" s="2" t="s">
        <v>206</v>
      </c>
      <c r="D106" s="2"/>
      <c r="E106" s="2"/>
      <c r="F106" s="2"/>
      <c r="G106" s="2"/>
    </row>
    <row r="107" spans="1:7" x14ac:dyDescent="0.25">
      <c r="A107" s="2" t="e">
        <f>VLOOKUP(B107,'country codes'!A95:B341,2,FALSE)</f>
        <v>#N/A</v>
      </c>
      <c r="B107" s="1" t="s">
        <v>90</v>
      </c>
      <c r="C107" s="2" t="s">
        <v>504</v>
      </c>
      <c r="D107" s="2">
        <v>2017</v>
      </c>
      <c r="E107" s="2">
        <v>2017</v>
      </c>
      <c r="F107" s="2"/>
      <c r="G107" s="2"/>
    </row>
    <row r="108" spans="1:7" x14ac:dyDescent="0.25">
      <c r="A108" s="2" t="str">
        <f>VLOOKUP(B108,'country codes'!A96:B342,2,FALSE)</f>
        <v>KW</v>
      </c>
      <c r="B108" s="1" t="s">
        <v>91</v>
      </c>
      <c r="C108" s="2" t="s">
        <v>206</v>
      </c>
      <c r="D108" s="2"/>
      <c r="E108" s="2"/>
      <c r="F108" s="2"/>
      <c r="G108" s="2"/>
    </row>
    <row r="109" spans="1:7" x14ac:dyDescent="0.25">
      <c r="A109" s="2" t="str">
        <f>VLOOKUP(B109,'country codes'!A97:B343,2,FALSE)</f>
        <v>KG</v>
      </c>
      <c r="B109" s="1" t="s">
        <v>92</v>
      </c>
      <c r="C109" s="2" t="s">
        <v>206</v>
      </c>
      <c r="D109" s="2">
        <v>2025</v>
      </c>
      <c r="E109" s="2">
        <v>2025</v>
      </c>
      <c r="F109" s="2"/>
      <c r="G109" s="2"/>
    </row>
    <row r="110" spans="1:7" x14ac:dyDescent="0.25">
      <c r="A110" s="2" t="str">
        <f>VLOOKUP(B110,'country codes'!A98:B344,2,FALSE)</f>
        <v>LA</v>
      </c>
      <c r="B110" s="1" t="s">
        <v>93</v>
      </c>
      <c r="C110" s="2" t="s">
        <v>206</v>
      </c>
      <c r="D110" s="2">
        <v>2010</v>
      </c>
      <c r="E110" s="2">
        <v>2010</v>
      </c>
      <c r="F110" s="2">
        <v>2010</v>
      </c>
      <c r="G110" s="2">
        <v>2010</v>
      </c>
    </row>
    <row r="111" spans="1:7" x14ac:dyDescent="0.25">
      <c r="A111" s="2" t="str">
        <f>VLOOKUP(B111,'country codes'!A99:B345,2,FALSE)</f>
        <v>LV</v>
      </c>
      <c r="B111" s="1" t="s">
        <v>94</v>
      </c>
      <c r="C111" s="2" t="s">
        <v>206</v>
      </c>
      <c r="D111" s="2">
        <v>2023</v>
      </c>
      <c r="E111" s="2">
        <v>2023</v>
      </c>
      <c r="F111" s="2"/>
      <c r="G111" s="2"/>
    </row>
    <row r="112" spans="1:7" x14ac:dyDescent="0.25">
      <c r="A112" s="2" t="str">
        <f>VLOOKUP(B112,'country codes'!A100:B346,2,FALSE)</f>
        <v>LB</v>
      </c>
      <c r="B112" s="1" t="s">
        <v>95</v>
      </c>
      <c r="C112" s="2" t="s">
        <v>206</v>
      </c>
      <c r="D112" s="2"/>
      <c r="E112" s="2"/>
      <c r="F112" s="2"/>
      <c r="G112" s="2"/>
    </row>
    <row r="113" spans="1:9" x14ac:dyDescent="0.25">
      <c r="A113" s="2" t="str">
        <f>VLOOKUP(B113,'country codes'!A101:B347,2,FALSE)</f>
        <v>LS</v>
      </c>
      <c r="B113" s="1" t="s">
        <v>96</v>
      </c>
      <c r="C113" s="2" t="s">
        <v>206</v>
      </c>
      <c r="D113" s="2">
        <v>2001</v>
      </c>
      <c r="E113" s="2">
        <v>2001</v>
      </c>
      <c r="F113" s="2">
        <v>2001</v>
      </c>
      <c r="G113" s="2">
        <v>2001</v>
      </c>
    </row>
    <row r="114" spans="1:9" x14ac:dyDescent="0.25">
      <c r="A114" s="2" t="str">
        <f>VLOOKUP(B114,'country codes'!A102:B348,2,FALSE)</f>
        <v>LR</v>
      </c>
      <c r="B114" s="1" t="s">
        <v>97</v>
      </c>
      <c r="C114" s="2" t="s">
        <v>206</v>
      </c>
      <c r="D114" s="2"/>
      <c r="E114" s="2"/>
      <c r="F114" s="2"/>
      <c r="G114" s="2"/>
    </row>
    <row r="115" spans="1:9" x14ac:dyDescent="0.25">
      <c r="A115" s="2" t="str">
        <f>VLOOKUP(B115,'country codes'!A103:B349,2,FALSE)</f>
        <v>LY</v>
      </c>
      <c r="B115" s="1" t="s">
        <v>98</v>
      </c>
      <c r="C115" s="2" t="s">
        <v>206</v>
      </c>
      <c r="D115" s="2"/>
      <c r="E115" s="2"/>
      <c r="F115" s="2"/>
      <c r="G115" s="2"/>
    </row>
    <row r="116" spans="1:9" x14ac:dyDescent="0.25">
      <c r="A116" s="2" t="str">
        <f>VLOOKUP(B116,'country codes'!A104:B350,2,FALSE)</f>
        <v>LI</v>
      </c>
      <c r="B116" s="1" t="s">
        <v>99</v>
      </c>
      <c r="C116" s="2" t="s">
        <v>206</v>
      </c>
      <c r="D116" s="2">
        <v>2015</v>
      </c>
      <c r="E116" s="2">
        <v>2015</v>
      </c>
      <c r="F116" s="2">
        <v>2015</v>
      </c>
      <c r="G116" s="2">
        <v>2015</v>
      </c>
    </row>
    <row r="117" spans="1:9" x14ac:dyDescent="0.25">
      <c r="A117" s="2" t="str">
        <f>VLOOKUP(B117,'country codes'!A105:B351,2,FALSE)</f>
        <v>LT</v>
      </c>
      <c r="B117" s="1" t="s">
        <v>100</v>
      </c>
      <c r="C117" s="2" t="s">
        <v>206</v>
      </c>
      <c r="D117" s="2">
        <v>2023</v>
      </c>
      <c r="E117" s="2">
        <v>2023</v>
      </c>
      <c r="F117" s="2"/>
      <c r="G117" s="2"/>
    </row>
    <row r="118" spans="1:9" x14ac:dyDescent="0.25">
      <c r="A118" s="2" t="str">
        <f>VLOOKUP(B118,'country codes'!A106:B352,2,FALSE)</f>
        <v>LU</v>
      </c>
      <c r="B118" s="1" t="s">
        <v>101</v>
      </c>
      <c r="C118" s="2" t="s">
        <v>206</v>
      </c>
      <c r="D118" s="2">
        <v>2016</v>
      </c>
      <c r="E118" s="2">
        <v>2016</v>
      </c>
      <c r="F118" s="2"/>
      <c r="G118" s="2"/>
    </row>
    <row r="119" spans="1:9" x14ac:dyDescent="0.25">
      <c r="A119" s="15" t="s">
        <v>1692</v>
      </c>
      <c r="B119" s="16" t="s">
        <v>1691</v>
      </c>
      <c r="C119" s="21" t="s">
        <v>2011</v>
      </c>
      <c r="D119" s="14">
        <v>2023</v>
      </c>
      <c r="E119" s="14">
        <v>2023</v>
      </c>
      <c r="F119" s="16"/>
      <c r="G119" s="16"/>
    </row>
    <row r="120" spans="1:9" x14ac:dyDescent="0.25">
      <c r="A120" s="2" t="e">
        <f>VLOOKUP(B120,'country codes'!A107:B353,2,FALSE)</f>
        <v>#N/A</v>
      </c>
      <c r="B120" s="1" t="s">
        <v>102</v>
      </c>
      <c r="C120" s="2" t="s">
        <v>206</v>
      </c>
      <c r="D120" s="2">
        <v>2017</v>
      </c>
      <c r="E120" s="2">
        <v>2017</v>
      </c>
      <c r="F120" s="2"/>
      <c r="G120" s="2"/>
    </row>
    <row r="121" spans="1:9" x14ac:dyDescent="0.25">
      <c r="A121" s="2" t="str">
        <f>VLOOKUP(B121,'country codes'!A108:B354,2,FALSE)</f>
        <v>MG</v>
      </c>
      <c r="B121" s="1" t="s">
        <v>103</v>
      </c>
      <c r="C121" s="2" t="s">
        <v>206</v>
      </c>
      <c r="D121" s="2">
        <v>1993</v>
      </c>
      <c r="E121" s="2">
        <v>1993</v>
      </c>
      <c r="F121" s="2"/>
      <c r="G121" s="2"/>
    </row>
    <row r="122" spans="1:9" x14ac:dyDescent="0.25">
      <c r="A122" s="2" t="str">
        <f>VLOOKUP(B122,'country codes'!A109:B355,2,FALSE)</f>
        <v>MD</v>
      </c>
      <c r="B122" s="27" t="s">
        <v>2021</v>
      </c>
      <c r="C122" s="26" t="s">
        <v>2022</v>
      </c>
      <c r="D122" s="26">
        <v>2021</v>
      </c>
      <c r="E122" s="26">
        <v>2021</v>
      </c>
      <c r="F122" s="46">
        <v>2021</v>
      </c>
      <c r="G122" s="46">
        <v>2021</v>
      </c>
      <c r="I122" t="s">
        <v>2157</v>
      </c>
    </row>
    <row r="123" spans="1:9" x14ac:dyDescent="0.25">
      <c r="A123" s="2" t="str">
        <f>VLOOKUP(B123,'country codes'!A109:B355,2,FALSE)</f>
        <v>MW</v>
      </c>
      <c r="B123" s="1" t="s">
        <v>104</v>
      </c>
      <c r="C123" s="2" t="s">
        <v>206</v>
      </c>
      <c r="D123" s="2">
        <v>1991</v>
      </c>
      <c r="E123" s="2"/>
      <c r="F123" s="2"/>
      <c r="G123" s="2"/>
    </row>
    <row r="124" spans="1:9" x14ac:dyDescent="0.25">
      <c r="A124" s="2" t="str">
        <f>VLOOKUP(B124,'country codes'!A110:B356,2,FALSE)</f>
        <v>MY</v>
      </c>
      <c r="B124" s="1" t="s">
        <v>105</v>
      </c>
      <c r="C124" s="2" t="s">
        <v>206</v>
      </c>
      <c r="D124" s="2">
        <v>2023</v>
      </c>
      <c r="E124" s="2">
        <v>2023</v>
      </c>
      <c r="F124" s="2"/>
      <c r="G124" s="2"/>
    </row>
    <row r="125" spans="1:9" x14ac:dyDescent="0.25">
      <c r="A125" s="2" t="str">
        <f>VLOOKUP(B125,'country codes'!A111:B357,2,FALSE)</f>
        <v>MV</v>
      </c>
      <c r="B125" s="1" t="s">
        <v>106</v>
      </c>
      <c r="C125" s="2" t="s">
        <v>206</v>
      </c>
      <c r="D125" s="2">
        <v>1999</v>
      </c>
      <c r="E125" s="2">
        <v>1999</v>
      </c>
      <c r="F125" s="2">
        <v>1999</v>
      </c>
      <c r="G125" s="2">
        <v>1999</v>
      </c>
    </row>
    <row r="126" spans="1:9" x14ac:dyDescent="0.25">
      <c r="A126" s="2" t="str">
        <f>VLOOKUP(B126,'country codes'!A112:B358,2,FALSE)</f>
        <v>ML</v>
      </c>
      <c r="B126" s="1" t="s">
        <v>107</v>
      </c>
      <c r="C126" s="2" t="s">
        <v>206</v>
      </c>
      <c r="D126" s="2">
        <v>1988</v>
      </c>
      <c r="E126" s="2"/>
      <c r="F126" s="2"/>
      <c r="G126" s="2"/>
    </row>
    <row r="127" spans="1:9" x14ac:dyDescent="0.25">
      <c r="A127" s="2" t="str">
        <f>VLOOKUP(B127,'country codes'!A113:B359,2,FALSE)</f>
        <v>MT</v>
      </c>
      <c r="B127" s="1" t="s">
        <v>108</v>
      </c>
      <c r="C127" s="2" t="s">
        <v>206</v>
      </c>
      <c r="D127" s="2">
        <v>2018</v>
      </c>
      <c r="E127" s="2">
        <v>2018</v>
      </c>
      <c r="F127" s="2"/>
      <c r="G127" s="2"/>
    </row>
    <row r="128" spans="1:9" x14ac:dyDescent="0.25">
      <c r="A128" s="2" t="str">
        <f>VLOOKUP(B128,'country codes'!A114:B360,2,FALSE)</f>
        <v>MH</v>
      </c>
      <c r="B128" s="1" t="s">
        <v>109</v>
      </c>
      <c r="C128" s="2" t="s">
        <v>206</v>
      </c>
      <c r="D128" s="2"/>
      <c r="E128" s="2"/>
      <c r="F128" s="2"/>
      <c r="G128" s="2"/>
    </row>
    <row r="129" spans="1:7" x14ac:dyDescent="0.25">
      <c r="A129" s="14" t="s">
        <v>1698</v>
      </c>
      <c r="B129" s="16" t="s">
        <v>1220</v>
      </c>
      <c r="C129" s="14" t="s">
        <v>209</v>
      </c>
      <c r="D129" s="14"/>
      <c r="E129" s="14" t="s">
        <v>195</v>
      </c>
      <c r="F129" s="16"/>
      <c r="G129" s="16"/>
    </row>
    <row r="130" spans="1:7" x14ac:dyDescent="0.25">
      <c r="A130" s="2" t="str">
        <f>VLOOKUP(B130,'country codes'!A115:B361,2,FALSE)</f>
        <v>MR</v>
      </c>
      <c r="B130" s="1" t="s">
        <v>110</v>
      </c>
      <c r="C130" s="2" t="s">
        <v>206</v>
      </c>
      <c r="D130" s="2"/>
      <c r="E130" s="2"/>
      <c r="F130" s="2"/>
      <c r="G130" s="2"/>
    </row>
    <row r="131" spans="1:7" x14ac:dyDescent="0.25">
      <c r="A131" s="2" t="str">
        <f>VLOOKUP(B131,'country codes'!A116:B362,2,FALSE)</f>
        <v>MU</v>
      </c>
      <c r="B131" s="1" t="s">
        <v>111</v>
      </c>
      <c r="C131" s="2" t="s">
        <v>206</v>
      </c>
      <c r="D131" s="2">
        <v>1994</v>
      </c>
      <c r="E131" s="2">
        <v>1994</v>
      </c>
      <c r="F131" s="2"/>
      <c r="G131" s="2"/>
    </row>
    <row r="132" spans="1:7" x14ac:dyDescent="0.25">
      <c r="A132" s="2" t="str">
        <f>VLOOKUP(B132,'country codes'!A117:B363,2,FALSE)</f>
        <v>MX</v>
      </c>
      <c r="B132" s="1" t="s">
        <v>112</v>
      </c>
      <c r="C132" s="2" t="s">
        <v>206</v>
      </c>
      <c r="D132" s="2">
        <v>2018</v>
      </c>
      <c r="E132" s="45">
        <v>2018</v>
      </c>
      <c r="F132" s="2">
        <v>2018</v>
      </c>
      <c r="G132" s="2">
        <v>2018</v>
      </c>
    </row>
    <row r="133" spans="1:7" x14ac:dyDescent="0.25">
      <c r="A133" s="2" t="str">
        <f>VLOOKUP(B133,'country codes'!A119:B365,2,FALSE)</f>
        <v>MD</v>
      </c>
      <c r="B133" s="1" t="s">
        <v>114</v>
      </c>
      <c r="C133" s="2" t="s">
        <v>206</v>
      </c>
      <c r="D133" s="2">
        <v>2021</v>
      </c>
      <c r="E133" s="2">
        <v>2021</v>
      </c>
      <c r="F133" s="2"/>
      <c r="G133" s="2"/>
    </row>
    <row r="134" spans="1:7" x14ac:dyDescent="0.25">
      <c r="A134" s="2" t="str">
        <f>VLOOKUP(B134,'country codes'!A120:B366,2,FALSE)</f>
        <v>MC</v>
      </c>
      <c r="B134" s="1" t="s">
        <v>115</v>
      </c>
      <c r="C134" s="2" t="s">
        <v>206</v>
      </c>
      <c r="D134" s="2">
        <v>2018</v>
      </c>
      <c r="E134" s="2">
        <v>2018</v>
      </c>
      <c r="F134" s="2"/>
      <c r="G134" s="2"/>
    </row>
    <row r="135" spans="1:7" x14ac:dyDescent="0.25">
      <c r="A135" s="2" t="str">
        <f>VLOOKUP(B135,'country codes'!A121:B367,2,FALSE)</f>
        <v>MN</v>
      </c>
      <c r="B135" s="1" t="s">
        <v>116</v>
      </c>
      <c r="C135" s="2" t="s">
        <v>206</v>
      </c>
      <c r="D135" s="2">
        <v>2010</v>
      </c>
      <c r="E135" s="2"/>
      <c r="F135" s="2"/>
      <c r="G135" s="2"/>
    </row>
    <row r="136" spans="1:7" x14ac:dyDescent="0.25">
      <c r="A136" s="2" t="str">
        <f>VLOOKUP(B136,'country codes'!A122:B368,2,FALSE)</f>
        <v>ME</v>
      </c>
      <c r="B136" s="1" t="s">
        <v>117</v>
      </c>
      <c r="C136" s="2" t="s">
        <v>206</v>
      </c>
      <c r="D136" s="2">
        <v>2017</v>
      </c>
      <c r="E136" s="2">
        <v>2017</v>
      </c>
      <c r="F136" s="2"/>
      <c r="G136" s="2"/>
    </row>
    <row r="137" spans="1:7" x14ac:dyDescent="0.25">
      <c r="A137" s="2" t="str">
        <f>VLOOKUP(B137,'country codes'!A123:B369,2,FALSE)</f>
        <v>MA</v>
      </c>
      <c r="B137" s="1" t="s">
        <v>118</v>
      </c>
      <c r="C137" s="2" t="s">
        <v>206</v>
      </c>
      <c r="D137" s="2"/>
      <c r="E137" s="2"/>
      <c r="F137" s="2"/>
      <c r="G137" s="2"/>
    </row>
    <row r="138" spans="1:7" x14ac:dyDescent="0.25">
      <c r="A138" s="2" t="str">
        <f>VLOOKUP(B138,'country codes'!A124:B370,2,FALSE)</f>
        <v>MZ</v>
      </c>
      <c r="B138" s="1" t="s">
        <v>119</v>
      </c>
      <c r="C138" s="2" t="s">
        <v>206</v>
      </c>
      <c r="D138" s="2">
        <v>1996</v>
      </c>
      <c r="E138" s="45">
        <v>1996</v>
      </c>
      <c r="F138" s="2">
        <v>1996</v>
      </c>
      <c r="G138" s="2">
        <v>1996</v>
      </c>
    </row>
    <row r="139" spans="1:7" x14ac:dyDescent="0.25">
      <c r="A139" s="2" t="str">
        <f>VLOOKUP(B139,'country codes'!A31:B276,2,FALSE)</f>
        <v>MM</v>
      </c>
      <c r="B139" s="1" t="s">
        <v>1223</v>
      </c>
      <c r="C139" s="2" t="s">
        <v>206</v>
      </c>
      <c r="D139" s="2">
        <v>2010</v>
      </c>
      <c r="E139" s="2">
        <v>2010</v>
      </c>
      <c r="F139" s="2">
        <v>2010</v>
      </c>
      <c r="G139" s="2">
        <v>2010</v>
      </c>
    </row>
    <row r="140" spans="1:7" x14ac:dyDescent="0.25">
      <c r="A140" s="2" t="str">
        <f>VLOOKUP(B140,'country codes'!A125:B371,2,FALSE)</f>
        <v>NA</v>
      </c>
      <c r="B140" s="1" t="s">
        <v>120</v>
      </c>
      <c r="C140" s="2" t="s">
        <v>206</v>
      </c>
      <c r="D140" s="2">
        <v>2002</v>
      </c>
      <c r="E140" s="2">
        <v>2002</v>
      </c>
      <c r="F140" s="2">
        <v>2002</v>
      </c>
      <c r="G140" s="2">
        <v>2002</v>
      </c>
    </row>
    <row r="141" spans="1:7" x14ac:dyDescent="0.25">
      <c r="A141" s="2" t="str">
        <f>VLOOKUP(B141,'country codes'!A126:B372,2,FALSE)</f>
        <v>NR</v>
      </c>
      <c r="B141" s="1" t="s">
        <v>121</v>
      </c>
      <c r="C141" s="2" t="s">
        <v>206</v>
      </c>
      <c r="D141" s="2"/>
      <c r="E141" s="2"/>
      <c r="F141" s="2"/>
      <c r="G141" s="2"/>
    </row>
    <row r="142" spans="1:7" x14ac:dyDescent="0.25">
      <c r="A142" s="2" t="str">
        <f>VLOOKUP(B142,'country codes'!A127:B373,2,FALSE)</f>
        <v>NP</v>
      </c>
      <c r="B142" s="1" t="s">
        <v>122</v>
      </c>
      <c r="C142" s="2" t="s">
        <v>206</v>
      </c>
      <c r="D142" s="2">
        <v>1991</v>
      </c>
      <c r="E142" s="2"/>
      <c r="F142" s="2"/>
      <c r="G142" s="2"/>
    </row>
    <row r="143" spans="1:7" x14ac:dyDescent="0.25">
      <c r="A143" s="2" t="str">
        <f>VLOOKUP(B143,'country codes'!A128:B374,2,FALSE)</f>
        <v>NL</v>
      </c>
      <c r="B143" s="1" t="s">
        <v>123</v>
      </c>
      <c r="C143" s="2" t="s">
        <v>206</v>
      </c>
      <c r="D143" s="2">
        <v>2024</v>
      </c>
      <c r="E143" s="2">
        <v>2024</v>
      </c>
      <c r="F143" s="2">
        <v>2024</v>
      </c>
      <c r="G143" s="2"/>
    </row>
    <row r="144" spans="1:7" x14ac:dyDescent="0.25">
      <c r="A144" s="2" t="str">
        <f>VLOOKUP(B144,'country codes'!A129:B375,2,FALSE)</f>
        <v>NZ</v>
      </c>
      <c r="B144" s="1" t="s">
        <v>124</v>
      </c>
      <c r="C144" s="2" t="s">
        <v>206</v>
      </c>
      <c r="D144" s="2"/>
      <c r="E144" s="2" t="s">
        <v>195</v>
      </c>
      <c r="F144" s="2"/>
      <c r="G144" s="2"/>
    </row>
    <row r="145" spans="1:7" x14ac:dyDescent="0.25">
      <c r="A145" s="2" t="str">
        <f>VLOOKUP(B145,'country codes'!A130:B376,2,FALSE)</f>
        <v>NI</v>
      </c>
      <c r="B145" s="1" t="s">
        <v>125</v>
      </c>
      <c r="C145" s="2" t="s">
        <v>206</v>
      </c>
      <c r="D145" s="2">
        <v>2025</v>
      </c>
      <c r="E145" s="2"/>
      <c r="F145" s="2"/>
      <c r="G145" s="2"/>
    </row>
    <row r="146" spans="1:7" x14ac:dyDescent="0.25">
      <c r="A146" s="2" t="str">
        <f>VLOOKUP(B146,'country codes'!A131:B377,2,FALSE)</f>
        <v>NE</v>
      </c>
      <c r="B146" s="1" t="s">
        <v>126</v>
      </c>
      <c r="C146" s="2" t="s">
        <v>206</v>
      </c>
      <c r="D146" s="2"/>
      <c r="E146" s="2"/>
      <c r="F146" s="2"/>
      <c r="G146" s="2"/>
    </row>
    <row r="147" spans="1:7" x14ac:dyDescent="0.25">
      <c r="A147" s="2" t="str">
        <f>VLOOKUP(B147,'country codes'!A132:B378,2,FALSE)</f>
        <v>NG</v>
      </c>
      <c r="B147" s="1" t="s">
        <v>127</v>
      </c>
      <c r="C147" s="2" t="s">
        <v>206</v>
      </c>
      <c r="D147" s="2">
        <v>2024</v>
      </c>
      <c r="E147" s="2"/>
      <c r="F147" s="2"/>
      <c r="G147" s="2"/>
    </row>
    <row r="148" spans="1:7" x14ac:dyDescent="0.25">
      <c r="A148" s="2" t="str">
        <f>VLOOKUP(B148,'country codes'!A93:B339,2,FALSE)</f>
        <v>KP</v>
      </c>
      <c r="B148" s="1" t="s">
        <v>88</v>
      </c>
      <c r="C148" s="2" t="s">
        <v>206</v>
      </c>
      <c r="D148" s="2"/>
      <c r="E148" s="2"/>
      <c r="F148" s="2"/>
      <c r="G148" s="2"/>
    </row>
    <row r="149" spans="1:7" x14ac:dyDescent="0.25">
      <c r="A149" s="2" t="str">
        <f>VLOOKUP(B149,'country codes'!A133:B379,2,FALSE)</f>
        <v>NO</v>
      </c>
      <c r="B149" s="1" t="s">
        <v>128</v>
      </c>
      <c r="C149" s="2" t="s">
        <v>206</v>
      </c>
      <c r="D149" s="2">
        <v>2023</v>
      </c>
      <c r="E149" s="2">
        <v>2023</v>
      </c>
      <c r="F149" s="2"/>
      <c r="G149" s="2"/>
    </row>
    <row r="150" spans="1:7" x14ac:dyDescent="0.25">
      <c r="A150" s="2" t="str">
        <f>VLOOKUP(B150,'country codes'!A134:B380,2,FALSE)</f>
        <v>OM</v>
      </c>
      <c r="B150" s="1" t="s">
        <v>129</v>
      </c>
      <c r="C150" s="2" t="s">
        <v>206</v>
      </c>
      <c r="D150" s="2">
        <v>2006</v>
      </c>
      <c r="E150" s="2">
        <v>2006</v>
      </c>
      <c r="F150" s="2">
        <v>2006</v>
      </c>
      <c r="G150" s="2">
        <v>2006</v>
      </c>
    </row>
    <row r="151" spans="1:7" x14ac:dyDescent="0.25">
      <c r="A151" s="2" t="str">
        <f>VLOOKUP(B151,'country codes'!A136:B381,2,FALSE)</f>
        <v>PK</v>
      </c>
      <c r="B151" s="1" t="s">
        <v>130</v>
      </c>
      <c r="C151" s="2" t="s">
        <v>206</v>
      </c>
      <c r="D151" s="2">
        <v>2022</v>
      </c>
      <c r="E151" s="2"/>
      <c r="F151" s="2"/>
      <c r="G151" s="2"/>
    </row>
    <row r="152" spans="1:7" x14ac:dyDescent="0.25">
      <c r="A152" s="2" t="str">
        <f>VLOOKUP(B152,'country codes'!A137:B382,2,FALSE)</f>
        <v>PW</v>
      </c>
      <c r="B152" s="1" t="s">
        <v>131</v>
      </c>
      <c r="C152" s="2" t="s">
        <v>206</v>
      </c>
      <c r="D152" s="2"/>
      <c r="E152" s="2"/>
      <c r="F152" s="2"/>
      <c r="G152" s="2"/>
    </row>
    <row r="153" spans="1:7" x14ac:dyDescent="0.25">
      <c r="A153" s="2" t="str">
        <f>VLOOKUP(B153,'country codes'!A138:B383,2,FALSE)</f>
        <v>PA</v>
      </c>
      <c r="B153" s="1" t="s">
        <v>132</v>
      </c>
      <c r="C153" s="2" t="s">
        <v>206</v>
      </c>
      <c r="D153" s="2">
        <v>2014</v>
      </c>
      <c r="E153" s="2">
        <v>2014</v>
      </c>
      <c r="F153" s="2">
        <v>2014</v>
      </c>
      <c r="G153" s="2">
        <v>2014</v>
      </c>
    </row>
    <row r="154" spans="1:7" x14ac:dyDescent="0.25">
      <c r="A154" s="2" t="str">
        <f>VLOOKUP(B154,'country codes'!A139:B384,2,FALSE)</f>
        <v>PG</v>
      </c>
      <c r="B154" s="1" t="s">
        <v>133</v>
      </c>
      <c r="C154" s="2" t="s">
        <v>206</v>
      </c>
      <c r="D154" s="2"/>
      <c r="E154" s="2"/>
      <c r="F154" s="2"/>
      <c r="G154" s="2"/>
    </row>
    <row r="155" spans="1:7" x14ac:dyDescent="0.25">
      <c r="A155" s="2" t="str">
        <f>VLOOKUP(B155,'country codes'!A140:B385,2,FALSE)</f>
        <v>PY</v>
      </c>
      <c r="B155" s="1" t="s">
        <v>134</v>
      </c>
      <c r="C155" s="2" t="s">
        <v>206</v>
      </c>
      <c r="D155" s="2"/>
      <c r="E155" s="2" t="s">
        <v>195</v>
      </c>
      <c r="F155" s="2"/>
      <c r="G155" s="2"/>
    </row>
    <row r="156" spans="1:7" x14ac:dyDescent="0.25">
      <c r="A156" s="2" t="str">
        <f>VLOOKUP(B156,'country codes'!A141:B386,2,FALSE)</f>
        <v>PE</v>
      </c>
      <c r="B156" s="1" t="s">
        <v>135</v>
      </c>
      <c r="C156" s="2" t="s">
        <v>206</v>
      </c>
      <c r="D156" s="2">
        <v>2011</v>
      </c>
      <c r="E156" s="2">
        <v>2011</v>
      </c>
      <c r="F156" s="2">
        <v>2011</v>
      </c>
      <c r="G156" s="2">
        <v>2011</v>
      </c>
    </row>
    <row r="157" spans="1:7" x14ac:dyDescent="0.25">
      <c r="A157" s="2" t="str">
        <f>VLOOKUP(B157,'country codes'!A142:B387,2,FALSE)</f>
        <v>PH</v>
      </c>
      <c r="B157" s="1" t="s">
        <v>136</v>
      </c>
      <c r="C157" s="2" t="s">
        <v>206</v>
      </c>
      <c r="D157" s="2">
        <v>2023</v>
      </c>
      <c r="E157" s="2">
        <v>2023</v>
      </c>
      <c r="F157" s="2"/>
      <c r="G157" s="2"/>
    </row>
    <row r="158" spans="1:7" x14ac:dyDescent="0.25">
      <c r="A158" s="2" t="str">
        <f>VLOOKUP(B158,'country codes'!A143:B388,2,FALSE)</f>
        <v>PL</v>
      </c>
      <c r="B158" s="1" t="s">
        <v>137</v>
      </c>
      <c r="C158" s="2" t="s">
        <v>206</v>
      </c>
      <c r="D158" s="2">
        <v>2023</v>
      </c>
      <c r="E158" s="2">
        <v>2023</v>
      </c>
      <c r="F158" s="2"/>
      <c r="G158" s="2"/>
    </row>
    <row r="159" spans="1:7" x14ac:dyDescent="0.25">
      <c r="A159" s="2" t="str">
        <f>VLOOKUP(B159,'country codes'!A144:B389,2,FALSE)</f>
        <v>PT</v>
      </c>
      <c r="B159" s="1" t="s">
        <v>138</v>
      </c>
      <c r="C159" s="2" t="s">
        <v>206</v>
      </c>
      <c r="D159" s="2">
        <v>2015</v>
      </c>
      <c r="E159" s="45">
        <v>2015</v>
      </c>
      <c r="F159" s="2">
        <v>2015</v>
      </c>
      <c r="G159" s="2">
        <v>2015</v>
      </c>
    </row>
    <row r="160" spans="1:7" x14ac:dyDescent="0.25">
      <c r="A160" s="15" t="s">
        <v>1800</v>
      </c>
      <c r="B160" s="16" t="s">
        <v>1229</v>
      </c>
      <c r="C160" s="14" t="s">
        <v>2139</v>
      </c>
      <c r="D160" s="47">
        <v>1994</v>
      </c>
      <c r="E160" s="47">
        <v>1962</v>
      </c>
      <c r="F160" s="14" t="s">
        <v>195</v>
      </c>
      <c r="G160" s="14" t="s">
        <v>195</v>
      </c>
    </row>
    <row r="161" spans="1:9" x14ac:dyDescent="0.25">
      <c r="A161" s="2" t="str">
        <f>VLOOKUP(B161,'country codes'!A145:B390,2,FALSE)</f>
        <v>QA</v>
      </c>
      <c r="B161" s="1" t="s">
        <v>139</v>
      </c>
      <c r="C161" s="2" t="s">
        <v>206</v>
      </c>
      <c r="D161" s="2">
        <v>2005</v>
      </c>
      <c r="E161" s="2">
        <v>2005</v>
      </c>
      <c r="F161" s="2">
        <v>2005</v>
      </c>
      <c r="G161" s="2">
        <v>2005</v>
      </c>
    </row>
    <row r="162" spans="1:9" x14ac:dyDescent="0.25">
      <c r="A162" s="14" t="s">
        <v>1819</v>
      </c>
      <c r="B162" s="16" t="s">
        <v>2012</v>
      </c>
      <c r="C162" s="14" t="s">
        <v>209</v>
      </c>
      <c r="D162" s="14">
        <v>1994</v>
      </c>
      <c r="E162" s="14">
        <v>1994</v>
      </c>
      <c r="F162" s="16"/>
      <c r="G162" s="16"/>
    </row>
    <row r="163" spans="1:9" x14ac:dyDescent="0.25">
      <c r="A163" s="2" t="str">
        <f>VLOOKUP(B163,'country codes'!A147:B391,2,FALSE)</f>
        <v>RO</v>
      </c>
      <c r="B163" s="1" t="s">
        <v>140</v>
      </c>
      <c r="C163" s="2" t="s">
        <v>206</v>
      </c>
      <c r="D163" s="2">
        <v>2019</v>
      </c>
      <c r="E163" s="2">
        <v>2019</v>
      </c>
      <c r="F163" s="2">
        <v>2019</v>
      </c>
      <c r="G163" s="2">
        <v>2019</v>
      </c>
    </row>
    <row r="164" spans="1:9" x14ac:dyDescent="0.25">
      <c r="A164" s="2" t="str">
        <f>VLOOKUP(B164,'country codes'!A148:B392,2,FALSE)</f>
        <v>RU</v>
      </c>
      <c r="B164" s="1" t="s">
        <v>141</v>
      </c>
      <c r="C164" s="2" t="s">
        <v>206</v>
      </c>
      <c r="D164" s="2"/>
      <c r="E164" s="2"/>
      <c r="F164" s="2"/>
      <c r="G164" s="2"/>
    </row>
    <row r="165" spans="1:9" x14ac:dyDescent="0.25">
      <c r="A165" s="2" t="str">
        <f>VLOOKUP(B165,'country codes'!A149:B393,2,FALSE)</f>
        <v>RW</v>
      </c>
      <c r="B165" s="1" t="s">
        <v>142</v>
      </c>
      <c r="C165" s="2" t="s">
        <v>206</v>
      </c>
      <c r="D165" s="2">
        <v>1989</v>
      </c>
      <c r="E165" s="45">
        <v>1989</v>
      </c>
      <c r="F165" s="2"/>
      <c r="G165" s="2"/>
    </row>
    <row r="166" spans="1:9" x14ac:dyDescent="0.25">
      <c r="A166" s="2" t="str">
        <f>VLOOKUP(B166,'country codes'!A150:B394,2,FALSE)</f>
        <v>KN</v>
      </c>
      <c r="B166" s="1" t="s">
        <v>143</v>
      </c>
      <c r="C166" s="2" t="s">
        <v>206</v>
      </c>
      <c r="D166" s="2"/>
      <c r="E166" s="2"/>
      <c r="F166" s="2"/>
      <c r="G166" s="2"/>
    </row>
    <row r="167" spans="1:9" x14ac:dyDescent="0.25">
      <c r="A167" s="2" t="str">
        <f>VLOOKUP(B167,'country codes'!A151:B395,2,FALSE)</f>
        <v>LC</v>
      </c>
      <c r="B167" s="1" t="s">
        <v>144</v>
      </c>
      <c r="C167" s="2" t="s">
        <v>206</v>
      </c>
      <c r="D167" s="2">
        <v>2004</v>
      </c>
      <c r="E167" s="2">
        <v>2004</v>
      </c>
      <c r="F167" s="2">
        <v>2004</v>
      </c>
      <c r="G167" s="2">
        <v>2004</v>
      </c>
    </row>
    <row r="168" spans="1:9" x14ac:dyDescent="0.25">
      <c r="A168" s="2" t="str">
        <f>VLOOKUP(B168,'country codes'!A152:B396,2,FALSE)</f>
        <v>VC</v>
      </c>
      <c r="B168" s="1" t="s">
        <v>145</v>
      </c>
      <c r="C168" s="2" t="s">
        <v>206</v>
      </c>
      <c r="D168" s="2"/>
      <c r="E168" s="2"/>
      <c r="F168" s="2"/>
      <c r="G168" s="2"/>
    </row>
    <row r="169" spans="1:9" x14ac:dyDescent="0.25">
      <c r="A169" s="2" t="str">
        <f>VLOOKUP(B169,'country codes'!A153:B397,2,FALSE)</f>
        <v>WS</v>
      </c>
      <c r="B169" s="1" t="s">
        <v>146</v>
      </c>
      <c r="C169" s="2" t="s">
        <v>206</v>
      </c>
      <c r="D169" s="2"/>
      <c r="E169" s="2"/>
      <c r="F169" s="2"/>
      <c r="G169" s="2"/>
    </row>
    <row r="170" spans="1:9" x14ac:dyDescent="0.25">
      <c r="A170" s="2" t="str">
        <f>VLOOKUP(B170,'country codes'!A154:B398,2,FALSE)</f>
        <v>SM</v>
      </c>
      <c r="B170" s="1" t="s">
        <v>147</v>
      </c>
      <c r="C170" s="2" t="s">
        <v>206</v>
      </c>
      <c r="D170" s="2">
        <v>2018</v>
      </c>
      <c r="E170" s="2">
        <v>2018</v>
      </c>
      <c r="F170" s="2"/>
      <c r="G170" s="2"/>
      <c r="I170" t="s">
        <v>2126</v>
      </c>
    </row>
    <row r="171" spans="1:9" x14ac:dyDescent="0.25">
      <c r="A171" s="2" t="e">
        <f>VLOOKUP(B171,'country codes'!A155:B399,2,FALSE)</f>
        <v>#N/A</v>
      </c>
      <c r="B171" s="1" t="s">
        <v>148</v>
      </c>
      <c r="C171" s="2" t="s">
        <v>206</v>
      </c>
      <c r="D171" s="2"/>
      <c r="E171" s="2"/>
      <c r="F171" s="2"/>
      <c r="G171" s="2"/>
    </row>
    <row r="172" spans="1:9" x14ac:dyDescent="0.25">
      <c r="A172" s="2" t="str">
        <f>VLOOKUP(B172,'country codes'!A156:B400,2,FALSE)</f>
        <v>SA</v>
      </c>
      <c r="B172" s="1" t="s">
        <v>149</v>
      </c>
      <c r="C172" s="2" t="s">
        <v>206</v>
      </c>
      <c r="D172" s="2"/>
      <c r="E172" s="2"/>
      <c r="F172" s="2"/>
      <c r="G172" s="2"/>
    </row>
    <row r="173" spans="1:9" x14ac:dyDescent="0.25">
      <c r="A173" s="2" t="str">
        <f>VLOOKUP(B173,'country codes'!A157:B401,2,FALSE)</f>
        <v>SN</v>
      </c>
      <c r="B173" s="1" t="s">
        <v>150</v>
      </c>
      <c r="C173" s="2" t="s">
        <v>206</v>
      </c>
      <c r="D173" s="2">
        <v>1988</v>
      </c>
      <c r="E173" s="2"/>
      <c r="F173" s="2"/>
      <c r="G173" s="2"/>
    </row>
    <row r="174" spans="1:9" x14ac:dyDescent="0.25">
      <c r="A174" s="2" t="str">
        <f>VLOOKUP(B174,'country codes'!A158:B402,2,FALSE)</f>
        <v>RS</v>
      </c>
      <c r="B174" s="1" t="s">
        <v>151</v>
      </c>
      <c r="C174" s="2" t="s">
        <v>206</v>
      </c>
      <c r="D174" s="2">
        <v>2022</v>
      </c>
      <c r="E174" s="2">
        <v>2022</v>
      </c>
      <c r="F174" s="2"/>
      <c r="G174" s="2"/>
    </row>
    <row r="175" spans="1:9" x14ac:dyDescent="0.25">
      <c r="A175" s="2" t="str">
        <f>VLOOKUP(B175,'country codes'!A159:B403,2,FALSE)</f>
        <v>SC</v>
      </c>
      <c r="B175" s="1" t="s">
        <v>152</v>
      </c>
      <c r="C175" s="2" t="s">
        <v>206</v>
      </c>
      <c r="D175" s="2">
        <v>1995</v>
      </c>
      <c r="E175" s="2">
        <v>1995</v>
      </c>
      <c r="F175" s="2"/>
      <c r="G175" s="2"/>
    </row>
    <row r="176" spans="1:9" x14ac:dyDescent="0.25">
      <c r="A176" s="2" t="str">
        <f>VLOOKUP(B176,'country codes'!A160:B404,2,FALSE)</f>
        <v>SL</v>
      </c>
      <c r="B176" s="1" t="s">
        <v>153</v>
      </c>
      <c r="C176" s="2" t="s">
        <v>206</v>
      </c>
      <c r="D176" s="2">
        <v>1988</v>
      </c>
      <c r="E176" s="2"/>
      <c r="F176" s="2"/>
      <c r="G176" s="2"/>
    </row>
    <row r="177" spans="1:7" x14ac:dyDescent="0.25">
      <c r="A177" s="2" t="str">
        <f>VLOOKUP(B177,'country codes'!A161:B405,2,FALSE)</f>
        <v>SG</v>
      </c>
      <c r="B177" s="1" t="s">
        <v>154</v>
      </c>
      <c r="C177" s="2" t="s">
        <v>206</v>
      </c>
      <c r="D177" s="2">
        <v>2018</v>
      </c>
      <c r="E177" s="2">
        <v>2018</v>
      </c>
      <c r="F177" s="2"/>
      <c r="G177" s="2"/>
    </row>
    <row r="178" spans="1:7" x14ac:dyDescent="0.25">
      <c r="A178" s="2" t="str">
        <f>VLOOKUP(B178,'country codes'!A162:B406,2,FALSE)</f>
        <v>SK</v>
      </c>
      <c r="B178" s="1" t="s">
        <v>155</v>
      </c>
      <c r="C178" s="2" t="s">
        <v>206</v>
      </c>
      <c r="D178" s="2">
        <v>2016</v>
      </c>
      <c r="E178" s="2">
        <v>2016</v>
      </c>
      <c r="F178" s="2">
        <v>2016</v>
      </c>
      <c r="G178" s="2"/>
    </row>
    <row r="179" spans="1:7" x14ac:dyDescent="0.25">
      <c r="A179" s="2" t="str">
        <f>VLOOKUP(B179,'country codes'!A163:B407,2,FALSE)</f>
        <v>SI</v>
      </c>
      <c r="B179" s="1" t="s">
        <v>156</v>
      </c>
      <c r="C179" s="2" t="s">
        <v>206</v>
      </c>
      <c r="D179" s="2">
        <v>2017</v>
      </c>
      <c r="E179" s="2">
        <v>2017</v>
      </c>
      <c r="F179" s="2"/>
      <c r="G179" s="2"/>
    </row>
    <row r="180" spans="1:7" x14ac:dyDescent="0.25">
      <c r="A180" s="2" t="str">
        <f>VLOOKUP(B180,'country codes'!A164:B408,2,FALSE)</f>
        <v>SB</v>
      </c>
      <c r="B180" s="1" t="s">
        <v>157</v>
      </c>
      <c r="C180" s="2" t="s">
        <v>206</v>
      </c>
      <c r="D180" s="2">
        <v>2025</v>
      </c>
      <c r="E180" s="2"/>
      <c r="F180" s="2"/>
      <c r="G180" s="2"/>
    </row>
    <row r="181" spans="1:7" x14ac:dyDescent="0.25">
      <c r="A181" s="2" t="str">
        <f>VLOOKUP(B181,'country codes'!A165:B409,2,FALSE)</f>
        <v>SO</v>
      </c>
      <c r="B181" s="1" t="s">
        <v>158</v>
      </c>
      <c r="C181" s="2" t="s">
        <v>206</v>
      </c>
      <c r="D181" s="2"/>
      <c r="E181" s="2"/>
      <c r="F181" s="2"/>
      <c r="G181" s="2"/>
    </row>
    <row r="182" spans="1:7" x14ac:dyDescent="0.25">
      <c r="A182" s="2" t="str">
        <f>VLOOKUP(B182,'country codes'!A166:B410,2,FALSE)</f>
        <v>ZA</v>
      </c>
      <c r="B182" s="1" t="s">
        <v>159</v>
      </c>
      <c r="C182" s="2" t="s">
        <v>206</v>
      </c>
      <c r="D182" s="2">
        <v>1994</v>
      </c>
      <c r="E182" s="2">
        <v>1994</v>
      </c>
      <c r="F182" s="2">
        <v>1997</v>
      </c>
      <c r="G182" s="2">
        <v>1997</v>
      </c>
    </row>
    <row r="183" spans="1:7" x14ac:dyDescent="0.25">
      <c r="A183" s="2" t="str">
        <f>VLOOKUP(B183,'country codes'!A94:B340,2,FALSE)</f>
        <v>KR</v>
      </c>
      <c r="B183" s="1" t="s">
        <v>89</v>
      </c>
      <c r="C183" s="2" t="s">
        <v>206</v>
      </c>
      <c r="D183" s="2">
        <v>2009</v>
      </c>
      <c r="E183" s="2">
        <v>2009</v>
      </c>
      <c r="F183" s="2">
        <v>2009</v>
      </c>
      <c r="G183" s="2">
        <v>2009</v>
      </c>
    </row>
    <row r="184" spans="1:7" x14ac:dyDescent="0.25">
      <c r="A184" s="2" t="str">
        <f>VLOOKUP(B184,'country codes'!A167:B411,2,FALSE)</f>
        <v>SS</v>
      </c>
      <c r="B184" s="1" t="s">
        <v>160</v>
      </c>
      <c r="C184" s="2" t="s">
        <v>206</v>
      </c>
      <c r="D184" s="2"/>
      <c r="E184" s="2"/>
      <c r="F184" s="2"/>
      <c r="G184" s="2"/>
    </row>
    <row r="185" spans="1:7" x14ac:dyDescent="0.25">
      <c r="A185" s="2" t="str">
        <f>VLOOKUP(B185,'country codes'!A168:B412,2,FALSE)</f>
        <v>ES</v>
      </c>
      <c r="B185" s="1" t="s">
        <v>161</v>
      </c>
      <c r="C185" s="2" t="s">
        <v>206</v>
      </c>
      <c r="D185" s="2">
        <v>2015</v>
      </c>
      <c r="E185" s="45">
        <v>2015</v>
      </c>
      <c r="F185" s="2">
        <v>2015</v>
      </c>
      <c r="G185" s="2">
        <v>2015</v>
      </c>
    </row>
    <row r="186" spans="1:7" x14ac:dyDescent="0.25">
      <c r="A186" s="2" t="str">
        <f>VLOOKUP(B186,'country codes'!A169:B413,2,FALSE)</f>
        <v>LK</v>
      </c>
      <c r="B186" s="1" t="s">
        <v>162</v>
      </c>
      <c r="C186" s="2" t="s">
        <v>206</v>
      </c>
      <c r="D186" s="2"/>
      <c r="E186" s="2" t="s">
        <v>195</v>
      </c>
      <c r="F186" s="2"/>
      <c r="G186" s="2"/>
    </row>
    <row r="187" spans="1:7" x14ac:dyDescent="0.25">
      <c r="A187" s="2" t="str">
        <f>VLOOKUP(B187,'country codes'!A170:B414,2,FALSE)</f>
        <v>SD</v>
      </c>
      <c r="B187" s="1" t="s">
        <v>163</v>
      </c>
      <c r="C187" s="2" t="s">
        <v>206</v>
      </c>
      <c r="D187" s="2"/>
      <c r="E187" s="2"/>
      <c r="F187" s="2"/>
      <c r="G187" s="2"/>
    </row>
    <row r="188" spans="1:7" x14ac:dyDescent="0.25">
      <c r="A188" s="2" t="str">
        <f>VLOOKUP(B188,'country codes'!A171:B415,2,FALSE)</f>
        <v>SR</v>
      </c>
      <c r="B188" s="1" t="s">
        <v>164</v>
      </c>
      <c r="C188" s="2" t="s">
        <v>206</v>
      </c>
      <c r="D188" s="2"/>
      <c r="E188" s="2"/>
      <c r="F188" s="2"/>
      <c r="G188" s="2"/>
    </row>
    <row r="189" spans="1:7" x14ac:dyDescent="0.25">
      <c r="A189" s="2" t="str">
        <f>VLOOKUP(B189,'country codes'!A173:B417,2,FALSE)</f>
        <v>SE</v>
      </c>
      <c r="B189" s="1" t="s">
        <v>165</v>
      </c>
      <c r="C189" s="2" t="s">
        <v>206</v>
      </c>
      <c r="D189" s="2">
        <v>2023</v>
      </c>
      <c r="E189" s="2">
        <v>2023</v>
      </c>
      <c r="F189" s="45">
        <v>2023</v>
      </c>
      <c r="G189" s="2"/>
    </row>
    <row r="190" spans="1:7" x14ac:dyDescent="0.25">
      <c r="A190" s="2" t="str">
        <f>VLOOKUP(B190,'country codes'!A174:B418,2,FALSE)</f>
        <v>CH</v>
      </c>
      <c r="B190" s="1" t="s">
        <v>166</v>
      </c>
      <c r="C190" s="2" t="s">
        <v>206</v>
      </c>
      <c r="D190" s="2">
        <v>2015</v>
      </c>
      <c r="E190" s="2">
        <v>2015</v>
      </c>
      <c r="F190" s="2">
        <v>2015</v>
      </c>
      <c r="G190" s="2">
        <v>2015</v>
      </c>
    </row>
    <row r="191" spans="1:7" x14ac:dyDescent="0.25">
      <c r="A191" s="2" t="str">
        <f>VLOOKUP(B191,'country codes'!A175:B419,2,FALSE)</f>
        <v>SY</v>
      </c>
      <c r="B191" s="1" t="s">
        <v>167</v>
      </c>
      <c r="C191" s="2" t="s">
        <v>206</v>
      </c>
      <c r="D191" s="2"/>
      <c r="E191" s="2"/>
      <c r="F191" s="2"/>
      <c r="G191" s="2"/>
    </row>
    <row r="192" spans="1:7" x14ac:dyDescent="0.25">
      <c r="A192" s="2" t="str">
        <f>VLOOKUP(B192,'country codes'!A200:B444,2,FALSE)</f>
        <v>TW</v>
      </c>
      <c r="B192" s="1" t="s">
        <v>192</v>
      </c>
      <c r="C192" s="2" t="s">
        <v>2148</v>
      </c>
      <c r="D192" s="2">
        <v>2018</v>
      </c>
      <c r="E192" s="2">
        <v>2018</v>
      </c>
      <c r="F192" s="2"/>
      <c r="G192" s="2"/>
    </row>
    <row r="193" spans="1:7" x14ac:dyDescent="0.25">
      <c r="A193" s="2" t="str">
        <f>VLOOKUP(B193,'country codes'!A176:B420,2,FALSE)</f>
        <v>TJ</v>
      </c>
      <c r="B193" s="1" t="s">
        <v>168</v>
      </c>
      <c r="C193" s="2" t="s">
        <v>206</v>
      </c>
      <c r="D193" s="2">
        <v>2025</v>
      </c>
      <c r="E193" s="2">
        <v>2025</v>
      </c>
      <c r="F193" s="2"/>
      <c r="G193" s="2"/>
    </row>
    <row r="194" spans="1:7" x14ac:dyDescent="0.25">
      <c r="A194" s="2" t="str">
        <f>VLOOKUP(B194,'country codes'!A177:B421,2,FALSE)</f>
        <v>TZ</v>
      </c>
      <c r="B194" s="1" t="s">
        <v>169</v>
      </c>
      <c r="C194" s="2" t="s">
        <v>206</v>
      </c>
      <c r="D194" s="2">
        <v>1991</v>
      </c>
      <c r="E194" s="2"/>
      <c r="F194" s="2"/>
      <c r="G194" s="2"/>
    </row>
    <row r="195" spans="1:7" x14ac:dyDescent="0.25">
      <c r="A195" s="2" t="str">
        <f>VLOOKUP(B195,'country codes'!A178:B422,2,FALSE)</f>
        <v>TH</v>
      </c>
      <c r="B195" s="1" t="s">
        <v>170</v>
      </c>
      <c r="C195" s="2" t="s">
        <v>206</v>
      </c>
      <c r="D195" s="2">
        <v>1991</v>
      </c>
      <c r="E195" s="45">
        <v>2011</v>
      </c>
      <c r="F195" s="2">
        <v>2011</v>
      </c>
      <c r="G195" s="2">
        <v>2011</v>
      </c>
    </row>
    <row r="196" spans="1:7" x14ac:dyDescent="0.25">
      <c r="A196" s="2" t="e">
        <f>VLOOKUP(B196,'country codes'!A13:B260,2,FALSE)</f>
        <v>#N/A</v>
      </c>
      <c r="B196" s="1" t="s">
        <v>11</v>
      </c>
      <c r="C196" s="2" t="s">
        <v>206</v>
      </c>
      <c r="D196" s="2">
        <v>2011</v>
      </c>
      <c r="E196" s="2">
        <v>2011</v>
      </c>
      <c r="F196" s="2">
        <v>2011</v>
      </c>
      <c r="G196" s="2">
        <v>2011</v>
      </c>
    </row>
    <row r="197" spans="1:7" x14ac:dyDescent="0.25">
      <c r="A197" s="2" t="e">
        <f>VLOOKUP(B197,'country codes'!A65:B311,2,FALSE)</f>
        <v>#N/A</v>
      </c>
      <c r="B197" s="1" t="s">
        <v>60</v>
      </c>
      <c r="C197" s="2" t="s">
        <v>206</v>
      </c>
      <c r="D197" s="2">
        <v>1988</v>
      </c>
      <c r="E197" s="2"/>
      <c r="F197" s="2"/>
      <c r="G197" s="2"/>
    </row>
    <row r="198" spans="1:7" x14ac:dyDescent="0.25">
      <c r="A198" s="2" t="str">
        <f>VLOOKUP(B198,'country codes'!A179:B423,2,FALSE)</f>
        <v>TL</v>
      </c>
      <c r="B198" s="1" t="s">
        <v>171</v>
      </c>
      <c r="C198" s="2" t="s">
        <v>206</v>
      </c>
      <c r="D198" s="2"/>
      <c r="E198" s="2"/>
      <c r="F198" s="2"/>
      <c r="G198" s="2"/>
    </row>
    <row r="199" spans="1:7" x14ac:dyDescent="0.25">
      <c r="A199" s="2" t="str">
        <f>VLOOKUP(B199,'country codes'!A180:B424,2,FALSE)</f>
        <v>TG</v>
      </c>
      <c r="B199" s="1" t="s">
        <v>172</v>
      </c>
      <c r="C199" s="2" t="s">
        <v>206</v>
      </c>
      <c r="D199" s="2"/>
      <c r="E199" s="2"/>
      <c r="F199" s="2"/>
      <c r="G199" s="2"/>
    </row>
    <row r="200" spans="1:7" x14ac:dyDescent="0.25">
      <c r="A200" s="2" t="str">
        <f>VLOOKUP(B200,'country codes'!A181:B425,2,FALSE)</f>
        <v>TO</v>
      </c>
      <c r="B200" s="1" t="s">
        <v>173</v>
      </c>
      <c r="C200" s="2" t="s">
        <v>206</v>
      </c>
      <c r="D200" s="2"/>
      <c r="E200" s="2"/>
      <c r="F200" s="2"/>
      <c r="G200" s="2"/>
    </row>
    <row r="201" spans="1:7" x14ac:dyDescent="0.25">
      <c r="A201" s="2" t="str">
        <f>VLOOKUP(B201,'country codes'!A182:B426,2,FALSE)</f>
        <v>TT</v>
      </c>
      <c r="B201" s="1" t="s">
        <v>174</v>
      </c>
      <c r="C201" s="2" t="s">
        <v>206</v>
      </c>
      <c r="D201" s="2"/>
      <c r="E201" s="2"/>
      <c r="F201" s="2"/>
      <c r="G201" s="2"/>
    </row>
    <row r="202" spans="1:7" x14ac:dyDescent="0.25">
      <c r="A202" s="2" t="str">
        <f>VLOOKUP(B202,'country codes'!A183:B427,2,FALSE)</f>
        <v>TN</v>
      </c>
      <c r="B202" s="1" t="s">
        <v>175</v>
      </c>
      <c r="C202" s="2" t="s">
        <v>206</v>
      </c>
      <c r="D202" s="2"/>
      <c r="E202" s="2" t="s">
        <v>195</v>
      </c>
      <c r="F202" s="2"/>
      <c r="G202" s="2"/>
    </row>
    <row r="203" spans="1:7" x14ac:dyDescent="0.25">
      <c r="A203" s="2" t="str">
        <f>VLOOKUP(B203,'country codes'!A184:B428,2,FALSE)</f>
        <v>TR</v>
      </c>
      <c r="B203" s="1" t="s">
        <v>176</v>
      </c>
      <c r="C203" s="2" t="s">
        <v>206</v>
      </c>
      <c r="D203" s="2">
        <v>2021</v>
      </c>
      <c r="E203" s="2">
        <v>2021</v>
      </c>
      <c r="F203" s="2">
        <v>2021</v>
      </c>
      <c r="G203" s="2"/>
    </row>
    <row r="204" spans="1:7" x14ac:dyDescent="0.25">
      <c r="A204" s="2" t="str">
        <f>VLOOKUP(B204,'country codes'!A185:B429,2,FALSE)</f>
        <v>TM</v>
      </c>
      <c r="B204" s="1" t="s">
        <v>177</v>
      </c>
      <c r="C204" s="2" t="s">
        <v>206</v>
      </c>
      <c r="D204" s="2">
        <v>2025</v>
      </c>
      <c r="E204" s="2">
        <v>2025</v>
      </c>
      <c r="F204" s="2"/>
      <c r="G204" s="2"/>
    </row>
    <row r="205" spans="1:7" x14ac:dyDescent="0.25">
      <c r="A205" s="2" t="str">
        <f>VLOOKUP(B205,'country codes'!A186:B430,2,FALSE)</f>
        <v>TV</v>
      </c>
      <c r="B205" s="1" t="s">
        <v>178</v>
      </c>
      <c r="C205" s="2" t="s">
        <v>206</v>
      </c>
      <c r="D205" s="2"/>
      <c r="E205" s="2"/>
      <c r="F205" s="2"/>
      <c r="G205" s="2"/>
    </row>
    <row r="206" spans="1:7" x14ac:dyDescent="0.25">
      <c r="A206" s="15" t="s">
        <v>1969</v>
      </c>
      <c r="B206" s="16" t="s">
        <v>2018</v>
      </c>
      <c r="C206" s="14" t="s">
        <v>2015</v>
      </c>
      <c r="D206" s="14" t="s">
        <v>195</v>
      </c>
      <c r="E206" s="14" t="s">
        <v>195</v>
      </c>
      <c r="F206" s="14" t="s">
        <v>195</v>
      </c>
      <c r="G206" s="14" t="s">
        <v>195</v>
      </c>
    </row>
    <row r="207" spans="1:7" x14ac:dyDescent="0.25">
      <c r="A207" s="2" t="str">
        <f>VLOOKUP(B207,'country codes'!A187:B431,2,FALSE)</f>
        <v>UG</v>
      </c>
      <c r="B207" s="1" t="s">
        <v>179</v>
      </c>
      <c r="C207" s="2" t="s">
        <v>206</v>
      </c>
      <c r="D207" s="2">
        <v>2002</v>
      </c>
      <c r="E207" s="2"/>
      <c r="F207" s="2"/>
      <c r="G207" s="2"/>
    </row>
    <row r="208" spans="1:7" x14ac:dyDescent="0.25">
      <c r="A208" s="2" t="str">
        <f>VLOOKUP(B208,'country codes'!A188:B432,2,FALSE)</f>
        <v>UA</v>
      </c>
      <c r="B208" s="1" t="s">
        <v>180</v>
      </c>
      <c r="C208" s="2" t="s">
        <v>206</v>
      </c>
      <c r="D208" s="2">
        <v>2021</v>
      </c>
      <c r="E208" s="2">
        <v>2021</v>
      </c>
      <c r="F208" s="2"/>
      <c r="G208" s="2"/>
    </row>
    <row r="209" spans="1:9" x14ac:dyDescent="0.25">
      <c r="A209" s="2" t="str">
        <f>VLOOKUP(B209,'country codes'!A189:B433,2,FALSE)</f>
        <v>AE</v>
      </c>
      <c r="B209" s="1" t="s">
        <v>181</v>
      </c>
      <c r="C209" s="2" t="s">
        <v>206</v>
      </c>
      <c r="D209" s="2">
        <v>1999</v>
      </c>
      <c r="E209" s="2">
        <v>1999</v>
      </c>
      <c r="F209" s="2">
        <v>1999</v>
      </c>
      <c r="G209" s="2">
        <v>1999</v>
      </c>
    </row>
    <row r="210" spans="1:9" x14ac:dyDescent="0.25">
      <c r="A210" s="2" t="str">
        <f>VLOOKUP(B210,'country codes'!A190:B434,2,FALSE)</f>
        <v>GB</v>
      </c>
      <c r="B210" s="1" t="s">
        <v>182</v>
      </c>
      <c r="C210" s="2" t="s">
        <v>206</v>
      </c>
      <c r="D210" s="2">
        <v>2017</v>
      </c>
      <c r="E210" s="45">
        <v>2017</v>
      </c>
      <c r="F210" s="2">
        <v>2017</v>
      </c>
      <c r="G210" s="2">
        <v>2017</v>
      </c>
      <c r="I210" t="s">
        <v>2130</v>
      </c>
    </row>
    <row r="211" spans="1:9" x14ac:dyDescent="0.25">
      <c r="A211" s="2" t="e">
        <f>VLOOKUP(B211,'country codes'!A191:B435,2,FALSE)</f>
        <v>#N/A</v>
      </c>
      <c r="B211" s="1" t="s">
        <v>183</v>
      </c>
      <c r="C211" s="2" t="s">
        <v>206</v>
      </c>
      <c r="D211" s="2">
        <v>1996</v>
      </c>
      <c r="E211" s="45">
        <v>1969</v>
      </c>
      <c r="F211" s="2">
        <v>1996</v>
      </c>
      <c r="G211" s="2">
        <v>1998</v>
      </c>
    </row>
    <row r="212" spans="1:9" x14ac:dyDescent="0.25">
      <c r="A212" s="2" t="str">
        <f>VLOOKUP(B212,'country codes'!A192:B436,2,FALSE)</f>
        <v>UY</v>
      </c>
      <c r="B212" s="1" t="s">
        <v>184</v>
      </c>
      <c r="C212" s="2" t="s">
        <v>206</v>
      </c>
      <c r="D212" s="2">
        <v>2013</v>
      </c>
      <c r="E212" s="2">
        <v>2013</v>
      </c>
      <c r="F212" s="2">
        <v>2013</v>
      </c>
      <c r="G212" s="2">
        <v>2013</v>
      </c>
    </row>
    <row r="213" spans="1:9" x14ac:dyDescent="0.25">
      <c r="A213" s="2" t="str">
        <f>VLOOKUP(B213,'country codes'!A193:B437,2,FALSE)</f>
        <v>UZ</v>
      </c>
      <c r="B213" s="1" t="s">
        <v>185</v>
      </c>
      <c r="C213" s="2" t="s">
        <v>206</v>
      </c>
      <c r="D213" s="2">
        <v>2025</v>
      </c>
      <c r="E213" s="2">
        <v>2025</v>
      </c>
      <c r="F213" s="2"/>
      <c r="G213" s="2"/>
    </row>
    <row r="214" spans="1:9" x14ac:dyDescent="0.25">
      <c r="A214" s="2" t="str">
        <f>VLOOKUP(B214,'country codes'!A194:B438,2,FALSE)</f>
        <v>VU</v>
      </c>
      <c r="B214" s="1" t="s">
        <v>186</v>
      </c>
      <c r="C214" s="2" t="s">
        <v>206</v>
      </c>
      <c r="D214" s="2">
        <v>2025</v>
      </c>
      <c r="E214" s="2"/>
      <c r="F214" s="2"/>
      <c r="G214" s="2"/>
    </row>
    <row r="215" spans="1:9" x14ac:dyDescent="0.25">
      <c r="A215" s="2" t="str">
        <f>VLOOKUP(B215,'country codes'!A195:B439,2,FALSE)</f>
        <v>VE</v>
      </c>
      <c r="B215" s="1" t="s">
        <v>187</v>
      </c>
      <c r="C215" s="2" t="s">
        <v>206</v>
      </c>
      <c r="D215" s="2"/>
      <c r="E215" s="2" t="s">
        <v>195</v>
      </c>
      <c r="F215" s="2"/>
      <c r="G215" s="2"/>
    </row>
    <row r="216" spans="1:9" x14ac:dyDescent="0.25">
      <c r="A216" s="2" t="str">
        <f>VLOOKUP(B216,'country codes'!A196:B440,2,FALSE)</f>
        <v>VN</v>
      </c>
      <c r="B216" s="1" t="s">
        <v>188</v>
      </c>
      <c r="C216" s="2" t="s">
        <v>206</v>
      </c>
      <c r="D216" s="2">
        <v>2009</v>
      </c>
      <c r="E216" s="2">
        <v>2009</v>
      </c>
      <c r="F216" s="2">
        <v>2009</v>
      </c>
      <c r="G216" s="2">
        <v>2009</v>
      </c>
    </row>
    <row r="217" spans="1:9" x14ac:dyDescent="0.25">
      <c r="A217" s="2" t="str">
        <f>VLOOKUP(B217,'country codes'!A197:B441,2,FALSE)</f>
        <v>YE</v>
      </c>
      <c r="B217" s="1" t="s">
        <v>189</v>
      </c>
      <c r="C217" s="2" t="s">
        <v>206</v>
      </c>
      <c r="D217" s="2"/>
      <c r="E217" s="2" t="s">
        <v>195</v>
      </c>
      <c r="F217" s="2"/>
      <c r="G217" s="2"/>
    </row>
    <row r="218" spans="1:9" x14ac:dyDescent="0.25">
      <c r="A218" s="2" t="str">
        <f>VLOOKUP(B218,'country codes'!A198:B442,2,FALSE)</f>
        <v>ZM</v>
      </c>
      <c r="B218" s="1" t="s">
        <v>190</v>
      </c>
      <c r="C218" s="2" t="s">
        <v>206</v>
      </c>
      <c r="D218" s="2">
        <v>1990</v>
      </c>
      <c r="E218" s="2">
        <v>2003</v>
      </c>
      <c r="F218" s="2">
        <v>2003</v>
      </c>
      <c r="G218" s="2">
        <v>2003</v>
      </c>
    </row>
    <row r="219" spans="1:9" x14ac:dyDescent="0.25">
      <c r="A219" s="2" t="str">
        <f>VLOOKUP(B219,'country codes'!A199:B443,2,FALSE)</f>
        <v>ZW</v>
      </c>
      <c r="B219" s="1" t="s">
        <v>191</v>
      </c>
      <c r="C219" s="2" t="s">
        <v>206</v>
      </c>
      <c r="D219" s="2">
        <v>1990</v>
      </c>
      <c r="E219" s="2">
        <v>2003</v>
      </c>
      <c r="F219" s="2">
        <v>2003</v>
      </c>
      <c r="G219" s="2">
        <v>2003</v>
      </c>
    </row>
  </sheetData>
  <hyperlinks>
    <hyperlink ref="I13" r:id="rId1" xr:uid="{C6789F4F-5F79-4010-850F-C1E0BCD465F4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53"/>
  <sheetViews>
    <sheetView topLeftCell="A17" workbookViewId="0">
      <selection activeCell="B28" sqref="B28"/>
    </sheetView>
  </sheetViews>
  <sheetFormatPr defaultRowHeight="15" x14ac:dyDescent="0.25"/>
  <cols>
    <col min="2" max="2" width="14" bestFit="1" customWidth="1"/>
    <col min="3" max="4" width="8.85546875" style="3"/>
    <col min="6" max="6" width="12.85546875" bestFit="1" customWidth="1"/>
  </cols>
  <sheetData>
    <row r="2" spans="2:11" ht="23.25" x14ac:dyDescent="0.35">
      <c r="B2" s="28" t="s">
        <v>198</v>
      </c>
      <c r="C2" s="29">
        <f>COUNTA(C5:C212)</f>
        <v>37</v>
      </c>
      <c r="D2" s="29">
        <f>COUNTA(D5:D212)</f>
        <v>38</v>
      </c>
    </row>
    <row r="3" spans="2:11" x14ac:dyDescent="0.25">
      <c r="B3" s="30" t="s">
        <v>2025</v>
      </c>
      <c r="C3" s="31" t="s">
        <v>193</v>
      </c>
      <c r="D3" s="31" t="s">
        <v>194</v>
      </c>
      <c r="E3" s="30"/>
      <c r="F3" s="30" t="s">
        <v>2026</v>
      </c>
      <c r="K3" t="s">
        <v>2131</v>
      </c>
    </row>
    <row r="4" spans="2:11" x14ac:dyDescent="0.25">
      <c r="B4" t="s">
        <v>2027</v>
      </c>
      <c r="C4" s="3" t="s">
        <v>195</v>
      </c>
      <c r="D4" s="3" t="s">
        <v>195</v>
      </c>
      <c r="F4" t="s">
        <v>2028</v>
      </c>
      <c r="K4" t="s">
        <v>2132</v>
      </c>
    </row>
    <row r="5" spans="2:11" x14ac:dyDescent="0.25">
      <c r="B5" t="s">
        <v>2031</v>
      </c>
      <c r="C5" s="3" t="s">
        <v>195</v>
      </c>
      <c r="D5" s="3" t="s">
        <v>195</v>
      </c>
      <c r="F5" t="s">
        <v>2032</v>
      </c>
    </row>
    <row r="6" spans="2:11" x14ac:dyDescent="0.25">
      <c r="B6" t="s">
        <v>2035</v>
      </c>
      <c r="C6" s="3" t="s">
        <v>195</v>
      </c>
      <c r="D6" s="3" t="s">
        <v>195</v>
      </c>
      <c r="F6" t="s">
        <v>2036</v>
      </c>
      <c r="K6" t="s">
        <v>2133</v>
      </c>
    </row>
    <row r="7" spans="2:11" x14ac:dyDescent="0.25">
      <c r="B7" t="s">
        <v>2039</v>
      </c>
      <c r="C7" s="3" t="s">
        <v>195</v>
      </c>
      <c r="F7" t="s">
        <v>2040</v>
      </c>
      <c r="K7" t="s">
        <v>2137</v>
      </c>
    </row>
    <row r="8" spans="2:11" x14ac:dyDescent="0.25">
      <c r="B8" t="s">
        <v>2043</v>
      </c>
      <c r="C8" s="3" t="s">
        <v>195</v>
      </c>
      <c r="D8" s="3" t="s">
        <v>195</v>
      </c>
      <c r="F8" t="s">
        <v>2044</v>
      </c>
      <c r="K8" t="s">
        <v>2134</v>
      </c>
    </row>
    <row r="9" spans="2:11" x14ac:dyDescent="0.25">
      <c r="B9" t="s">
        <v>2047</v>
      </c>
      <c r="C9" s="3" t="s">
        <v>195</v>
      </c>
      <c r="D9" s="3" t="s">
        <v>195</v>
      </c>
      <c r="F9" t="s">
        <v>2048</v>
      </c>
      <c r="K9" t="s">
        <v>2135</v>
      </c>
    </row>
    <row r="10" spans="2:11" x14ac:dyDescent="0.25">
      <c r="B10" t="s">
        <v>2051</v>
      </c>
      <c r="C10" s="3" t="s">
        <v>195</v>
      </c>
      <c r="D10" s="3" t="s">
        <v>195</v>
      </c>
      <c r="F10" t="s">
        <v>2052</v>
      </c>
      <c r="K10" t="s">
        <v>2138</v>
      </c>
    </row>
    <row r="11" spans="2:11" x14ac:dyDescent="0.25">
      <c r="B11" t="s">
        <v>2055</v>
      </c>
      <c r="C11" s="3" t="s">
        <v>195</v>
      </c>
      <c r="D11" s="3" t="s">
        <v>195</v>
      </c>
      <c r="F11" t="s">
        <v>2056</v>
      </c>
      <c r="K11" t="s">
        <v>2136</v>
      </c>
    </row>
    <row r="12" spans="2:11" x14ac:dyDescent="0.25">
      <c r="B12" t="s">
        <v>2059</v>
      </c>
      <c r="C12" s="3" t="s">
        <v>195</v>
      </c>
      <c r="D12" s="3" t="s">
        <v>195</v>
      </c>
      <c r="F12" t="s">
        <v>2060</v>
      </c>
    </row>
    <row r="13" spans="2:11" x14ac:dyDescent="0.25">
      <c r="B13" t="s">
        <v>61</v>
      </c>
      <c r="C13" s="3" t="s">
        <v>195</v>
      </c>
      <c r="D13" s="3" t="s">
        <v>195</v>
      </c>
      <c r="F13" t="s">
        <v>2063</v>
      </c>
    </row>
    <row r="14" spans="2:11" x14ac:dyDescent="0.25">
      <c r="B14" t="s">
        <v>2066</v>
      </c>
      <c r="C14" s="3" t="s">
        <v>195</v>
      </c>
      <c r="D14" s="3" t="s">
        <v>195</v>
      </c>
      <c r="F14" t="s">
        <v>2067</v>
      </c>
    </row>
    <row r="15" spans="2:11" x14ac:dyDescent="0.25">
      <c r="B15" t="s">
        <v>2070</v>
      </c>
      <c r="C15" s="3" t="s">
        <v>195</v>
      </c>
      <c r="D15" s="3" t="s">
        <v>195</v>
      </c>
      <c r="F15" t="s">
        <v>2071</v>
      </c>
    </row>
    <row r="16" spans="2:11" x14ac:dyDescent="0.25">
      <c r="B16" t="s">
        <v>2074</v>
      </c>
      <c r="D16" s="3" t="s">
        <v>195</v>
      </c>
      <c r="F16" t="s">
        <v>2075</v>
      </c>
    </row>
    <row r="17" spans="2:6" x14ac:dyDescent="0.25">
      <c r="B17" t="s">
        <v>2078</v>
      </c>
      <c r="C17" s="3" t="s">
        <v>195</v>
      </c>
      <c r="F17" t="s">
        <v>2079</v>
      </c>
    </row>
    <row r="18" spans="2:6" x14ac:dyDescent="0.25">
      <c r="B18" t="s">
        <v>2082</v>
      </c>
      <c r="C18" s="3" t="s">
        <v>195</v>
      </c>
      <c r="F18" t="s">
        <v>2083</v>
      </c>
    </row>
    <row r="19" spans="2:6" x14ac:dyDescent="0.25">
      <c r="B19" t="s">
        <v>2086</v>
      </c>
      <c r="F19" t="s">
        <v>2087</v>
      </c>
    </row>
    <row r="20" spans="2:6" x14ac:dyDescent="0.25">
      <c r="B20" t="s">
        <v>2090</v>
      </c>
      <c r="F20" t="s">
        <v>2091</v>
      </c>
    </row>
    <row r="21" spans="2:6" x14ac:dyDescent="0.25">
      <c r="B21" t="s">
        <v>2094</v>
      </c>
      <c r="C21" s="3" t="s">
        <v>195</v>
      </c>
      <c r="F21" t="s">
        <v>2095</v>
      </c>
    </row>
    <row r="22" spans="2:6" x14ac:dyDescent="0.25">
      <c r="B22" t="s">
        <v>2098</v>
      </c>
      <c r="C22" s="3" t="s">
        <v>195</v>
      </c>
      <c r="F22" t="s">
        <v>2099</v>
      </c>
    </row>
    <row r="23" spans="2:6" x14ac:dyDescent="0.25">
      <c r="B23" t="s">
        <v>2102</v>
      </c>
      <c r="C23" s="3" t="s">
        <v>195</v>
      </c>
      <c r="D23" s="3" t="s">
        <v>195</v>
      </c>
      <c r="F23" t="s">
        <v>2103</v>
      </c>
    </row>
    <row r="24" spans="2:6" x14ac:dyDescent="0.25">
      <c r="B24" t="s">
        <v>2106</v>
      </c>
      <c r="C24" s="3" t="s">
        <v>195</v>
      </c>
      <c r="D24" s="3" t="s">
        <v>195</v>
      </c>
      <c r="F24" t="s">
        <v>2107</v>
      </c>
    </row>
    <row r="25" spans="2:6" x14ac:dyDescent="0.25">
      <c r="B25" t="s">
        <v>2110</v>
      </c>
      <c r="C25" s="3" t="s">
        <v>195</v>
      </c>
      <c r="D25" s="3" t="s">
        <v>195</v>
      </c>
      <c r="F25" t="s">
        <v>2111</v>
      </c>
    </row>
    <row r="26" spans="2:6" x14ac:dyDescent="0.25">
      <c r="B26" t="s">
        <v>2114</v>
      </c>
      <c r="C26" s="3" t="s">
        <v>195</v>
      </c>
      <c r="D26" s="3" t="s">
        <v>195</v>
      </c>
      <c r="F26" t="s">
        <v>2115</v>
      </c>
    </row>
    <row r="27" spans="2:6" x14ac:dyDescent="0.25">
      <c r="B27" t="s">
        <v>2118</v>
      </c>
      <c r="C27" s="3" t="s">
        <v>195</v>
      </c>
      <c r="D27" s="3" t="s">
        <v>195</v>
      </c>
      <c r="F27" t="s">
        <v>2119</v>
      </c>
    </row>
    <row r="28" spans="2:6" x14ac:dyDescent="0.25">
      <c r="B28" t="s">
        <v>2122</v>
      </c>
      <c r="D28" s="3" t="s">
        <v>195</v>
      </c>
      <c r="F28" t="s">
        <v>2123</v>
      </c>
    </row>
    <row r="29" spans="2:6" x14ac:dyDescent="0.25">
      <c r="B29" t="s">
        <v>2029</v>
      </c>
      <c r="C29" s="3" t="s">
        <v>195</v>
      </c>
      <c r="D29" s="3" t="s">
        <v>195</v>
      </c>
      <c r="F29" t="s">
        <v>2030</v>
      </c>
    </row>
    <row r="30" spans="2:6" x14ac:dyDescent="0.25">
      <c r="B30" t="s">
        <v>2033</v>
      </c>
      <c r="F30" t="s">
        <v>2034</v>
      </c>
    </row>
    <row r="31" spans="2:6" x14ac:dyDescent="0.25">
      <c r="B31" t="s">
        <v>2037</v>
      </c>
      <c r="C31" s="3" t="s">
        <v>195</v>
      </c>
      <c r="D31" s="3" t="s">
        <v>195</v>
      </c>
      <c r="F31" t="s">
        <v>2038</v>
      </c>
    </row>
    <row r="32" spans="2:6" x14ac:dyDescent="0.25">
      <c r="B32" t="s">
        <v>2041</v>
      </c>
      <c r="D32" s="3" t="s">
        <v>195</v>
      </c>
      <c r="F32" t="s">
        <v>2042</v>
      </c>
    </row>
    <row r="33" spans="2:6" x14ac:dyDescent="0.25">
      <c r="B33" t="s">
        <v>2045</v>
      </c>
      <c r="C33" s="3" t="s">
        <v>195</v>
      </c>
      <c r="D33" s="3" t="s">
        <v>195</v>
      </c>
      <c r="F33" t="s">
        <v>2046</v>
      </c>
    </row>
    <row r="34" spans="2:6" x14ac:dyDescent="0.25">
      <c r="B34" t="s">
        <v>2049</v>
      </c>
      <c r="D34" s="3" t="s">
        <v>195</v>
      </c>
      <c r="F34" t="s">
        <v>2050</v>
      </c>
    </row>
    <row r="35" spans="2:6" x14ac:dyDescent="0.25">
      <c r="B35" t="s">
        <v>2053</v>
      </c>
      <c r="C35" s="3" t="s">
        <v>195</v>
      </c>
      <c r="D35" s="3" t="s">
        <v>195</v>
      </c>
      <c r="F35" t="s">
        <v>2054</v>
      </c>
    </row>
    <row r="36" spans="2:6" x14ac:dyDescent="0.25">
      <c r="B36" t="s">
        <v>2057</v>
      </c>
      <c r="C36" s="3" t="s">
        <v>195</v>
      </c>
      <c r="D36" s="3" t="s">
        <v>195</v>
      </c>
      <c r="F36" t="s">
        <v>2058</v>
      </c>
    </row>
    <row r="37" spans="2:6" x14ac:dyDescent="0.25">
      <c r="B37" t="s">
        <v>2061</v>
      </c>
      <c r="F37" t="s">
        <v>2062</v>
      </c>
    </row>
    <row r="38" spans="2:6" x14ac:dyDescent="0.25">
      <c r="B38" t="s">
        <v>2064</v>
      </c>
      <c r="C38" s="3" t="s">
        <v>195</v>
      </c>
      <c r="D38" s="3" t="s">
        <v>195</v>
      </c>
      <c r="F38" t="s">
        <v>2065</v>
      </c>
    </row>
    <row r="39" spans="2:6" x14ac:dyDescent="0.25">
      <c r="B39" t="s">
        <v>2068</v>
      </c>
      <c r="F39" t="s">
        <v>2069</v>
      </c>
    </row>
    <row r="40" spans="2:6" x14ac:dyDescent="0.25">
      <c r="B40" t="s">
        <v>2072</v>
      </c>
      <c r="D40" s="3" t="s">
        <v>195</v>
      </c>
      <c r="F40" t="s">
        <v>2073</v>
      </c>
    </row>
    <row r="41" spans="2:6" x14ac:dyDescent="0.25">
      <c r="B41" t="s">
        <v>2076</v>
      </c>
      <c r="C41" s="3" t="s">
        <v>195</v>
      </c>
      <c r="D41" s="3" t="s">
        <v>195</v>
      </c>
      <c r="F41" t="s">
        <v>2077</v>
      </c>
    </row>
    <row r="42" spans="2:6" x14ac:dyDescent="0.25">
      <c r="B42" t="s">
        <v>2080</v>
      </c>
      <c r="C42" s="3" t="s">
        <v>195</v>
      </c>
      <c r="D42" s="3" t="s">
        <v>195</v>
      </c>
      <c r="F42" t="s">
        <v>2081</v>
      </c>
    </row>
    <row r="43" spans="2:6" x14ac:dyDescent="0.25">
      <c r="B43" t="s">
        <v>2084</v>
      </c>
      <c r="C43" s="3" t="s">
        <v>195</v>
      </c>
      <c r="D43" s="3" t="s">
        <v>195</v>
      </c>
      <c r="F43" t="s">
        <v>2085</v>
      </c>
    </row>
    <row r="44" spans="2:6" x14ac:dyDescent="0.25">
      <c r="B44" t="s">
        <v>2088</v>
      </c>
      <c r="C44" s="3" t="s">
        <v>195</v>
      </c>
      <c r="D44" s="3" t="s">
        <v>195</v>
      </c>
      <c r="F44" t="s">
        <v>2089</v>
      </c>
    </row>
    <row r="45" spans="2:6" x14ac:dyDescent="0.25">
      <c r="B45" t="s">
        <v>2092</v>
      </c>
      <c r="C45" s="3" t="s">
        <v>195</v>
      </c>
      <c r="D45" s="3" t="s">
        <v>195</v>
      </c>
      <c r="F45" t="s">
        <v>2093</v>
      </c>
    </row>
    <row r="46" spans="2:6" x14ac:dyDescent="0.25">
      <c r="B46" t="s">
        <v>2096</v>
      </c>
      <c r="C46" s="3" t="s">
        <v>195</v>
      </c>
      <c r="D46" s="3" t="s">
        <v>195</v>
      </c>
      <c r="F46" t="s">
        <v>2097</v>
      </c>
    </row>
    <row r="47" spans="2:6" x14ac:dyDescent="0.25">
      <c r="B47" t="s">
        <v>2100</v>
      </c>
      <c r="C47" s="3" t="s">
        <v>195</v>
      </c>
      <c r="D47" s="3" t="s">
        <v>195</v>
      </c>
      <c r="F47" t="s">
        <v>2101</v>
      </c>
    </row>
    <row r="48" spans="2:6" x14ac:dyDescent="0.25">
      <c r="B48" t="s">
        <v>2104</v>
      </c>
      <c r="D48" s="3" t="s">
        <v>195</v>
      </c>
      <c r="F48" t="s">
        <v>2105</v>
      </c>
    </row>
    <row r="49" spans="2:6" x14ac:dyDescent="0.25">
      <c r="B49" t="s">
        <v>2108</v>
      </c>
      <c r="C49" s="3" t="s">
        <v>195</v>
      </c>
      <c r="D49" s="3" t="s">
        <v>195</v>
      </c>
      <c r="F49" t="s">
        <v>2109</v>
      </c>
    </row>
    <row r="50" spans="2:6" x14ac:dyDescent="0.25">
      <c r="B50" t="s">
        <v>2112</v>
      </c>
      <c r="C50" s="3" t="s">
        <v>195</v>
      </c>
      <c r="D50" s="3" t="s">
        <v>195</v>
      </c>
      <c r="F50" t="s">
        <v>2113</v>
      </c>
    </row>
    <row r="51" spans="2:6" x14ac:dyDescent="0.25">
      <c r="B51" t="s">
        <v>2116</v>
      </c>
      <c r="C51" s="3" t="s">
        <v>195</v>
      </c>
      <c r="D51" s="3" t="s">
        <v>195</v>
      </c>
      <c r="F51" t="s">
        <v>2117</v>
      </c>
    </row>
    <row r="52" spans="2:6" x14ac:dyDescent="0.25">
      <c r="B52" t="s">
        <v>2120</v>
      </c>
      <c r="F52" t="s">
        <v>2121</v>
      </c>
    </row>
    <row r="53" spans="2:6" x14ac:dyDescent="0.25">
      <c r="B53" t="s">
        <v>2124</v>
      </c>
      <c r="C53" s="3" t="s">
        <v>195</v>
      </c>
      <c r="D53" s="3" t="s">
        <v>195</v>
      </c>
      <c r="F53" t="s">
        <v>2125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8"/>
  <sheetViews>
    <sheetView workbookViewId="0"/>
  </sheetViews>
  <sheetFormatPr defaultRowHeight="15" x14ac:dyDescent="0.25"/>
  <cols>
    <col min="1" max="1" width="17" customWidth="1"/>
  </cols>
  <sheetData>
    <row r="1" spans="1:9" x14ac:dyDescent="0.25">
      <c r="A1" t="s">
        <v>2007</v>
      </c>
      <c r="B1" t="s">
        <v>2004</v>
      </c>
      <c r="C1" t="s">
        <v>193</v>
      </c>
      <c r="D1" t="s">
        <v>194</v>
      </c>
      <c r="E1" t="s">
        <v>2008</v>
      </c>
      <c r="F1" t="s">
        <v>2009</v>
      </c>
      <c r="G1" t="s">
        <v>2002</v>
      </c>
      <c r="H1" t="s">
        <v>2003</v>
      </c>
      <c r="I1" t="s">
        <v>2010</v>
      </c>
    </row>
    <row r="2" spans="1:9" x14ac:dyDescent="0.25">
      <c r="A2" t="e">
        <f>VLOOKUP(B2,'Country or Territory'!A:G,2,FALSE)</f>
        <v>#N/A</v>
      </c>
      <c r="B2" t="s">
        <v>759</v>
      </c>
      <c r="C2" t="e">
        <f>IF(VLOOKUP(B2,'Country or Territory'!A:G,4,FALSE)="Y",$C$1 &amp; " has visited","")</f>
        <v>#N/A</v>
      </c>
      <c r="D2" t="e">
        <f>IF(VLOOKUP(B2,'Country or Territory'!A:G,5,FALSE)="Y",$D$1 &amp; " has visited","")</f>
        <v>#N/A</v>
      </c>
      <c r="E2" t="e">
        <f>IF(VLOOKUP(B2,'Country or Territory'!A:G,6,FALSE)="Y",$E$1 &amp; " has visited","")</f>
        <v>#N/A</v>
      </c>
      <c r="F2" t="e">
        <f>IF(VLOOKUP(B2,'Country or Territory'!A:G,7,FALSE)="Y",$F$1 &amp; " has visited","")</f>
        <v>#N/A</v>
      </c>
      <c r="G2">
        <f>VLOOKUP(B2,latlong!A:F,4,TRUE)</f>
        <v>34.528129999999997</v>
      </c>
      <c r="H2">
        <f>VLOOKUP(B2,latlong!A:F,5,TRUE)</f>
        <v>69.172330000000002</v>
      </c>
      <c r="I2">
        <f t="shared" ref="I2:I33" si="0">4-COUNTBLANK(C2:F2)</f>
        <v>4</v>
      </c>
    </row>
    <row r="3" spans="1:9" x14ac:dyDescent="0.25">
      <c r="A3" t="e">
        <f>VLOOKUP(B3,'Country or Territory'!A:G,2,FALSE)</f>
        <v>#N/A</v>
      </c>
      <c r="B3" t="s">
        <v>761</v>
      </c>
      <c r="C3" t="e">
        <f>IF(VLOOKUP(B3,'Country or Territory'!A:G,4,FALSE)="Y",$C$1 &amp; " has visited","")</f>
        <v>#N/A</v>
      </c>
      <c r="D3" t="e">
        <f>IF(VLOOKUP(B3,'Country or Territory'!A:G,5,FALSE)="Y",$D$1 &amp; " has visited","")</f>
        <v>#N/A</v>
      </c>
      <c r="E3" t="e">
        <f>IF(VLOOKUP(B3,'Country or Territory'!A:G,6,FALSE)="Y",$E$1 &amp; " has visited","")</f>
        <v>#N/A</v>
      </c>
      <c r="F3" t="e">
        <f>IF(VLOOKUP(B3,'Country or Territory'!A:G,7,FALSE)="Y",$F$1 &amp; " has visited","")</f>
        <v>#N/A</v>
      </c>
      <c r="G3">
        <f>VLOOKUP(B3,latlong!A:F,4,TRUE)</f>
        <v>41.327500000000001</v>
      </c>
      <c r="H3">
        <f>VLOOKUP(B3,latlong!A:F,5,TRUE)</f>
        <v>19.81889</v>
      </c>
      <c r="I3">
        <f t="shared" si="0"/>
        <v>4</v>
      </c>
    </row>
    <row r="4" spans="1:9" x14ac:dyDescent="0.25">
      <c r="A4" t="e">
        <f>VLOOKUP(B4,'Country or Territory'!A:G,2,FALSE)</f>
        <v>#N/A</v>
      </c>
      <c r="B4" t="s">
        <v>763</v>
      </c>
      <c r="C4" t="e">
        <f>IF(VLOOKUP(B4,'Country or Territory'!A:G,4,FALSE)="Y",$C$1 &amp; " has visited","")</f>
        <v>#N/A</v>
      </c>
      <c r="D4" t="e">
        <f>IF(VLOOKUP(B4,'Country or Territory'!A:G,5,FALSE)="Y",$D$1 &amp; " has visited","")</f>
        <v>#N/A</v>
      </c>
      <c r="E4" t="e">
        <f>IF(VLOOKUP(B4,'Country or Territory'!A:G,6,FALSE)="Y",$E$1 &amp; " has visited","")</f>
        <v>#N/A</v>
      </c>
      <c r="F4" t="e">
        <f>IF(VLOOKUP(B4,'Country or Territory'!A:G,7,FALSE)="Y",$F$1 &amp; " has visited","")</f>
        <v>#N/A</v>
      </c>
      <c r="G4">
        <f>VLOOKUP(B4,latlong!A:F,4,TRUE)</f>
        <v>36.752499999999998</v>
      </c>
      <c r="H4">
        <f>VLOOKUP(B4,latlong!A:F,5,TRUE)</f>
        <v>3.0419700000000001</v>
      </c>
      <c r="I4">
        <f t="shared" si="0"/>
        <v>4</v>
      </c>
    </row>
    <row r="5" spans="1:9" x14ac:dyDescent="0.25">
      <c r="A5" t="e">
        <f>VLOOKUP(B5,'Country or Territory'!A:G,2,FALSE)</f>
        <v>#N/A</v>
      </c>
      <c r="B5" t="s">
        <v>766</v>
      </c>
      <c r="C5" t="e">
        <f>IF(VLOOKUP(B5,'Country or Territory'!A:G,4,FALSE)="Y",$C$1 &amp; " has visited","")</f>
        <v>#N/A</v>
      </c>
      <c r="D5" t="e">
        <f>IF(VLOOKUP(B5,'Country or Territory'!A:G,5,FALSE)="Y",$D$1 &amp; " has visited","")</f>
        <v>#N/A</v>
      </c>
      <c r="E5" t="e">
        <f>IF(VLOOKUP(B5,'Country or Territory'!A:G,6,FALSE)="Y",$E$1 &amp; " has visited","")</f>
        <v>#N/A</v>
      </c>
      <c r="F5" t="e">
        <f>IF(VLOOKUP(B5,'Country or Territory'!A:G,7,FALSE)="Y",$F$1 &amp; " has visited","")</f>
        <v>#N/A</v>
      </c>
      <c r="G5">
        <f>VLOOKUP(B5,latlong!A:F,4,TRUE)</f>
        <v>42.50779</v>
      </c>
      <c r="H5">
        <f>VLOOKUP(B5,latlong!A:F,5,TRUE)</f>
        <v>1.5210900000000001</v>
      </c>
      <c r="I5">
        <f t="shared" si="0"/>
        <v>4</v>
      </c>
    </row>
    <row r="6" spans="1:9" x14ac:dyDescent="0.25">
      <c r="A6" t="e">
        <f>VLOOKUP(B6,'Country or Territory'!A:G,2,FALSE)</f>
        <v>#N/A</v>
      </c>
      <c r="B6" t="s">
        <v>768</v>
      </c>
      <c r="C6" t="e">
        <f>IF(VLOOKUP(B6,'Country or Territory'!A:G,4,FALSE)="Y",$C$1 &amp; " has visited","")</f>
        <v>#N/A</v>
      </c>
      <c r="D6" t="e">
        <f>IF(VLOOKUP(B6,'Country or Territory'!A:G,5,FALSE)="Y",$D$1 &amp; " has visited","")</f>
        <v>#N/A</v>
      </c>
      <c r="E6" t="e">
        <f>IF(VLOOKUP(B6,'Country or Territory'!A:G,6,FALSE)="Y",$E$1 &amp; " has visited","")</f>
        <v>#N/A</v>
      </c>
      <c r="F6" t="e">
        <f>IF(VLOOKUP(B6,'Country or Territory'!A:G,7,FALSE)="Y",$F$1 &amp; " has visited","")</f>
        <v>#N/A</v>
      </c>
      <c r="G6">
        <f>VLOOKUP(B6,latlong!A:F,4,TRUE)</f>
        <v>-8.8368199999999995</v>
      </c>
      <c r="H6">
        <f>VLOOKUP(B6,latlong!A:F,5,TRUE)</f>
        <v>13.23432</v>
      </c>
      <c r="I6">
        <f t="shared" si="0"/>
        <v>4</v>
      </c>
    </row>
    <row r="7" spans="1:9" x14ac:dyDescent="0.25">
      <c r="A7" t="e">
        <f>VLOOKUP(B7,'Country or Territory'!A:G,2,FALSE)</f>
        <v>#N/A</v>
      </c>
      <c r="B7" t="s">
        <v>772</v>
      </c>
      <c r="C7" t="e">
        <f>IF(VLOOKUP(B7,'Country or Territory'!A:G,4,FALSE)="Y",$C$1 &amp; " has visited","")</f>
        <v>#N/A</v>
      </c>
      <c r="D7" t="e">
        <f>IF(VLOOKUP(B7,'Country or Territory'!A:G,5,FALSE)="Y",$D$1 &amp; " has visited","")</f>
        <v>#N/A</v>
      </c>
      <c r="E7" t="e">
        <f>IF(VLOOKUP(B7,'Country or Territory'!A:G,6,FALSE)="Y",$E$1 &amp; " has visited","")</f>
        <v>#N/A</v>
      </c>
      <c r="F7" t="e">
        <f>IF(VLOOKUP(B7,'Country or Territory'!A:G,7,FALSE)="Y",$F$1 &amp; " has visited","")</f>
        <v>#N/A</v>
      </c>
      <c r="G7">
        <f>VLOOKUP(B7,latlong!A:F,4,TRUE)</f>
        <v>17.117170000000002</v>
      </c>
      <c r="H7">
        <f>VLOOKUP(B7,latlong!A:F,5,TRUE)</f>
        <v>-61.845730000000003</v>
      </c>
      <c r="I7">
        <f t="shared" si="0"/>
        <v>4</v>
      </c>
    </row>
    <row r="8" spans="1:9" x14ac:dyDescent="0.25">
      <c r="A8" t="e">
        <f>VLOOKUP(B8,'Country or Territory'!A:G,2,FALSE)</f>
        <v>#N/A</v>
      </c>
      <c r="B8" t="s">
        <v>774</v>
      </c>
      <c r="C8" t="e">
        <f>IF(VLOOKUP(B8,'Country or Territory'!A:G,4,FALSE)="Y",$C$1 &amp; " has visited","")</f>
        <v>#N/A</v>
      </c>
      <c r="D8" t="e">
        <f>IF(VLOOKUP(B8,'Country or Territory'!A:G,5,FALSE)="Y",$D$1 &amp; " has visited","")</f>
        <v>#N/A</v>
      </c>
      <c r="E8" t="e">
        <f>IF(VLOOKUP(B8,'Country or Territory'!A:G,6,FALSE)="Y",$E$1 &amp; " has visited","")</f>
        <v>#N/A</v>
      </c>
      <c r="F8" t="e">
        <f>IF(VLOOKUP(B8,'Country or Territory'!A:G,7,FALSE)="Y",$F$1 &amp; " has visited","")</f>
        <v>#N/A</v>
      </c>
      <c r="G8">
        <f>VLOOKUP(B8,latlong!A:F,4,TRUE)</f>
        <v>-34.613149999999997</v>
      </c>
      <c r="H8">
        <f>VLOOKUP(B8,latlong!A:F,5,TRUE)</f>
        <v>-58.377229999999997</v>
      </c>
      <c r="I8">
        <f t="shared" si="0"/>
        <v>4</v>
      </c>
    </row>
    <row r="9" spans="1:9" x14ac:dyDescent="0.25">
      <c r="A9" t="e">
        <f>VLOOKUP(B9,'Country or Territory'!A:G,2,FALSE)</f>
        <v>#N/A</v>
      </c>
      <c r="B9" t="s">
        <v>776</v>
      </c>
      <c r="C9" t="e">
        <f>IF(VLOOKUP(B9,'Country or Territory'!A:G,4,FALSE)="Y",$C$1 &amp; " has visited","")</f>
        <v>#N/A</v>
      </c>
      <c r="D9" t="e">
        <f>IF(VLOOKUP(B9,'Country or Territory'!A:G,5,FALSE)="Y",$D$1 &amp; " has visited","")</f>
        <v>#N/A</v>
      </c>
      <c r="E9" t="e">
        <f>IF(VLOOKUP(B9,'Country or Territory'!A:G,6,FALSE)="Y",$E$1 &amp; " has visited","")</f>
        <v>#N/A</v>
      </c>
      <c r="F9" t="e">
        <f>IF(VLOOKUP(B9,'Country or Territory'!A:G,7,FALSE)="Y",$F$1 &amp; " has visited","")</f>
        <v>#N/A</v>
      </c>
      <c r="G9">
        <f>VLOOKUP(B9,latlong!A:F,4,TRUE)</f>
        <v>40.181109999999997</v>
      </c>
      <c r="H9">
        <f>VLOOKUP(B9,latlong!A:F,5,TRUE)</f>
        <v>44.51361</v>
      </c>
      <c r="I9">
        <f t="shared" si="0"/>
        <v>4</v>
      </c>
    </row>
    <row r="10" spans="1:9" x14ac:dyDescent="0.25">
      <c r="A10" t="e">
        <f>VLOOKUP(B10,'Country or Territory'!A:G,2,FALSE)</f>
        <v>#N/A</v>
      </c>
      <c r="B10" t="s">
        <v>779</v>
      </c>
      <c r="C10" t="e">
        <f>IF(VLOOKUP(B10,'Country or Territory'!A:G,4,FALSE)="Y",$C$1 &amp; " has visited","")</f>
        <v>#N/A</v>
      </c>
      <c r="D10" t="e">
        <f>IF(VLOOKUP(B10,'Country or Territory'!A:G,5,FALSE)="Y",$D$1 &amp; " has visited","")</f>
        <v>#N/A</v>
      </c>
      <c r="E10" t="e">
        <f>IF(VLOOKUP(B10,'Country or Territory'!A:G,6,FALSE)="Y",$E$1 &amp; " has visited","")</f>
        <v>#N/A</v>
      </c>
      <c r="F10" t="e">
        <f>IF(VLOOKUP(B10,'Country or Territory'!A:G,7,FALSE)="Y",$F$1 &amp; " has visited","")</f>
        <v>#N/A</v>
      </c>
      <c r="G10">
        <f>VLOOKUP(B10,latlong!A:F,4,TRUE)</f>
        <v>-33.867849999999997</v>
      </c>
      <c r="H10">
        <f>VLOOKUP(B10,latlong!A:F,5,TRUE)</f>
        <v>151.20732000000001</v>
      </c>
      <c r="I10">
        <f t="shared" si="0"/>
        <v>4</v>
      </c>
    </row>
    <row r="11" spans="1:9" x14ac:dyDescent="0.25">
      <c r="A11" t="e">
        <f>VLOOKUP(B11,'Country or Territory'!A:G,2,FALSE)</f>
        <v>#N/A</v>
      </c>
      <c r="B11" t="s">
        <v>781</v>
      </c>
      <c r="C11" t="e">
        <f>IF(VLOOKUP(B11,'Country or Territory'!A:G,4,FALSE)="Y",$C$1 &amp; " has visited","")</f>
        <v>#N/A</v>
      </c>
      <c r="D11" t="e">
        <f>IF(VLOOKUP(B11,'Country or Territory'!A:G,5,FALSE)="Y",$D$1 &amp; " has visited","")</f>
        <v>#N/A</v>
      </c>
      <c r="E11" t="e">
        <f>IF(VLOOKUP(B11,'Country or Territory'!A:G,6,FALSE)="Y",$E$1 &amp; " has visited","")</f>
        <v>#N/A</v>
      </c>
      <c r="F11" t="e">
        <f>IF(VLOOKUP(B11,'Country or Territory'!A:G,7,FALSE)="Y",$F$1 &amp; " has visited","")</f>
        <v>#N/A</v>
      </c>
      <c r="G11">
        <f>VLOOKUP(B11,latlong!A:F,4,TRUE)</f>
        <v>48.208489999999998</v>
      </c>
      <c r="H11">
        <f>VLOOKUP(B11,latlong!A:F,5,TRUE)</f>
        <v>16.37208</v>
      </c>
      <c r="I11">
        <f t="shared" si="0"/>
        <v>4</v>
      </c>
    </row>
    <row r="12" spans="1:9" x14ac:dyDescent="0.25">
      <c r="A12" t="e">
        <f>VLOOKUP(B12,'Country or Territory'!A:G,2,FALSE)</f>
        <v>#N/A</v>
      </c>
      <c r="B12" t="s">
        <v>783</v>
      </c>
      <c r="C12" t="e">
        <f>IF(VLOOKUP(B12,'Country or Territory'!A:G,4,FALSE)="Y",$C$1 &amp; " has visited","")</f>
        <v>#N/A</v>
      </c>
      <c r="D12" t="e">
        <f>IF(VLOOKUP(B12,'Country or Territory'!A:G,5,FALSE)="Y",$D$1 &amp; " has visited","")</f>
        <v>#N/A</v>
      </c>
      <c r="E12" t="e">
        <f>IF(VLOOKUP(B12,'Country or Territory'!A:G,6,FALSE)="Y",$E$1 &amp; " has visited","")</f>
        <v>#N/A</v>
      </c>
      <c r="F12" t="e">
        <f>IF(VLOOKUP(B12,'Country or Territory'!A:G,7,FALSE)="Y",$F$1 &amp; " has visited","")</f>
        <v>#N/A</v>
      </c>
      <c r="G12">
        <f>VLOOKUP(B12,latlong!A:F,4,TRUE)</f>
        <v>40.377670000000002</v>
      </c>
      <c r="H12">
        <f>VLOOKUP(B12,latlong!A:F,5,TRUE)</f>
        <v>49.892009999999999</v>
      </c>
      <c r="I12">
        <f t="shared" si="0"/>
        <v>4</v>
      </c>
    </row>
    <row r="13" spans="1:9" x14ac:dyDescent="0.25">
      <c r="A13" t="e">
        <f>VLOOKUP(B13,'Country or Territory'!A:G,2,FALSE)</f>
        <v>#N/A</v>
      </c>
      <c r="B13" t="s">
        <v>785</v>
      </c>
      <c r="C13" t="e">
        <f>IF(VLOOKUP(B13,'Country or Territory'!A:G,4,FALSE)="Y",$C$1 &amp; " has visited","")</f>
        <v>#N/A</v>
      </c>
      <c r="D13" t="e">
        <f>IF(VLOOKUP(B13,'Country or Territory'!A:G,5,FALSE)="Y",$D$1 &amp; " has visited","")</f>
        <v>#N/A</v>
      </c>
      <c r="E13" t="e">
        <f>IF(VLOOKUP(B13,'Country or Territory'!A:G,6,FALSE)="Y",$E$1 &amp; " has visited","")</f>
        <v>#N/A</v>
      </c>
      <c r="F13" t="e">
        <f>IF(VLOOKUP(B13,'Country or Territory'!A:G,7,FALSE)="Y",$F$1 &amp; " has visited","")</f>
        <v>#N/A</v>
      </c>
      <c r="G13">
        <f>VLOOKUP(B13,latlong!A:F,4,TRUE)</f>
        <v>25.058229999999998</v>
      </c>
      <c r="H13">
        <f>VLOOKUP(B13,latlong!A:F,5,TRUE)</f>
        <v>-77.343059999999994</v>
      </c>
      <c r="I13">
        <f t="shared" si="0"/>
        <v>4</v>
      </c>
    </row>
    <row r="14" spans="1:9" x14ac:dyDescent="0.25">
      <c r="A14" t="e">
        <f>VLOOKUP(B14,'Country or Territory'!A:G,2,FALSE)</f>
        <v>#N/A</v>
      </c>
      <c r="B14" t="s">
        <v>787</v>
      </c>
      <c r="C14" t="e">
        <f>IF(VLOOKUP(B14,'Country or Territory'!A:G,4,FALSE)="Y",$C$1 &amp; " has visited","")</f>
        <v>#N/A</v>
      </c>
      <c r="D14" t="e">
        <f>IF(VLOOKUP(B14,'Country or Territory'!A:G,5,FALSE)="Y",$D$1 &amp; " has visited","")</f>
        <v>#N/A</v>
      </c>
      <c r="E14" t="e">
        <f>IF(VLOOKUP(B14,'Country or Territory'!A:G,6,FALSE)="Y",$E$1 &amp; " has visited","")</f>
        <v>#N/A</v>
      </c>
      <c r="F14" t="e">
        <f>IF(VLOOKUP(B14,'Country or Territory'!A:G,7,FALSE)="Y",$F$1 &amp; " has visited","")</f>
        <v>#N/A</v>
      </c>
      <c r="G14">
        <f>VLOOKUP(B14,latlong!A:F,4,TRUE)</f>
        <v>26.227869999999999</v>
      </c>
      <c r="H14">
        <f>VLOOKUP(B14,latlong!A:F,5,TRUE)</f>
        <v>50.585650000000001</v>
      </c>
      <c r="I14">
        <f t="shared" si="0"/>
        <v>4</v>
      </c>
    </row>
    <row r="15" spans="1:9" x14ac:dyDescent="0.25">
      <c r="A15" t="e">
        <f>VLOOKUP(B15,'Country or Territory'!A:G,2,FALSE)</f>
        <v>#N/A</v>
      </c>
      <c r="B15" t="s">
        <v>789</v>
      </c>
      <c r="C15" t="e">
        <f>IF(VLOOKUP(B15,'Country or Territory'!A:G,4,FALSE)="Y",$C$1 &amp; " has visited","")</f>
        <v>#N/A</v>
      </c>
      <c r="D15" t="e">
        <f>IF(VLOOKUP(B15,'Country or Territory'!A:G,5,FALSE)="Y",$D$1 &amp; " has visited","")</f>
        <v>#N/A</v>
      </c>
      <c r="E15" t="e">
        <f>IF(VLOOKUP(B15,'Country or Territory'!A:G,6,FALSE)="Y",$E$1 &amp; " has visited","")</f>
        <v>#N/A</v>
      </c>
      <c r="F15" t="e">
        <f>IF(VLOOKUP(B15,'Country or Territory'!A:G,7,FALSE)="Y",$F$1 &amp; " has visited","")</f>
        <v>#N/A</v>
      </c>
      <c r="G15">
        <f>VLOOKUP(B15,latlong!A:F,4,TRUE)</f>
        <v>23.7104</v>
      </c>
      <c r="H15">
        <f>VLOOKUP(B15,latlong!A:F,5,TRUE)</f>
        <v>90.407439999999994</v>
      </c>
      <c r="I15">
        <f t="shared" si="0"/>
        <v>4</v>
      </c>
    </row>
    <row r="16" spans="1:9" x14ac:dyDescent="0.25">
      <c r="A16" t="e">
        <f>VLOOKUP(B16,'Country or Territory'!A:G,2,FALSE)</f>
        <v>#N/A</v>
      </c>
      <c r="B16" t="s">
        <v>791</v>
      </c>
      <c r="C16" t="e">
        <f>IF(VLOOKUP(B16,'Country or Territory'!A:G,4,FALSE)="Y",$C$1 &amp; " has visited","")</f>
        <v>#N/A</v>
      </c>
      <c r="D16" t="e">
        <f>IF(VLOOKUP(B16,'Country or Territory'!A:G,5,FALSE)="Y",$D$1 &amp; " has visited","")</f>
        <v>#N/A</v>
      </c>
      <c r="E16" t="e">
        <f>IF(VLOOKUP(B16,'Country or Territory'!A:G,6,FALSE)="Y",$E$1 &amp; " has visited","")</f>
        <v>#N/A</v>
      </c>
      <c r="F16" t="e">
        <f>IF(VLOOKUP(B16,'Country or Territory'!A:G,7,FALSE)="Y",$F$1 &amp; " has visited","")</f>
        <v>#N/A</v>
      </c>
      <c r="G16">
        <f>VLOOKUP(B16,latlong!A:F,4,TRUE)</f>
        <v>13.1</v>
      </c>
      <c r="H16">
        <f>VLOOKUP(B16,latlong!A:F,5,TRUE)</f>
        <v>-59.616669999999999</v>
      </c>
      <c r="I16">
        <f t="shared" si="0"/>
        <v>4</v>
      </c>
    </row>
    <row r="17" spans="1:9" x14ac:dyDescent="0.25">
      <c r="A17" t="e">
        <f>VLOOKUP(B17,'Country or Territory'!A:G,2,FALSE)</f>
        <v>#N/A</v>
      </c>
      <c r="B17" t="s">
        <v>793</v>
      </c>
      <c r="C17" t="e">
        <f>IF(VLOOKUP(B17,'Country or Territory'!A:G,4,FALSE)="Y",$C$1 &amp; " has visited","")</f>
        <v>#N/A</v>
      </c>
      <c r="D17" t="e">
        <f>IF(VLOOKUP(B17,'Country or Territory'!A:G,5,FALSE)="Y",$D$1 &amp; " has visited","")</f>
        <v>#N/A</v>
      </c>
      <c r="E17" t="e">
        <f>IF(VLOOKUP(B17,'Country or Territory'!A:G,6,FALSE)="Y",$E$1 &amp; " has visited","")</f>
        <v>#N/A</v>
      </c>
      <c r="F17" t="e">
        <f>IF(VLOOKUP(B17,'Country or Territory'!A:G,7,FALSE)="Y",$F$1 &amp; " has visited","")</f>
        <v>#N/A</v>
      </c>
      <c r="G17">
        <f>VLOOKUP(B17,latlong!A:F,4,TRUE)</f>
        <v>53.9</v>
      </c>
      <c r="H17">
        <f>VLOOKUP(B17,latlong!A:F,5,TRUE)</f>
        <v>27.566669999999998</v>
      </c>
      <c r="I17">
        <f t="shared" si="0"/>
        <v>4</v>
      </c>
    </row>
    <row r="18" spans="1:9" x14ac:dyDescent="0.25">
      <c r="A18" t="e">
        <f>VLOOKUP(B18,'Country or Territory'!A:G,2,FALSE)</f>
        <v>#N/A</v>
      </c>
      <c r="B18" t="s">
        <v>795</v>
      </c>
      <c r="C18" t="e">
        <f>IF(VLOOKUP(B18,'Country or Territory'!A:G,4,FALSE)="Y",$C$1 &amp; " has visited","")</f>
        <v>#N/A</v>
      </c>
      <c r="D18" t="e">
        <f>IF(VLOOKUP(B18,'Country or Territory'!A:G,5,FALSE)="Y",$D$1 &amp; " has visited","")</f>
        <v>#N/A</v>
      </c>
      <c r="E18" t="e">
        <f>IF(VLOOKUP(B18,'Country or Territory'!A:G,6,FALSE)="Y",$E$1 &amp; " has visited","")</f>
        <v>#N/A</v>
      </c>
      <c r="F18" t="e">
        <f>IF(VLOOKUP(B18,'Country or Territory'!A:G,7,FALSE)="Y",$F$1 &amp; " has visited","")</f>
        <v>#N/A</v>
      </c>
      <c r="G18">
        <f>VLOOKUP(B18,latlong!A:F,4,TRUE)</f>
        <v>50.850450000000002</v>
      </c>
      <c r="H18">
        <f>VLOOKUP(B18,latlong!A:F,5,TRUE)</f>
        <v>4.3487799999999996</v>
      </c>
      <c r="I18">
        <f t="shared" si="0"/>
        <v>4</v>
      </c>
    </row>
    <row r="19" spans="1:9" x14ac:dyDescent="0.25">
      <c r="A19" t="e">
        <f>VLOOKUP(B19,'Country or Territory'!A:G,2,FALSE)</f>
        <v>#N/A</v>
      </c>
      <c r="B19" t="s">
        <v>797</v>
      </c>
      <c r="C19" t="e">
        <f>IF(VLOOKUP(B19,'Country or Territory'!A:G,4,FALSE)="Y",$C$1 &amp; " has visited","")</f>
        <v>#N/A</v>
      </c>
      <c r="D19" t="e">
        <f>IF(VLOOKUP(B19,'Country or Territory'!A:G,5,FALSE)="Y",$D$1 &amp; " has visited","")</f>
        <v>#N/A</v>
      </c>
      <c r="E19" t="e">
        <f>IF(VLOOKUP(B19,'Country or Territory'!A:G,6,FALSE)="Y",$E$1 &amp; " has visited","")</f>
        <v>#N/A</v>
      </c>
      <c r="F19" t="e">
        <f>IF(VLOOKUP(B19,'Country or Territory'!A:G,7,FALSE)="Y",$F$1 &amp; " has visited","")</f>
        <v>#N/A</v>
      </c>
      <c r="G19">
        <f>VLOOKUP(B19,latlong!A:F,4,TRUE)</f>
        <v>17.49952</v>
      </c>
      <c r="H19">
        <f>VLOOKUP(B19,latlong!A:F,5,TRUE)</f>
        <v>-88.197559999999996</v>
      </c>
      <c r="I19">
        <f t="shared" si="0"/>
        <v>4</v>
      </c>
    </row>
    <row r="20" spans="1:9" x14ac:dyDescent="0.25">
      <c r="A20" t="e">
        <f>VLOOKUP(B20,'Country or Territory'!A:G,2,FALSE)</f>
        <v>#N/A</v>
      </c>
      <c r="B20" t="s">
        <v>799</v>
      </c>
      <c r="C20" t="e">
        <f>IF(VLOOKUP(B20,'Country or Territory'!A:G,4,FALSE)="Y",$C$1 &amp; " has visited","")</f>
        <v>#N/A</v>
      </c>
      <c r="D20" t="e">
        <f>IF(VLOOKUP(B20,'Country or Territory'!A:G,5,FALSE)="Y",$D$1 &amp; " has visited","")</f>
        <v>#N/A</v>
      </c>
      <c r="E20" t="e">
        <f>IF(VLOOKUP(B20,'Country or Territory'!A:G,6,FALSE)="Y",$E$1 &amp; " has visited","")</f>
        <v>#N/A</v>
      </c>
      <c r="F20" t="e">
        <f>IF(VLOOKUP(B20,'Country or Territory'!A:G,7,FALSE)="Y",$F$1 &amp; " has visited","")</f>
        <v>#N/A</v>
      </c>
      <c r="G20">
        <f>VLOOKUP(B20,latlong!A:F,4,TRUE)</f>
        <v>6.3653599999999999</v>
      </c>
      <c r="H20">
        <f>VLOOKUP(B20,latlong!A:F,5,TRUE)</f>
        <v>2.4183300000000001</v>
      </c>
      <c r="I20">
        <f t="shared" si="0"/>
        <v>4</v>
      </c>
    </row>
    <row r="21" spans="1:9" x14ac:dyDescent="0.25">
      <c r="A21" t="e">
        <f>VLOOKUP(B21,'Country or Territory'!A:G,2,FALSE)</f>
        <v>#N/A</v>
      </c>
      <c r="B21" t="s">
        <v>802</v>
      </c>
      <c r="C21" t="e">
        <f>IF(VLOOKUP(B21,'Country or Territory'!A:G,4,FALSE)="Y",$C$1 &amp; " has visited","")</f>
        <v>#N/A</v>
      </c>
      <c r="D21" t="e">
        <f>IF(VLOOKUP(B21,'Country or Territory'!A:G,5,FALSE)="Y",$D$1 &amp; " has visited","")</f>
        <v>#N/A</v>
      </c>
      <c r="E21" t="e">
        <f>IF(VLOOKUP(B21,'Country or Territory'!A:G,6,FALSE)="Y",$E$1 &amp; " has visited","")</f>
        <v>#N/A</v>
      </c>
      <c r="F21" t="e">
        <f>IF(VLOOKUP(B21,'Country or Territory'!A:G,7,FALSE)="Y",$F$1 &amp; " has visited","")</f>
        <v>#N/A</v>
      </c>
      <c r="G21">
        <f>VLOOKUP(B21,latlong!A:F,4,TRUE)</f>
        <v>27.466090000000001</v>
      </c>
      <c r="H21">
        <f>VLOOKUP(B21,latlong!A:F,5,TRUE)</f>
        <v>89.641909999999996</v>
      </c>
      <c r="I21">
        <f t="shared" si="0"/>
        <v>4</v>
      </c>
    </row>
    <row r="22" spans="1:9" x14ac:dyDescent="0.25">
      <c r="A22" t="e">
        <f>VLOOKUP(B22,'Country or Territory'!A:G,2,FALSE)</f>
        <v>#N/A</v>
      </c>
      <c r="B22" t="s">
        <v>804</v>
      </c>
      <c r="C22" t="e">
        <f>IF(VLOOKUP(B22,'Country or Territory'!A:G,4,FALSE)="Y",$C$1 &amp; " has visited","")</f>
        <v>#N/A</v>
      </c>
      <c r="D22" t="e">
        <f>IF(VLOOKUP(B22,'Country or Territory'!A:G,5,FALSE)="Y",$D$1 &amp; " has visited","")</f>
        <v>#N/A</v>
      </c>
      <c r="E22" t="e">
        <f>IF(VLOOKUP(B22,'Country or Territory'!A:G,6,FALSE)="Y",$E$1 &amp; " has visited","")</f>
        <v>#N/A</v>
      </c>
      <c r="F22" t="e">
        <f>IF(VLOOKUP(B22,'Country or Territory'!A:G,7,FALSE)="Y",$F$1 &amp; " has visited","")</f>
        <v>#N/A</v>
      </c>
      <c r="G22">
        <f>VLOOKUP(B22,latlong!A:F,4,TRUE)</f>
        <v>-17.786290000000001</v>
      </c>
      <c r="H22">
        <f>VLOOKUP(B22,latlong!A:F,5,TRUE)</f>
        <v>-63.181170000000002</v>
      </c>
      <c r="I22">
        <f t="shared" si="0"/>
        <v>4</v>
      </c>
    </row>
    <row r="23" spans="1:9" x14ac:dyDescent="0.25">
      <c r="A23" t="e">
        <f>VLOOKUP(B23,'Country or Territory'!A:G,2,FALSE)</f>
        <v>#N/A</v>
      </c>
      <c r="B23" t="s">
        <v>807</v>
      </c>
      <c r="C23" t="e">
        <f>IF(VLOOKUP(B23,'Country or Territory'!A:G,4,FALSE)="Y",$C$1 &amp; " has visited","")</f>
        <v>#N/A</v>
      </c>
      <c r="D23" t="e">
        <f>IF(VLOOKUP(B23,'Country or Territory'!A:G,5,FALSE)="Y",$D$1 &amp; " has visited","")</f>
        <v>#N/A</v>
      </c>
      <c r="E23" t="e">
        <f>IF(VLOOKUP(B23,'Country or Territory'!A:G,6,FALSE)="Y",$E$1 &amp; " has visited","")</f>
        <v>#N/A</v>
      </c>
      <c r="F23" t="e">
        <f>IF(VLOOKUP(B23,'Country or Territory'!A:G,7,FALSE)="Y",$F$1 &amp; " has visited","")</f>
        <v>#N/A</v>
      </c>
      <c r="G23">
        <f>VLOOKUP(B23,latlong!A:F,4,TRUE)</f>
        <v>43.848640000000003</v>
      </c>
      <c r="H23">
        <f>VLOOKUP(B23,latlong!A:F,5,TRUE)</f>
        <v>18.356439999999999</v>
      </c>
      <c r="I23">
        <f t="shared" si="0"/>
        <v>4</v>
      </c>
    </row>
    <row r="24" spans="1:9" x14ac:dyDescent="0.25">
      <c r="A24" t="e">
        <f>VLOOKUP(B24,'Country or Territory'!A:G,2,FALSE)</f>
        <v>#N/A</v>
      </c>
      <c r="B24" t="s">
        <v>809</v>
      </c>
      <c r="C24" t="e">
        <f>IF(VLOOKUP(B24,'Country or Territory'!A:G,4,FALSE)="Y",$C$1 &amp; " has visited","")</f>
        <v>#N/A</v>
      </c>
      <c r="D24" t="e">
        <f>IF(VLOOKUP(B24,'Country or Territory'!A:G,5,FALSE)="Y",$D$1 &amp; " has visited","")</f>
        <v>#N/A</v>
      </c>
      <c r="E24" t="e">
        <f>IF(VLOOKUP(B24,'Country or Territory'!A:G,6,FALSE)="Y",$E$1 &amp; " has visited","")</f>
        <v>#N/A</v>
      </c>
      <c r="F24" t="e">
        <f>IF(VLOOKUP(B24,'Country or Territory'!A:G,7,FALSE)="Y",$F$1 &amp; " has visited","")</f>
        <v>#N/A</v>
      </c>
      <c r="G24">
        <f>VLOOKUP(B24,latlong!A:F,4,TRUE)</f>
        <v>-24.654509999999998</v>
      </c>
      <c r="H24">
        <f>VLOOKUP(B24,latlong!A:F,5,TRUE)</f>
        <v>25.90859</v>
      </c>
      <c r="I24">
        <f t="shared" si="0"/>
        <v>4</v>
      </c>
    </row>
    <row r="25" spans="1:9" x14ac:dyDescent="0.25">
      <c r="A25" t="e">
        <f>VLOOKUP(B25,'Country or Territory'!A:G,2,FALSE)</f>
        <v>#N/A</v>
      </c>
      <c r="B25" t="s">
        <v>811</v>
      </c>
      <c r="C25" t="e">
        <f>IF(VLOOKUP(B25,'Country or Territory'!A:G,4,FALSE)="Y",$C$1 &amp; " has visited","")</f>
        <v>#N/A</v>
      </c>
      <c r="D25" t="e">
        <f>IF(VLOOKUP(B25,'Country or Territory'!A:G,5,FALSE)="Y",$D$1 &amp; " has visited","")</f>
        <v>#N/A</v>
      </c>
      <c r="E25" t="e">
        <f>IF(VLOOKUP(B25,'Country or Territory'!A:G,6,FALSE)="Y",$E$1 &amp; " has visited","")</f>
        <v>#N/A</v>
      </c>
      <c r="F25" t="e">
        <f>IF(VLOOKUP(B25,'Country or Territory'!A:G,7,FALSE)="Y",$F$1 &amp; " has visited","")</f>
        <v>#N/A</v>
      </c>
      <c r="G25">
        <f>VLOOKUP(B25,latlong!A:F,4,TRUE)</f>
        <v>-23.547499999999999</v>
      </c>
      <c r="H25">
        <f>VLOOKUP(B25,latlong!A:F,5,TRUE)</f>
        <v>-46.636110000000002</v>
      </c>
      <c r="I25">
        <f t="shared" si="0"/>
        <v>4</v>
      </c>
    </row>
    <row r="26" spans="1:9" x14ac:dyDescent="0.25">
      <c r="A26" t="e">
        <f>VLOOKUP(B26,'Country or Territory'!A:G,2,FALSE)</f>
        <v>#N/A</v>
      </c>
      <c r="B26" t="s">
        <v>813</v>
      </c>
      <c r="C26" t="e">
        <f>IF(VLOOKUP(B26,'Country or Territory'!A:G,4,FALSE)="Y",$C$1 &amp; " has visited","")</f>
        <v>#N/A</v>
      </c>
      <c r="D26" t="e">
        <f>IF(VLOOKUP(B26,'Country or Territory'!A:G,5,FALSE)="Y",$D$1 &amp; " has visited","")</f>
        <v>#N/A</v>
      </c>
      <c r="E26" t="e">
        <f>IF(VLOOKUP(B26,'Country or Territory'!A:G,6,FALSE)="Y",$E$1 &amp; " has visited","")</f>
        <v>#N/A</v>
      </c>
      <c r="F26" t="e">
        <f>IF(VLOOKUP(B26,'Country or Territory'!A:G,7,FALSE)="Y",$F$1 &amp; " has visited","")</f>
        <v>#N/A</v>
      </c>
      <c r="G26">
        <f>VLOOKUP(B26,latlong!A:F,4,TRUE)</f>
        <v>4.9402900000000001</v>
      </c>
      <c r="H26">
        <f>VLOOKUP(B26,latlong!A:F,5,TRUE)</f>
        <v>114.94806</v>
      </c>
      <c r="I26">
        <f t="shared" si="0"/>
        <v>4</v>
      </c>
    </row>
    <row r="27" spans="1:9" x14ac:dyDescent="0.25">
      <c r="A27" t="e">
        <f>VLOOKUP(B27,'Country or Territory'!A:G,2,FALSE)</f>
        <v>#N/A</v>
      </c>
      <c r="B27" t="s">
        <v>815</v>
      </c>
      <c r="C27" t="e">
        <f>IF(VLOOKUP(B27,'Country or Territory'!A:G,4,FALSE)="Y",$C$1 &amp; " has visited","")</f>
        <v>#N/A</v>
      </c>
      <c r="D27" t="e">
        <f>IF(VLOOKUP(B27,'Country or Territory'!A:G,5,FALSE)="Y",$D$1 &amp; " has visited","")</f>
        <v>#N/A</v>
      </c>
      <c r="E27" t="e">
        <f>IF(VLOOKUP(B27,'Country or Territory'!A:G,6,FALSE)="Y",$E$1 &amp; " has visited","")</f>
        <v>#N/A</v>
      </c>
      <c r="F27" t="e">
        <f>IF(VLOOKUP(B27,'Country or Territory'!A:G,7,FALSE)="Y",$F$1 &amp; " has visited","")</f>
        <v>#N/A</v>
      </c>
      <c r="G27">
        <f>VLOOKUP(B27,latlong!A:F,4,TRUE)</f>
        <v>42.697510000000001</v>
      </c>
      <c r="H27">
        <f>VLOOKUP(B27,latlong!A:F,5,TRUE)</f>
        <v>23.324149999999999</v>
      </c>
      <c r="I27">
        <f t="shared" si="0"/>
        <v>4</v>
      </c>
    </row>
    <row r="28" spans="1:9" x14ac:dyDescent="0.25">
      <c r="A28" t="e">
        <f>VLOOKUP(B28,'Country or Territory'!A:G,2,FALSE)</f>
        <v>#N/A</v>
      </c>
      <c r="B28" t="s">
        <v>817</v>
      </c>
      <c r="C28" t="e">
        <f>IF(VLOOKUP(B28,'Country or Territory'!A:G,4,FALSE)="Y",$C$1 &amp; " has visited","")</f>
        <v>#N/A</v>
      </c>
      <c r="D28" t="e">
        <f>IF(VLOOKUP(B28,'Country or Territory'!A:G,5,FALSE)="Y",$D$1 &amp; " has visited","")</f>
        <v>#N/A</v>
      </c>
      <c r="E28" t="e">
        <f>IF(VLOOKUP(B28,'Country or Territory'!A:G,6,FALSE)="Y",$E$1 &amp; " has visited","")</f>
        <v>#N/A</v>
      </c>
      <c r="F28" t="e">
        <f>IF(VLOOKUP(B28,'Country or Territory'!A:G,7,FALSE)="Y",$F$1 &amp; " has visited","")</f>
        <v>#N/A</v>
      </c>
      <c r="G28">
        <f>VLOOKUP(B28,latlong!A:F,4,TRUE)</f>
        <v>12.36566</v>
      </c>
      <c r="H28">
        <f>VLOOKUP(B28,latlong!A:F,5,TRUE)</f>
        <v>-1.5338799999999999</v>
      </c>
      <c r="I28">
        <f t="shared" si="0"/>
        <v>4</v>
      </c>
    </row>
    <row r="29" spans="1:9" x14ac:dyDescent="0.25">
      <c r="A29" t="e">
        <f>VLOOKUP(B29,'Country or Territory'!A:G,2,FALSE)</f>
        <v>#N/A</v>
      </c>
      <c r="B29" t="s">
        <v>1026</v>
      </c>
      <c r="C29" t="e">
        <f>IF(VLOOKUP(B29,'Country or Territory'!A:G,4,FALSE)="Y",$C$1 &amp; " has visited","")</f>
        <v>#N/A</v>
      </c>
      <c r="D29" t="e">
        <f>IF(VLOOKUP(B29,'Country or Territory'!A:G,5,FALSE)="Y",$D$1 &amp; " has visited","")</f>
        <v>#N/A</v>
      </c>
      <c r="E29" t="e">
        <f>IF(VLOOKUP(B29,'Country or Territory'!A:G,6,FALSE)="Y",$E$1 &amp; " has visited","")</f>
        <v>#N/A</v>
      </c>
      <c r="F29" t="e">
        <f>IF(VLOOKUP(B29,'Country or Territory'!A:G,7,FALSE)="Y",$F$1 &amp; " has visited","")</f>
        <v>#N/A</v>
      </c>
      <c r="G29">
        <f>VLOOKUP(B29,latlong!A:F,4,TRUE)</f>
        <v>16.80528</v>
      </c>
      <c r="H29">
        <f>VLOOKUP(B29,latlong!A:F,5,TRUE)</f>
        <v>96.156109999999998</v>
      </c>
      <c r="I29">
        <f t="shared" si="0"/>
        <v>4</v>
      </c>
    </row>
    <row r="30" spans="1:9" x14ac:dyDescent="0.25">
      <c r="A30" t="e">
        <f>VLOOKUP(B30,'Country or Territory'!A:G,2,FALSE)</f>
        <v>#N/A</v>
      </c>
      <c r="B30" t="s">
        <v>819</v>
      </c>
      <c r="C30" t="e">
        <f>IF(VLOOKUP(B30,'Country or Territory'!A:G,4,FALSE)="Y",$C$1 &amp; " has visited","")</f>
        <v>#N/A</v>
      </c>
      <c r="D30" t="e">
        <f>IF(VLOOKUP(B30,'Country or Territory'!A:G,5,FALSE)="Y",$D$1 &amp; " has visited","")</f>
        <v>#N/A</v>
      </c>
      <c r="E30" t="e">
        <f>IF(VLOOKUP(B30,'Country or Territory'!A:G,6,FALSE)="Y",$E$1 &amp; " has visited","")</f>
        <v>#N/A</v>
      </c>
      <c r="F30" t="e">
        <f>IF(VLOOKUP(B30,'Country or Territory'!A:G,7,FALSE)="Y",$F$1 &amp; " has visited","")</f>
        <v>#N/A</v>
      </c>
      <c r="G30">
        <f>VLOOKUP(B30,latlong!A:F,4,TRUE)</f>
        <v>-3.3822000000000001</v>
      </c>
      <c r="H30">
        <f>VLOOKUP(B30,latlong!A:F,5,TRUE)</f>
        <v>29.3644</v>
      </c>
      <c r="I30">
        <f t="shared" si="0"/>
        <v>4</v>
      </c>
    </row>
    <row r="31" spans="1:9" x14ac:dyDescent="0.25">
      <c r="A31" t="e">
        <f>VLOOKUP(B31,'Country or Territory'!A:G,2,FALSE)</f>
        <v>#N/A</v>
      </c>
      <c r="B31" t="s">
        <v>827</v>
      </c>
      <c r="C31" t="e">
        <f>IF(VLOOKUP(B31,'Country or Territory'!A:G,4,FALSE)="Y",$C$1 &amp; " has visited","")</f>
        <v>#N/A</v>
      </c>
      <c r="D31" t="e">
        <f>IF(VLOOKUP(B31,'Country or Territory'!A:G,5,FALSE)="Y",$D$1 &amp; " has visited","")</f>
        <v>#N/A</v>
      </c>
      <c r="E31" t="e">
        <f>IF(VLOOKUP(B31,'Country or Territory'!A:G,6,FALSE)="Y",$E$1 &amp; " has visited","")</f>
        <v>#N/A</v>
      </c>
      <c r="F31" t="e">
        <f>IF(VLOOKUP(B31,'Country or Territory'!A:G,7,FALSE)="Y",$F$1 &amp; " has visited","")</f>
        <v>#N/A</v>
      </c>
      <c r="G31">
        <f>VLOOKUP(B31,latlong!A:F,4,TRUE)</f>
        <v>14.931520000000001</v>
      </c>
      <c r="H31">
        <f>VLOOKUP(B31,latlong!A:F,5,TRUE)</f>
        <v>-23.512540000000001</v>
      </c>
      <c r="I31">
        <f t="shared" si="0"/>
        <v>4</v>
      </c>
    </row>
    <row r="32" spans="1:9" x14ac:dyDescent="0.25">
      <c r="A32" t="e">
        <f>VLOOKUP(B32,'Country or Territory'!A:G,2,FALSE)</f>
        <v>#N/A</v>
      </c>
      <c r="B32" t="s">
        <v>821</v>
      </c>
      <c r="C32" t="e">
        <f>IF(VLOOKUP(B32,'Country or Territory'!A:G,4,FALSE)="Y",$C$1 &amp; " has visited","")</f>
        <v>#N/A</v>
      </c>
      <c r="D32" t="e">
        <f>IF(VLOOKUP(B32,'Country or Territory'!A:G,5,FALSE)="Y",$D$1 &amp; " has visited","")</f>
        <v>#N/A</v>
      </c>
      <c r="E32" t="e">
        <f>IF(VLOOKUP(B32,'Country or Territory'!A:G,6,FALSE)="Y",$E$1 &amp; " has visited","")</f>
        <v>#N/A</v>
      </c>
      <c r="F32" t="e">
        <f>IF(VLOOKUP(B32,'Country or Territory'!A:G,7,FALSE)="Y",$F$1 &amp; " has visited","")</f>
        <v>#N/A</v>
      </c>
      <c r="G32">
        <f>VLOOKUP(B32,latlong!A:F,4,TRUE)</f>
        <v>11.56245</v>
      </c>
      <c r="H32">
        <f>VLOOKUP(B32,latlong!A:F,5,TRUE)</f>
        <v>104.91601</v>
      </c>
      <c r="I32">
        <f t="shared" si="0"/>
        <v>4</v>
      </c>
    </row>
    <row r="33" spans="1:9" x14ac:dyDescent="0.25">
      <c r="A33" t="e">
        <f>VLOOKUP(B33,'Country or Territory'!A:G,2,FALSE)</f>
        <v>#N/A</v>
      </c>
      <c r="B33" t="s">
        <v>823</v>
      </c>
      <c r="C33" t="e">
        <f>IF(VLOOKUP(B33,'Country or Territory'!A:G,4,FALSE)="Y",$C$1 &amp; " has visited","")</f>
        <v>#N/A</v>
      </c>
      <c r="D33" t="e">
        <f>IF(VLOOKUP(B33,'Country or Territory'!A:G,5,FALSE)="Y",$D$1 &amp; " has visited","")</f>
        <v>#N/A</v>
      </c>
      <c r="E33" t="e">
        <f>IF(VLOOKUP(B33,'Country or Territory'!A:G,6,FALSE)="Y",$E$1 &amp; " has visited","")</f>
        <v>#N/A</v>
      </c>
      <c r="F33" t="e">
        <f>IF(VLOOKUP(B33,'Country or Territory'!A:G,7,FALSE)="Y",$F$1 &amp; " has visited","")</f>
        <v>#N/A</v>
      </c>
      <c r="G33">
        <f>VLOOKUP(B33,latlong!A:F,4,TRUE)</f>
        <v>4.0482699999999996</v>
      </c>
      <c r="H33">
        <f>VLOOKUP(B33,latlong!A:F,5,TRUE)</f>
        <v>9.7042800000000007</v>
      </c>
      <c r="I33">
        <f t="shared" si="0"/>
        <v>4</v>
      </c>
    </row>
    <row r="34" spans="1:9" x14ac:dyDescent="0.25">
      <c r="A34" t="e">
        <f>VLOOKUP(B34,'Country or Territory'!A:G,2,FALSE)</f>
        <v>#N/A</v>
      </c>
      <c r="B34" t="s">
        <v>825</v>
      </c>
      <c r="C34" t="e">
        <f>IF(VLOOKUP(B34,'Country or Territory'!A:G,4,FALSE)="Y",$C$1 &amp; " has visited","")</f>
        <v>#N/A</v>
      </c>
      <c r="D34" t="e">
        <f>IF(VLOOKUP(B34,'Country or Territory'!A:G,5,FALSE)="Y",$D$1 &amp; " has visited","")</f>
        <v>#N/A</v>
      </c>
      <c r="E34" t="e">
        <f>IF(VLOOKUP(B34,'Country or Territory'!A:G,6,FALSE)="Y",$E$1 &amp; " has visited","")</f>
        <v>#N/A</v>
      </c>
      <c r="F34" t="e">
        <f>IF(VLOOKUP(B34,'Country or Territory'!A:G,7,FALSE)="Y",$F$1 &amp; " has visited","")</f>
        <v>#N/A</v>
      </c>
      <c r="G34">
        <f>VLOOKUP(B34,latlong!A:F,4,TRUE)</f>
        <v>43.700110000000002</v>
      </c>
      <c r="H34">
        <f>VLOOKUP(B34,latlong!A:F,5,TRUE)</f>
        <v>-79.416300000000007</v>
      </c>
      <c r="I34">
        <f t="shared" ref="I34:I65" si="1">4-COUNTBLANK(C34:F34)</f>
        <v>4</v>
      </c>
    </row>
    <row r="35" spans="1:9" x14ac:dyDescent="0.25">
      <c r="A35" t="e">
        <f>VLOOKUP(B35,'Country or Territory'!A:G,2,FALSE)</f>
        <v>#N/A</v>
      </c>
      <c r="B35" t="s">
        <v>830</v>
      </c>
      <c r="C35" t="e">
        <f>IF(VLOOKUP(B35,'Country or Territory'!A:G,4,FALSE)="Y",$C$1 &amp; " has visited","")</f>
        <v>#N/A</v>
      </c>
      <c r="D35" t="e">
        <f>IF(VLOOKUP(B35,'Country or Territory'!A:G,5,FALSE)="Y",$D$1 &amp; " has visited","")</f>
        <v>#N/A</v>
      </c>
      <c r="E35" t="e">
        <f>IF(VLOOKUP(B35,'Country or Territory'!A:G,6,FALSE)="Y",$E$1 &amp; " has visited","")</f>
        <v>#N/A</v>
      </c>
      <c r="F35" t="e">
        <f>IF(VLOOKUP(B35,'Country or Territory'!A:G,7,FALSE)="Y",$F$1 &amp; " has visited","")</f>
        <v>#N/A</v>
      </c>
      <c r="G35">
        <f>VLOOKUP(B35,latlong!A:F,4,TRUE)</f>
        <v>4.3612200000000003</v>
      </c>
      <c r="H35">
        <f>VLOOKUP(B35,latlong!A:F,5,TRUE)</f>
        <v>18.554960000000001</v>
      </c>
      <c r="I35">
        <f t="shared" si="1"/>
        <v>4</v>
      </c>
    </row>
    <row r="36" spans="1:9" x14ac:dyDescent="0.25">
      <c r="A36" t="e">
        <f>VLOOKUP(B36,'Country or Territory'!A:G,2,FALSE)</f>
        <v>#N/A</v>
      </c>
      <c r="B36" t="s">
        <v>832</v>
      </c>
      <c r="C36" t="e">
        <f>IF(VLOOKUP(B36,'Country or Territory'!A:G,4,FALSE)="Y",$C$1 &amp; " has visited","")</f>
        <v>#N/A</v>
      </c>
      <c r="D36" t="e">
        <f>IF(VLOOKUP(B36,'Country or Territory'!A:G,5,FALSE)="Y",$D$1 &amp; " has visited","")</f>
        <v>#N/A</v>
      </c>
      <c r="E36" t="e">
        <f>IF(VLOOKUP(B36,'Country or Territory'!A:G,6,FALSE)="Y",$E$1 &amp; " has visited","")</f>
        <v>#N/A</v>
      </c>
      <c r="F36" t="e">
        <f>IF(VLOOKUP(B36,'Country or Territory'!A:G,7,FALSE)="Y",$F$1 &amp; " has visited","")</f>
        <v>#N/A</v>
      </c>
      <c r="G36">
        <f>VLOOKUP(B36,latlong!A:F,4,TRUE)</f>
        <v>12.106719999999999</v>
      </c>
      <c r="H36">
        <f>VLOOKUP(B36,latlong!A:F,5,TRUE)</f>
        <v>15.0444</v>
      </c>
      <c r="I36">
        <f t="shared" si="1"/>
        <v>4</v>
      </c>
    </row>
    <row r="37" spans="1:9" x14ac:dyDescent="0.25">
      <c r="A37" t="e">
        <f>VLOOKUP(B37,'Country or Territory'!A:G,2,FALSE)</f>
        <v>#N/A</v>
      </c>
      <c r="B37" t="s">
        <v>834</v>
      </c>
      <c r="C37" t="e">
        <f>IF(VLOOKUP(B37,'Country or Territory'!A:G,4,FALSE)="Y",$C$1 &amp; " has visited","")</f>
        <v>#N/A</v>
      </c>
      <c r="D37" t="e">
        <f>IF(VLOOKUP(B37,'Country or Territory'!A:G,5,FALSE)="Y",$D$1 &amp; " has visited","")</f>
        <v>#N/A</v>
      </c>
      <c r="E37" t="e">
        <f>IF(VLOOKUP(B37,'Country or Territory'!A:G,6,FALSE)="Y",$E$1 &amp; " has visited","")</f>
        <v>#N/A</v>
      </c>
      <c r="F37" t="e">
        <f>IF(VLOOKUP(B37,'Country or Territory'!A:G,7,FALSE)="Y",$F$1 &amp; " has visited","")</f>
        <v>#N/A</v>
      </c>
      <c r="G37">
        <f>VLOOKUP(B37,latlong!A:F,4,TRUE)</f>
        <v>-33.456940000000003</v>
      </c>
      <c r="H37">
        <f>VLOOKUP(B37,latlong!A:F,5,TRUE)</f>
        <v>-70.648269999999997</v>
      </c>
      <c r="I37">
        <f t="shared" si="1"/>
        <v>4</v>
      </c>
    </row>
    <row r="38" spans="1:9" x14ac:dyDescent="0.25">
      <c r="A38" t="e">
        <f>VLOOKUP(B38,'Country or Territory'!A:G,2,FALSE)</f>
        <v>#N/A</v>
      </c>
      <c r="B38" t="s">
        <v>836</v>
      </c>
      <c r="C38" t="e">
        <f>IF(VLOOKUP(B38,'Country or Territory'!A:G,4,FALSE)="Y",$C$1 &amp; " has visited","")</f>
        <v>#N/A</v>
      </c>
      <c r="D38" t="e">
        <f>IF(VLOOKUP(B38,'Country or Territory'!A:G,5,FALSE)="Y",$D$1 &amp; " has visited","")</f>
        <v>#N/A</v>
      </c>
      <c r="E38" t="e">
        <f>IF(VLOOKUP(B38,'Country or Territory'!A:G,6,FALSE)="Y",$E$1 &amp; " has visited","")</f>
        <v>#N/A</v>
      </c>
      <c r="F38" t="e">
        <f>IF(VLOOKUP(B38,'Country or Territory'!A:G,7,FALSE)="Y",$F$1 &amp; " has visited","")</f>
        <v>#N/A</v>
      </c>
      <c r="G38">
        <f>VLOOKUP(B38,latlong!A:F,4,TRUE)</f>
        <v>31.22222</v>
      </c>
      <c r="H38">
        <f>VLOOKUP(B38,latlong!A:F,5,TRUE)</f>
        <v>121.45806</v>
      </c>
      <c r="I38">
        <f t="shared" si="1"/>
        <v>4</v>
      </c>
    </row>
    <row r="39" spans="1:9" x14ac:dyDescent="0.25">
      <c r="A39" t="e">
        <f>VLOOKUP(B39,'Country or Territory'!A:G,2,FALSE)</f>
        <v>#N/A</v>
      </c>
      <c r="B39" t="s">
        <v>838</v>
      </c>
      <c r="C39" t="e">
        <f>IF(VLOOKUP(B39,'Country or Territory'!A:G,4,FALSE)="Y",$C$1 &amp; " has visited","")</f>
        <v>#N/A</v>
      </c>
      <c r="D39" t="e">
        <f>IF(VLOOKUP(B39,'Country or Territory'!A:G,5,FALSE)="Y",$D$1 &amp; " has visited","")</f>
        <v>#N/A</v>
      </c>
      <c r="E39" t="e">
        <f>IF(VLOOKUP(B39,'Country or Territory'!A:G,6,FALSE)="Y",$E$1 &amp; " has visited","")</f>
        <v>#N/A</v>
      </c>
      <c r="F39" t="e">
        <f>IF(VLOOKUP(B39,'Country or Territory'!A:G,7,FALSE)="Y",$F$1 &amp; " has visited","")</f>
        <v>#N/A</v>
      </c>
      <c r="G39">
        <f>VLOOKUP(B39,latlong!A:F,4,TRUE)</f>
        <v>4.6097099999999998</v>
      </c>
      <c r="H39">
        <f>VLOOKUP(B39,latlong!A:F,5,TRUE)</f>
        <v>-74.08175</v>
      </c>
      <c r="I39">
        <f t="shared" si="1"/>
        <v>4</v>
      </c>
    </row>
    <row r="40" spans="1:9" x14ac:dyDescent="0.25">
      <c r="A40" t="e">
        <f>VLOOKUP(B40,'Country or Territory'!A:G,2,FALSE)</f>
        <v>#N/A</v>
      </c>
      <c r="B40" t="s">
        <v>840</v>
      </c>
      <c r="C40" t="e">
        <f>IF(VLOOKUP(B40,'Country or Territory'!A:G,4,FALSE)="Y",$C$1 &amp; " has visited","")</f>
        <v>#N/A</v>
      </c>
      <c r="D40" t="e">
        <f>IF(VLOOKUP(B40,'Country or Territory'!A:G,5,FALSE)="Y",$D$1 &amp; " has visited","")</f>
        <v>#N/A</v>
      </c>
      <c r="E40" t="e">
        <f>IF(VLOOKUP(B40,'Country or Territory'!A:G,6,FALSE)="Y",$E$1 &amp; " has visited","")</f>
        <v>#N/A</v>
      </c>
      <c r="F40" t="e">
        <f>IF(VLOOKUP(B40,'Country or Territory'!A:G,7,FALSE)="Y",$F$1 &amp; " has visited","")</f>
        <v>#N/A</v>
      </c>
      <c r="G40">
        <f>VLOOKUP(B40,latlong!A:F,4,TRUE)</f>
        <v>-11.702159999999999</v>
      </c>
      <c r="H40">
        <f>VLOOKUP(B40,latlong!A:F,5,TRUE)</f>
        <v>43.25506</v>
      </c>
      <c r="I40">
        <f t="shared" si="1"/>
        <v>4</v>
      </c>
    </row>
    <row r="41" spans="1:9" x14ac:dyDescent="0.25">
      <c r="A41" t="e">
        <f>VLOOKUP(B41,'Country or Territory'!A:G,2,FALSE)</f>
        <v>#N/A</v>
      </c>
      <c r="B41" t="s">
        <v>842</v>
      </c>
      <c r="C41" t="e">
        <f>IF(VLOOKUP(B41,'Country or Territory'!A:G,4,FALSE)="Y",$C$1 &amp; " has visited","")</f>
        <v>#N/A</v>
      </c>
      <c r="D41" t="e">
        <f>IF(VLOOKUP(B41,'Country or Territory'!A:G,5,FALSE)="Y",$D$1 &amp; " has visited","")</f>
        <v>#N/A</v>
      </c>
      <c r="E41" t="e">
        <f>IF(VLOOKUP(B41,'Country or Territory'!A:G,6,FALSE)="Y",$E$1 &amp; " has visited","")</f>
        <v>#N/A</v>
      </c>
      <c r="F41" t="e">
        <f>IF(VLOOKUP(B41,'Country or Territory'!A:G,7,FALSE)="Y",$F$1 &amp; " has visited","")</f>
        <v>#N/A</v>
      </c>
      <c r="G41">
        <f>VLOOKUP(B41,latlong!A:F,4,TRUE)</f>
        <v>-4.2661300000000004</v>
      </c>
      <c r="H41">
        <f>VLOOKUP(B41,latlong!A:F,5,TRUE)</f>
        <v>15.28318</v>
      </c>
      <c r="I41">
        <f t="shared" si="1"/>
        <v>4</v>
      </c>
    </row>
    <row r="42" spans="1:9" x14ac:dyDescent="0.25">
      <c r="A42" t="e">
        <f>VLOOKUP(B42,'Country or Territory'!A:G,2,FALSE)</f>
        <v>#N/A</v>
      </c>
      <c r="B42" t="s">
        <v>844</v>
      </c>
      <c r="C42" t="e">
        <f>IF(VLOOKUP(B42,'Country or Territory'!A:G,4,FALSE)="Y",$C$1 &amp; " has visited","")</f>
        <v>#N/A</v>
      </c>
      <c r="D42" t="e">
        <f>IF(VLOOKUP(B42,'Country or Territory'!A:G,5,FALSE)="Y",$D$1 &amp; " has visited","")</f>
        <v>#N/A</v>
      </c>
      <c r="E42" t="e">
        <f>IF(VLOOKUP(B42,'Country or Territory'!A:G,6,FALSE)="Y",$E$1 &amp; " has visited","")</f>
        <v>#N/A</v>
      </c>
      <c r="F42" t="e">
        <f>IF(VLOOKUP(B42,'Country or Territory'!A:G,7,FALSE)="Y",$F$1 &amp; " has visited","")</f>
        <v>#N/A</v>
      </c>
      <c r="G42">
        <f>VLOOKUP(B42,latlong!A:F,4,TRUE)</f>
        <v>-4.3275800000000002</v>
      </c>
      <c r="H42">
        <f>VLOOKUP(B42,latlong!A:F,5,TRUE)</f>
        <v>15.31357</v>
      </c>
      <c r="I42">
        <f t="shared" si="1"/>
        <v>4</v>
      </c>
    </row>
    <row r="43" spans="1:9" x14ac:dyDescent="0.25">
      <c r="A43" t="e">
        <f>VLOOKUP(B43,'Country or Territory'!A:G,2,FALSE)</f>
        <v>#N/A</v>
      </c>
      <c r="B43" t="s">
        <v>847</v>
      </c>
      <c r="C43" t="e">
        <f>IF(VLOOKUP(B43,'Country or Territory'!A:G,4,FALSE)="Y",$C$1 &amp; " has visited","")</f>
        <v>#N/A</v>
      </c>
      <c r="D43" t="e">
        <f>IF(VLOOKUP(B43,'Country or Territory'!A:G,5,FALSE)="Y",$D$1 &amp; " has visited","")</f>
        <v>#N/A</v>
      </c>
      <c r="E43" t="e">
        <f>IF(VLOOKUP(B43,'Country or Territory'!A:G,6,FALSE)="Y",$E$1 &amp; " has visited","")</f>
        <v>#N/A</v>
      </c>
      <c r="F43" t="e">
        <f>IF(VLOOKUP(B43,'Country or Territory'!A:G,7,FALSE)="Y",$F$1 &amp; " has visited","")</f>
        <v>#N/A</v>
      </c>
      <c r="G43">
        <f>VLOOKUP(B43,latlong!A:F,4,TRUE)</f>
        <v>9.9333299999999998</v>
      </c>
      <c r="H43">
        <f>VLOOKUP(B43,latlong!A:F,5,TRUE)</f>
        <v>-84.083330000000004</v>
      </c>
      <c r="I43">
        <f t="shared" si="1"/>
        <v>4</v>
      </c>
    </row>
    <row r="44" spans="1:9" x14ac:dyDescent="0.25">
      <c r="A44" t="e">
        <f>VLOOKUP(B44,'Country or Territory'!A:G,2,FALSE)</f>
        <v>#N/A</v>
      </c>
      <c r="B44" t="s">
        <v>858</v>
      </c>
      <c r="C44" t="e">
        <f>IF(VLOOKUP(B44,'Country or Territory'!A:G,4,FALSE)="Y",$C$1 &amp; " has visited","")</f>
        <v>#N/A</v>
      </c>
      <c r="D44" t="e">
        <f>IF(VLOOKUP(B44,'Country or Territory'!A:G,5,FALSE)="Y",$D$1 &amp; " has visited","")</f>
        <v>#N/A</v>
      </c>
      <c r="E44" t="e">
        <f>IF(VLOOKUP(B44,'Country or Territory'!A:G,6,FALSE)="Y",$E$1 &amp; " has visited","")</f>
        <v>#N/A</v>
      </c>
      <c r="F44" t="e">
        <f>IF(VLOOKUP(B44,'Country or Territory'!A:G,7,FALSE)="Y",$F$1 &amp; " has visited","")</f>
        <v>#N/A</v>
      </c>
      <c r="G44">
        <f>VLOOKUP(B44,latlong!A:F,4,TRUE)</f>
        <v>5.30966</v>
      </c>
      <c r="H44">
        <f>VLOOKUP(B44,latlong!A:F,5,TRUE)</f>
        <v>-4.0126600000000003</v>
      </c>
      <c r="I44">
        <f t="shared" si="1"/>
        <v>4</v>
      </c>
    </row>
    <row r="45" spans="1:9" x14ac:dyDescent="0.25">
      <c r="A45" t="e">
        <f>VLOOKUP(B45,'Country or Territory'!A:G,2,FALSE)</f>
        <v>#N/A</v>
      </c>
      <c r="B45" t="s">
        <v>849</v>
      </c>
      <c r="C45" t="e">
        <f>IF(VLOOKUP(B45,'Country or Territory'!A:G,4,FALSE)="Y",$C$1 &amp; " has visited","")</f>
        <v>#N/A</v>
      </c>
      <c r="D45" t="e">
        <f>IF(VLOOKUP(B45,'Country or Territory'!A:G,5,FALSE)="Y",$D$1 &amp; " has visited","")</f>
        <v>#N/A</v>
      </c>
      <c r="E45" t="e">
        <f>IF(VLOOKUP(B45,'Country or Territory'!A:G,6,FALSE)="Y",$E$1 &amp; " has visited","")</f>
        <v>#N/A</v>
      </c>
      <c r="F45" t="e">
        <f>IF(VLOOKUP(B45,'Country or Territory'!A:G,7,FALSE)="Y",$F$1 &amp; " has visited","")</f>
        <v>#N/A</v>
      </c>
      <c r="G45">
        <f>VLOOKUP(B45,latlong!A:F,4,TRUE)</f>
        <v>45.813130000000001</v>
      </c>
      <c r="H45">
        <f>VLOOKUP(B45,latlong!A:F,5,TRUE)</f>
        <v>15.97753</v>
      </c>
      <c r="I45">
        <f t="shared" si="1"/>
        <v>4</v>
      </c>
    </row>
    <row r="46" spans="1:9" x14ac:dyDescent="0.25">
      <c r="A46" t="e">
        <f>VLOOKUP(B46,'Country or Territory'!A:G,2,FALSE)</f>
        <v>#N/A</v>
      </c>
      <c r="B46" t="s">
        <v>851</v>
      </c>
      <c r="C46" t="e">
        <f>IF(VLOOKUP(B46,'Country or Territory'!A:G,4,FALSE)="Y",$C$1 &amp; " has visited","")</f>
        <v>#N/A</v>
      </c>
      <c r="D46" t="e">
        <f>IF(VLOOKUP(B46,'Country or Territory'!A:G,5,FALSE)="Y",$D$1 &amp; " has visited","")</f>
        <v>#N/A</v>
      </c>
      <c r="E46" t="e">
        <f>IF(VLOOKUP(B46,'Country or Territory'!A:G,6,FALSE)="Y",$E$1 &amp; " has visited","")</f>
        <v>#N/A</v>
      </c>
      <c r="F46" t="e">
        <f>IF(VLOOKUP(B46,'Country or Territory'!A:G,7,FALSE)="Y",$F$1 &amp; " has visited","")</f>
        <v>#N/A</v>
      </c>
      <c r="G46">
        <f>VLOOKUP(B46,latlong!A:F,4,TRUE)</f>
        <v>23.133019999999998</v>
      </c>
      <c r="H46">
        <f>VLOOKUP(B46,latlong!A:F,5,TRUE)</f>
        <v>-82.383039999999994</v>
      </c>
      <c r="I46">
        <f t="shared" si="1"/>
        <v>4</v>
      </c>
    </row>
    <row r="47" spans="1:9" x14ac:dyDescent="0.25">
      <c r="A47" t="e">
        <f>VLOOKUP(B47,'Country or Territory'!A:G,2,FALSE)</f>
        <v>#N/A</v>
      </c>
      <c r="B47" t="s">
        <v>854</v>
      </c>
      <c r="C47" t="e">
        <f>IF(VLOOKUP(B47,'Country or Territory'!A:G,4,FALSE)="Y",$C$1 &amp; " has visited","")</f>
        <v>#N/A</v>
      </c>
      <c r="D47" t="e">
        <f>IF(VLOOKUP(B47,'Country or Territory'!A:G,5,FALSE)="Y",$D$1 &amp; " has visited","")</f>
        <v>#N/A</v>
      </c>
      <c r="E47" t="e">
        <f>IF(VLOOKUP(B47,'Country or Territory'!A:G,6,FALSE)="Y",$E$1 &amp; " has visited","")</f>
        <v>#N/A</v>
      </c>
      <c r="F47" t="e">
        <f>IF(VLOOKUP(B47,'Country or Territory'!A:G,7,FALSE)="Y",$F$1 &amp; " has visited","")</f>
        <v>#N/A</v>
      </c>
      <c r="G47">
        <f>VLOOKUP(B47,latlong!A:F,4,TRUE)</f>
        <v>35.175310000000003</v>
      </c>
      <c r="H47">
        <f>VLOOKUP(B47,latlong!A:F,5,TRUE)</f>
        <v>33.364199999999997</v>
      </c>
      <c r="I47">
        <f t="shared" si="1"/>
        <v>4</v>
      </c>
    </row>
    <row r="48" spans="1:9" x14ac:dyDescent="0.25">
      <c r="A48" t="e">
        <f>VLOOKUP(B48,'Country or Territory'!A:G,2,FALSE)</f>
        <v>#N/A</v>
      </c>
      <c r="B48" t="s">
        <v>856</v>
      </c>
      <c r="C48" t="e">
        <f>IF(VLOOKUP(B48,'Country or Territory'!A:G,4,FALSE)="Y",$C$1 &amp; " has visited","")</f>
        <v>#N/A</v>
      </c>
      <c r="D48" t="e">
        <f>IF(VLOOKUP(B48,'Country or Territory'!A:G,5,FALSE)="Y",$D$1 &amp; " has visited","")</f>
        <v>#N/A</v>
      </c>
      <c r="E48" t="e">
        <f>IF(VLOOKUP(B48,'Country or Territory'!A:G,6,FALSE)="Y",$E$1 &amp; " has visited","")</f>
        <v>#N/A</v>
      </c>
      <c r="F48" t="e">
        <f>IF(VLOOKUP(B48,'Country or Territory'!A:G,7,FALSE)="Y",$F$1 &amp; " has visited","")</f>
        <v>#N/A</v>
      </c>
      <c r="G48">
        <f>VLOOKUP(B48,latlong!A:F,4,TRUE)</f>
        <v>50.088039999999999</v>
      </c>
      <c r="H48">
        <f>VLOOKUP(B48,latlong!A:F,5,TRUE)</f>
        <v>14.42076</v>
      </c>
      <c r="I48">
        <f t="shared" si="1"/>
        <v>4</v>
      </c>
    </row>
    <row r="49" spans="1:9" x14ac:dyDescent="0.25">
      <c r="A49" t="e">
        <f>VLOOKUP(B49,'Country or Territory'!A:G,2,FALSE)</f>
        <v>#N/A</v>
      </c>
      <c r="B49" t="s">
        <v>860</v>
      </c>
      <c r="C49" t="e">
        <f>IF(VLOOKUP(B49,'Country or Territory'!A:G,4,FALSE)="Y",$C$1 &amp; " has visited","")</f>
        <v>#N/A</v>
      </c>
      <c r="D49" t="e">
        <f>IF(VLOOKUP(B49,'Country or Territory'!A:G,5,FALSE)="Y",$D$1 &amp; " has visited","")</f>
        <v>#N/A</v>
      </c>
      <c r="E49" t="e">
        <f>IF(VLOOKUP(B49,'Country or Territory'!A:G,6,FALSE)="Y",$E$1 &amp; " has visited","")</f>
        <v>#N/A</v>
      </c>
      <c r="F49" t="e">
        <f>IF(VLOOKUP(B49,'Country or Territory'!A:G,7,FALSE)="Y",$F$1 &amp; " has visited","")</f>
        <v>#N/A</v>
      </c>
      <c r="G49">
        <f>VLOOKUP(B49,latlong!A:F,4,TRUE)</f>
        <v>55.675939999999997</v>
      </c>
      <c r="H49">
        <f>VLOOKUP(B49,latlong!A:F,5,TRUE)</f>
        <v>12.565530000000001</v>
      </c>
      <c r="I49">
        <f t="shared" si="1"/>
        <v>4</v>
      </c>
    </row>
    <row r="50" spans="1:9" x14ac:dyDescent="0.25">
      <c r="A50" t="e">
        <f>VLOOKUP(B50,'Country or Territory'!A:G,2,FALSE)</f>
        <v>#N/A</v>
      </c>
      <c r="B50" t="s">
        <v>862</v>
      </c>
      <c r="C50" t="e">
        <f>IF(VLOOKUP(B50,'Country or Territory'!A:G,4,FALSE)="Y",$C$1 &amp; " has visited","")</f>
        <v>#N/A</v>
      </c>
      <c r="D50" t="e">
        <f>IF(VLOOKUP(B50,'Country or Territory'!A:G,5,FALSE)="Y",$D$1 &amp; " has visited","")</f>
        <v>#N/A</v>
      </c>
      <c r="E50" t="e">
        <f>IF(VLOOKUP(B50,'Country or Territory'!A:G,6,FALSE)="Y",$E$1 &amp; " has visited","")</f>
        <v>#N/A</v>
      </c>
      <c r="F50" t="e">
        <f>IF(VLOOKUP(B50,'Country or Territory'!A:G,7,FALSE)="Y",$F$1 &amp; " has visited","")</f>
        <v>#N/A</v>
      </c>
      <c r="G50">
        <f>VLOOKUP(B50,latlong!A:F,4,TRUE)</f>
        <v>11.58901</v>
      </c>
      <c r="H50">
        <f>VLOOKUP(B50,latlong!A:F,5,TRUE)</f>
        <v>43.145029999999998</v>
      </c>
      <c r="I50">
        <f t="shared" si="1"/>
        <v>4</v>
      </c>
    </row>
    <row r="51" spans="1:9" x14ac:dyDescent="0.25">
      <c r="A51" t="e">
        <f>VLOOKUP(B51,'Country or Territory'!A:G,2,FALSE)</f>
        <v>#N/A</v>
      </c>
      <c r="B51" t="s">
        <v>864</v>
      </c>
      <c r="C51" t="e">
        <f>IF(VLOOKUP(B51,'Country or Territory'!A:G,4,FALSE)="Y",$C$1 &amp; " has visited","")</f>
        <v>#N/A</v>
      </c>
      <c r="D51" t="e">
        <f>IF(VLOOKUP(B51,'Country or Territory'!A:G,5,FALSE)="Y",$D$1 &amp; " has visited","")</f>
        <v>#N/A</v>
      </c>
      <c r="E51" t="e">
        <f>IF(VLOOKUP(B51,'Country or Territory'!A:G,6,FALSE)="Y",$E$1 &amp; " has visited","")</f>
        <v>#N/A</v>
      </c>
      <c r="F51" t="e">
        <f>IF(VLOOKUP(B51,'Country or Territory'!A:G,7,FALSE)="Y",$F$1 &amp; " has visited","")</f>
        <v>#N/A</v>
      </c>
      <c r="G51">
        <f>VLOOKUP(B51,latlong!A:F,4,TRUE)</f>
        <v>15.301740000000001</v>
      </c>
      <c r="H51">
        <f>VLOOKUP(B51,latlong!A:F,5,TRUE)</f>
        <v>-61.388080000000002</v>
      </c>
      <c r="I51">
        <f t="shared" si="1"/>
        <v>4</v>
      </c>
    </row>
    <row r="52" spans="1:9" x14ac:dyDescent="0.25">
      <c r="A52" t="e">
        <f>VLOOKUP(B52,'Country or Territory'!A:G,2,FALSE)</f>
        <v>#N/A</v>
      </c>
      <c r="B52" t="s">
        <v>866</v>
      </c>
      <c r="C52" t="e">
        <f>IF(VLOOKUP(B52,'Country or Territory'!A:G,4,FALSE)="Y",$C$1 &amp; " has visited","")</f>
        <v>#N/A</v>
      </c>
      <c r="D52" t="e">
        <f>IF(VLOOKUP(B52,'Country or Territory'!A:G,5,FALSE)="Y",$D$1 &amp; " has visited","")</f>
        <v>#N/A</v>
      </c>
      <c r="E52" t="e">
        <f>IF(VLOOKUP(B52,'Country or Territory'!A:G,6,FALSE)="Y",$E$1 &amp; " has visited","")</f>
        <v>#N/A</v>
      </c>
      <c r="F52" t="e">
        <f>IF(VLOOKUP(B52,'Country or Territory'!A:G,7,FALSE)="Y",$F$1 &amp; " has visited","")</f>
        <v>#N/A</v>
      </c>
      <c r="G52">
        <f>VLOOKUP(B52,latlong!A:F,4,TRUE)</f>
        <v>18.500119999999999</v>
      </c>
      <c r="H52">
        <f>VLOOKUP(B52,latlong!A:F,5,TRUE)</f>
        <v>-69.988569999999996</v>
      </c>
      <c r="I52">
        <f t="shared" si="1"/>
        <v>4</v>
      </c>
    </row>
    <row r="53" spans="1:9" x14ac:dyDescent="0.25">
      <c r="A53" t="e">
        <f>VLOOKUP(B53,'Country or Territory'!A:G,2,FALSE)</f>
        <v>#N/A</v>
      </c>
      <c r="B53" t="s">
        <v>868</v>
      </c>
      <c r="C53" t="e">
        <f>IF(VLOOKUP(B53,'Country or Territory'!A:G,4,FALSE)="Y",$C$1 &amp; " has visited","")</f>
        <v>#N/A</v>
      </c>
      <c r="D53" t="e">
        <f>IF(VLOOKUP(B53,'Country or Territory'!A:G,5,FALSE)="Y",$D$1 &amp; " has visited","")</f>
        <v>#N/A</v>
      </c>
      <c r="E53" t="e">
        <f>IF(VLOOKUP(B53,'Country or Territory'!A:G,6,FALSE)="Y",$E$1 &amp; " has visited","")</f>
        <v>#N/A</v>
      </c>
      <c r="F53" t="e">
        <f>IF(VLOOKUP(B53,'Country or Territory'!A:G,7,FALSE)="Y",$F$1 &amp; " has visited","")</f>
        <v>#N/A</v>
      </c>
      <c r="G53">
        <f>VLOOKUP(B53,latlong!A:F,4,TRUE)</f>
        <v>-2.2058399999999998</v>
      </c>
      <c r="H53">
        <f>VLOOKUP(B53,latlong!A:F,5,TRUE)</f>
        <v>-79.90795</v>
      </c>
      <c r="I53">
        <f t="shared" si="1"/>
        <v>4</v>
      </c>
    </row>
    <row r="54" spans="1:9" x14ac:dyDescent="0.25">
      <c r="A54" t="e">
        <f>VLOOKUP(B54,'Country or Territory'!A:G,2,FALSE)</f>
        <v>#N/A</v>
      </c>
      <c r="B54" t="s">
        <v>870</v>
      </c>
      <c r="C54" t="e">
        <f>IF(VLOOKUP(B54,'Country or Territory'!A:G,4,FALSE)="Y",$C$1 &amp; " has visited","")</f>
        <v>#N/A</v>
      </c>
      <c r="D54" t="e">
        <f>IF(VLOOKUP(B54,'Country or Territory'!A:G,5,FALSE)="Y",$D$1 &amp; " has visited","")</f>
        <v>#N/A</v>
      </c>
      <c r="E54" t="e">
        <f>IF(VLOOKUP(B54,'Country or Territory'!A:G,6,FALSE)="Y",$E$1 &amp; " has visited","")</f>
        <v>#N/A</v>
      </c>
      <c r="F54" t="e">
        <f>IF(VLOOKUP(B54,'Country or Territory'!A:G,7,FALSE)="Y",$F$1 &amp; " has visited","")</f>
        <v>#N/A</v>
      </c>
      <c r="G54">
        <f>VLOOKUP(B54,latlong!A:F,4,TRUE)</f>
        <v>30.062629999999999</v>
      </c>
      <c r="H54">
        <f>VLOOKUP(B54,latlong!A:F,5,TRUE)</f>
        <v>31.249669999999998</v>
      </c>
      <c r="I54">
        <f t="shared" si="1"/>
        <v>4</v>
      </c>
    </row>
    <row r="55" spans="1:9" x14ac:dyDescent="0.25">
      <c r="A55" t="e">
        <f>VLOOKUP(B55,'Country or Territory'!A:G,2,FALSE)</f>
        <v>#N/A</v>
      </c>
      <c r="B55" t="s">
        <v>872</v>
      </c>
      <c r="C55" t="e">
        <f>IF(VLOOKUP(B55,'Country or Territory'!A:G,4,FALSE)="Y",$C$1 &amp; " has visited","")</f>
        <v>#N/A</v>
      </c>
      <c r="D55" t="e">
        <f>IF(VLOOKUP(B55,'Country or Territory'!A:G,5,FALSE)="Y",$D$1 &amp; " has visited","")</f>
        <v>#N/A</v>
      </c>
      <c r="E55" t="e">
        <f>IF(VLOOKUP(B55,'Country or Territory'!A:G,6,FALSE)="Y",$E$1 &amp; " has visited","")</f>
        <v>#N/A</v>
      </c>
      <c r="F55" t="e">
        <f>IF(VLOOKUP(B55,'Country or Territory'!A:G,7,FALSE)="Y",$F$1 &amp; " has visited","")</f>
        <v>#N/A</v>
      </c>
      <c r="G55">
        <f>VLOOKUP(B55,latlong!A:F,4,TRUE)</f>
        <v>13.689349999999999</v>
      </c>
      <c r="H55">
        <f>VLOOKUP(B55,latlong!A:F,5,TRUE)</f>
        <v>-89.187179999999998</v>
      </c>
      <c r="I55">
        <f t="shared" si="1"/>
        <v>4</v>
      </c>
    </row>
    <row r="56" spans="1:9" x14ac:dyDescent="0.25">
      <c r="A56" t="e">
        <f>VLOOKUP(B56,'Country or Territory'!A:G,2,FALSE)</f>
        <v>#N/A</v>
      </c>
      <c r="B56" t="s">
        <v>874</v>
      </c>
      <c r="C56" t="e">
        <f>IF(VLOOKUP(B56,'Country or Territory'!A:G,4,FALSE)="Y",$C$1 &amp; " has visited","")</f>
        <v>#N/A</v>
      </c>
      <c r="D56" t="e">
        <f>IF(VLOOKUP(B56,'Country or Territory'!A:G,5,FALSE)="Y",$D$1 &amp; " has visited","")</f>
        <v>#N/A</v>
      </c>
      <c r="E56" t="e">
        <f>IF(VLOOKUP(B56,'Country or Territory'!A:G,6,FALSE)="Y",$E$1 &amp; " has visited","")</f>
        <v>#N/A</v>
      </c>
      <c r="F56" t="e">
        <f>IF(VLOOKUP(B56,'Country or Territory'!A:G,7,FALSE)="Y",$F$1 &amp; " has visited","")</f>
        <v>#N/A</v>
      </c>
      <c r="G56">
        <f>VLOOKUP(B56,latlong!A:F,4,TRUE)</f>
        <v>1.86391</v>
      </c>
      <c r="H56">
        <f>VLOOKUP(B56,latlong!A:F,5,TRUE)</f>
        <v>9.7658199999999997</v>
      </c>
      <c r="I56">
        <f t="shared" si="1"/>
        <v>4</v>
      </c>
    </row>
    <row r="57" spans="1:9" x14ac:dyDescent="0.25">
      <c r="A57" t="e">
        <f>VLOOKUP(B57,'Country or Territory'!A:G,2,FALSE)</f>
        <v>#N/A</v>
      </c>
      <c r="B57" t="s">
        <v>876</v>
      </c>
      <c r="C57" t="e">
        <f>IF(VLOOKUP(B57,'Country or Territory'!A:G,4,FALSE)="Y",$C$1 &amp; " has visited","")</f>
        <v>#N/A</v>
      </c>
      <c r="D57" t="e">
        <f>IF(VLOOKUP(B57,'Country or Territory'!A:G,5,FALSE)="Y",$D$1 &amp; " has visited","")</f>
        <v>#N/A</v>
      </c>
      <c r="E57" t="e">
        <f>IF(VLOOKUP(B57,'Country or Territory'!A:G,6,FALSE)="Y",$E$1 &amp; " has visited","")</f>
        <v>#N/A</v>
      </c>
      <c r="F57" t="e">
        <f>IF(VLOOKUP(B57,'Country or Territory'!A:G,7,FALSE)="Y",$F$1 &amp; " has visited","")</f>
        <v>#N/A</v>
      </c>
      <c r="G57">
        <f>VLOOKUP(B57,latlong!A:F,4,TRUE)</f>
        <v>15.338050000000001</v>
      </c>
      <c r="H57">
        <f>VLOOKUP(B57,latlong!A:F,5,TRUE)</f>
        <v>38.931840000000001</v>
      </c>
      <c r="I57">
        <f t="shared" si="1"/>
        <v>4</v>
      </c>
    </row>
    <row r="58" spans="1:9" x14ac:dyDescent="0.25">
      <c r="A58" t="e">
        <f>VLOOKUP(B58,'Country or Territory'!A:G,2,FALSE)</f>
        <v>#N/A</v>
      </c>
      <c r="B58" t="s">
        <v>878</v>
      </c>
      <c r="C58" t="e">
        <f>IF(VLOOKUP(B58,'Country or Territory'!A:G,4,FALSE)="Y",$C$1 &amp; " has visited","")</f>
        <v>#N/A</v>
      </c>
      <c r="D58" t="e">
        <f>IF(VLOOKUP(B58,'Country or Territory'!A:G,5,FALSE)="Y",$D$1 &amp; " has visited","")</f>
        <v>#N/A</v>
      </c>
      <c r="E58" t="e">
        <f>IF(VLOOKUP(B58,'Country or Territory'!A:G,6,FALSE)="Y",$E$1 &amp; " has visited","")</f>
        <v>#N/A</v>
      </c>
      <c r="F58" t="e">
        <f>IF(VLOOKUP(B58,'Country or Territory'!A:G,7,FALSE)="Y",$F$1 &amp; " has visited","")</f>
        <v>#N/A</v>
      </c>
      <c r="G58">
        <f>VLOOKUP(B58,latlong!A:F,4,TRUE)</f>
        <v>59.436959999999999</v>
      </c>
      <c r="H58">
        <f>VLOOKUP(B58,latlong!A:F,5,TRUE)</f>
        <v>24.753530000000001</v>
      </c>
      <c r="I58">
        <f t="shared" si="1"/>
        <v>4</v>
      </c>
    </row>
    <row r="59" spans="1:9" x14ac:dyDescent="0.25">
      <c r="A59" t="e">
        <f>VLOOKUP(B59,'Country or Territory'!A:G,2,FALSE)</f>
        <v>#N/A</v>
      </c>
      <c r="B59" t="s">
        <v>880</v>
      </c>
      <c r="C59" t="e">
        <f>IF(VLOOKUP(B59,'Country or Territory'!A:G,4,FALSE)="Y",$C$1 &amp; " has visited","")</f>
        <v>#N/A</v>
      </c>
      <c r="D59" t="e">
        <f>IF(VLOOKUP(B59,'Country or Territory'!A:G,5,FALSE)="Y",$D$1 &amp; " has visited","")</f>
        <v>#N/A</v>
      </c>
      <c r="E59" t="e">
        <f>IF(VLOOKUP(B59,'Country or Territory'!A:G,6,FALSE)="Y",$E$1 &amp; " has visited","")</f>
        <v>#N/A</v>
      </c>
      <c r="F59" t="e">
        <f>IF(VLOOKUP(B59,'Country or Territory'!A:G,7,FALSE)="Y",$F$1 &amp; " has visited","")</f>
        <v>#N/A</v>
      </c>
      <c r="G59">
        <f>VLOOKUP(B59,latlong!A:F,4,TRUE)</f>
        <v>9.0249699999999997</v>
      </c>
      <c r="H59">
        <f>VLOOKUP(B59,latlong!A:F,5,TRUE)</f>
        <v>38.74689</v>
      </c>
      <c r="I59">
        <f t="shared" si="1"/>
        <v>4</v>
      </c>
    </row>
    <row r="60" spans="1:9" x14ac:dyDescent="0.25">
      <c r="A60" t="e">
        <f>VLOOKUP(B60,'Country or Territory'!A:G,2,FALSE)</f>
        <v>#N/A</v>
      </c>
      <c r="B60" t="s">
        <v>884</v>
      </c>
      <c r="C60" t="e">
        <f>IF(VLOOKUP(B60,'Country or Territory'!A:G,4,FALSE)="Y",$C$1 &amp; " has visited","")</f>
        <v>#N/A</v>
      </c>
      <c r="D60" t="e">
        <f>IF(VLOOKUP(B60,'Country or Territory'!A:G,5,FALSE)="Y",$D$1 &amp; " has visited","")</f>
        <v>#N/A</v>
      </c>
      <c r="E60" t="e">
        <f>IF(VLOOKUP(B60,'Country or Territory'!A:G,6,FALSE)="Y",$E$1 &amp; " has visited","")</f>
        <v>#N/A</v>
      </c>
      <c r="F60" t="e">
        <f>IF(VLOOKUP(B60,'Country or Territory'!A:G,7,FALSE)="Y",$F$1 &amp; " has visited","")</f>
        <v>#N/A</v>
      </c>
      <c r="G60">
        <f>VLOOKUP(B60,latlong!A:F,4,TRUE)</f>
        <v>-18.14161</v>
      </c>
      <c r="H60">
        <f>VLOOKUP(B60,latlong!A:F,5,TRUE)</f>
        <v>178.44148999999999</v>
      </c>
      <c r="I60">
        <f t="shared" si="1"/>
        <v>4</v>
      </c>
    </row>
    <row r="61" spans="1:9" x14ac:dyDescent="0.25">
      <c r="A61" t="e">
        <f>VLOOKUP(B61,'Country or Territory'!A:G,2,FALSE)</f>
        <v>#N/A</v>
      </c>
      <c r="B61" t="s">
        <v>886</v>
      </c>
      <c r="C61" t="e">
        <f>IF(VLOOKUP(B61,'Country or Territory'!A:G,4,FALSE)="Y",$C$1 &amp; " has visited","")</f>
        <v>#N/A</v>
      </c>
      <c r="D61" t="e">
        <f>IF(VLOOKUP(B61,'Country or Territory'!A:G,5,FALSE)="Y",$D$1 &amp; " has visited","")</f>
        <v>#N/A</v>
      </c>
      <c r="E61" t="e">
        <f>IF(VLOOKUP(B61,'Country or Territory'!A:G,6,FALSE)="Y",$E$1 &amp; " has visited","")</f>
        <v>#N/A</v>
      </c>
      <c r="F61" t="e">
        <f>IF(VLOOKUP(B61,'Country or Territory'!A:G,7,FALSE)="Y",$F$1 &amp; " has visited","")</f>
        <v>#N/A</v>
      </c>
      <c r="G61">
        <f>VLOOKUP(B61,latlong!A:F,4,TRUE)</f>
        <v>60.169519999999999</v>
      </c>
      <c r="H61">
        <f>VLOOKUP(B61,latlong!A:F,5,TRUE)</f>
        <v>24.935449999999999</v>
      </c>
      <c r="I61">
        <f t="shared" si="1"/>
        <v>4</v>
      </c>
    </row>
    <row r="62" spans="1:9" x14ac:dyDescent="0.25">
      <c r="A62" t="e">
        <f>VLOOKUP(B62,'Country or Territory'!A:G,2,FALSE)</f>
        <v>#N/A</v>
      </c>
      <c r="B62" t="s">
        <v>888</v>
      </c>
      <c r="C62" t="e">
        <f>IF(VLOOKUP(B62,'Country or Territory'!A:G,4,FALSE)="Y",$C$1 &amp; " has visited","")</f>
        <v>#N/A</v>
      </c>
      <c r="D62" t="e">
        <f>IF(VLOOKUP(B62,'Country or Territory'!A:G,5,FALSE)="Y",$D$1 &amp; " has visited","")</f>
        <v>#N/A</v>
      </c>
      <c r="E62" t="e">
        <f>IF(VLOOKUP(B62,'Country or Territory'!A:G,6,FALSE)="Y",$E$1 &amp; " has visited","")</f>
        <v>#N/A</v>
      </c>
      <c r="F62" t="e">
        <f>IF(VLOOKUP(B62,'Country or Territory'!A:G,7,FALSE)="Y",$F$1 &amp; " has visited","")</f>
        <v>#N/A</v>
      </c>
      <c r="G62">
        <f>VLOOKUP(B62,latlong!A:F,4,TRUE)</f>
        <v>48.853409999999997</v>
      </c>
      <c r="H62">
        <f>VLOOKUP(B62,latlong!A:F,5,TRUE)</f>
        <v>2.3488000000000002</v>
      </c>
      <c r="I62">
        <f t="shared" si="1"/>
        <v>4</v>
      </c>
    </row>
    <row r="63" spans="1:9" x14ac:dyDescent="0.25">
      <c r="A63" t="e">
        <f>VLOOKUP(B63,'Country or Territory'!A:G,2,FALSE)</f>
        <v>#N/A</v>
      </c>
      <c r="B63" t="s">
        <v>893</v>
      </c>
      <c r="C63" t="e">
        <f>IF(VLOOKUP(B63,'Country or Territory'!A:G,4,FALSE)="Y",$C$1 &amp; " has visited","")</f>
        <v>#N/A</v>
      </c>
      <c r="D63" t="e">
        <f>IF(VLOOKUP(B63,'Country or Territory'!A:G,5,FALSE)="Y",$D$1 &amp; " has visited","")</f>
        <v>#N/A</v>
      </c>
      <c r="E63" t="e">
        <f>IF(VLOOKUP(B63,'Country or Territory'!A:G,6,FALSE)="Y",$E$1 &amp; " has visited","")</f>
        <v>#N/A</v>
      </c>
      <c r="F63" t="e">
        <f>IF(VLOOKUP(B63,'Country or Territory'!A:G,7,FALSE)="Y",$F$1 &amp; " has visited","")</f>
        <v>#N/A</v>
      </c>
      <c r="G63">
        <f>VLOOKUP(B63,latlong!A:F,4,TRUE)</f>
        <v>0.39240999999999998</v>
      </c>
      <c r="H63">
        <f>VLOOKUP(B63,latlong!A:F,5,TRUE)</f>
        <v>9.4535599999999995</v>
      </c>
      <c r="I63">
        <f t="shared" si="1"/>
        <v>4</v>
      </c>
    </row>
    <row r="64" spans="1:9" x14ac:dyDescent="0.25">
      <c r="A64" t="e">
        <f>VLOOKUP(B64,'Country or Territory'!A:G,2,FALSE)</f>
        <v>#N/A</v>
      </c>
      <c r="B64" t="s">
        <v>895</v>
      </c>
      <c r="C64" t="e">
        <f>IF(VLOOKUP(B64,'Country or Territory'!A:G,4,FALSE)="Y",$C$1 &amp; " has visited","")</f>
        <v>#N/A</v>
      </c>
      <c r="D64" t="e">
        <f>IF(VLOOKUP(B64,'Country or Territory'!A:G,5,FALSE)="Y",$D$1 &amp; " has visited","")</f>
        <v>#N/A</v>
      </c>
      <c r="E64" t="e">
        <f>IF(VLOOKUP(B64,'Country or Territory'!A:G,6,FALSE)="Y",$E$1 &amp; " has visited","")</f>
        <v>#N/A</v>
      </c>
      <c r="F64" t="e">
        <f>IF(VLOOKUP(B64,'Country or Territory'!A:G,7,FALSE)="Y",$F$1 &amp; " has visited","")</f>
        <v>#N/A</v>
      </c>
      <c r="G64">
        <f>VLOOKUP(B64,latlong!A:F,4,TRUE)</f>
        <v>13.27136</v>
      </c>
      <c r="H64">
        <f>VLOOKUP(B64,latlong!A:F,5,TRUE)</f>
        <v>-16.649439999999998</v>
      </c>
      <c r="I64">
        <f t="shared" si="1"/>
        <v>4</v>
      </c>
    </row>
    <row r="65" spans="1:9" x14ac:dyDescent="0.25">
      <c r="A65" t="e">
        <f>VLOOKUP(B65,'Country or Territory'!A:G,2,FALSE)</f>
        <v>#N/A</v>
      </c>
      <c r="B65" t="s">
        <v>897</v>
      </c>
      <c r="C65" t="e">
        <f>IF(VLOOKUP(B65,'Country or Territory'!A:G,4,FALSE)="Y",$C$1 &amp; " has visited","")</f>
        <v>#N/A</v>
      </c>
      <c r="D65" t="e">
        <f>IF(VLOOKUP(B65,'Country or Territory'!A:G,5,FALSE)="Y",$D$1 &amp; " has visited","")</f>
        <v>#N/A</v>
      </c>
      <c r="E65" t="e">
        <f>IF(VLOOKUP(B65,'Country or Territory'!A:G,6,FALSE)="Y",$E$1 &amp; " has visited","")</f>
        <v>#N/A</v>
      </c>
      <c r="F65" t="e">
        <f>IF(VLOOKUP(B65,'Country or Territory'!A:G,7,FALSE)="Y",$F$1 &amp; " has visited","")</f>
        <v>#N/A</v>
      </c>
      <c r="G65">
        <f>VLOOKUP(B65,latlong!A:F,4,TRUE)</f>
        <v>41.694110000000002</v>
      </c>
      <c r="H65">
        <f>VLOOKUP(B65,latlong!A:F,5,TRUE)</f>
        <v>44.833680000000001</v>
      </c>
      <c r="I65">
        <f t="shared" si="1"/>
        <v>4</v>
      </c>
    </row>
    <row r="66" spans="1:9" x14ac:dyDescent="0.25">
      <c r="A66" t="e">
        <f>VLOOKUP(B66,'Country or Territory'!A:G,2,FALSE)</f>
        <v>#N/A</v>
      </c>
      <c r="B66" t="s">
        <v>899</v>
      </c>
      <c r="C66" t="e">
        <f>IF(VLOOKUP(B66,'Country or Territory'!A:G,4,FALSE)="Y",$C$1 &amp; " has visited","")</f>
        <v>#N/A</v>
      </c>
      <c r="D66" t="e">
        <f>IF(VLOOKUP(B66,'Country or Territory'!A:G,5,FALSE)="Y",$D$1 &amp; " has visited","")</f>
        <v>#N/A</v>
      </c>
      <c r="E66" t="e">
        <f>IF(VLOOKUP(B66,'Country or Territory'!A:G,6,FALSE)="Y",$E$1 &amp; " has visited","")</f>
        <v>#N/A</v>
      </c>
      <c r="F66" t="e">
        <f>IF(VLOOKUP(B66,'Country or Territory'!A:G,7,FALSE)="Y",$F$1 &amp; " has visited","")</f>
        <v>#N/A</v>
      </c>
      <c r="G66">
        <f>VLOOKUP(B66,latlong!A:F,4,TRUE)</f>
        <v>52.524369999999998</v>
      </c>
      <c r="H66">
        <f>VLOOKUP(B66,latlong!A:F,5,TRUE)</f>
        <v>13.41053</v>
      </c>
      <c r="I66">
        <f t="shared" ref="I66:I97" si="2">4-COUNTBLANK(C66:F66)</f>
        <v>4</v>
      </c>
    </row>
    <row r="67" spans="1:9" x14ac:dyDescent="0.25">
      <c r="A67" t="e">
        <f>VLOOKUP(B67,'Country or Territory'!A:G,2,FALSE)</f>
        <v>#N/A</v>
      </c>
      <c r="B67" t="s">
        <v>901</v>
      </c>
      <c r="C67" t="e">
        <f>IF(VLOOKUP(B67,'Country or Territory'!A:G,4,FALSE)="Y",$C$1 &amp; " has visited","")</f>
        <v>#N/A</v>
      </c>
      <c r="D67" t="e">
        <f>IF(VLOOKUP(B67,'Country or Territory'!A:G,5,FALSE)="Y",$D$1 &amp; " has visited","")</f>
        <v>#N/A</v>
      </c>
      <c r="E67" t="e">
        <f>IF(VLOOKUP(B67,'Country or Territory'!A:G,6,FALSE)="Y",$E$1 &amp; " has visited","")</f>
        <v>#N/A</v>
      </c>
      <c r="F67" t="e">
        <f>IF(VLOOKUP(B67,'Country or Territory'!A:G,7,FALSE)="Y",$F$1 &amp; " has visited","")</f>
        <v>#N/A</v>
      </c>
      <c r="G67">
        <f>VLOOKUP(B67,latlong!A:F,4,TRUE)</f>
        <v>5.5560200000000002</v>
      </c>
      <c r="H67">
        <f>VLOOKUP(B67,latlong!A:F,5,TRUE)</f>
        <v>-0.19689999999999999</v>
      </c>
      <c r="I67">
        <f t="shared" si="2"/>
        <v>4</v>
      </c>
    </row>
    <row r="68" spans="1:9" x14ac:dyDescent="0.25">
      <c r="A68" t="e">
        <f>VLOOKUP(B68,'Country or Territory'!A:G,2,FALSE)</f>
        <v>#N/A</v>
      </c>
      <c r="B68" t="s">
        <v>904</v>
      </c>
      <c r="C68" t="e">
        <f>IF(VLOOKUP(B68,'Country or Territory'!A:G,4,FALSE)="Y",$C$1 &amp; " has visited","")</f>
        <v>#N/A</v>
      </c>
      <c r="D68" t="e">
        <f>IF(VLOOKUP(B68,'Country or Territory'!A:G,5,FALSE)="Y",$D$1 &amp; " has visited","")</f>
        <v>#N/A</v>
      </c>
      <c r="E68" t="e">
        <f>IF(VLOOKUP(B68,'Country or Territory'!A:G,6,FALSE)="Y",$E$1 &amp; " has visited","")</f>
        <v>#N/A</v>
      </c>
      <c r="F68" t="e">
        <f>IF(VLOOKUP(B68,'Country or Territory'!A:G,7,FALSE)="Y",$F$1 &amp; " has visited","")</f>
        <v>#N/A</v>
      </c>
      <c r="G68">
        <f>VLOOKUP(B68,latlong!A:F,4,TRUE)</f>
        <v>37.97945</v>
      </c>
      <c r="H68">
        <f>VLOOKUP(B68,latlong!A:F,5,TRUE)</f>
        <v>23.71622</v>
      </c>
      <c r="I68">
        <f t="shared" si="2"/>
        <v>4</v>
      </c>
    </row>
    <row r="69" spans="1:9" x14ac:dyDescent="0.25">
      <c r="A69" t="e">
        <f>VLOOKUP(B69,'Country or Territory'!A:G,2,FALSE)</f>
        <v>#N/A</v>
      </c>
      <c r="B69" t="s">
        <v>907</v>
      </c>
      <c r="C69" t="e">
        <f>IF(VLOOKUP(B69,'Country or Territory'!A:G,4,FALSE)="Y",$C$1 &amp; " has visited","")</f>
        <v>#N/A</v>
      </c>
      <c r="D69" t="e">
        <f>IF(VLOOKUP(B69,'Country or Territory'!A:G,5,FALSE)="Y",$D$1 &amp; " has visited","")</f>
        <v>#N/A</v>
      </c>
      <c r="E69" t="e">
        <f>IF(VLOOKUP(B69,'Country or Territory'!A:G,6,FALSE)="Y",$E$1 &amp; " has visited","")</f>
        <v>#N/A</v>
      </c>
      <c r="F69" t="e">
        <f>IF(VLOOKUP(B69,'Country or Territory'!A:G,7,FALSE)="Y",$F$1 &amp; " has visited","")</f>
        <v>#N/A</v>
      </c>
      <c r="G69">
        <f>VLOOKUP(B69,latlong!A:F,4,TRUE)</f>
        <v>12.05644</v>
      </c>
      <c r="H69">
        <f>VLOOKUP(B69,latlong!A:F,5,TRUE)</f>
        <v>-61.748489999999997</v>
      </c>
      <c r="I69">
        <f t="shared" si="2"/>
        <v>4</v>
      </c>
    </row>
    <row r="70" spans="1:9" x14ac:dyDescent="0.25">
      <c r="A70" t="e">
        <f>VLOOKUP(B70,'Country or Territory'!A:G,2,FALSE)</f>
        <v>#N/A</v>
      </c>
      <c r="B70" t="s">
        <v>911</v>
      </c>
      <c r="C70" t="e">
        <f>IF(VLOOKUP(B70,'Country or Territory'!A:G,4,FALSE)="Y",$C$1 &amp; " has visited","")</f>
        <v>#N/A</v>
      </c>
      <c r="D70" t="e">
        <f>IF(VLOOKUP(B70,'Country or Territory'!A:G,5,FALSE)="Y",$D$1 &amp; " has visited","")</f>
        <v>#N/A</v>
      </c>
      <c r="E70" t="e">
        <f>IF(VLOOKUP(B70,'Country or Territory'!A:G,6,FALSE)="Y",$E$1 &amp; " has visited","")</f>
        <v>#N/A</v>
      </c>
      <c r="F70" t="e">
        <f>IF(VLOOKUP(B70,'Country or Territory'!A:G,7,FALSE)="Y",$F$1 &amp; " has visited","")</f>
        <v>#N/A</v>
      </c>
      <c r="G70">
        <f>VLOOKUP(B70,latlong!A:F,4,TRUE)</f>
        <v>14.64072</v>
      </c>
      <c r="H70">
        <f>VLOOKUP(B70,latlong!A:F,5,TRUE)</f>
        <v>-90.513270000000006</v>
      </c>
      <c r="I70">
        <f t="shared" si="2"/>
        <v>4</v>
      </c>
    </row>
    <row r="71" spans="1:9" x14ac:dyDescent="0.25">
      <c r="A71" t="e">
        <f>VLOOKUP(B71,'Country or Territory'!A:G,2,FALSE)</f>
        <v>#N/A</v>
      </c>
      <c r="B71" t="s">
        <v>914</v>
      </c>
      <c r="C71" t="e">
        <f>IF(VLOOKUP(B71,'Country or Territory'!A:G,4,FALSE)="Y",$C$1 &amp; " has visited","")</f>
        <v>#N/A</v>
      </c>
      <c r="D71" t="e">
        <f>IF(VLOOKUP(B71,'Country or Territory'!A:G,5,FALSE)="Y",$D$1 &amp; " has visited","")</f>
        <v>#N/A</v>
      </c>
      <c r="E71" t="e">
        <f>IF(VLOOKUP(B71,'Country or Territory'!A:G,6,FALSE)="Y",$E$1 &amp; " has visited","")</f>
        <v>#N/A</v>
      </c>
      <c r="F71" t="e">
        <f>IF(VLOOKUP(B71,'Country or Territory'!A:G,7,FALSE)="Y",$F$1 &amp; " has visited","")</f>
        <v>#N/A</v>
      </c>
      <c r="G71">
        <f>VLOOKUP(B71,latlong!A:F,4,TRUE)</f>
        <v>9.5350000000000001</v>
      </c>
      <c r="H71">
        <f>VLOOKUP(B71,latlong!A:F,5,TRUE)</f>
        <v>-13.68778</v>
      </c>
      <c r="I71">
        <f t="shared" si="2"/>
        <v>4</v>
      </c>
    </row>
    <row r="72" spans="1:9" x14ac:dyDescent="0.25">
      <c r="A72" t="e">
        <f>VLOOKUP(B72,'Country or Territory'!A:G,2,FALSE)</f>
        <v>#N/A</v>
      </c>
      <c r="B72" t="s">
        <v>916</v>
      </c>
      <c r="C72" t="e">
        <f>IF(VLOOKUP(B72,'Country or Territory'!A:G,4,FALSE)="Y",$C$1 &amp; " has visited","")</f>
        <v>#N/A</v>
      </c>
      <c r="D72" t="e">
        <f>IF(VLOOKUP(B72,'Country or Territory'!A:G,5,FALSE)="Y",$D$1 &amp; " has visited","")</f>
        <v>#N/A</v>
      </c>
      <c r="E72" t="e">
        <f>IF(VLOOKUP(B72,'Country or Territory'!A:G,6,FALSE)="Y",$E$1 &amp; " has visited","")</f>
        <v>#N/A</v>
      </c>
      <c r="F72" t="e">
        <f>IF(VLOOKUP(B72,'Country or Territory'!A:G,7,FALSE)="Y",$F$1 &amp; " has visited","")</f>
        <v>#N/A</v>
      </c>
      <c r="G72">
        <f>VLOOKUP(B72,latlong!A:F,4,TRUE)</f>
        <v>11.863569999999999</v>
      </c>
      <c r="H72">
        <f>VLOOKUP(B72,latlong!A:F,5,TRUE)</f>
        <v>-15.597670000000001</v>
      </c>
      <c r="I72">
        <f t="shared" si="2"/>
        <v>4</v>
      </c>
    </row>
    <row r="73" spans="1:9" x14ac:dyDescent="0.25">
      <c r="A73" t="e">
        <f>VLOOKUP(B73,'Country or Territory'!A:G,2,FALSE)</f>
        <v>#N/A</v>
      </c>
      <c r="B73" t="s">
        <v>918</v>
      </c>
      <c r="C73" t="e">
        <f>IF(VLOOKUP(B73,'Country or Territory'!A:G,4,FALSE)="Y",$C$1 &amp; " has visited","")</f>
        <v>#N/A</v>
      </c>
      <c r="D73" t="e">
        <f>IF(VLOOKUP(B73,'Country or Territory'!A:G,5,FALSE)="Y",$D$1 &amp; " has visited","")</f>
        <v>#N/A</v>
      </c>
      <c r="E73" t="e">
        <f>IF(VLOOKUP(B73,'Country or Territory'!A:G,6,FALSE)="Y",$E$1 &amp; " has visited","")</f>
        <v>#N/A</v>
      </c>
      <c r="F73" t="e">
        <f>IF(VLOOKUP(B73,'Country or Territory'!A:G,7,FALSE)="Y",$F$1 &amp; " has visited","")</f>
        <v>#N/A</v>
      </c>
      <c r="G73">
        <f>VLOOKUP(B73,latlong!A:F,4,TRUE)</f>
        <v>6.8044799999999999</v>
      </c>
      <c r="H73">
        <f>VLOOKUP(B73,latlong!A:F,5,TRUE)</f>
        <v>-58.155270000000002</v>
      </c>
      <c r="I73">
        <f t="shared" si="2"/>
        <v>4</v>
      </c>
    </row>
    <row r="74" spans="1:9" x14ac:dyDescent="0.25">
      <c r="A74" t="e">
        <f>VLOOKUP(B74,'Country or Territory'!A:G,2,FALSE)</f>
        <v>#N/A</v>
      </c>
      <c r="B74" t="s">
        <v>920</v>
      </c>
      <c r="C74" t="e">
        <f>IF(VLOOKUP(B74,'Country or Territory'!A:G,4,FALSE)="Y",$C$1 &amp; " has visited","")</f>
        <v>#N/A</v>
      </c>
      <c r="D74" t="e">
        <f>IF(VLOOKUP(B74,'Country or Territory'!A:G,5,FALSE)="Y",$D$1 &amp; " has visited","")</f>
        <v>#N/A</v>
      </c>
      <c r="E74" t="e">
        <f>IF(VLOOKUP(B74,'Country or Territory'!A:G,6,FALSE)="Y",$E$1 &amp; " has visited","")</f>
        <v>#N/A</v>
      </c>
      <c r="F74" t="e">
        <f>IF(VLOOKUP(B74,'Country or Territory'!A:G,7,FALSE)="Y",$F$1 &amp; " has visited","")</f>
        <v>#N/A</v>
      </c>
      <c r="G74">
        <f>VLOOKUP(B74,latlong!A:F,4,TRUE)</f>
        <v>18.539169999999999</v>
      </c>
      <c r="H74">
        <f>VLOOKUP(B74,latlong!A:F,5,TRUE)</f>
        <v>-72.334999999999994</v>
      </c>
      <c r="I74">
        <f t="shared" si="2"/>
        <v>4</v>
      </c>
    </row>
    <row r="75" spans="1:9" x14ac:dyDescent="0.25">
      <c r="A75" t="e">
        <f>VLOOKUP(B75,'Country or Territory'!A:G,2,FALSE)</f>
        <v>#N/A</v>
      </c>
      <c r="B75" t="s">
        <v>923</v>
      </c>
      <c r="C75" t="e">
        <f>IF(VLOOKUP(B75,'Country or Territory'!A:G,4,FALSE)="Y",$C$1 &amp; " has visited","")</f>
        <v>#N/A</v>
      </c>
      <c r="D75" t="e">
        <f>IF(VLOOKUP(B75,'Country or Territory'!A:G,5,FALSE)="Y",$D$1 &amp; " has visited","")</f>
        <v>#N/A</v>
      </c>
      <c r="E75" t="e">
        <f>IF(VLOOKUP(B75,'Country or Territory'!A:G,6,FALSE)="Y",$E$1 &amp; " has visited","")</f>
        <v>#N/A</v>
      </c>
      <c r="F75" t="e">
        <f>IF(VLOOKUP(B75,'Country or Territory'!A:G,7,FALSE)="Y",$F$1 &amp; " has visited","")</f>
        <v>#N/A</v>
      </c>
      <c r="G75">
        <f>VLOOKUP(B75,latlong!A:F,4,TRUE)</f>
        <v>41.902360000000002</v>
      </c>
      <c r="H75">
        <f>VLOOKUP(B75,latlong!A:F,5,TRUE)</f>
        <v>12.45332</v>
      </c>
      <c r="I75">
        <f t="shared" si="2"/>
        <v>4</v>
      </c>
    </row>
    <row r="76" spans="1:9" x14ac:dyDescent="0.25">
      <c r="A76" t="e">
        <f>VLOOKUP(B76,'Country or Territory'!A:G,2,FALSE)</f>
        <v>#N/A</v>
      </c>
      <c r="B76" t="s">
        <v>925</v>
      </c>
      <c r="C76" t="e">
        <f>IF(VLOOKUP(B76,'Country or Territory'!A:G,4,FALSE)="Y",$C$1 &amp; " has visited","")</f>
        <v>#N/A</v>
      </c>
      <c r="D76" t="e">
        <f>IF(VLOOKUP(B76,'Country or Territory'!A:G,5,FALSE)="Y",$D$1 &amp; " has visited","")</f>
        <v>#N/A</v>
      </c>
      <c r="E76" t="e">
        <f>IF(VLOOKUP(B76,'Country or Territory'!A:G,6,FALSE)="Y",$E$1 &amp; " has visited","")</f>
        <v>#N/A</v>
      </c>
      <c r="F76" t="e">
        <f>IF(VLOOKUP(B76,'Country or Territory'!A:G,7,FALSE)="Y",$F$1 &amp; " has visited","")</f>
        <v>#N/A</v>
      </c>
      <c r="G76">
        <f>VLOOKUP(B76,latlong!A:F,4,TRUE)</f>
        <v>14.081799999999999</v>
      </c>
      <c r="H76">
        <f>VLOOKUP(B76,latlong!A:F,5,TRUE)</f>
        <v>-87.206810000000004</v>
      </c>
      <c r="I76">
        <f t="shared" si="2"/>
        <v>4</v>
      </c>
    </row>
    <row r="77" spans="1:9" x14ac:dyDescent="0.25">
      <c r="A77" t="e">
        <f>VLOOKUP(B77,'Country or Territory'!A:G,2,FALSE)</f>
        <v>#N/A</v>
      </c>
      <c r="B77" t="s">
        <v>928</v>
      </c>
      <c r="C77" t="e">
        <f>IF(VLOOKUP(B77,'Country or Territory'!A:G,4,FALSE)="Y",$C$1 &amp; " has visited","")</f>
        <v>#N/A</v>
      </c>
      <c r="D77" t="e">
        <f>IF(VLOOKUP(B77,'Country or Territory'!A:G,5,FALSE)="Y",$D$1 &amp; " has visited","")</f>
        <v>#N/A</v>
      </c>
      <c r="E77" t="e">
        <f>IF(VLOOKUP(B77,'Country or Territory'!A:G,6,FALSE)="Y",$E$1 &amp; " has visited","")</f>
        <v>#N/A</v>
      </c>
      <c r="F77" t="e">
        <f>IF(VLOOKUP(B77,'Country or Territory'!A:G,7,FALSE)="Y",$F$1 &amp; " has visited","")</f>
        <v>#N/A</v>
      </c>
      <c r="G77">
        <f>VLOOKUP(B77,latlong!A:F,4,TRUE)</f>
        <v>47.498010000000001</v>
      </c>
      <c r="H77">
        <f>VLOOKUP(B77,latlong!A:F,5,TRUE)</f>
        <v>19.039909999999999</v>
      </c>
      <c r="I77">
        <f t="shared" si="2"/>
        <v>4</v>
      </c>
    </row>
    <row r="78" spans="1:9" x14ac:dyDescent="0.25">
      <c r="A78" t="e">
        <f>VLOOKUP(B78,'Country or Territory'!A:G,2,FALSE)</f>
        <v>#N/A</v>
      </c>
      <c r="B78" t="s">
        <v>930</v>
      </c>
      <c r="C78" t="e">
        <f>IF(VLOOKUP(B78,'Country or Territory'!A:G,4,FALSE)="Y",$C$1 &amp; " has visited","")</f>
        <v>#N/A</v>
      </c>
      <c r="D78" t="e">
        <f>IF(VLOOKUP(B78,'Country or Territory'!A:G,5,FALSE)="Y",$D$1 &amp; " has visited","")</f>
        <v>#N/A</v>
      </c>
      <c r="E78" t="e">
        <f>IF(VLOOKUP(B78,'Country or Territory'!A:G,6,FALSE)="Y",$E$1 &amp; " has visited","")</f>
        <v>#N/A</v>
      </c>
      <c r="F78" t="e">
        <f>IF(VLOOKUP(B78,'Country or Territory'!A:G,7,FALSE)="Y",$F$1 &amp; " has visited","")</f>
        <v>#N/A</v>
      </c>
      <c r="G78">
        <f>VLOOKUP(B78,latlong!A:F,4,TRUE)</f>
        <v>64.135480000000001</v>
      </c>
      <c r="H78">
        <f>VLOOKUP(B78,latlong!A:F,5,TRUE)</f>
        <v>-21.895409999999998</v>
      </c>
      <c r="I78">
        <f t="shared" si="2"/>
        <v>4</v>
      </c>
    </row>
    <row r="79" spans="1:9" x14ac:dyDescent="0.25">
      <c r="A79" t="e">
        <f>VLOOKUP(B79,'Country or Territory'!A:G,2,FALSE)</f>
        <v>#N/A</v>
      </c>
      <c r="B79" t="s">
        <v>932</v>
      </c>
      <c r="C79" t="e">
        <f>IF(VLOOKUP(B79,'Country or Territory'!A:G,4,FALSE)="Y",$C$1 &amp; " has visited","")</f>
        <v>#N/A</v>
      </c>
      <c r="D79" t="e">
        <f>IF(VLOOKUP(B79,'Country or Territory'!A:G,5,FALSE)="Y",$D$1 &amp; " has visited","")</f>
        <v>#N/A</v>
      </c>
      <c r="E79" t="e">
        <f>IF(VLOOKUP(B79,'Country or Territory'!A:G,6,FALSE)="Y",$E$1 &amp; " has visited","")</f>
        <v>#N/A</v>
      </c>
      <c r="F79" t="e">
        <f>IF(VLOOKUP(B79,'Country or Territory'!A:G,7,FALSE)="Y",$F$1 &amp; " has visited","")</f>
        <v>#N/A</v>
      </c>
      <c r="G79">
        <f>VLOOKUP(B79,latlong!A:F,4,TRUE)</f>
        <v>19.07283</v>
      </c>
      <c r="H79">
        <f>VLOOKUP(B79,latlong!A:F,5,TRUE)</f>
        <v>72.88261</v>
      </c>
      <c r="I79">
        <f t="shared" si="2"/>
        <v>4</v>
      </c>
    </row>
    <row r="80" spans="1:9" x14ac:dyDescent="0.25">
      <c r="A80" t="e">
        <f>VLOOKUP(B80,'Country or Territory'!A:G,2,FALSE)</f>
        <v>#N/A</v>
      </c>
      <c r="B80" t="s">
        <v>934</v>
      </c>
      <c r="C80" t="e">
        <f>IF(VLOOKUP(B80,'Country or Territory'!A:G,4,FALSE)="Y",$C$1 &amp; " has visited","")</f>
        <v>#N/A</v>
      </c>
      <c r="D80" t="e">
        <f>IF(VLOOKUP(B80,'Country or Territory'!A:G,5,FALSE)="Y",$D$1 &amp; " has visited","")</f>
        <v>#N/A</v>
      </c>
      <c r="E80" t="e">
        <f>IF(VLOOKUP(B80,'Country or Territory'!A:G,6,FALSE)="Y",$E$1 &amp; " has visited","")</f>
        <v>#N/A</v>
      </c>
      <c r="F80" t="e">
        <f>IF(VLOOKUP(B80,'Country or Territory'!A:G,7,FALSE)="Y",$F$1 &amp; " has visited","")</f>
        <v>#N/A</v>
      </c>
      <c r="G80">
        <f>VLOOKUP(B80,latlong!A:F,4,TRUE)</f>
        <v>-6.21462</v>
      </c>
      <c r="H80">
        <f>VLOOKUP(B80,latlong!A:F,5,TRUE)</f>
        <v>106.84513</v>
      </c>
      <c r="I80">
        <f t="shared" si="2"/>
        <v>4</v>
      </c>
    </row>
    <row r="81" spans="1:9" x14ac:dyDescent="0.25">
      <c r="A81" t="e">
        <f>VLOOKUP(B81,'Country or Territory'!A:G,2,FALSE)</f>
        <v>#N/A</v>
      </c>
      <c r="B81" t="s">
        <v>936</v>
      </c>
      <c r="C81" t="e">
        <f>IF(VLOOKUP(B81,'Country or Territory'!A:G,4,FALSE)="Y",$C$1 &amp; " has visited","")</f>
        <v>#N/A</v>
      </c>
      <c r="D81" t="e">
        <f>IF(VLOOKUP(B81,'Country or Territory'!A:G,5,FALSE)="Y",$D$1 &amp; " has visited","")</f>
        <v>#N/A</v>
      </c>
      <c r="E81" t="e">
        <f>IF(VLOOKUP(B81,'Country or Territory'!A:G,6,FALSE)="Y",$E$1 &amp; " has visited","")</f>
        <v>#N/A</v>
      </c>
      <c r="F81" t="e">
        <f>IF(VLOOKUP(B81,'Country or Territory'!A:G,7,FALSE)="Y",$F$1 &amp; " has visited","")</f>
        <v>#N/A</v>
      </c>
      <c r="G81">
        <f>VLOOKUP(B81,latlong!A:F,4,TRUE)</f>
        <v>35.694389999999999</v>
      </c>
      <c r="H81">
        <f>VLOOKUP(B81,latlong!A:F,5,TRUE)</f>
        <v>51.421509999999998</v>
      </c>
      <c r="I81">
        <f t="shared" si="2"/>
        <v>4</v>
      </c>
    </row>
    <row r="82" spans="1:9" x14ac:dyDescent="0.25">
      <c r="A82" t="e">
        <f>VLOOKUP(B82,'Country or Territory'!A:G,2,FALSE)</f>
        <v>#N/A</v>
      </c>
      <c r="B82" t="s">
        <v>938</v>
      </c>
      <c r="C82" t="e">
        <f>IF(VLOOKUP(B82,'Country or Territory'!A:G,4,FALSE)="Y",$C$1 &amp; " has visited","")</f>
        <v>#N/A</v>
      </c>
      <c r="D82" t="e">
        <f>IF(VLOOKUP(B82,'Country or Territory'!A:G,5,FALSE)="Y",$D$1 &amp; " has visited","")</f>
        <v>#N/A</v>
      </c>
      <c r="E82" t="e">
        <f>IF(VLOOKUP(B82,'Country or Territory'!A:G,6,FALSE)="Y",$E$1 &amp; " has visited","")</f>
        <v>#N/A</v>
      </c>
      <c r="F82" t="e">
        <f>IF(VLOOKUP(B82,'Country or Territory'!A:G,7,FALSE)="Y",$F$1 &amp; " has visited","")</f>
        <v>#N/A</v>
      </c>
      <c r="G82">
        <f>VLOOKUP(B82,latlong!A:F,4,TRUE)</f>
        <v>33.340580000000003</v>
      </c>
      <c r="H82">
        <f>VLOOKUP(B82,latlong!A:F,5,TRUE)</f>
        <v>44.400880000000001</v>
      </c>
      <c r="I82">
        <f t="shared" si="2"/>
        <v>4</v>
      </c>
    </row>
    <row r="83" spans="1:9" x14ac:dyDescent="0.25">
      <c r="A83" t="e">
        <f>VLOOKUP(B83,'Country or Territory'!A:G,2,FALSE)</f>
        <v>#N/A</v>
      </c>
      <c r="B83" t="s">
        <v>940</v>
      </c>
      <c r="C83" t="e">
        <f>IF(VLOOKUP(B83,'Country or Territory'!A:G,4,FALSE)="Y",$C$1 &amp; " has visited","")</f>
        <v>#N/A</v>
      </c>
      <c r="D83" t="e">
        <f>IF(VLOOKUP(B83,'Country or Territory'!A:G,5,FALSE)="Y",$D$1 &amp; " has visited","")</f>
        <v>#N/A</v>
      </c>
      <c r="E83" t="e">
        <f>IF(VLOOKUP(B83,'Country or Territory'!A:G,6,FALSE)="Y",$E$1 &amp; " has visited","")</f>
        <v>#N/A</v>
      </c>
      <c r="F83" t="e">
        <f>IF(VLOOKUP(B83,'Country or Territory'!A:G,7,FALSE)="Y",$F$1 &amp; " has visited","")</f>
        <v>#N/A</v>
      </c>
      <c r="G83">
        <f>VLOOKUP(B83,latlong!A:F,4,TRUE)</f>
        <v>53.333060000000003</v>
      </c>
      <c r="H83">
        <f>VLOOKUP(B83,latlong!A:F,5,TRUE)</f>
        <v>-6.2488900000000003</v>
      </c>
      <c r="I83">
        <f t="shared" si="2"/>
        <v>4</v>
      </c>
    </row>
    <row r="84" spans="1:9" x14ac:dyDescent="0.25">
      <c r="A84" t="e">
        <f>VLOOKUP(B84,'Country or Territory'!A:G,2,FALSE)</f>
        <v>#N/A</v>
      </c>
      <c r="B84" t="s">
        <v>943</v>
      </c>
      <c r="C84" t="e">
        <f>IF(VLOOKUP(B84,'Country or Territory'!A:G,4,FALSE)="Y",$C$1 &amp; " has visited","")</f>
        <v>#N/A</v>
      </c>
      <c r="D84" t="e">
        <f>IF(VLOOKUP(B84,'Country or Territory'!A:G,5,FALSE)="Y",$D$1 &amp; " has visited","")</f>
        <v>#N/A</v>
      </c>
      <c r="E84" t="e">
        <f>IF(VLOOKUP(B84,'Country or Territory'!A:G,6,FALSE)="Y",$E$1 &amp; " has visited","")</f>
        <v>#N/A</v>
      </c>
      <c r="F84" t="e">
        <f>IF(VLOOKUP(B84,'Country or Territory'!A:G,7,FALSE)="Y",$F$1 &amp; " has visited","")</f>
        <v>#N/A</v>
      </c>
      <c r="G84">
        <f>VLOOKUP(B84,latlong!A:F,4,TRUE)</f>
        <v>31.76904</v>
      </c>
      <c r="H84">
        <f>VLOOKUP(B84,latlong!A:F,5,TRUE)</f>
        <v>35.216329999999999</v>
      </c>
      <c r="I84">
        <f t="shared" si="2"/>
        <v>4</v>
      </c>
    </row>
    <row r="85" spans="1:9" x14ac:dyDescent="0.25">
      <c r="A85" t="e">
        <f>VLOOKUP(B85,'Country or Territory'!A:G,2,FALSE)</f>
        <v>#N/A</v>
      </c>
      <c r="B85" t="s">
        <v>945</v>
      </c>
      <c r="C85" t="e">
        <f>IF(VLOOKUP(B85,'Country or Territory'!A:G,4,FALSE)="Y",$C$1 &amp; " has visited","")</f>
        <v>#N/A</v>
      </c>
      <c r="D85" t="e">
        <f>IF(VLOOKUP(B85,'Country or Territory'!A:G,5,FALSE)="Y",$D$1 &amp; " has visited","")</f>
        <v>#N/A</v>
      </c>
      <c r="E85" t="e">
        <f>IF(VLOOKUP(B85,'Country or Territory'!A:G,6,FALSE)="Y",$E$1 &amp; " has visited","")</f>
        <v>#N/A</v>
      </c>
      <c r="F85" t="e">
        <f>IF(VLOOKUP(B85,'Country or Territory'!A:G,7,FALSE)="Y",$F$1 &amp; " has visited","")</f>
        <v>#N/A</v>
      </c>
      <c r="G85">
        <f>VLOOKUP(B85,latlong!A:F,4,TRUE)</f>
        <v>41.891930000000002</v>
      </c>
      <c r="H85">
        <f>VLOOKUP(B85,latlong!A:F,5,TRUE)</f>
        <v>12.511329999999999</v>
      </c>
      <c r="I85">
        <f t="shared" si="2"/>
        <v>4</v>
      </c>
    </row>
    <row r="86" spans="1:9" x14ac:dyDescent="0.25">
      <c r="A86" t="e">
        <f>VLOOKUP(B86,'Country or Territory'!A:G,2,FALSE)</f>
        <v>#N/A</v>
      </c>
      <c r="B86" t="s">
        <v>947</v>
      </c>
      <c r="C86" t="e">
        <f>IF(VLOOKUP(B86,'Country or Territory'!A:G,4,FALSE)="Y",$C$1 &amp; " has visited","")</f>
        <v>#N/A</v>
      </c>
      <c r="D86" t="e">
        <f>IF(VLOOKUP(B86,'Country or Territory'!A:G,5,FALSE)="Y",$D$1 &amp; " has visited","")</f>
        <v>#N/A</v>
      </c>
      <c r="E86" t="e">
        <f>IF(VLOOKUP(B86,'Country or Territory'!A:G,6,FALSE)="Y",$E$1 &amp; " has visited","")</f>
        <v>#N/A</v>
      </c>
      <c r="F86" t="e">
        <f>IF(VLOOKUP(B86,'Country or Territory'!A:G,7,FALSE)="Y",$F$1 &amp; " has visited","")</f>
        <v>#N/A</v>
      </c>
      <c r="G86">
        <f>VLOOKUP(B86,latlong!A:F,4,TRUE)</f>
        <v>17.997019999999999</v>
      </c>
      <c r="H86">
        <f>VLOOKUP(B86,latlong!A:F,5,TRUE)</f>
        <v>-76.793580000000006</v>
      </c>
      <c r="I86">
        <f t="shared" si="2"/>
        <v>4</v>
      </c>
    </row>
    <row r="87" spans="1:9" x14ac:dyDescent="0.25">
      <c r="A87" t="e">
        <f>VLOOKUP(B87,'Country or Territory'!A:G,2,FALSE)</f>
        <v>#N/A</v>
      </c>
      <c r="B87" t="s">
        <v>949</v>
      </c>
      <c r="C87" t="e">
        <f>IF(VLOOKUP(B87,'Country or Territory'!A:G,4,FALSE)="Y",$C$1 &amp; " has visited","")</f>
        <v>#N/A</v>
      </c>
      <c r="D87" t="e">
        <f>IF(VLOOKUP(B87,'Country or Territory'!A:G,5,FALSE)="Y",$D$1 &amp; " has visited","")</f>
        <v>#N/A</v>
      </c>
      <c r="E87" t="e">
        <f>IF(VLOOKUP(B87,'Country or Territory'!A:G,6,FALSE)="Y",$E$1 &amp; " has visited","")</f>
        <v>#N/A</v>
      </c>
      <c r="F87" t="e">
        <f>IF(VLOOKUP(B87,'Country or Territory'!A:G,7,FALSE)="Y",$F$1 &amp; " has visited","")</f>
        <v>#N/A</v>
      </c>
      <c r="G87">
        <f>VLOOKUP(B87,latlong!A:F,4,TRUE)</f>
        <v>35.689500000000002</v>
      </c>
      <c r="H87">
        <f>VLOOKUP(B87,latlong!A:F,5,TRUE)</f>
        <v>139.69171</v>
      </c>
      <c r="I87">
        <f t="shared" si="2"/>
        <v>4</v>
      </c>
    </row>
    <row r="88" spans="1:9" x14ac:dyDescent="0.25">
      <c r="A88" t="e">
        <f>VLOOKUP(B88,'Country or Territory'!A:G,2,FALSE)</f>
        <v>#N/A</v>
      </c>
      <c r="B88" t="s">
        <v>952</v>
      </c>
      <c r="C88" t="e">
        <f>IF(VLOOKUP(B88,'Country or Territory'!A:G,4,FALSE)="Y",$C$1 &amp; " has visited","")</f>
        <v>#N/A</v>
      </c>
      <c r="D88" t="e">
        <f>IF(VLOOKUP(B88,'Country or Territory'!A:G,5,FALSE)="Y",$D$1 &amp; " has visited","")</f>
        <v>#N/A</v>
      </c>
      <c r="E88" t="e">
        <f>IF(VLOOKUP(B88,'Country or Territory'!A:G,6,FALSE)="Y",$E$1 &amp; " has visited","")</f>
        <v>#N/A</v>
      </c>
      <c r="F88" t="e">
        <f>IF(VLOOKUP(B88,'Country or Territory'!A:G,7,FALSE)="Y",$F$1 &amp; " has visited","")</f>
        <v>#N/A</v>
      </c>
      <c r="G88">
        <f>VLOOKUP(B88,latlong!A:F,4,TRUE)</f>
        <v>31.955220000000001</v>
      </c>
      <c r="H88">
        <f>VLOOKUP(B88,latlong!A:F,5,TRUE)</f>
        <v>35.945030000000003</v>
      </c>
      <c r="I88">
        <f t="shared" si="2"/>
        <v>4</v>
      </c>
    </row>
    <row r="89" spans="1:9" x14ac:dyDescent="0.25">
      <c r="A89" t="e">
        <f>VLOOKUP(B89,'Country or Territory'!A:G,2,FALSE)</f>
        <v>#N/A</v>
      </c>
      <c r="B89" t="s">
        <v>954</v>
      </c>
      <c r="C89" t="e">
        <f>IF(VLOOKUP(B89,'Country or Territory'!A:G,4,FALSE)="Y",$C$1 &amp; " has visited","")</f>
        <v>#N/A</v>
      </c>
      <c r="D89" t="e">
        <f>IF(VLOOKUP(B89,'Country or Territory'!A:G,5,FALSE)="Y",$D$1 &amp; " has visited","")</f>
        <v>#N/A</v>
      </c>
      <c r="E89" t="e">
        <f>IF(VLOOKUP(B89,'Country or Territory'!A:G,6,FALSE)="Y",$E$1 &amp; " has visited","")</f>
        <v>#N/A</v>
      </c>
      <c r="F89" t="e">
        <f>IF(VLOOKUP(B89,'Country or Territory'!A:G,7,FALSE)="Y",$F$1 &amp; " has visited","")</f>
        <v>#N/A</v>
      </c>
      <c r="G89">
        <f>VLOOKUP(B89,latlong!A:F,4,TRUE)</f>
        <v>43.25667</v>
      </c>
      <c r="H89">
        <f>VLOOKUP(B89,latlong!A:F,5,TRUE)</f>
        <v>76.928610000000006</v>
      </c>
      <c r="I89">
        <f t="shared" si="2"/>
        <v>4</v>
      </c>
    </row>
    <row r="90" spans="1:9" x14ac:dyDescent="0.25">
      <c r="A90" t="e">
        <f>VLOOKUP(B90,'Country or Territory'!A:G,2,FALSE)</f>
        <v>#N/A</v>
      </c>
      <c r="B90" t="s">
        <v>956</v>
      </c>
      <c r="C90" t="e">
        <f>IF(VLOOKUP(B90,'Country or Territory'!A:G,4,FALSE)="Y",$C$1 &amp; " has visited","")</f>
        <v>#N/A</v>
      </c>
      <c r="D90" t="e">
        <f>IF(VLOOKUP(B90,'Country or Territory'!A:G,5,FALSE)="Y",$D$1 &amp; " has visited","")</f>
        <v>#N/A</v>
      </c>
      <c r="E90" t="e">
        <f>IF(VLOOKUP(B90,'Country or Territory'!A:G,6,FALSE)="Y",$E$1 &amp; " has visited","")</f>
        <v>#N/A</v>
      </c>
      <c r="F90" t="e">
        <f>IF(VLOOKUP(B90,'Country or Territory'!A:G,7,FALSE)="Y",$F$1 &amp; " has visited","")</f>
        <v>#N/A</v>
      </c>
      <c r="G90">
        <f>VLOOKUP(B90,latlong!A:F,4,TRUE)</f>
        <v>-1.2833300000000001</v>
      </c>
      <c r="H90">
        <f>VLOOKUP(B90,latlong!A:F,5,TRUE)</f>
        <v>36.816670000000002</v>
      </c>
      <c r="I90">
        <f t="shared" si="2"/>
        <v>4</v>
      </c>
    </row>
    <row r="91" spans="1:9" x14ac:dyDescent="0.25">
      <c r="A91" t="e">
        <f>VLOOKUP(B91,'Country or Territory'!A:G,2,FALSE)</f>
        <v>#N/A</v>
      </c>
      <c r="B91" t="s">
        <v>958</v>
      </c>
      <c r="C91" t="e">
        <f>IF(VLOOKUP(B91,'Country or Territory'!A:G,4,FALSE)="Y",$C$1 &amp; " has visited","")</f>
        <v>#N/A</v>
      </c>
      <c r="D91" t="e">
        <f>IF(VLOOKUP(B91,'Country or Territory'!A:G,5,FALSE)="Y",$D$1 &amp; " has visited","")</f>
        <v>#N/A</v>
      </c>
      <c r="E91" t="e">
        <f>IF(VLOOKUP(B91,'Country or Territory'!A:G,6,FALSE)="Y",$E$1 &amp; " has visited","")</f>
        <v>#N/A</v>
      </c>
      <c r="F91" t="e">
        <f>IF(VLOOKUP(B91,'Country or Territory'!A:G,7,FALSE)="Y",$F$1 &amp; " has visited","")</f>
        <v>#N/A</v>
      </c>
      <c r="G91">
        <f>VLOOKUP(B91,latlong!A:F,4,TRUE)</f>
        <v>1.3278000000000001</v>
      </c>
      <c r="H91">
        <f>VLOOKUP(B91,latlong!A:F,5,TRUE)</f>
        <v>172.97695999999999</v>
      </c>
      <c r="I91">
        <f t="shared" si="2"/>
        <v>4</v>
      </c>
    </row>
    <row r="92" spans="1:9" x14ac:dyDescent="0.25">
      <c r="A92" t="e">
        <f>VLOOKUP(B92,'Country or Territory'!A:G,2,FALSE)</f>
        <v>#N/A</v>
      </c>
      <c r="B92" t="s">
        <v>960</v>
      </c>
      <c r="C92" t="e">
        <f>IF(VLOOKUP(B92,'Country or Territory'!A:G,4,FALSE)="Y",$C$1 &amp; " has visited","")</f>
        <v>#N/A</v>
      </c>
      <c r="D92" t="e">
        <f>IF(VLOOKUP(B92,'Country or Territory'!A:G,5,FALSE)="Y",$D$1 &amp; " has visited","")</f>
        <v>#N/A</v>
      </c>
      <c r="E92" t="e">
        <f>IF(VLOOKUP(B92,'Country or Territory'!A:G,6,FALSE)="Y",$E$1 &amp; " has visited","")</f>
        <v>#N/A</v>
      </c>
      <c r="F92" t="e">
        <f>IF(VLOOKUP(B92,'Country or Territory'!A:G,7,FALSE)="Y",$F$1 &amp; " has visited","")</f>
        <v>#N/A</v>
      </c>
      <c r="G92">
        <f>VLOOKUP(B92,latlong!A:F,4,TRUE)</f>
        <v>39.033850000000001</v>
      </c>
      <c r="H92">
        <f>VLOOKUP(B92,latlong!A:F,5,TRUE)</f>
        <v>125.75432000000001</v>
      </c>
      <c r="I92">
        <f t="shared" si="2"/>
        <v>4</v>
      </c>
    </row>
    <row r="93" spans="1:9" x14ac:dyDescent="0.25">
      <c r="A93" t="e">
        <f>VLOOKUP(B93,'Country or Territory'!A:G,2,FALSE)</f>
        <v>#N/A</v>
      </c>
      <c r="B93" t="s">
        <v>962</v>
      </c>
      <c r="C93" t="e">
        <f>IF(VLOOKUP(B93,'Country or Territory'!A:G,4,FALSE)="Y",$C$1 &amp; " has visited","")</f>
        <v>#N/A</v>
      </c>
      <c r="D93" t="e">
        <f>IF(VLOOKUP(B93,'Country or Territory'!A:G,5,FALSE)="Y",$D$1 &amp; " has visited","")</f>
        <v>#N/A</v>
      </c>
      <c r="E93" t="e">
        <f>IF(VLOOKUP(B93,'Country or Territory'!A:G,6,FALSE)="Y",$E$1 &amp; " has visited","")</f>
        <v>#N/A</v>
      </c>
      <c r="F93" t="e">
        <f>IF(VLOOKUP(B93,'Country or Territory'!A:G,7,FALSE)="Y",$F$1 &amp; " has visited","")</f>
        <v>#N/A</v>
      </c>
      <c r="G93">
        <f>VLOOKUP(B93,latlong!A:F,4,TRUE)</f>
        <v>37.566000000000003</v>
      </c>
      <c r="H93">
        <f>VLOOKUP(B93,latlong!A:F,5,TRUE)</f>
        <v>126.97839999999999</v>
      </c>
      <c r="I93">
        <f t="shared" si="2"/>
        <v>4</v>
      </c>
    </row>
    <row r="94" spans="1:9" x14ac:dyDescent="0.25">
      <c r="A94" t="e">
        <f>VLOOKUP(B94,'Country or Territory'!A:G,2,FALSE)</f>
        <v>#N/A</v>
      </c>
      <c r="B94" t="s">
        <v>1240</v>
      </c>
      <c r="C94" t="e">
        <f>IF(VLOOKUP(B94,'Country or Territory'!A:G,4,FALSE)="Y",$C$1 &amp; " has visited","")</f>
        <v>#N/A</v>
      </c>
      <c r="D94" t="e">
        <f>IF(VLOOKUP(B94,'Country or Territory'!A:G,5,FALSE)="Y",$D$1 &amp; " has visited","")</f>
        <v>#N/A</v>
      </c>
      <c r="E94" t="e">
        <f>IF(VLOOKUP(B94,'Country or Territory'!A:G,6,FALSE)="Y",$E$1 &amp; " has visited","")</f>
        <v>#N/A</v>
      </c>
      <c r="F94" t="e">
        <f>IF(VLOOKUP(B94,'Country or Territory'!A:G,7,FALSE)="Y",$F$1 &amp; " has visited","")</f>
        <v>#N/A</v>
      </c>
      <c r="G94">
        <f>VLOOKUP(B94,latlong!A:F,4,TRUE)</f>
        <v>42.672719999999998</v>
      </c>
      <c r="H94">
        <f>VLOOKUP(B94,latlong!A:F,5,TRUE)</f>
        <v>21.166879999999999</v>
      </c>
      <c r="I94">
        <f t="shared" si="2"/>
        <v>4</v>
      </c>
    </row>
    <row r="95" spans="1:9" x14ac:dyDescent="0.25">
      <c r="A95" t="e">
        <f>VLOOKUP(B95,'Country or Territory'!A:G,2,FALSE)</f>
        <v>#N/A</v>
      </c>
      <c r="B95" t="s">
        <v>964</v>
      </c>
      <c r="C95" t="e">
        <f>IF(VLOOKUP(B95,'Country or Territory'!A:G,4,FALSE)="Y",$C$1 &amp; " has visited","")</f>
        <v>#N/A</v>
      </c>
      <c r="D95" t="e">
        <f>IF(VLOOKUP(B95,'Country or Territory'!A:G,5,FALSE)="Y",$D$1 &amp; " has visited","")</f>
        <v>#N/A</v>
      </c>
      <c r="E95" t="e">
        <f>IF(VLOOKUP(B95,'Country or Territory'!A:G,6,FALSE)="Y",$E$1 &amp; " has visited","")</f>
        <v>#N/A</v>
      </c>
      <c r="F95" t="e">
        <f>IF(VLOOKUP(B95,'Country or Territory'!A:G,7,FALSE)="Y",$F$1 &amp; " has visited","")</f>
        <v>#N/A</v>
      </c>
      <c r="G95">
        <f>VLOOKUP(B95,latlong!A:F,4,TRUE)</f>
        <v>29.07694</v>
      </c>
      <c r="H95">
        <f>VLOOKUP(B95,latlong!A:F,5,TRUE)</f>
        <v>48.083889999999997</v>
      </c>
      <c r="I95">
        <f t="shared" si="2"/>
        <v>4</v>
      </c>
    </row>
    <row r="96" spans="1:9" x14ac:dyDescent="0.25">
      <c r="A96" t="e">
        <f>VLOOKUP(B96,'Country or Territory'!A:G,2,FALSE)</f>
        <v>#N/A</v>
      </c>
      <c r="B96" t="s">
        <v>966</v>
      </c>
      <c r="C96" t="e">
        <f>IF(VLOOKUP(B96,'Country or Territory'!A:G,4,FALSE)="Y",$C$1 &amp; " has visited","")</f>
        <v>#N/A</v>
      </c>
      <c r="D96" t="e">
        <f>IF(VLOOKUP(B96,'Country or Territory'!A:G,5,FALSE)="Y",$D$1 &amp; " has visited","")</f>
        <v>#N/A</v>
      </c>
      <c r="E96" t="e">
        <f>IF(VLOOKUP(B96,'Country or Territory'!A:G,6,FALSE)="Y",$E$1 &amp; " has visited","")</f>
        <v>#N/A</v>
      </c>
      <c r="F96" t="e">
        <f>IF(VLOOKUP(B96,'Country or Territory'!A:G,7,FALSE)="Y",$F$1 &amp; " has visited","")</f>
        <v>#N/A</v>
      </c>
      <c r="G96">
        <f>VLOOKUP(B96,latlong!A:F,4,TRUE)</f>
        <v>42.87</v>
      </c>
      <c r="H96">
        <f>VLOOKUP(B96,latlong!A:F,5,TRUE)</f>
        <v>74.59</v>
      </c>
      <c r="I96">
        <f t="shared" si="2"/>
        <v>4</v>
      </c>
    </row>
    <row r="97" spans="1:9" x14ac:dyDescent="0.25">
      <c r="A97" t="e">
        <f>VLOOKUP(B97,'Country or Territory'!A:G,2,FALSE)</f>
        <v>#N/A</v>
      </c>
      <c r="B97" t="s">
        <v>968</v>
      </c>
      <c r="C97" t="e">
        <f>IF(VLOOKUP(B97,'Country or Territory'!A:G,4,FALSE)="Y",$C$1 &amp; " has visited","")</f>
        <v>#N/A</v>
      </c>
      <c r="D97" t="e">
        <f>IF(VLOOKUP(B97,'Country or Territory'!A:G,5,FALSE)="Y",$D$1 &amp; " has visited","")</f>
        <v>#N/A</v>
      </c>
      <c r="E97" t="e">
        <f>IF(VLOOKUP(B97,'Country or Territory'!A:G,6,FALSE)="Y",$E$1 &amp; " has visited","")</f>
        <v>#N/A</v>
      </c>
      <c r="F97" t="e">
        <f>IF(VLOOKUP(B97,'Country or Territory'!A:G,7,FALSE)="Y",$F$1 &amp; " has visited","")</f>
        <v>#N/A</v>
      </c>
      <c r="G97">
        <f>VLOOKUP(B97,latlong!A:F,4,TRUE)</f>
        <v>17.966670000000001</v>
      </c>
      <c r="H97">
        <f>VLOOKUP(B97,latlong!A:F,5,TRUE)</f>
        <v>102.6</v>
      </c>
      <c r="I97">
        <f t="shared" si="2"/>
        <v>4</v>
      </c>
    </row>
    <row r="98" spans="1:9" x14ac:dyDescent="0.25">
      <c r="A98" t="e">
        <f>VLOOKUP(B98,'Country or Territory'!A:G,2,FALSE)</f>
        <v>#N/A</v>
      </c>
      <c r="B98" t="s">
        <v>970</v>
      </c>
      <c r="C98" t="e">
        <f>IF(VLOOKUP(B98,'Country or Territory'!A:G,4,FALSE)="Y",$C$1 &amp; " has visited","")</f>
        <v>#N/A</v>
      </c>
      <c r="D98" t="e">
        <f>IF(VLOOKUP(B98,'Country or Territory'!A:G,5,FALSE)="Y",$D$1 &amp; " has visited","")</f>
        <v>#N/A</v>
      </c>
      <c r="E98" t="e">
        <f>IF(VLOOKUP(B98,'Country or Territory'!A:G,6,FALSE)="Y",$E$1 &amp; " has visited","")</f>
        <v>#N/A</v>
      </c>
      <c r="F98" t="e">
        <f>IF(VLOOKUP(B98,'Country or Territory'!A:G,7,FALSE)="Y",$F$1 &amp; " has visited","")</f>
        <v>#N/A</v>
      </c>
      <c r="G98">
        <f>VLOOKUP(B98,latlong!A:F,4,TRUE)</f>
        <v>56.945999999999998</v>
      </c>
      <c r="H98">
        <f>VLOOKUP(B98,latlong!A:F,5,TRUE)</f>
        <v>24.105889999999999</v>
      </c>
      <c r="I98">
        <f t="shared" ref="I98:I129" si="3">4-COUNTBLANK(C98:F98)</f>
        <v>4</v>
      </c>
    </row>
    <row r="99" spans="1:9" x14ac:dyDescent="0.25">
      <c r="A99" t="e">
        <f>VLOOKUP(B99,'Country or Territory'!A:G,2,FALSE)</f>
        <v>#N/A</v>
      </c>
      <c r="B99" t="s">
        <v>972</v>
      </c>
      <c r="C99" t="e">
        <f>IF(VLOOKUP(B99,'Country or Territory'!A:G,4,FALSE)="Y",$C$1 &amp; " has visited","")</f>
        <v>#N/A</v>
      </c>
      <c r="D99" t="e">
        <f>IF(VLOOKUP(B99,'Country or Territory'!A:G,5,FALSE)="Y",$D$1 &amp; " has visited","")</f>
        <v>#N/A</v>
      </c>
      <c r="E99" t="e">
        <f>IF(VLOOKUP(B99,'Country or Territory'!A:G,6,FALSE)="Y",$E$1 &amp; " has visited","")</f>
        <v>#N/A</v>
      </c>
      <c r="F99" t="e">
        <f>IF(VLOOKUP(B99,'Country or Territory'!A:G,7,FALSE)="Y",$F$1 &amp; " has visited","")</f>
        <v>#N/A</v>
      </c>
      <c r="G99">
        <f>VLOOKUP(B99,latlong!A:F,4,TRUE)</f>
        <v>33.888939999999998</v>
      </c>
      <c r="H99">
        <f>VLOOKUP(B99,latlong!A:F,5,TRUE)</f>
        <v>35.494419999999998</v>
      </c>
      <c r="I99">
        <f t="shared" si="3"/>
        <v>4</v>
      </c>
    </row>
    <row r="100" spans="1:9" x14ac:dyDescent="0.25">
      <c r="A100" t="e">
        <f>VLOOKUP(B100,'Country or Territory'!A:G,2,FALSE)</f>
        <v>#N/A</v>
      </c>
      <c r="B100" t="s">
        <v>974</v>
      </c>
      <c r="C100" t="e">
        <f>IF(VLOOKUP(B100,'Country or Territory'!A:G,4,FALSE)="Y",$C$1 &amp; " has visited","")</f>
        <v>#N/A</v>
      </c>
      <c r="D100" t="e">
        <f>IF(VLOOKUP(B100,'Country or Territory'!A:G,5,FALSE)="Y",$D$1 &amp; " has visited","")</f>
        <v>#N/A</v>
      </c>
      <c r="E100" t="e">
        <f>IF(VLOOKUP(B100,'Country or Territory'!A:G,6,FALSE)="Y",$E$1 &amp; " has visited","")</f>
        <v>#N/A</v>
      </c>
      <c r="F100" t="e">
        <f>IF(VLOOKUP(B100,'Country or Territory'!A:G,7,FALSE)="Y",$F$1 &amp; " has visited","")</f>
        <v>#N/A</v>
      </c>
      <c r="G100">
        <f>VLOOKUP(B100,latlong!A:F,4,TRUE)</f>
        <v>-29.316669999999998</v>
      </c>
      <c r="H100">
        <f>VLOOKUP(B100,latlong!A:F,5,TRUE)</f>
        <v>27.483329999999999</v>
      </c>
      <c r="I100">
        <f t="shared" si="3"/>
        <v>4</v>
      </c>
    </row>
    <row r="101" spans="1:9" x14ac:dyDescent="0.25">
      <c r="A101" t="e">
        <f>VLOOKUP(B101,'Country or Territory'!A:G,2,FALSE)</f>
        <v>#N/A</v>
      </c>
      <c r="B101" t="s">
        <v>976</v>
      </c>
      <c r="C101" t="e">
        <f>IF(VLOOKUP(B101,'Country or Territory'!A:G,4,FALSE)="Y",$C$1 &amp; " has visited","")</f>
        <v>#N/A</v>
      </c>
      <c r="D101" t="e">
        <f>IF(VLOOKUP(B101,'Country or Territory'!A:G,5,FALSE)="Y",$D$1 &amp; " has visited","")</f>
        <v>#N/A</v>
      </c>
      <c r="E101" t="e">
        <f>IF(VLOOKUP(B101,'Country or Territory'!A:G,6,FALSE)="Y",$E$1 &amp; " has visited","")</f>
        <v>#N/A</v>
      </c>
      <c r="F101" t="e">
        <f>IF(VLOOKUP(B101,'Country or Territory'!A:G,7,FALSE)="Y",$F$1 &amp; " has visited","")</f>
        <v>#N/A</v>
      </c>
      <c r="G101">
        <f>VLOOKUP(B101,latlong!A:F,4,TRUE)</f>
        <v>6.3005399999999998</v>
      </c>
      <c r="H101">
        <f>VLOOKUP(B101,latlong!A:F,5,TRUE)</f>
        <v>-10.796900000000001</v>
      </c>
      <c r="I101">
        <f t="shared" si="3"/>
        <v>4</v>
      </c>
    </row>
    <row r="102" spans="1:9" x14ac:dyDescent="0.25">
      <c r="A102" t="e">
        <f>VLOOKUP(B102,'Country or Territory'!A:G,2,FALSE)</f>
        <v>#N/A</v>
      </c>
      <c r="B102" t="s">
        <v>978</v>
      </c>
      <c r="C102" t="e">
        <f>IF(VLOOKUP(B102,'Country or Territory'!A:G,4,FALSE)="Y",$C$1 &amp; " has visited","")</f>
        <v>#N/A</v>
      </c>
      <c r="D102" t="e">
        <f>IF(VLOOKUP(B102,'Country or Territory'!A:G,5,FALSE)="Y",$D$1 &amp; " has visited","")</f>
        <v>#N/A</v>
      </c>
      <c r="E102" t="e">
        <f>IF(VLOOKUP(B102,'Country or Territory'!A:G,6,FALSE)="Y",$E$1 &amp; " has visited","")</f>
        <v>#N/A</v>
      </c>
      <c r="F102" t="e">
        <f>IF(VLOOKUP(B102,'Country or Territory'!A:G,7,FALSE)="Y",$F$1 &amp; " has visited","")</f>
        <v>#N/A</v>
      </c>
      <c r="G102">
        <f>VLOOKUP(B102,latlong!A:F,4,TRUE)</f>
        <v>32.875190000000003</v>
      </c>
      <c r="H102">
        <f>VLOOKUP(B102,latlong!A:F,5,TRUE)</f>
        <v>13.18746</v>
      </c>
      <c r="I102">
        <f t="shared" si="3"/>
        <v>4</v>
      </c>
    </row>
    <row r="103" spans="1:9" x14ac:dyDescent="0.25">
      <c r="A103" t="e">
        <f>VLOOKUP(B103,'Country or Territory'!A:G,2,FALSE)</f>
        <v>#N/A</v>
      </c>
      <c r="B103" t="s">
        <v>980</v>
      </c>
      <c r="C103" t="e">
        <f>IF(VLOOKUP(B103,'Country or Territory'!A:G,4,FALSE)="Y",$C$1 &amp; " has visited","")</f>
        <v>#N/A</v>
      </c>
      <c r="D103" t="e">
        <f>IF(VLOOKUP(B103,'Country or Territory'!A:G,5,FALSE)="Y",$D$1 &amp; " has visited","")</f>
        <v>#N/A</v>
      </c>
      <c r="E103" t="e">
        <f>IF(VLOOKUP(B103,'Country or Territory'!A:G,6,FALSE)="Y",$E$1 &amp; " has visited","")</f>
        <v>#N/A</v>
      </c>
      <c r="F103" t="e">
        <f>IF(VLOOKUP(B103,'Country or Territory'!A:G,7,FALSE)="Y",$F$1 &amp; " has visited","")</f>
        <v>#N/A</v>
      </c>
      <c r="G103">
        <f>VLOOKUP(B103,latlong!A:F,4,TRUE)</f>
        <v>47.141509999999997</v>
      </c>
      <c r="H103">
        <f>VLOOKUP(B103,latlong!A:F,5,TRUE)</f>
        <v>9.5215399999999999</v>
      </c>
      <c r="I103">
        <f t="shared" si="3"/>
        <v>4</v>
      </c>
    </row>
    <row r="104" spans="1:9" x14ac:dyDescent="0.25">
      <c r="A104" t="e">
        <f>VLOOKUP(B104,'Country or Territory'!A:G,2,FALSE)</f>
        <v>#N/A</v>
      </c>
      <c r="B104" t="s">
        <v>982</v>
      </c>
      <c r="C104" t="e">
        <f>IF(VLOOKUP(B104,'Country or Territory'!A:G,4,FALSE)="Y",$C$1 &amp; " has visited","")</f>
        <v>#N/A</v>
      </c>
      <c r="D104" t="e">
        <f>IF(VLOOKUP(B104,'Country or Territory'!A:G,5,FALSE)="Y",$D$1 &amp; " has visited","")</f>
        <v>#N/A</v>
      </c>
      <c r="E104" t="e">
        <f>IF(VLOOKUP(B104,'Country or Territory'!A:G,6,FALSE)="Y",$E$1 &amp; " has visited","")</f>
        <v>#N/A</v>
      </c>
      <c r="F104" t="e">
        <f>IF(VLOOKUP(B104,'Country or Territory'!A:G,7,FALSE)="Y",$F$1 &amp; " has visited","")</f>
        <v>#N/A</v>
      </c>
      <c r="G104">
        <f>VLOOKUP(B104,latlong!A:F,4,TRUE)</f>
        <v>54.689160000000001</v>
      </c>
      <c r="H104">
        <f>VLOOKUP(B104,latlong!A:F,5,TRUE)</f>
        <v>25.279800000000002</v>
      </c>
      <c r="I104">
        <f t="shared" si="3"/>
        <v>4</v>
      </c>
    </row>
    <row r="105" spans="1:9" x14ac:dyDescent="0.25">
      <c r="A105" t="e">
        <f>VLOOKUP(B105,'Country or Territory'!A:G,2,FALSE)</f>
        <v>#N/A</v>
      </c>
      <c r="B105" t="s">
        <v>984</v>
      </c>
      <c r="C105" t="e">
        <f>IF(VLOOKUP(B105,'Country or Territory'!A:G,4,FALSE)="Y",$C$1 &amp; " has visited","")</f>
        <v>#N/A</v>
      </c>
      <c r="D105" t="e">
        <f>IF(VLOOKUP(B105,'Country or Territory'!A:G,5,FALSE)="Y",$D$1 &amp; " has visited","")</f>
        <v>#N/A</v>
      </c>
      <c r="E105" t="e">
        <f>IF(VLOOKUP(B105,'Country or Territory'!A:G,6,FALSE)="Y",$E$1 &amp; " has visited","")</f>
        <v>#N/A</v>
      </c>
      <c r="F105" t="e">
        <f>IF(VLOOKUP(B105,'Country or Territory'!A:G,7,FALSE)="Y",$F$1 &amp; " has visited","")</f>
        <v>#N/A</v>
      </c>
      <c r="G105">
        <f>VLOOKUP(B105,latlong!A:F,4,TRUE)</f>
        <v>49.611669999999997</v>
      </c>
      <c r="H105">
        <f>VLOOKUP(B105,latlong!A:F,5,TRUE)</f>
        <v>6.13</v>
      </c>
      <c r="I105">
        <f t="shared" si="3"/>
        <v>4</v>
      </c>
    </row>
    <row r="106" spans="1:9" x14ac:dyDescent="0.25">
      <c r="A106" t="e">
        <f>VLOOKUP(B106,'Country or Territory'!A:G,2,FALSE)</f>
        <v>#N/A</v>
      </c>
      <c r="B106" t="s">
        <v>987</v>
      </c>
      <c r="C106" t="e">
        <f>IF(VLOOKUP(B106,'Country or Territory'!A:G,4,FALSE)="Y",$C$1 &amp; " has visited","")</f>
        <v>#N/A</v>
      </c>
      <c r="D106" t="e">
        <f>IF(VLOOKUP(B106,'Country or Territory'!A:G,5,FALSE)="Y",$D$1 &amp; " has visited","")</f>
        <v>#N/A</v>
      </c>
      <c r="E106" t="e">
        <f>IF(VLOOKUP(B106,'Country or Territory'!A:G,6,FALSE)="Y",$E$1 &amp; " has visited","")</f>
        <v>#N/A</v>
      </c>
      <c r="F106" t="e">
        <f>IF(VLOOKUP(B106,'Country or Territory'!A:G,7,FALSE)="Y",$F$1 &amp; " has visited","")</f>
        <v>#N/A</v>
      </c>
      <c r="G106">
        <f>VLOOKUP(B106,latlong!A:F,4,TRUE)</f>
        <v>41.996459999999999</v>
      </c>
      <c r="H106">
        <f>VLOOKUP(B106,latlong!A:F,5,TRUE)</f>
        <v>21.43141</v>
      </c>
      <c r="I106">
        <f t="shared" si="3"/>
        <v>4</v>
      </c>
    </row>
    <row r="107" spans="1:9" x14ac:dyDescent="0.25">
      <c r="A107" t="e">
        <f>VLOOKUP(B107,'Country or Territory'!A:G,2,FALSE)</f>
        <v>#N/A</v>
      </c>
      <c r="B107" t="s">
        <v>989</v>
      </c>
      <c r="C107" t="e">
        <f>IF(VLOOKUP(B107,'Country or Territory'!A:G,4,FALSE)="Y",$C$1 &amp; " has visited","")</f>
        <v>#N/A</v>
      </c>
      <c r="D107" t="e">
        <f>IF(VLOOKUP(B107,'Country or Territory'!A:G,5,FALSE)="Y",$D$1 &amp; " has visited","")</f>
        <v>#N/A</v>
      </c>
      <c r="E107" t="e">
        <f>IF(VLOOKUP(B107,'Country or Territory'!A:G,6,FALSE)="Y",$E$1 &amp; " has visited","")</f>
        <v>#N/A</v>
      </c>
      <c r="F107" t="e">
        <f>IF(VLOOKUP(B107,'Country or Territory'!A:G,7,FALSE)="Y",$F$1 &amp; " has visited","")</f>
        <v>#N/A</v>
      </c>
      <c r="G107">
        <f>VLOOKUP(B107,latlong!A:F,4,TRUE)</f>
        <v>-18.913679999999999</v>
      </c>
      <c r="H107">
        <f>VLOOKUP(B107,latlong!A:F,5,TRUE)</f>
        <v>47.53613</v>
      </c>
      <c r="I107">
        <f t="shared" si="3"/>
        <v>4</v>
      </c>
    </row>
    <row r="108" spans="1:9" x14ac:dyDescent="0.25">
      <c r="A108" t="e">
        <f>VLOOKUP(B108,'Country or Territory'!A:G,2,FALSE)</f>
        <v>#N/A</v>
      </c>
      <c r="B108" t="s">
        <v>991</v>
      </c>
      <c r="C108" t="e">
        <f>IF(VLOOKUP(B108,'Country or Territory'!A:G,4,FALSE)="Y",$C$1 &amp; " has visited","")</f>
        <v>#N/A</v>
      </c>
      <c r="D108" t="e">
        <f>IF(VLOOKUP(B108,'Country or Territory'!A:G,5,FALSE)="Y",$D$1 &amp; " has visited","")</f>
        <v>#N/A</v>
      </c>
      <c r="E108" t="e">
        <f>IF(VLOOKUP(B108,'Country or Territory'!A:G,6,FALSE)="Y",$E$1 &amp; " has visited","")</f>
        <v>#N/A</v>
      </c>
      <c r="F108" t="e">
        <f>IF(VLOOKUP(B108,'Country or Territory'!A:G,7,FALSE)="Y",$F$1 &amp; " has visited","")</f>
        <v>#N/A</v>
      </c>
      <c r="G108">
        <f>VLOOKUP(B108,latlong!A:F,4,TRUE)</f>
        <v>-13.96692</v>
      </c>
      <c r="H108">
        <f>VLOOKUP(B108,latlong!A:F,5,TRUE)</f>
        <v>33.78725</v>
      </c>
      <c r="I108">
        <f t="shared" si="3"/>
        <v>4</v>
      </c>
    </row>
    <row r="109" spans="1:9" x14ac:dyDescent="0.25">
      <c r="A109" t="e">
        <f>VLOOKUP(B109,'Country or Territory'!A:G,2,FALSE)</f>
        <v>#N/A</v>
      </c>
      <c r="B109" t="s">
        <v>993</v>
      </c>
      <c r="C109" t="e">
        <f>IF(VLOOKUP(B109,'Country or Territory'!A:G,4,FALSE)="Y",$C$1 &amp; " has visited","")</f>
        <v>#N/A</v>
      </c>
      <c r="D109" t="e">
        <f>IF(VLOOKUP(B109,'Country or Territory'!A:G,5,FALSE)="Y",$D$1 &amp; " has visited","")</f>
        <v>#N/A</v>
      </c>
      <c r="E109" t="e">
        <f>IF(VLOOKUP(B109,'Country or Territory'!A:G,6,FALSE)="Y",$E$1 &amp; " has visited","")</f>
        <v>#N/A</v>
      </c>
      <c r="F109" t="e">
        <f>IF(VLOOKUP(B109,'Country or Territory'!A:G,7,FALSE)="Y",$F$1 &amp; " has visited","")</f>
        <v>#N/A</v>
      </c>
      <c r="G109">
        <f>VLOOKUP(B109,latlong!A:F,4,TRUE)</f>
        <v>6.1332800000000001</v>
      </c>
      <c r="H109">
        <f>VLOOKUP(B109,latlong!A:F,5,TRUE)</f>
        <v>102.23860000000001</v>
      </c>
      <c r="I109">
        <f t="shared" si="3"/>
        <v>4</v>
      </c>
    </row>
    <row r="110" spans="1:9" x14ac:dyDescent="0.25">
      <c r="A110" t="e">
        <f>VLOOKUP(B110,'Country or Territory'!A:G,2,FALSE)</f>
        <v>#N/A</v>
      </c>
      <c r="B110" t="s">
        <v>995</v>
      </c>
      <c r="C110" t="e">
        <f>IF(VLOOKUP(B110,'Country or Territory'!A:G,4,FALSE)="Y",$C$1 &amp; " has visited","")</f>
        <v>#N/A</v>
      </c>
      <c r="D110" t="e">
        <f>IF(VLOOKUP(B110,'Country or Territory'!A:G,5,FALSE)="Y",$D$1 &amp; " has visited","")</f>
        <v>#N/A</v>
      </c>
      <c r="E110" t="e">
        <f>IF(VLOOKUP(B110,'Country or Territory'!A:G,6,FALSE)="Y",$E$1 &amp; " has visited","")</f>
        <v>#N/A</v>
      </c>
      <c r="F110" t="e">
        <f>IF(VLOOKUP(B110,'Country or Territory'!A:G,7,FALSE)="Y",$F$1 &amp; " has visited","")</f>
        <v>#N/A</v>
      </c>
      <c r="G110">
        <f>VLOOKUP(B110,latlong!A:F,4,TRUE)</f>
        <v>4.1748000000000003</v>
      </c>
      <c r="H110">
        <f>VLOOKUP(B110,latlong!A:F,5,TRUE)</f>
        <v>73.508880000000005</v>
      </c>
      <c r="I110">
        <f t="shared" si="3"/>
        <v>4</v>
      </c>
    </row>
    <row r="111" spans="1:9" x14ac:dyDescent="0.25">
      <c r="A111" t="e">
        <f>VLOOKUP(B111,'Country or Territory'!A:G,2,FALSE)</f>
        <v>#N/A</v>
      </c>
      <c r="B111" t="s">
        <v>997</v>
      </c>
      <c r="C111" t="e">
        <f>IF(VLOOKUP(B111,'Country or Territory'!A:G,4,FALSE)="Y",$C$1 &amp; " has visited","")</f>
        <v>#N/A</v>
      </c>
      <c r="D111" t="e">
        <f>IF(VLOOKUP(B111,'Country or Territory'!A:G,5,FALSE)="Y",$D$1 &amp; " has visited","")</f>
        <v>#N/A</v>
      </c>
      <c r="E111" t="e">
        <f>IF(VLOOKUP(B111,'Country or Territory'!A:G,6,FALSE)="Y",$E$1 &amp; " has visited","")</f>
        <v>#N/A</v>
      </c>
      <c r="F111" t="e">
        <f>IF(VLOOKUP(B111,'Country or Territory'!A:G,7,FALSE)="Y",$F$1 &amp; " has visited","")</f>
        <v>#N/A</v>
      </c>
      <c r="G111">
        <f>VLOOKUP(B111,latlong!A:F,4,TRUE)</f>
        <v>12.65</v>
      </c>
      <c r="H111">
        <f>VLOOKUP(B111,latlong!A:F,5,TRUE)</f>
        <v>-8</v>
      </c>
      <c r="I111">
        <f t="shared" si="3"/>
        <v>4</v>
      </c>
    </row>
    <row r="112" spans="1:9" x14ac:dyDescent="0.25">
      <c r="A112" t="e">
        <f>VLOOKUP(B112,'Country or Territory'!A:G,2,FALSE)</f>
        <v>#N/A</v>
      </c>
      <c r="B112" t="s">
        <v>999</v>
      </c>
      <c r="C112" t="e">
        <f>IF(VLOOKUP(B112,'Country or Territory'!A:G,4,FALSE)="Y",$C$1 &amp; " has visited","")</f>
        <v>#N/A</v>
      </c>
      <c r="D112" t="e">
        <f>IF(VLOOKUP(B112,'Country or Territory'!A:G,5,FALSE)="Y",$D$1 &amp; " has visited","")</f>
        <v>#N/A</v>
      </c>
      <c r="E112" t="e">
        <f>IF(VLOOKUP(B112,'Country or Territory'!A:G,6,FALSE)="Y",$E$1 &amp; " has visited","")</f>
        <v>#N/A</v>
      </c>
      <c r="F112" t="e">
        <f>IF(VLOOKUP(B112,'Country or Territory'!A:G,7,FALSE)="Y",$F$1 &amp; " has visited","")</f>
        <v>#N/A</v>
      </c>
      <c r="G112">
        <f>VLOOKUP(B112,latlong!A:F,4,TRUE)</f>
        <v>35.897219999999997</v>
      </c>
      <c r="H112">
        <f>VLOOKUP(B112,latlong!A:F,5,TRUE)</f>
        <v>14.46111</v>
      </c>
      <c r="I112">
        <f t="shared" si="3"/>
        <v>4</v>
      </c>
    </row>
    <row r="113" spans="1:9" x14ac:dyDescent="0.25">
      <c r="A113" t="e">
        <f>VLOOKUP(B113,'Country or Territory'!A:G,2,FALSE)</f>
        <v>#N/A</v>
      </c>
      <c r="B113" t="s">
        <v>1001</v>
      </c>
      <c r="C113" t="e">
        <f>IF(VLOOKUP(B113,'Country or Territory'!A:G,4,FALSE)="Y",$C$1 &amp; " has visited","")</f>
        <v>#N/A</v>
      </c>
      <c r="D113" t="e">
        <f>IF(VLOOKUP(B113,'Country or Territory'!A:G,5,FALSE)="Y",$D$1 &amp; " has visited","")</f>
        <v>#N/A</v>
      </c>
      <c r="E113" t="e">
        <f>IF(VLOOKUP(B113,'Country or Territory'!A:G,6,FALSE)="Y",$E$1 &amp; " has visited","")</f>
        <v>#N/A</v>
      </c>
      <c r="F113" t="e">
        <f>IF(VLOOKUP(B113,'Country or Territory'!A:G,7,FALSE)="Y",$F$1 &amp; " has visited","")</f>
        <v>#N/A</v>
      </c>
      <c r="G113">
        <f>VLOOKUP(B113,latlong!A:F,4,TRUE)</f>
        <v>7.0897100000000002</v>
      </c>
      <c r="H113">
        <f>VLOOKUP(B113,latlong!A:F,5,TRUE)</f>
        <v>171.38027</v>
      </c>
      <c r="I113">
        <f t="shared" si="3"/>
        <v>4</v>
      </c>
    </row>
    <row r="114" spans="1:9" x14ac:dyDescent="0.25">
      <c r="A114" t="e">
        <f>VLOOKUP(B114,'Country or Territory'!A:G,2,FALSE)</f>
        <v>#N/A</v>
      </c>
      <c r="B114" t="s">
        <v>1004</v>
      </c>
      <c r="C114" t="e">
        <f>IF(VLOOKUP(B114,'Country or Territory'!A:G,4,FALSE)="Y",$C$1 &amp; " has visited","")</f>
        <v>#N/A</v>
      </c>
      <c r="D114" t="e">
        <f>IF(VLOOKUP(B114,'Country or Territory'!A:G,5,FALSE)="Y",$D$1 &amp; " has visited","")</f>
        <v>#N/A</v>
      </c>
      <c r="E114" t="e">
        <f>IF(VLOOKUP(B114,'Country or Territory'!A:G,6,FALSE)="Y",$E$1 &amp; " has visited","")</f>
        <v>#N/A</v>
      </c>
      <c r="F114" t="e">
        <f>IF(VLOOKUP(B114,'Country or Territory'!A:G,7,FALSE)="Y",$F$1 &amp; " has visited","")</f>
        <v>#N/A</v>
      </c>
      <c r="G114">
        <f>VLOOKUP(B114,latlong!A:F,4,TRUE)</f>
        <v>18.085809999999999</v>
      </c>
      <c r="H114">
        <f>VLOOKUP(B114,latlong!A:F,5,TRUE)</f>
        <v>-15.9785</v>
      </c>
      <c r="I114">
        <f t="shared" si="3"/>
        <v>4</v>
      </c>
    </row>
    <row r="115" spans="1:9" x14ac:dyDescent="0.25">
      <c r="A115" t="e">
        <f>VLOOKUP(B115,'Country or Territory'!A:G,2,FALSE)</f>
        <v>#N/A</v>
      </c>
      <c r="B115" t="s">
        <v>1006</v>
      </c>
      <c r="C115" t="e">
        <f>IF(VLOOKUP(B115,'Country or Territory'!A:G,4,FALSE)="Y",$C$1 &amp; " has visited","")</f>
        <v>#N/A</v>
      </c>
      <c r="D115" t="e">
        <f>IF(VLOOKUP(B115,'Country or Territory'!A:G,5,FALSE)="Y",$D$1 &amp; " has visited","")</f>
        <v>#N/A</v>
      </c>
      <c r="E115" t="e">
        <f>IF(VLOOKUP(B115,'Country or Territory'!A:G,6,FALSE)="Y",$E$1 &amp; " has visited","")</f>
        <v>#N/A</v>
      </c>
      <c r="F115" t="e">
        <f>IF(VLOOKUP(B115,'Country or Territory'!A:G,7,FALSE)="Y",$F$1 &amp; " has visited","")</f>
        <v>#N/A</v>
      </c>
      <c r="G115">
        <f>VLOOKUP(B115,latlong!A:F,4,TRUE)</f>
        <v>-20.161940000000001</v>
      </c>
      <c r="H115">
        <f>VLOOKUP(B115,latlong!A:F,5,TRUE)</f>
        <v>57.498890000000003</v>
      </c>
      <c r="I115">
        <f t="shared" si="3"/>
        <v>4</v>
      </c>
    </row>
    <row r="116" spans="1:9" x14ac:dyDescent="0.25">
      <c r="A116" t="e">
        <f>VLOOKUP(B116,'Country or Territory'!A:G,2,FALSE)</f>
        <v>#N/A</v>
      </c>
      <c r="B116" t="s">
        <v>1009</v>
      </c>
      <c r="C116" t="e">
        <f>IF(VLOOKUP(B116,'Country or Territory'!A:G,4,FALSE)="Y",$C$1 &amp; " has visited","")</f>
        <v>#N/A</v>
      </c>
      <c r="D116" t="e">
        <f>IF(VLOOKUP(B116,'Country or Territory'!A:G,5,FALSE)="Y",$D$1 &amp; " has visited","")</f>
        <v>#N/A</v>
      </c>
      <c r="E116" t="e">
        <f>IF(VLOOKUP(B116,'Country or Territory'!A:G,6,FALSE)="Y",$E$1 &amp; " has visited","")</f>
        <v>#N/A</v>
      </c>
      <c r="F116" t="e">
        <f>IF(VLOOKUP(B116,'Country or Territory'!A:G,7,FALSE)="Y",$F$1 &amp; " has visited","")</f>
        <v>#N/A</v>
      </c>
      <c r="G116">
        <f>VLOOKUP(B116,latlong!A:F,4,TRUE)</f>
        <v>19.428470000000001</v>
      </c>
      <c r="H116">
        <f>VLOOKUP(B116,latlong!A:F,5,TRUE)</f>
        <v>-99.127660000000006</v>
      </c>
      <c r="I116">
        <f t="shared" si="3"/>
        <v>4</v>
      </c>
    </row>
    <row r="117" spans="1:9" x14ac:dyDescent="0.25">
      <c r="A117" t="e">
        <f>VLOOKUP(B117,'Country or Territory'!A:G,2,FALSE)</f>
        <v>#N/A</v>
      </c>
      <c r="B117" t="s">
        <v>1011</v>
      </c>
      <c r="C117" t="e">
        <f>IF(VLOOKUP(B117,'Country or Territory'!A:G,4,FALSE)="Y",$C$1 &amp; " has visited","")</f>
        <v>#N/A</v>
      </c>
      <c r="D117" t="e">
        <f>IF(VLOOKUP(B117,'Country or Territory'!A:G,5,FALSE)="Y",$D$1 &amp; " has visited","")</f>
        <v>#N/A</v>
      </c>
      <c r="E117" t="e">
        <f>IF(VLOOKUP(B117,'Country or Territory'!A:G,6,FALSE)="Y",$E$1 &amp; " has visited","")</f>
        <v>#N/A</v>
      </c>
      <c r="F117" t="e">
        <f>IF(VLOOKUP(B117,'Country or Territory'!A:G,7,FALSE)="Y",$F$1 &amp; " has visited","")</f>
        <v>#N/A</v>
      </c>
      <c r="G117">
        <f>VLOOKUP(B117,latlong!A:F,4,TRUE)</f>
        <v>6.9247699999999996</v>
      </c>
      <c r="H117">
        <f>VLOOKUP(B117,latlong!A:F,5,TRUE)</f>
        <v>158.16109</v>
      </c>
      <c r="I117">
        <f t="shared" si="3"/>
        <v>4</v>
      </c>
    </row>
    <row r="118" spans="1:9" x14ac:dyDescent="0.25">
      <c r="A118" t="e">
        <f>VLOOKUP(B118,'Country or Territory'!A:G,2,FALSE)</f>
        <v>#N/A</v>
      </c>
      <c r="B118" t="s">
        <v>1013</v>
      </c>
      <c r="C118" t="e">
        <f>IF(VLOOKUP(B118,'Country or Territory'!A:G,4,FALSE)="Y",$C$1 &amp; " has visited","")</f>
        <v>#N/A</v>
      </c>
      <c r="D118" t="e">
        <f>IF(VLOOKUP(B118,'Country or Territory'!A:G,5,FALSE)="Y",$D$1 &amp; " has visited","")</f>
        <v>#N/A</v>
      </c>
      <c r="E118" t="e">
        <f>IF(VLOOKUP(B118,'Country or Territory'!A:G,6,FALSE)="Y",$E$1 &amp; " has visited","")</f>
        <v>#N/A</v>
      </c>
      <c r="F118" t="e">
        <f>IF(VLOOKUP(B118,'Country or Territory'!A:G,7,FALSE)="Y",$F$1 &amp; " has visited","")</f>
        <v>#N/A</v>
      </c>
      <c r="G118">
        <f>VLOOKUP(B118,latlong!A:F,4,TRUE)</f>
        <v>47.005560000000003</v>
      </c>
      <c r="H118">
        <f>VLOOKUP(B118,latlong!A:F,5,TRUE)</f>
        <v>28.857500000000002</v>
      </c>
      <c r="I118">
        <f t="shared" si="3"/>
        <v>4</v>
      </c>
    </row>
    <row r="119" spans="1:9" x14ac:dyDescent="0.25">
      <c r="A119" t="e">
        <f>VLOOKUP(B119,'Country or Territory'!A:G,2,FALSE)</f>
        <v>#N/A</v>
      </c>
      <c r="B119" t="s">
        <v>1015</v>
      </c>
      <c r="C119" t="e">
        <f>IF(VLOOKUP(B119,'Country or Territory'!A:G,4,FALSE)="Y",$C$1 &amp; " has visited","")</f>
        <v>#N/A</v>
      </c>
      <c r="D119" t="e">
        <f>IF(VLOOKUP(B119,'Country or Territory'!A:G,5,FALSE)="Y",$D$1 &amp; " has visited","")</f>
        <v>#N/A</v>
      </c>
      <c r="E119" t="e">
        <f>IF(VLOOKUP(B119,'Country or Territory'!A:G,6,FALSE)="Y",$E$1 &amp; " has visited","")</f>
        <v>#N/A</v>
      </c>
      <c r="F119" t="e">
        <f>IF(VLOOKUP(B119,'Country or Territory'!A:G,7,FALSE)="Y",$F$1 &amp; " has visited","")</f>
        <v>#N/A</v>
      </c>
      <c r="G119">
        <f>VLOOKUP(B119,latlong!A:F,4,TRUE)</f>
        <v>43.733330000000002</v>
      </c>
      <c r="H119">
        <f>VLOOKUP(B119,latlong!A:F,5,TRUE)</f>
        <v>7.4166699999999999</v>
      </c>
      <c r="I119">
        <f t="shared" si="3"/>
        <v>4</v>
      </c>
    </row>
    <row r="120" spans="1:9" x14ac:dyDescent="0.25">
      <c r="A120" t="e">
        <f>VLOOKUP(B120,'Country or Territory'!A:G,2,FALSE)</f>
        <v>#N/A</v>
      </c>
      <c r="B120" t="s">
        <v>1017</v>
      </c>
      <c r="C120" t="e">
        <f>IF(VLOOKUP(B120,'Country or Territory'!A:G,4,FALSE)="Y",$C$1 &amp; " has visited","")</f>
        <v>#N/A</v>
      </c>
      <c r="D120" t="e">
        <f>IF(VLOOKUP(B120,'Country or Territory'!A:G,5,FALSE)="Y",$D$1 &amp; " has visited","")</f>
        <v>#N/A</v>
      </c>
      <c r="E120" t="e">
        <f>IF(VLOOKUP(B120,'Country or Territory'!A:G,6,FALSE)="Y",$E$1 &amp; " has visited","")</f>
        <v>#N/A</v>
      </c>
      <c r="F120" t="e">
        <f>IF(VLOOKUP(B120,'Country or Territory'!A:G,7,FALSE)="Y",$F$1 &amp; " has visited","")</f>
        <v>#N/A</v>
      </c>
      <c r="G120">
        <f>VLOOKUP(B120,latlong!A:F,4,TRUE)</f>
        <v>47.907710000000002</v>
      </c>
      <c r="H120">
        <f>VLOOKUP(B120,latlong!A:F,5,TRUE)</f>
        <v>106.88324</v>
      </c>
      <c r="I120">
        <f t="shared" si="3"/>
        <v>4</v>
      </c>
    </row>
    <row r="121" spans="1:9" x14ac:dyDescent="0.25">
      <c r="A121" t="e">
        <f>VLOOKUP(B121,'Country or Territory'!A:G,2,FALSE)</f>
        <v>#N/A</v>
      </c>
      <c r="B121" t="s">
        <v>1019</v>
      </c>
      <c r="C121" t="e">
        <f>IF(VLOOKUP(B121,'Country or Territory'!A:G,4,FALSE)="Y",$C$1 &amp; " has visited","")</f>
        <v>#N/A</v>
      </c>
      <c r="D121" t="e">
        <f>IF(VLOOKUP(B121,'Country or Territory'!A:G,5,FALSE)="Y",$D$1 &amp; " has visited","")</f>
        <v>#N/A</v>
      </c>
      <c r="E121" t="e">
        <f>IF(VLOOKUP(B121,'Country or Territory'!A:G,6,FALSE)="Y",$E$1 &amp; " has visited","")</f>
        <v>#N/A</v>
      </c>
      <c r="F121" t="e">
        <f>IF(VLOOKUP(B121,'Country or Territory'!A:G,7,FALSE)="Y",$F$1 &amp; " has visited","")</f>
        <v>#N/A</v>
      </c>
      <c r="G121">
        <f>VLOOKUP(B121,latlong!A:F,4,TRUE)</f>
        <v>42.441110000000002</v>
      </c>
      <c r="H121">
        <f>VLOOKUP(B121,latlong!A:F,5,TRUE)</f>
        <v>19.26361</v>
      </c>
      <c r="I121">
        <f t="shared" si="3"/>
        <v>4</v>
      </c>
    </row>
    <row r="122" spans="1:9" x14ac:dyDescent="0.25">
      <c r="A122" t="e">
        <f>VLOOKUP(B122,'Country or Territory'!A:G,2,FALSE)</f>
        <v>#N/A</v>
      </c>
      <c r="B122" t="s">
        <v>1022</v>
      </c>
      <c r="C122" t="e">
        <f>IF(VLOOKUP(B122,'Country or Territory'!A:G,4,FALSE)="Y",$C$1 &amp; " has visited","")</f>
        <v>#N/A</v>
      </c>
      <c r="D122" t="e">
        <f>IF(VLOOKUP(B122,'Country or Territory'!A:G,5,FALSE)="Y",$D$1 &amp; " has visited","")</f>
        <v>#N/A</v>
      </c>
      <c r="E122" t="e">
        <f>IF(VLOOKUP(B122,'Country or Territory'!A:G,6,FALSE)="Y",$E$1 &amp; " has visited","")</f>
        <v>#N/A</v>
      </c>
      <c r="F122" t="e">
        <f>IF(VLOOKUP(B122,'Country or Territory'!A:G,7,FALSE)="Y",$F$1 &amp; " has visited","")</f>
        <v>#N/A</v>
      </c>
      <c r="G122">
        <f>VLOOKUP(B122,latlong!A:F,4,TRUE)</f>
        <v>33.58831</v>
      </c>
      <c r="H122">
        <f>VLOOKUP(B122,latlong!A:F,5,TRUE)</f>
        <v>-7.6113799999999996</v>
      </c>
      <c r="I122">
        <f t="shared" si="3"/>
        <v>4</v>
      </c>
    </row>
    <row r="123" spans="1:9" x14ac:dyDescent="0.25">
      <c r="A123" t="e">
        <f>VLOOKUP(B123,'Country or Territory'!A:G,2,FALSE)</f>
        <v>#N/A</v>
      </c>
      <c r="B123" t="s">
        <v>1024</v>
      </c>
      <c r="C123" t="e">
        <f>IF(VLOOKUP(B123,'Country or Territory'!A:G,4,FALSE)="Y",$C$1 &amp; " has visited","")</f>
        <v>#N/A</v>
      </c>
      <c r="D123" t="e">
        <f>IF(VLOOKUP(B123,'Country or Territory'!A:G,5,FALSE)="Y",$D$1 &amp; " has visited","")</f>
        <v>#N/A</v>
      </c>
      <c r="E123" t="e">
        <f>IF(VLOOKUP(B123,'Country or Territory'!A:G,6,FALSE)="Y",$E$1 &amp; " has visited","")</f>
        <v>#N/A</v>
      </c>
      <c r="F123" t="e">
        <f>IF(VLOOKUP(B123,'Country or Territory'!A:G,7,FALSE)="Y",$F$1 &amp; " has visited","")</f>
        <v>#N/A</v>
      </c>
      <c r="G123">
        <f>VLOOKUP(B123,latlong!A:F,4,TRUE)</f>
        <v>-25.965530000000001</v>
      </c>
      <c r="H123">
        <f>VLOOKUP(B123,latlong!A:F,5,TRUE)</f>
        <v>32.583219999999997</v>
      </c>
      <c r="I123">
        <f t="shared" si="3"/>
        <v>4</v>
      </c>
    </row>
    <row r="124" spans="1:9" x14ac:dyDescent="0.25">
      <c r="A124" t="e">
        <f>VLOOKUP(B124,'Country or Territory'!A:G,2,FALSE)</f>
        <v>#N/A</v>
      </c>
      <c r="B124" t="s">
        <v>1028</v>
      </c>
      <c r="C124" t="e">
        <f>IF(VLOOKUP(B124,'Country or Territory'!A:G,4,FALSE)="Y",$C$1 &amp; " has visited","")</f>
        <v>#N/A</v>
      </c>
      <c r="D124" t="e">
        <f>IF(VLOOKUP(B124,'Country or Territory'!A:G,5,FALSE)="Y",$D$1 &amp; " has visited","")</f>
        <v>#N/A</v>
      </c>
      <c r="E124" t="e">
        <f>IF(VLOOKUP(B124,'Country or Territory'!A:G,6,FALSE)="Y",$E$1 &amp; " has visited","")</f>
        <v>#N/A</v>
      </c>
      <c r="F124" t="e">
        <f>IF(VLOOKUP(B124,'Country or Territory'!A:G,7,FALSE)="Y",$F$1 &amp; " has visited","")</f>
        <v>#N/A</v>
      </c>
      <c r="G124">
        <f>VLOOKUP(B124,latlong!A:F,4,TRUE)</f>
        <v>-22.55941</v>
      </c>
      <c r="H124">
        <f>VLOOKUP(B124,latlong!A:F,5,TRUE)</f>
        <v>17.08323</v>
      </c>
      <c r="I124">
        <f t="shared" si="3"/>
        <v>4</v>
      </c>
    </row>
    <row r="125" spans="1:9" x14ac:dyDescent="0.25">
      <c r="A125" t="e">
        <f>VLOOKUP(B125,'Country or Territory'!A:G,2,FALSE)</f>
        <v>#N/A</v>
      </c>
      <c r="B125" t="s">
        <v>1030</v>
      </c>
      <c r="C125" t="e">
        <f>IF(VLOOKUP(B125,'Country or Territory'!A:G,4,FALSE)="Y",$C$1 &amp; " has visited","")</f>
        <v>#N/A</v>
      </c>
      <c r="D125" t="e">
        <f>IF(VLOOKUP(B125,'Country or Territory'!A:G,5,FALSE)="Y",$D$1 &amp; " has visited","")</f>
        <v>#N/A</v>
      </c>
      <c r="E125" t="e">
        <f>IF(VLOOKUP(B125,'Country or Territory'!A:G,6,FALSE)="Y",$E$1 &amp; " has visited","")</f>
        <v>#N/A</v>
      </c>
      <c r="F125" t="e">
        <f>IF(VLOOKUP(B125,'Country or Territory'!A:G,7,FALSE)="Y",$F$1 &amp; " has visited","")</f>
        <v>#N/A</v>
      </c>
      <c r="G125">
        <f>VLOOKUP(B125,latlong!A:F,4,TRUE)</f>
        <v>-0.55084999999999995</v>
      </c>
      <c r="H125">
        <f>VLOOKUP(B125,latlong!A:F,5,TRUE)</f>
        <v>166.92519999999999</v>
      </c>
      <c r="I125">
        <f t="shared" si="3"/>
        <v>4</v>
      </c>
    </row>
    <row r="126" spans="1:9" x14ac:dyDescent="0.25">
      <c r="A126" t="e">
        <f>VLOOKUP(B126,'Country or Territory'!A:G,2,FALSE)</f>
        <v>#N/A</v>
      </c>
      <c r="B126" t="s">
        <v>1032</v>
      </c>
      <c r="C126" t="e">
        <f>IF(VLOOKUP(B126,'Country or Territory'!A:G,4,FALSE)="Y",$C$1 &amp; " has visited","")</f>
        <v>#N/A</v>
      </c>
      <c r="D126" t="e">
        <f>IF(VLOOKUP(B126,'Country or Territory'!A:G,5,FALSE)="Y",$D$1 &amp; " has visited","")</f>
        <v>#N/A</v>
      </c>
      <c r="E126" t="e">
        <f>IF(VLOOKUP(B126,'Country or Territory'!A:G,6,FALSE)="Y",$E$1 &amp; " has visited","")</f>
        <v>#N/A</v>
      </c>
      <c r="F126" t="e">
        <f>IF(VLOOKUP(B126,'Country or Territory'!A:G,7,FALSE)="Y",$F$1 &amp; " has visited","")</f>
        <v>#N/A</v>
      </c>
      <c r="G126">
        <f>VLOOKUP(B126,latlong!A:F,4,TRUE)</f>
        <v>27.701689999999999</v>
      </c>
      <c r="H126">
        <f>VLOOKUP(B126,latlong!A:F,5,TRUE)</f>
        <v>85.320599999999999</v>
      </c>
      <c r="I126">
        <f t="shared" si="3"/>
        <v>4</v>
      </c>
    </row>
    <row r="127" spans="1:9" x14ac:dyDescent="0.25">
      <c r="A127" t="e">
        <f>VLOOKUP(B127,'Country or Territory'!A:G,2,FALSE)</f>
        <v>#N/A</v>
      </c>
      <c r="B127" t="s">
        <v>1034</v>
      </c>
      <c r="C127" t="e">
        <f>IF(VLOOKUP(B127,'Country or Territory'!A:G,4,FALSE)="Y",$C$1 &amp; " has visited","")</f>
        <v>#N/A</v>
      </c>
      <c r="D127" t="e">
        <f>IF(VLOOKUP(B127,'Country or Territory'!A:G,5,FALSE)="Y",$D$1 &amp; " has visited","")</f>
        <v>#N/A</v>
      </c>
      <c r="E127" t="e">
        <f>IF(VLOOKUP(B127,'Country or Territory'!A:G,6,FALSE)="Y",$E$1 &amp; " has visited","")</f>
        <v>#N/A</v>
      </c>
      <c r="F127" t="e">
        <f>IF(VLOOKUP(B127,'Country or Territory'!A:G,7,FALSE)="Y",$F$1 &amp; " has visited","")</f>
        <v>#N/A</v>
      </c>
      <c r="G127">
        <f>VLOOKUP(B127,latlong!A:F,4,TRUE)</f>
        <v>52.374029999999998</v>
      </c>
      <c r="H127">
        <f>VLOOKUP(B127,latlong!A:F,5,TRUE)</f>
        <v>4.8896899999999999</v>
      </c>
      <c r="I127">
        <f t="shared" si="3"/>
        <v>4</v>
      </c>
    </row>
    <row r="128" spans="1:9" x14ac:dyDescent="0.25">
      <c r="A128" t="e">
        <f>VLOOKUP(B128,'Country or Territory'!A:G,2,FALSE)</f>
        <v>#N/A</v>
      </c>
      <c r="B128" t="s">
        <v>1037</v>
      </c>
      <c r="C128" t="e">
        <f>IF(VLOOKUP(B128,'Country or Territory'!A:G,4,FALSE)="Y",$C$1 &amp; " has visited","")</f>
        <v>#N/A</v>
      </c>
      <c r="D128" t="e">
        <f>IF(VLOOKUP(B128,'Country or Territory'!A:G,5,FALSE)="Y",$D$1 &amp; " has visited","")</f>
        <v>#N/A</v>
      </c>
      <c r="E128" t="e">
        <f>IF(VLOOKUP(B128,'Country or Territory'!A:G,6,FALSE)="Y",$E$1 &amp; " has visited","")</f>
        <v>#N/A</v>
      </c>
      <c r="F128" t="e">
        <f>IF(VLOOKUP(B128,'Country or Territory'!A:G,7,FALSE)="Y",$F$1 &amp; " has visited","")</f>
        <v>#N/A</v>
      </c>
      <c r="G128">
        <f>VLOOKUP(B128,latlong!A:F,4,TRUE)</f>
        <v>-36.866669999999999</v>
      </c>
      <c r="H128">
        <f>VLOOKUP(B128,latlong!A:F,5,TRUE)</f>
        <v>174.76667</v>
      </c>
      <c r="I128">
        <f t="shared" si="3"/>
        <v>4</v>
      </c>
    </row>
    <row r="129" spans="1:9" x14ac:dyDescent="0.25">
      <c r="A129" t="e">
        <f>VLOOKUP(B129,'Country or Territory'!A:G,2,FALSE)</f>
        <v>#N/A</v>
      </c>
      <c r="B129" t="s">
        <v>1039</v>
      </c>
      <c r="C129" t="e">
        <f>IF(VLOOKUP(B129,'Country or Territory'!A:G,4,FALSE)="Y",$C$1 &amp; " has visited","")</f>
        <v>#N/A</v>
      </c>
      <c r="D129" t="e">
        <f>IF(VLOOKUP(B129,'Country or Territory'!A:G,5,FALSE)="Y",$D$1 &amp; " has visited","")</f>
        <v>#N/A</v>
      </c>
      <c r="E129" t="e">
        <f>IF(VLOOKUP(B129,'Country or Territory'!A:G,6,FALSE)="Y",$E$1 &amp; " has visited","")</f>
        <v>#N/A</v>
      </c>
      <c r="F129" t="e">
        <f>IF(VLOOKUP(B129,'Country or Territory'!A:G,7,FALSE)="Y",$F$1 &amp; " has visited","")</f>
        <v>#N/A</v>
      </c>
      <c r="G129">
        <f>VLOOKUP(B129,latlong!A:F,4,TRUE)</f>
        <v>12.132820000000001</v>
      </c>
      <c r="H129">
        <f>VLOOKUP(B129,latlong!A:F,5,TRUE)</f>
        <v>-86.250399999999999</v>
      </c>
      <c r="I129">
        <f t="shared" si="3"/>
        <v>4</v>
      </c>
    </row>
    <row r="130" spans="1:9" x14ac:dyDescent="0.25">
      <c r="A130" t="e">
        <f>VLOOKUP(B130,'Country or Territory'!A:G,2,FALSE)</f>
        <v>#N/A</v>
      </c>
      <c r="B130" t="s">
        <v>1041</v>
      </c>
      <c r="C130" t="e">
        <f>IF(VLOOKUP(B130,'Country or Territory'!A:G,4,FALSE)="Y",$C$1 &amp; " has visited","")</f>
        <v>#N/A</v>
      </c>
      <c r="D130" t="e">
        <f>IF(VLOOKUP(B130,'Country or Territory'!A:G,5,FALSE)="Y",$D$1 &amp; " has visited","")</f>
        <v>#N/A</v>
      </c>
      <c r="E130" t="e">
        <f>IF(VLOOKUP(B130,'Country or Territory'!A:G,6,FALSE)="Y",$E$1 &amp; " has visited","")</f>
        <v>#N/A</v>
      </c>
      <c r="F130" t="e">
        <f>IF(VLOOKUP(B130,'Country or Territory'!A:G,7,FALSE)="Y",$F$1 &amp; " has visited","")</f>
        <v>#N/A</v>
      </c>
      <c r="G130">
        <f>VLOOKUP(B130,latlong!A:F,4,TRUE)</f>
        <v>13.51366</v>
      </c>
      <c r="H130">
        <f>VLOOKUP(B130,latlong!A:F,5,TRUE)</f>
        <v>2.1097999999999999</v>
      </c>
      <c r="I130">
        <f t="shared" ref="I130:I161" si="4">4-COUNTBLANK(C130:F130)</f>
        <v>4</v>
      </c>
    </row>
    <row r="131" spans="1:9" x14ac:dyDescent="0.25">
      <c r="A131" t="e">
        <f>VLOOKUP(B131,'Country or Territory'!A:G,2,FALSE)</f>
        <v>#N/A</v>
      </c>
      <c r="B131" t="s">
        <v>1043</v>
      </c>
      <c r="C131" t="e">
        <f>IF(VLOOKUP(B131,'Country or Territory'!A:G,4,FALSE)="Y",$C$1 &amp; " has visited","")</f>
        <v>#N/A</v>
      </c>
      <c r="D131" t="e">
        <f>IF(VLOOKUP(B131,'Country or Territory'!A:G,5,FALSE)="Y",$D$1 &amp; " has visited","")</f>
        <v>#N/A</v>
      </c>
      <c r="E131" t="e">
        <f>IF(VLOOKUP(B131,'Country or Territory'!A:G,6,FALSE)="Y",$E$1 &amp; " has visited","")</f>
        <v>#N/A</v>
      </c>
      <c r="F131" t="e">
        <f>IF(VLOOKUP(B131,'Country or Territory'!A:G,7,FALSE)="Y",$F$1 &amp; " has visited","")</f>
        <v>#N/A</v>
      </c>
      <c r="G131">
        <f>VLOOKUP(B131,latlong!A:F,4,TRUE)</f>
        <v>6.4540699999999998</v>
      </c>
      <c r="H131">
        <f>VLOOKUP(B131,latlong!A:F,5,TRUE)</f>
        <v>3.3946700000000001</v>
      </c>
      <c r="I131">
        <f t="shared" si="4"/>
        <v>4</v>
      </c>
    </row>
    <row r="132" spans="1:9" x14ac:dyDescent="0.25">
      <c r="A132" t="e">
        <f>VLOOKUP(B132,'Country or Territory'!A:G,2,FALSE)</f>
        <v>#N/A</v>
      </c>
      <c r="B132" t="s">
        <v>1048</v>
      </c>
      <c r="C132" t="e">
        <f>IF(VLOOKUP(B132,'Country or Territory'!A:G,4,FALSE)="Y",$C$1 &amp; " has visited","")</f>
        <v>#N/A</v>
      </c>
      <c r="D132" t="e">
        <f>IF(VLOOKUP(B132,'Country or Territory'!A:G,5,FALSE)="Y",$D$1 &amp; " has visited","")</f>
        <v>#N/A</v>
      </c>
      <c r="E132" t="e">
        <f>IF(VLOOKUP(B132,'Country or Territory'!A:G,6,FALSE)="Y",$E$1 &amp; " has visited","")</f>
        <v>#N/A</v>
      </c>
      <c r="F132" t="e">
        <f>IF(VLOOKUP(B132,'Country or Territory'!A:G,7,FALSE)="Y",$F$1 &amp; " has visited","")</f>
        <v>#N/A</v>
      </c>
      <c r="G132">
        <f>VLOOKUP(B132,latlong!A:F,4,TRUE)</f>
        <v>59.912730000000003</v>
      </c>
      <c r="H132">
        <f>VLOOKUP(B132,latlong!A:F,5,TRUE)</f>
        <v>10.746090000000001</v>
      </c>
      <c r="I132">
        <f t="shared" si="4"/>
        <v>4</v>
      </c>
    </row>
    <row r="133" spans="1:9" x14ac:dyDescent="0.25">
      <c r="A133" t="e">
        <f>VLOOKUP(B133,'Country or Territory'!A:G,2,FALSE)</f>
        <v>#N/A</v>
      </c>
      <c r="B133" t="s">
        <v>1050</v>
      </c>
      <c r="C133" t="e">
        <f>IF(VLOOKUP(B133,'Country or Territory'!A:G,4,FALSE)="Y",$C$1 &amp; " has visited","")</f>
        <v>#N/A</v>
      </c>
      <c r="D133" t="e">
        <f>IF(VLOOKUP(B133,'Country or Territory'!A:G,5,FALSE)="Y",$D$1 &amp; " has visited","")</f>
        <v>#N/A</v>
      </c>
      <c r="E133" t="e">
        <f>IF(VLOOKUP(B133,'Country or Territory'!A:G,6,FALSE)="Y",$E$1 &amp; " has visited","")</f>
        <v>#N/A</v>
      </c>
      <c r="F133" t="e">
        <f>IF(VLOOKUP(B133,'Country or Territory'!A:G,7,FALSE)="Y",$F$1 &amp; " has visited","")</f>
        <v>#N/A</v>
      </c>
      <c r="G133">
        <f>VLOOKUP(B133,latlong!A:F,4,TRUE)</f>
        <v>23.584129999999998</v>
      </c>
      <c r="H133">
        <f>VLOOKUP(B133,latlong!A:F,5,TRUE)</f>
        <v>58.407780000000002</v>
      </c>
      <c r="I133">
        <f t="shared" si="4"/>
        <v>4</v>
      </c>
    </row>
    <row r="134" spans="1:9" x14ac:dyDescent="0.25">
      <c r="A134" t="e">
        <f>VLOOKUP(B134,'Country or Territory'!A:G,2,FALSE)</f>
        <v>#N/A</v>
      </c>
      <c r="B134" t="s">
        <v>1052</v>
      </c>
      <c r="C134" t="e">
        <f>IF(VLOOKUP(B134,'Country or Territory'!A:G,4,FALSE)="Y",$C$1 &amp; " has visited","")</f>
        <v>#N/A</v>
      </c>
      <c r="D134" t="e">
        <f>IF(VLOOKUP(B134,'Country or Territory'!A:G,5,FALSE)="Y",$D$1 &amp; " has visited","")</f>
        <v>#N/A</v>
      </c>
      <c r="E134" t="e">
        <f>IF(VLOOKUP(B134,'Country or Territory'!A:G,6,FALSE)="Y",$E$1 &amp; " has visited","")</f>
        <v>#N/A</v>
      </c>
      <c r="F134" t="e">
        <f>IF(VLOOKUP(B134,'Country or Territory'!A:G,7,FALSE)="Y",$F$1 &amp; " has visited","")</f>
        <v>#N/A</v>
      </c>
      <c r="G134">
        <f>VLOOKUP(B134,latlong!A:F,4,TRUE)</f>
        <v>24.9056</v>
      </c>
      <c r="H134">
        <f>VLOOKUP(B134,latlong!A:F,5,TRUE)</f>
        <v>67.0822</v>
      </c>
      <c r="I134">
        <f t="shared" si="4"/>
        <v>4</v>
      </c>
    </row>
    <row r="135" spans="1:9" x14ac:dyDescent="0.25">
      <c r="A135" t="e">
        <f>VLOOKUP(B135,'Country or Territory'!A:G,2,FALSE)</f>
        <v>#N/A</v>
      </c>
      <c r="B135" t="s">
        <v>1054</v>
      </c>
      <c r="C135" t="e">
        <f>IF(VLOOKUP(B135,'Country or Territory'!A:G,4,FALSE)="Y",$C$1 &amp; " has visited","")</f>
        <v>#N/A</v>
      </c>
      <c r="D135" t="e">
        <f>IF(VLOOKUP(B135,'Country or Territory'!A:G,5,FALSE)="Y",$D$1 &amp; " has visited","")</f>
        <v>#N/A</v>
      </c>
      <c r="E135" t="e">
        <f>IF(VLOOKUP(B135,'Country or Territory'!A:G,6,FALSE)="Y",$E$1 &amp; " has visited","")</f>
        <v>#N/A</v>
      </c>
      <c r="F135" t="e">
        <f>IF(VLOOKUP(B135,'Country or Territory'!A:G,7,FALSE)="Y",$F$1 &amp; " has visited","")</f>
        <v>#N/A</v>
      </c>
      <c r="G135">
        <f>VLOOKUP(B135,latlong!A:F,4,TRUE)</f>
        <v>7.5004299999999997</v>
      </c>
      <c r="H135">
        <f>VLOOKUP(B135,latlong!A:F,5,TRUE)</f>
        <v>134.62354999999999</v>
      </c>
      <c r="I135">
        <f t="shared" si="4"/>
        <v>4</v>
      </c>
    </row>
    <row r="136" spans="1:9" x14ac:dyDescent="0.25">
      <c r="A136" t="e">
        <f>VLOOKUP(B136,'Country or Territory'!A:G,2,FALSE)</f>
        <v>#N/A</v>
      </c>
      <c r="B136" t="s">
        <v>1057</v>
      </c>
      <c r="C136" t="e">
        <f>IF(VLOOKUP(B136,'Country or Territory'!A:G,4,FALSE)="Y",$C$1 &amp; " has visited","")</f>
        <v>#N/A</v>
      </c>
      <c r="D136" t="e">
        <f>IF(VLOOKUP(B136,'Country or Territory'!A:G,5,FALSE)="Y",$D$1 &amp; " has visited","")</f>
        <v>#N/A</v>
      </c>
      <c r="E136" t="e">
        <f>IF(VLOOKUP(B136,'Country or Territory'!A:G,6,FALSE)="Y",$E$1 &amp; " has visited","")</f>
        <v>#N/A</v>
      </c>
      <c r="F136" t="e">
        <f>IF(VLOOKUP(B136,'Country or Territory'!A:G,7,FALSE)="Y",$F$1 &amp; " has visited","")</f>
        <v>#N/A</v>
      </c>
      <c r="G136">
        <f>VLOOKUP(B136,latlong!A:F,4,TRUE)</f>
        <v>8.9936000000000007</v>
      </c>
      <c r="H136">
        <f>VLOOKUP(B136,latlong!A:F,5,TRUE)</f>
        <v>-79.519729999999996</v>
      </c>
      <c r="I136">
        <f t="shared" si="4"/>
        <v>4</v>
      </c>
    </row>
    <row r="137" spans="1:9" x14ac:dyDescent="0.25">
      <c r="A137" t="e">
        <f>VLOOKUP(B137,'Country or Territory'!A:G,2,FALSE)</f>
        <v>#N/A</v>
      </c>
      <c r="B137" t="s">
        <v>1059</v>
      </c>
      <c r="C137" t="e">
        <f>IF(VLOOKUP(B137,'Country or Territory'!A:G,4,FALSE)="Y",$C$1 &amp; " has visited","")</f>
        <v>#N/A</v>
      </c>
      <c r="D137" t="e">
        <f>IF(VLOOKUP(B137,'Country or Territory'!A:G,5,FALSE)="Y",$D$1 &amp; " has visited","")</f>
        <v>#N/A</v>
      </c>
      <c r="E137" t="e">
        <f>IF(VLOOKUP(B137,'Country or Territory'!A:G,6,FALSE)="Y",$E$1 &amp; " has visited","")</f>
        <v>#N/A</v>
      </c>
      <c r="F137" t="e">
        <f>IF(VLOOKUP(B137,'Country or Territory'!A:G,7,FALSE)="Y",$F$1 &amp; " has visited","")</f>
        <v>#N/A</v>
      </c>
      <c r="G137">
        <f>VLOOKUP(B137,latlong!A:F,4,TRUE)</f>
        <v>-9.4431399999999996</v>
      </c>
      <c r="H137">
        <f>VLOOKUP(B137,latlong!A:F,5,TRUE)</f>
        <v>147.17972</v>
      </c>
      <c r="I137">
        <f t="shared" si="4"/>
        <v>4</v>
      </c>
    </row>
    <row r="138" spans="1:9" x14ac:dyDescent="0.25">
      <c r="A138" t="e">
        <f>VLOOKUP(B138,'Country or Territory'!A:G,2,FALSE)</f>
        <v>#N/A</v>
      </c>
      <c r="B138" t="s">
        <v>1061</v>
      </c>
      <c r="C138" t="e">
        <f>IF(VLOOKUP(B138,'Country or Territory'!A:G,4,FALSE)="Y",$C$1 &amp; " has visited","")</f>
        <v>#N/A</v>
      </c>
      <c r="D138" t="e">
        <f>IF(VLOOKUP(B138,'Country or Territory'!A:G,5,FALSE)="Y",$D$1 &amp; " has visited","")</f>
        <v>#N/A</v>
      </c>
      <c r="E138" t="e">
        <f>IF(VLOOKUP(B138,'Country or Territory'!A:G,6,FALSE)="Y",$E$1 &amp; " has visited","")</f>
        <v>#N/A</v>
      </c>
      <c r="F138" t="e">
        <f>IF(VLOOKUP(B138,'Country or Territory'!A:G,7,FALSE)="Y",$F$1 &amp; " has visited","")</f>
        <v>#N/A</v>
      </c>
      <c r="G138">
        <f>VLOOKUP(B138,latlong!A:F,4,TRUE)</f>
        <v>-25.300660000000001</v>
      </c>
      <c r="H138">
        <f>VLOOKUP(B138,latlong!A:F,5,TRUE)</f>
        <v>-57.635910000000003</v>
      </c>
      <c r="I138">
        <f t="shared" si="4"/>
        <v>4</v>
      </c>
    </row>
    <row r="139" spans="1:9" x14ac:dyDescent="0.25">
      <c r="A139" t="e">
        <f>VLOOKUP(B139,'Country or Territory'!A:G,2,FALSE)</f>
        <v>#N/A</v>
      </c>
      <c r="B139" t="s">
        <v>1063</v>
      </c>
      <c r="C139" t="e">
        <f>IF(VLOOKUP(B139,'Country or Territory'!A:G,4,FALSE)="Y",$C$1 &amp; " has visited","")</f>
        <v>#N/A</v>
      </c>
      <c r="D139" t="e">
        <f>IF(VLOOKUP(B139,'Country or Territory'!A:G,5,FALSE)="Y",$D$1 &amp; " has visited","")</f>
        <v>#N/A</v>
      </c>
      <c r="E139" t="e">
        <f>IF(VLOOKUP(B139,'Country or Territory'!A:G,6,FALSE)="Y",$E$1 &amp; " has visited","")</f>
        <v>#N/A</v>
      </c>
      <c r="F139" t="e">
        <f>IF(VLOOKUP(B139,'Country or Territory'!A:G,7,FALSE)="Y",$F$1 &amp; " has visited","")</f>
        <v>#N/A</v>
      </c>
      <c r="G139">
        <f>VLOOKUP(B139,latlong!A:F,4,TRUE)</f>
        <v>-12.04318</v>
      </c>
      <c r="H139">
        <f>VLOOKUP(B139,latlong!A:F,5,TRUE)</f>
        <v>-77.028239999999997</v>
      </c>
      <c r="I139">
        <f t="shared" si="4"/>
        <v>4</v>
      </c>
    </row>
    <row r="140" spans="1:9" x14ac:dyDescent="0.25">
      <c r="A140" t="e">
        <f>VLOOKUP(B140,'Country or Territory'!A:G,2,FALSE)</f>
        <v>#N/A</v>
      </c>
      <c r="B140" t="s">
        <v>1065</v>
      </c>
      <c r="C140" t="e">
        <f>IF(VLOOKUP(B140,'Country or Territory'!A:G,4,FALSE)="Y",$C$1 &amp; " has visited","")</f>
        <v>#N/A</v>
      </c>
      <c r="D140" t="e">
        <f>IF(VLOOKUP(B140,'Country or Territory'!A:G,5,FALSE)="Y",$D$1 &amp; " has visited","")</f>
        <v>#N/A</v>
      </c>
      <c r="E140" t="e">
        <f>IF(VLOOKUP(B140,'Country or Territory'!A:G,6,FALSE)="Y",$E$1 &amp; " has visited","")</f>
        <v>#N/A</v>
      </c>
      <c r="F140" t="e">
        <f>IF(VLOOKUP(B140,'Country or Territory'!A:G,7,FALSE)="Y",$F$1 &amp; " has visited","")</f>
        <v>#N/A</v>
      </c>
      <c r="G140">
        <f>VLOOKUP(B140,latlong!A:F,4,TRUE)</f>
        <v>14.6488</v>
      </c>
      <c r="H140">
        <f>VLOOKUP(B140,latlong!A:F,5,TRUE)</f>
        <v>121.0509</v>
      </c>
      <c r="I140">
        <f t="shared" si="4"/>
        <v>4</v>
      </c>
    </row>
    <row r="141" spans="1:9" x14ac:dyDescent="0.25">
      <c r="A141" t="e">
        <f>VLOOKUP(B141,'Country or Territory'!A:G,2,FALSE)</f>
        <v>#N/A</v>
      </c>
      <c r="B141" t="s">
        <v>1068</v>
      </c>
      <c r="C141" t="e">
        <f>IF(VLOOKUP(B141,'Country or Territory'!A:G,4,FALSE)="Y",$C$1 &amp; " has visited","")</f>
        <v>#N/A</v>
      </c>
      <c r="D141" t="e">
        <f>IF(VLOOKUP(B141,'Country or Territory'!A:G,5,FALSE)="Y",$D$1 &amp; " has visited","")</f>
        <v>#N/A</v>
      </c>
      <c r="E141" t="e">
        <f>IF(VLOOKUP(B141,'Country or Territory'!A:G,6,FALSE)="Y",$E$1 &amp; " has visited","")</f>
        <v>#N/A</v>
      </c>
      <c r="F141" t="e">
        <f>IF(VLOOKUP(B141,'Country or Territory'!A:G,7,FALSE)="Y",$F$1 &amp; " has visited","")</f>
        <v>#N/A</v>
      </c>
      <c r="G141">
        <f>VLOOKUP(B141,latlong!A:F,4,TRUE)</f>
        <v>52.229770000000002</v>
      </c>
      <c r="H141">
        <f>VLOOKUP(B141,latlong!A:F,5,TRUE)</f>
        <v>21.011780000000002</v>
      </c>
      <c r="I141">
        <f t="shared" si="4"/>
        <v>4</v>
      </c>
    </row>
    <row r="142" spans="1:9" x14ac:dyDescent="0.25">
      <c r="A142" t="e">
        <f>VLOOKUP(B142,'Country or Territory'!A:G,2,FALSE)</f>
        <v>#N/A</v>
      </c>
      <c r="B142" t="s">
        <v>1070</v>
      </c>
      <c r="C142" t="e">
        <f>IF(VLOOKUP(B142,'Country or Territory'!A:G,4,FALSE)="Y",$C$1 &amp; " has visited","")</f>
        <v>#N/A</v>
      </c>
      <c r="D142" t="e">
        <f>IF(VLOOKUP(B142,'Country or Territory'!A:G,5,FALSE)="Y",$D$1 &amp; " has visited","")</f>
        <v>#N/A</v>
      </c>
      <c r="E142" t="e">
        <f>IF(VLOOKUP(B142,'Country or Territory'!A:G,6,FALSE)="Y",$E$1 &amp; " has visited","")</f>
        <v>#N/A</v>
      </c>
      <c r="F142" t="e">
        <f>IF(VLOOKUP(B142,'Country or Territory'!A:G,7,FALSE)="Y",$F$1 &amp; " has visited","")</f>
        <v>#N/A</v>
      </c>
      <c r="G142">
        <f>VLOOKUP(B142,latlong!A:F,4,TRUE)</f>
        <v>38.716670000000001</v>
      </c>
      <c r="H142">
        <f>VLOOKUP(B142,latlong!A:F,5,TRUE)</f>
        <v>-9.1333300000000008</v>
      </c>
      <c r="I142">
        <f t="shared" si="4"/>
        <v>4</v>
      </c>
    </row>
    <row r="143" spans="1:9" x14ac:dyDescent="0.25">
      <c r="A143" t="e">
        <f>VLOOKUP(B143,'Country or Territory'!A:G,2,FALSE)</f>
        <v>#N/A</v>
      </c>
      <c r="B143" t="s">
        <v>1073</v>
      </c>
      <c r="C143" t="e">
        <f>IF(VLOOKUP(B143,'Country or Territory'!A:G,4,FALSE)="Y",$C$1 &amp; " has visited","")</f>
        <v>#N/A</v>
      </c>
      <c r="D143" t="e">
        <f>IF(VLOOKUP(B143,'Country or Territory'!A:G,5,FALSE)="Y",$D$1 &amp; " has visited","")</f>
        <v>#N/A</v>
      </c>
      <c r="E143" t="e">
        <f>IF(VLOOKUP(B143,'Country or Territory'!A:G,6,FALSE)="Y",$E$1 &amp; " has visited","")</f>
        <v>#N/A</v>
      </c>
      <c r="F143" t="e">
        <f>IF(VLOOKUP(B143,'Country or Territory'!A:G,7,FALSE)="Y",$F$1 &amp; " has visited","")</f>
        <v>#N/A</v>
      </c>
      <c r="G143">
        <f>VLOOKUP(B143,latlong!A:F,4,TRUE)</f>
        <v>25.279319999999998</v>
      </c>
      <c r="H143">
        <f>VLOOKUP(B143,latlong!A:F,5,TRUE)</f>
        <v>51.522449999999999</v>
      </c>
      <c r="I143">
        <f t="shared" si="4"/>
        <v>4</v>
      </c>
    </row>
    <row r="144" spans="1:9" x14ac:dyDescent="0.25">
      <c r="A144" t="e">
        <f>VLOOKUP(B144,'Country or Territory'!A:G,2,FALSE)</f>
        <v>#N/A</v>
      </c>
      <c r="B144" t="s">
        <v>1075</v>
      </c>
      <c r="C144" t="e">
        <f>IF(VLOOKUP(B144,'Country or Territory'!A:G,4,FALSE)="Y",$C$1 &amp; " has visited","")</f>
        <v>#N/A</v>
      </c>
      <c r="D144" t="e">
        <f>IF(VLOOKUP(B144,'Country or Territory'!A:G,5,FALSE)="Y",$D$1 &amp; " has visited","")</f>
        <v>#N/A</v>
      </c>
      <c r="E144" t="e">
        <f>IF(VLOOKUP(B144,'Country or Territory'!A:G,6,FALSE)="Y",$E$1 &amp; " has visited","")</f>
        <v>#N/A</v>
      </c>
      <c r="F144" t="e">
        <f>IF(VLOOKUP(B144,'Country or Territory'!A:G,7,FALSE)="Y",$F$1 &amp; " has visited","")</f>
        <v>#N/A</v>
      </c>
      <c r="G144">
        <f>VLOOKUP(B144,latlong!A:F,4,TRUE)</f>
        <v>44.432250000000003</v>
      </c>
      <c r="H144">
        <f>VLOOKUP(B144,latlong!A:F,5,TRUE)</f>
        <v>26.106259999999999</v>
      </c>
      <c r="I144">
        <f t="shared" si="4"/>
        <v>4</v>
      </c>
    </row>
    <row r="145" spans="1:9" x14ac:dyDescent="0.25">
      <c r="A145" t="e">
        <f>VLOOKUP(B145,'Country or Territory'!A:G,2,FALSE)</f>
        <v>#N/A</v>
      </c>
      <c r="B145" t="s">
        <v>1077</v>
      </c>
      <c r="C145" t="e">
        <f>IF(VLOOKUP(B145,'Country or Territory'!A:G,4,FALSE)="Y",$C$1 &amp; " has visited","")</f>
        <v>#N/A</v>
      </c>
      <c r="D145" t="e">
        <f>IF(VLOOKUP(B145,'Country or Territory'!A:G,5,FALSE)="Y",$D$1 &amp; " has visited","")</f>
        <v>#N/A</v>
      </c>
      <c r="E145" t="e">
        <f>IF(VLOOKUP(B145,'Country or Territory'!A:G,6,FALSE)="Y",$E$1 &amp; " has visited","")</f>
        <v>#N/A</v>
      </c>
      <c r="F145" t="e">
        <f>IF(VLOOKUP(B145,'Country or Territory'!A:G,7,FALSE)="Y",$F$1 &amp; " has visited","")</f>
        <v>#N/A</v>
      </c>
      <c r="G145">
        <f>VLOOKUP(B145,latlong!A:F,4,TRUE)</f>
        <v>55.752220000000001</v>
      </c>
      <c r="H145">
        <f>VLOOKUP(B145,latlong!A:F,5,TRUE)</f>
        <v>37.615560000000002</v>
      </c>
      <c r="I145">
        <f t="shared" si="4"/>
        <v>4</v>
      </c>
    </row>
    <row r="146" spans="1:9" x14ac:dyDescent="0.25">
      <c r="A146" t="e">
        <f>VLOOKUP(B146,'Country or Territory'!A:G,2,FALSE)</f>
        <v>#N/A</v>
      </c>
      <c r="B146" t="s">
        <v>1079</v>
      </c>
      <c r="C146" t="e">
        <f>IF(VLOOKUP(B146,'Country or Territory'!A:G,4,FALSE)="Y",$C$1 &amp; " has visited","")</f>
        <v>#N/A</v>
      </c>
      <c r="D146" t="e">
        <f>IF(VLOOKUP(B146,'Country or Territory'!A:G,5,FALSE)="Y",$D$1 &amp; " has visited","")</f>
        <v>#N/A</v>
      </c>
      <c r="E146" t="e">
        <f>IF(VLOOKUP(B146,'Country or Territory'!A:G,6,FALSE)="Y",$E$1 &amp; " has visited","")</f>
        <v>#N/A</v>
      </c>
      <c r="F146" t="e">
        <f>IF(VLOOKUP(B146,'Country or Territory'!A:G,7,FALSE)="Y",$F$1 &amp; " has visited","")</f>
        <v>#N/A</v>
      </c>
      <c r="G146">
        <f>VLOOKUP(B146,latlong!A:F,4,TRUE)</f>
        <v>-1.9499500000000001</v>
      </c>
      <c r="H146">
        <f>VLOOKUP(B146,latlong!A:F,5,TRUE)</f>
        <v>30.05885</v>
      </c>
      <c r="I146">
        <f t="shared" si="4"/>
        <v>4</v>
      </c>
    </row>
    <row r="147" spans="1:9" x14ac:dyDescent="0.25">
      <c r="A147" t="e">
        <f>VLOOKUP(B147,'Country or Territory'!A:G,2,FALSE)</f>
        <v>#N/A</v>
      </c>
      <c r="B147" t="s">
        <v>1084</v>
      </c>
      <c r="C147" t="e">
        <f>IF(VLOOKUP(B147,'Country or Territory'!A:G,4,FALSE)="Y",$C$1 &amp; " has visited","")</f>
        <v>#N/A</v>
      </c>
      <c r="D147" t="e">
        <f>IF(VLOOKUP(B147,'Country or Territory'!A:G,5,FALSE)="Y",$D$1 &amp; " has visited","")</f>
        <v>#N/A</v>
      </c>
      <c r="E147" t="e">
        <f>IF(VLOOKUP(B147,'Country or Territory'!A:G,6,FALSE)="Y",$E$1 &amp; " has visited","")</f>
        <v>#N/A</v>
      </c>
      <c r="F147" t="e">
        <f>IF(VLOOKUP(B147,'Country or Territory'!A:G,7,FALSE)="Y",$F$1 &amp; " has visited","")</f>
        <v>#N/A</v>
      </c>
      <c r="G147">
        <f>VLOOKUP(B147,latlong!A:F,4,TRUE)</f>
        <v>17.294840000000001</v>
      </c>
      <c r="H147">
        <f>VLOOKUP(B147,latlong!A:F,5,TRUE)</f>
        <v>-62.726100000000002</v>
      </c>
      <c r="I147">
        <f t="shared" si="4"/>
        <v>4</v>
      </c>
    </row>
    <row r="148" spans="1:9" x14ac:dyDescent="0.25">
      <c r="A148" t="e">
        <f>VLOOKUP(B148,'Country or Territory'!A:G,2,FALSE)</f>
        <v>#N/A</v>
      </c>
      <c r="B148" t="s">
        <v>1086</v>
      </c>
      <c r="C148" t="e">
        <f>IF(VLOOKUP(B148,'Country or Territory'!A:G,4,FALSE)="Y",$C$1 &amp; " has visited","")</f>
        <v>#N/A</v>
      </c>
      <c r="D148" t="e">
        <f>IF(VLOOKUP(B148,'Country or Territory'!A:G,5,FALSE)="Y",$D$1 &amp; " has visited","")</f>
        <v>#N/A</v>
      </c>
      <c r="E148" t="e">
        <f>IF(VLOOKUP(B148,'Country or Territory'!A:G,6,FALSE)="Y",$E$1 &amp; " has visited","")</f>
        <v>#N/A</v>
      </c>
      <c r="F148" t="e">
        <f>IF(VLOOKUP(B148,'Country or Territory'!A:G,7,FALSE)="Y",$F$1 &amp; " has visited","")</f>
        <v>#N/A</v>
      </c>
      <c r="G148">
        <f>VLOOKUP(B148,latlong!A:F,4,TRUE)</f>
        <v>13.995699999999999</v>
      </c>
      <c r="H148">
        <f>VLOOKUP(B148,latlong!A:F,5,TRUE)</f>
        <v>-61.006140000000002</v>
      </c>
      <c r="I148">
        <f t="shared" si="4"/>
        <v>4</v>
      </c>
    </row>
    <row r="149" spans="1:9" x14ac:dyDescent="0.25">
      <c r="A149" t="e">
        <f>VLOOKUP(B149,'Country or Territory'!A:G,2,FALSE)</f>
        <v>#N/A</v>
      </c>
      <c r="B149" t="s">
        <v>1090</v>
      </c>
      <c r="C149" t="e">
        <f>IF(VLOOKUP(B149,'Country or Territory'!A:G,4,FALSE)="Y",$C$1 &amp; " has visited","")</f>
        <v>#N/A</v>
      </c>
      <c r="D149" t="e">
        <f>IF(VLOOKUP(B149,'Country or Territory'!A:G,5,FALSE)="Y",$D$1 &amp; " has visited","")</f>
        <v>#N/A</v>
      </c>
      <c r="E149" t="e">
        <f>IF(VLOOKUP(B149,'Country or Territory'!A:G,6,FALSE)="Y",$E$1 &amp; " has visited","")</f>
        <v>#N/A</v>
      </c>
      <c r="F149" t="e">
        <f>IF(VLOOKUP(B149,'Country or Territory'!A:G,7,FALSE)="Y",$F$1 &amp; " has visited","")</f>
        <v>#N/A</v>
      </c>
      <c r="G149">
        <f>VLOOKUP(B149,latlong!A:F,4,TRUE)</f>
        <v>13.158720000000001</v>
      </c>
      <c r="H149">
        <f>VLOOKUP(B149,latlong!A:F,5,TRUE)</f>
        <v>-61.22475</v>
      </c>
      <c r="I149">
        <f t="shared" si="4"/>
        <v>4</v>
      </c>
    </row>
    <row r="150" spans="1:9" x14ac:dyDescent="0.25">
      <c r="A150" t="e">
        <f>VLOOKUP(B150,'Country or Territory'!A:G,2,FALSE)</f>
        <v>#N/A</v>
      </c>
      <c r="B150" t="s">
        <v>1092</v>
      </c>
      <c r="C150" t="e">
        <f>IF(VLOOKUP(B150,'Country or Territory'!A:G,4,FALSE)="Y",$C$1 &amp; " has visited","")</f>
        <v>#N/A</v>
      </c>
      <c r="D150" t="e">
        <f>IF(VLOOKUP(B150,'Country or Territory'!A:G,5,FALSE)="Y",$D$1 &amp; " has visited","")</f>
        <v>#N/A</v>
      </c>
      <c r="E150" t="e">
        <f>IF(VLOOKUP(B150,'Country or Territory'!A:G,6,FALSE)="Y",$E$1 &amp; " has visited","")</f>
        <v>#N/A</v>
      </c>
      <c r="F150" t="e">
        <f>IF(VLOOKUP(B150,'Country or Territory'!A:G,7,FALSE)="Y",$F$1 &amp; " has visited","")</f>
        <v>#N/A</v>
      </c>
      <c r="G150">
        <f>VLOOKUP(B150,latlong!A:F,4,TRUE)</f>
        <v>-13.83333</v>
      </c>
      <c r="H150">
        <f>VLOOKUP(B150,latlong!A:F,5,TRUE)</f>
        <v>-171.76666</v>
      </c>
      <c r="I150">
        <f t="shared" si="4"/>
        <v>4</v>
      </c>
    </row>
    <row r="151" spans="1:9" x14ac:dyDescent="0.25">
      <c r="A151" t="e">
        <f>VLOOKUP(B151,'Country or Territory'!A:G,2,FALSE)</f>
        <v>#N/A</v>
      </c>
      <c r="B151" t="s">
        <v>1094</v>
      </c>
      <c r="C151" t="e">
        <f>IF(VLOOKUP(B151,'Country or Territory'!A:G,4,FALSE)="Y",$C$1 &amp; " has visited","")</f>
        <v>#N/A</v>
      </c>
      <c r="D151" t="e">
        <f>IF(VLOOKUP(B151,'Country or Territory'!A:G,5,FALSE)="Y",$D$1 &amp; " has visited","")</f>
        <v>#N/A</v>
      </c>
      <c r="E151" t="e">
        <f>IF(VLOOKUP(B151,'Country or Territory'!A:G,6,FALSE)="Y",$E$1 &amp; " has visited","")</f>
        <v>#N/A</v>
      </c>
      <c r="F151" t="e">
        <f>IF(VLOOKUP(B151,'Country or Territory'!A:G,7,FALSE)="Y",$F$1 &amp; " has visited","")</f>
        <v>#N/A</v>
      </c>
      <c r="G151">
        <f>VLOOKUP(B151,latlong!A:F,4,TRUE)</f>
        <v>43.936669999999999</v>
      </c>
      <c r="H151">
        <f>VLOOKUP(B151,latlong!A:F,5,TRUE)</f>
        <v>12.446389999999999</v>
      </c>
      <c r="I151">
        <f t="shared" si="4"/>
        <v>4</v>
      </c>
    </row>
    <row r="152" spans="1:9" x14ac:dyDescent="0.25">
      <c r="A152" t="e">
        <f>VLOOKUP(B152,'Country or Territory'!A:G,2,FALSE)</f>
        <v>#N/A</v>
      </c>
      <c r="B152" t="s">
        <v>1096</v>
      </c>
      <c r="C152" t="e">
        <f>IF(VLOOKUP(B152,'Country or Territory'!A:G,4,FALSE)="Y",$C$1 &amp; " has visited","")</f>
        <v>#N/A</v>
      </c>
      <c r="D152" t="e">
        <f>IF(VLOOKUP(B152,'Country or Territory'!A:G,5,FALSE)="Y",$D$1 &amp; " has visited","")</f>
        <v>#N/A</v>
      </c>
      <c r="E152" t="e">
        <f>IF(VLOOKUP(B152,'Country or Territory'!A:G,6,FALSE)="Y",$E$1 &amp; " has visited","")</f>
        <v>#N/A</v>
      </c>
      <c r="F152" t="e">
        <f>IF(VLOOKUP(B152,'Country or Territory'!A:G,7,FALSE)="Y",$F$1 &amp; " has visited","")</f>
        <v>#N/A</v>
      </c>
      <c r="G152">
        <f>VLOOKUP(B152,latlong!A:F,4,TRUE)</f>
        <v>0.33654000000000001</v>
      </c>
      <c r="H152">
        <f>VLOOKUP(B152,latlong!A:F,5,TRUE)</f>
        <v>6.7273199999999997</v>
      </c>
      <c r="I152">
        <f t="shared" si="4"/>
        <v>4</v>
      </c>
    </row>
    <row r="153" spans="1:9" x14ac:dyDescent="0.25">
      <c r="A153" t="e">
        <f>VLOOKUP(B153,'Country or Territory'!A:G,2,FALSE)</f>
        <v>#N/A</v>
      </c>
      <c r="B153" t="s">
        <v>1098</v>
      </c>
      <c r="C153" t="e">
        <f>IF(VLOOKUP(B153,'Country or Territory'!A:G,4,FALSE)="Y",$C$1 &amp; " has visited","")</f>
        <v>#N/A</v>
      </c>
      <c r="D153" t="e">
        <f>IF(VLOOKUP(B153,'Country or Territory'!A:G,5,FALSE)="Y",$D$1 &amp; " has visited","")</f>
        <v>#N/A</v>
      </c>
      <c r="E153" t="e">
        <f>IF(VLOOKUP(B153,'Country or Territory'!A:G,6,FALSE)="Y",$E$1 &amp; " has visited","")</f>
        <v>#N/A</v>
      </c>
      <c r="F153" t="e">
        <f>IF(VLOOKUP(B153,'Country or Territory'!A:G,7,FALSE)="Y",$F$1 &amp; " has visited","")</f>
        <v>#N/A</v>
      </c>
      <c r="G153">
        <f>VLOOKUP(B153,latlong!A:F,4,TRUE)</f>
        <v>24.687729999999998</v>
      </c>
      <c r="H153">
        <f>VLOOKUP(B153,latlong!A:F,5,TRUE)</f>
        <v>46.721850000000003</v>
      </c>
      <c r="I153">
        <f t="shared" si="4"/>
        <v>4</v>
      </c>
    </row>
    <row r="154" spans="1:9" x14ac:dyDescent="0.25">
      <c r="A154" t="e">
        <f>VLOOKUP(B154,'Country or Territory'!A:G,2,FALSE)</f>
        <v>#N/A</v>
      </c>
      <c r="B154" t="s">
        <v>1100</v>
      </c>
      <c r="C154" t="e">
        <f>IF(VLOOKUP(B154,'Country or Territory'!A:G,4,FALSE)="Y",$C$1 &amp; " has visited","")</f>
        <v>#N/A</v>
      </c>
      <c r="D154" t="e">
        <f>IF(VLOOKUP(B154,'Country or Territory'!A:G,5,FALSE)="Y",$D$1 &amp; " has visited","")</f>
        <v>#N/A</v>
      </c>
      <c r="E154" t="e">
        <f>IF(VLOOKUP(B154,'Country or Territory'!A:G,6,FALSE)="Y",$E$1 &amp; " has visited","")</f>
        <v>#N/A</v>
      </c>
      <c r="F154" t="e">
        <f>IF(VLOOKUP(B154,'Country or Territory'!A:G,7,FALSE)="Y",$F$1 &amp; " has visited","")</f>
        <v>#N/A</v>
      </c>
      <c r="G154">
        <f>VLOOKUP(B154,latlong!A:F,4,TRUE)</f>
        <v>14.6937</v>
      </c>
      <c r="H154">
        <f>VLOOKUP(B154,latlong!A:F,5,TRUE)</f>
        <v>-17.44406</v>
      </c>
      <c r="I154">
        <f t="shared" si="4"/>
        <v>4</v>
      </c>
    </row>
    <row r="155" spans="1:9" x14ac:dyDescent="0.25">
      <c r="A155" t="e">
        <f>VLOOKUP(B155,'Country or Territory'!A:G,2,FALSE)</f>
        <v>#N/A</v>
      </c>
      <c r="B155" t="s">
        <v>1102</v>
      </c>
      <c r="C155" t="e">
        <f>IF(VLOOKUP(B155,'Country or Territory'!A:G,4,FALSE)="Y",$C$1 &amp; " has visited","")</f>
        <v>#N/A</v>
      </c>
      <c r="D155" t="e">
        <f>IF(VLOOKUP(B155,'Country or Territory'!A:G,5,FALSE)="Y",$D$1 &amp; " has visited","")</f>
        <v>#N/A</v>
      </c>
      <c r="E155" t="e">
        <f>IF(VLOOKUP(B155,'Country or Territory'!A:G,6,FALSE)="Y",$E$1 &amp; " has visited","")</f>
        <v>#N/A</v>
      </c>
      <c r="F155" t="e">
        <f>IF(VLOOKUP(B155,'Country or Territory'!A:G,7,FALSE)="Y",$F$1 &amp; " has visited","")</f>
        <v>#N/A</v>
      </c>
      <c r="G155">
        <f>VLOOKUP(B155,latlong!A:F,4,TRUE)</f>
        <v>44.804009999999998</v>
      </c>
      <c r="H155">
        <f>VLOOKUP(B155,latlong!A:F,5,TRUE)</f>
        <v>20.465129999999998</v>
      </c>
      <c r="I155">
        <f t="shared" si="4"/>
        <v>4</v>
      </c>
    </row>
    <row r="156" spans="1:9" x14ac:dyDescent="0.25">
      <c r="A156" t="e">
        <f>VLOOKUP(B156,'Country or Territory'!A:G,2,FALSE)</f>
        <v>#N/A</v>
      </c>
      <c r="B156" t="s">
        <v>1104</v>
      </c>
      <c r="C156" t="e">
        <f>IF(VLOOKUP(B156,'Country or Territory'!A:G,4,FALSE)="Y",$C$1 &amp; " has visited","")</f>
        <v>#N/A</v>
      </c>
      <c r="D156" t="e">
        <f>IF(VLOOKUP(B156,'Country or Territory'!A:G,5,FALSE)="Y",$D$1 &amp; " has visited","")</f>
        <v>#N/A</v>
      </c>
      <c r="E156" t="e">
        <f>IF(VLOOKUP(B156,'Country or Territory'!A:G,6,FALSE)="Y",$E$1 &amp; " has visited","")</f>
        <v>#N/A</v>
      </c>
      <c r="F156" t="e">
        <f>IF(VLOOKUP(B156,'Country or Territory'!A:G,7,FALSE)="Y",$F$1 &amp; " has visited","")</f>
        <v>#N/A</v>
      </c>
      <c r="G156">
        <f>VLOOKUP(B156,latlong!A:F,4,TRUE)</f>
        <v>-4.6166700000000001</v>
      </c>
      <c r="H156">
        <f>VLOOKUP(B156,latlong!A:F,5,TRUE)</f>
        <v>55.45</v>
      </c>
      <c r="I156">
        <f t="shared" si="4"/>
        <v>4</v>
      </c>
    </row>
    <row r="157" spans="1:9" x14ac:dyDescent="0.25">
      <c r="A157" t="e">
        <f>VLOOKUP(B157,'Country or Territory'!A:G,2,FALSE)</f>
        <v>#N/A</v>
      </c>
      <c r="B157" t="s">
        <v>1106</v>
      </c>
      <c r="C157" t="e">
        <f>IF(VLOOKUP(B157,'Country or Territory'!A:G,4,FALSE)="Y",$C$1 &amp; " has visited","")</f>
        <v>#N/A</v>
      </c>
      <c r="D157" t="e">
        <f>IF(VLOOKUP(B157,'Country or Territory'!A:G,5,FALSE)="Y",$D$1 &amp; " has visited","")</f>
        <v>#N/A</v>
      </c>
      <c r="E157" t="e">
        <f>IF(VLOOKUP(B157,'Country or Territory'!A:G,6,FALSE)="Y",$E$1 &amp; " has visited","")</f>
        <v>#N/A</v>
      </c>
      <c r="F157" t="e">
        <f>IF(VLOOKUP(B157,'Country or Territory'!A:G,7,FALSE)="Y",$F$1 &amp; " has visited","")</f>
        <v>#N/A</v>
      </c>
      <c r="G157">
        <f>VLOOKUP(B157,latlong!A:F,4,TRUE)</f>
        <v>8.484</v>
      </c>
      <c r="H157">
        <f>VLOOKUP(B157,latlong!A:F,5,TRUE)</f>
        <v>-13.229939999999999</v>
      </c>
      <c r="I157">
        <f t="shared" si="4"/>
        <v>4</v>
      </c>
    </row>
    <row r="158" spans="1:9" x14ac:dyDescent="0.25">
      <c r="A158" t="e">
        <f>VLOOKUP(B158,'Country or Territory'!A:G,2,FALSE)</f>
        <v>#N/A</v>
      </c>
      <c r="B158" t="s">
        <v>1108</v>
      </c>
      <c r="C158" t="e">
        <f>IF(VLOOKUP(B158,'Country or Territory'!A:G,4,FALSE)="Y",$C$1 &amp; " has visited","")</f>
        <v>#N/A</v>
      </c>
      <c r="D158" t="e">
        <f>IF(VLOOKUP(B158,'Country or Territory'!A:G,5,FALSE)="Y",$D$1 &amp; " has visited","")</f>
        <v>#N/A</v>
      </c>
      <c r="E158" t="e">
        <f>IF(VLOOKUP(B158,'Country or Territory'!A:G,6,FALSE)="Y",$E$1 &amp; " has visited","")</f>
        <v>#N/A</v>
      </c>
      <c r="F158" t="e">
        <f>IF(VLOOKUP(B158,'Country or Territory'!A:G,7,FALSE)="Y",$F$1 &amp; " has visited","")</f>
        <v>#N/A</v>
      </c>
      <c r="G158">
        <f>VLOOKUP(B158,latlong!A:F,4,TRUE)</f>
        <v>1.2896700000000001</v>
      </c>
      <c r="H158">
        <f>VLOOKUP(B158,latlong!A:F,5,TRUE)</f>
        <v>103.85007</v>
      </c>
      <c r="I158">
        <f t="shared" si="4"/>
        <v>4</v>
      </c>
    </row>
    <row r="159" spans="1:9" x14ac:dyDescent="0.25">
      <c r="A159" t="e">
        <f>VLOOKUP(B159,'Country or Territory'!A:G,2,FALSE)</f>
        <v>#N/A</v>
      </c>
      <c r="B159" t="s">
        <v>1111</v>
      </c>
      <c r="C159" t="e">
        <f>IF(VLOOKUP(B159,'Country or Territory'!A:G,4,FALSE)="Y",$C$1 &amp; " has visited","")</f>
        <v>#N/A</v>
      </c>
      <c r="D159" t="e">
        <f>IF(VLOOKUP(B159,'Country or Territory'!A:G,5,FALSE)="Y",$D$1 &amp; " has visited","")</f>
        <v>#N/A</v>
      </c>
      <c r="E159" t="e">
        <f>IF(VLOOKUP(B159,'Country or Territory'!A:G,6,FALSE)="Y",$E$1 &amp; " has visited","")</f>
        <v>#N/A</v>
      </c>
      <c r="F159" t="e">
        <f>IF(VLOOKUP(B159,'Country or Territory'!A:G,7,FALSE)="Y",$F$1 &amp; " has visited","")</f>
        <v>#N/A</v>
      </c>
      <c r="G159">
        <f>VLOOKUP(B159,latlong!A:F,4,TRUE)</f>
        <v>48.148159999999997</v>
      </c>
      <c r="H159">
        <f>VLOOKUP(B159,latlong!A:F,5,TRUE)</f>
        <v>17.106739999999999</v>
      </c>
      <c r="I159">
        <f t="shared" si="4"/>
        <v>4</v>
      </c>
    </row>
    <row r="160" spans="1:9" x14ac:dyDescent="0.25">
      <c r="A160" t="e">
        <f>VLOOKUP(B160,'Country or Territory'!A:G,2,FALSE)</f>
        <v>#N/A</v>
      </c>
      <c r="B160" t="s">
        <v>1113</v>
      </c>
      <c r="C160" t="e">
        <f>IF(VLOOKUP(B160,'Country or Territory'!A:G,4,FALSE)="Y",$C$1 &amp; " has visited","")</f>
        <v>#N/A</v>
      </c>
      <c r="D160" t="e">
        <f>IF(VLOOKUP(B160,'Country or Territory'!A:G,5,FALSE)="Y",$D$1 &amp; " has visited","")</f>
        <v>#N/A</v>
      </c>
      <c r="E160" t="e">
        <f>IF(VLOOKUP(B160,'Country or Territory'!A:G,6,FALSE)="Y",$E$1 &amp; " has visited","")</f>
        <v>#N/A</v>
      </c>
      <c r="F160" t="e">
        <f>IF(VLOOKUP(B160,'Country or Territory'!A:G,7,FALSE)="Y",$F$1 &amp; " has visited","")</f>
        <v>#N/A</v>
      </c>
      <c r="G160">
        <f>VLOOKUP(B160,latlong!A:F,4,TRUE)</f>
        <v>46.051079999999999</v>
      </c>
      <c r="H160">
        <f>VLOOKUP(B160,latlong!A:F,5,TRUE)</f>
        <v>14.505129999999999</v>
      </c>
      <c r="I160">
        <f t="shared" si="4"/>
        <v>4</v>
      </c>
    </row>
    <row r="161" spans="1:9" x14ac:dyDescent="0.25">
      <c r="A161" t="e">
        <f>VLOOKUP(B161,'Country or Territory'!A:G,2,FALSE)</f>
        <v>#N/A</v>
      </c>
      <c r="B161" t="s">
        <v>1115</v>
      </c>
      <c r="C161" t="e">
        <f>IF(VLOOKUP(B161,'Country or Territory'!A:G,4,FALSE)="Y",$C$1 &amp; " has visited","")</f>
        <v>#N/A</v>
      </c>
      <c r="D161" t="e">
        <f>IF(VLOOKUP(B161,'Country or Territory'!A:G,5,FALSE)="Y",$D$1 &amp; " has visited","")</f>
        <v>#N/A</v>
      </c>
      <c r="E161" t="e">
        <f>IF(VLOOKUP(B161,'Country or Territory'!A:G,6,FALSE)="Y",$E$1 &amp; " has visited","")</f>
        <v>#N/A</v>
      </c>
      <c r="F161" t="e">
        <f>IF(VLOOKUP(B161,'Country or Territory'!A:G,7,FALSE)="Y",$F$1 &amp; " has visited","")</f>
        <v>#N/A</v>
      </c>
      <c r="G161">
        <f>VLOOKUP(B161,latlong!A:F,4,TRUE)</f>
        <v>-9.4333299999999998</v>
      </c>
      <c r="H161">
        <f>VLOOKUP(B161,latlong!A:F,5,TRUE)</f>
        <v>159.94999999999999</v>
      </c>
      <c r="I161">
        <f t="shared" si="4"/>
        <v>4</v>
      </c>
    </row>
    <row r="162" spans="1:9" x14ac:dyDescent="0.25">
      <c r="A162" t="e">
        <f>VLOOKUP(B162,'Country or Territory'!A:G,2,FALSE)</f>
        <v>#N/A</v>
      </c>
      <c r="B162" t="s">
        <v>1117</v>
      </c>
      <c r="C162" t="e">
        <f>IF(VLOOKUP(B162,'Country or Territory'!A:G,4,FALSE)="Y",$C$1 &amp; " has visited","")</f>
        <v>#N/A</v>
      </c>
      <c r="D162" t="e">
        <f>IF(VLOOKUP(B162,'Country or Territory'!A:G,5,FALSE)="Y",$D$1 &amp; " has visited","")</f>
        <v>#N/A</v>
      </c>
      <c r="E162" t="e">
        <f>IF(VLOOKUP(B162,'Country or Territory'!A:G,6,FALSE)="Y",$E$1 &amp; " has visited","")</f>
        <v>#N/A</v>
      </c>
      <c r="F162" t="e">
        <f>IF(VLOOKUP(B162,'Country or Territory'!A:G,7,FALSE)="Y",$F$1 &amp; " has visited","")</f>
        <v>#N/A</v>
      </c>
      <c r="G162">
        <f>VLOOKUP(B162,latlong!A:F,4,TRUE)</f>
        <v>2.0371100000000002</v>
      </c>
      <c r="H162">
        <f>VLOOKUP(B162,latlong!A:F,5,TRUE)</f>
        <v>45.34375</v>
      </c>
      <c r="I162">
        <f t="shared" ref="I162:I197" si="5">4-COUNTBLANK(C162:F162)</f>
        <v>4</v>
      </c>
    </row>
    <row r="163" spans="1:9" x14ac:dyDescent="0.25">
      <c r="A163" t="e">
        <f>VLOOKUP(B163,'Country or Territory'!A:G,2,FALSE)</f>
        <v>#N/A</v>
      </c>
      <c r="B163" t="s">
        <v>1119</v>
      </c>
      <c r="C163" t="e">
        <f>IF(VLOOKUP(B163,'Country or Territory'!A:G,4,FALSE)="Y",$C$1 &amp; " has visited","")</f>
        <v>#N/A</v>
      </c>
      <c r="D163" t="e">
        <f>IF(VLOOKUP(B163,'Country or Territory'!A:G,5,FALSE)="Y",$D$1 &amp; " has visited","")</f>
        <v>#N/A</v>
      </c>
      <c r="E163" t="e">
        <f>IF(VLOOKUP(B163,'Country or Territory'!A:G,6,FALSE)="Y",$E$1 &amp; " has visited","")</f>
        <v>#N/A</v>
      </c>
      <c r="F163" t="e">
        <f>IF(VLOOKUP(B163,'Country or Territory'!A:G,7,FALSE)="Y",$F$1 &amp; " has visited","")</f>
        <v>#N/A</v>
      </c>
      <c r="G163">
        <f>VLOOKUP(B163,latlong!A:F,4,TRUE)</f>
        <v>-33.925840000000001</v>
      </c>
      <c r="H163">
        <f>VLOOKUP(B163,latlong!A:F,5,TRUE)</f>
        <v>18.423220000000001</v>
      </c>
      <c r="I163">
        <f t="shared" si="5"/>
        <v>4</v>
      </c>
    </row>
    <row r="164" spans="1:9" x14ac:dyDescent="0.25">
      <c r="A164" t="e">
        <f>VLOOKUP(B164,'Country or Territory'!A:G,2,FALSE)</f>
        <v>#N/A</v>
      </c>
      <c r="B164" t="s">
        <v>1122</v>
      </c>
      <c r="C164" t="e">
        <f>IF(VLOOKUP(B164,'Country or Territory'!A:G,4,FALSE)="Y",$C$1 &amp; " has visited","")</f>
        <v>#N/A</v>
      </c>
      <c r="D164" t="e">
        <f>IF(VLOOKUP(B164,'Country or Territory'!A:G,5,FALSE)="Y",$D$1 &amp; " has visited","")</f>
        <v>#N/A</v>
      </c>
      <c r="E164" t="e">
        <f>IF(VLOOKUP(B164,'Country or Territory'!A:G,6,FALSE)="Y",$E$1 &amp; " has visited","")</f>
        <v>#N/A</v>
      </c>
      <c r="F164" t="e">
        <f>IF(VLOOKUP(B164,'Country or Territory'!A:G,7,FALSE)="Y",$F$1 &amp; " has visited","")</f>
        <v>#N/A</v>
      </c>
      <c r="G164">
        <f>VLOOKUP(B164,latlong!A:F,4,TRUE)</f>
        <v>4.8516500000000002</v>
      </c>
      <c r="H164">
        <f>VLOOKUP(B164,latlong!A:F,5,TRUE)</f>
        <v>31.582470000000001</v>
      </c>
      <c r="I164">
        <f t="shared" si="5"/>
        <v>4</v>
      </c>
    </row>
    <row r="165" spans="1:9" x14ac:dyDescent="0.25">
      <c r="A165" t="e">
        <f>VLOOKUP(B165,'Country or Territory'!A:G,2,FALSE)</f>
        <v>#N/A</v>
      </c>
      <c r="B165" t="s">
        <v>1124</v>
      </c>
      <c r="C165" t="e">
        <f>IF(VLOOKUP(B165,'Country or Territory'!A:G,4,FALSE)="Y",$C$1 &amp; " has visited","")</f>
        <v>#N/A</v>
      </c>
      <c r="D165" t="e">
        <f>IF(VLOOKUP(B165,'Country or Territory'!A:G,5,FALSE)="Y",$D$1 &amp; " has visited","")</f>
        <v>#N/A</v>
      </c>
      <c r="E165" t="e">
        <f>IF(VLOOKUP(B165,'Country or Territory'!A:G,6,FALSE)="Y",$E$1 &amp; " has visited","")</f>
        <v>#N/A</v>
      </c>
      <c r="F165" t="e">
        <f>IF(VLOOKUP(B165,'Country or Territory'!A:G,7,FALSE)="Y",$F$1 &amp; " has visited","")</f>
        <v>#N/A</v>
      </c>
      <c r="G165">
        <f>VLOOKUP(B165,latlong!A:F,4,TRUE)</f>
        <v>40.416499999999999</v>
      </c>
      <c r="H165">
        <f>VLOOKUP(B165,latlong!A:F,5,TRUE)</f>
        <v>-3.7025600000000001</v>
      </c>
      <c r="I165">
        <f t="shared" si="5"/>
        <v>4</v>
      </c>
    </row>
    <row r="166" spans="1:9" x14ac:dyDescent="0.25">
      <c r="A166" t="e">
        <f>VLOOKUP(B166,'Country or Territory'!A:G,2,FALSE)</f>
        <v>#N/A</v>
      </c>
      <c r="B166" t="s">
        <v>1126</v>
      </c>
      <c r="C166" t="e">
        <f>IF(VLOOKUP(B166,'Country or Territory'!A:G,4,FALSE)="Y",$C$1 &amp; " has visited","")</f>
        <v>#N/A</v>
      </c>
      <c r="D166" t="e">
        <f>IF(VLOOKUP(B166,'Country or Territory'!A:G,5,FALSE)="Y",$D$1 &amp; " has visited","")</f>
        <v>#N/A</v>
      </c>
      <c r="E166" t="e">
        <f>IF(VLOOKUP(B166,'Country or Territory'!A:G,6,FALSE)="Y",$E$1 &amp; " has visited","")</f>
        <v>#N/A</v>
      </c>
      <c r="F166" t="e">
        <f>IF(VLOOKUP(B166,'Country or Territory'!A:G,7,FALSE)="Y",$F$1 &amp; " has visited","")</f>
        <v>#N/A</v>
      </c>
      <c r="G166">
        <f>VLOOKUP(B166,latlong!A:F,4,TRUE)</f>
        <v>6.93194</v>
      </c>
      <c r="H166">
        <f>VLOOKUP(B166,latlong!A:F,5,TRUE)</f>
        <v>79.84778</v>
      </c>
      <c r="I166">
        <f t="shared" si="5"/>
        <v>4</v>
      </c>
    </row>
    <row r="167" spans="1:9" x14ac:dyDescent="0.25">
      <c r="A167" t="e">
        <f>VLOOKUP(B167,'Country or Territory'!A:G,2,FALSE)</f>
        <v>#N/A</v>
      </c>
      <c r="B167" t="s">
        <v>1128</v>
      </c>
      <c r="C167" t="e">
        <f>IF(VLOOKUP(B167,'Country or Territory'!A:G,4,FALSE)="Y",$C$1 &amp; " has visited","")</f>
        <v>#N/A</v>
      </c>
      <c r="D167" t="e">
        <f>IF(VLOOKUP(B167,'Country or Territory'!A:G,5,FALSE)="Y",$D$1 &amp; " has visited","")</f>
        <v>#N/A</v>
      </c>
      <c r="E167" t="e">
        <f>IF(VLOOKUP(B167,'Country or Territory'!A:G,6,FALSE)="Y",$E$1 &amp; " has visited","")</f>
        <v>#N/A</v>
      </c>
      <c r="F167" t="e">
        <f>IF(VLOOKUP(B167,'Country or Territory'!A:G,7,FALSE)="Y",$F$1 &amp; " has visited","")</f>
        <v>#N/A</v>
      </c>
      <c r="G167">
        <f>VLOOKUP(B167,latlong!A:F,4,TRUE)</f>
        <v>15.551769999999999</v>
      </c>
      <c r="H167">
        <f>VLOOKUP(B167,latlong!A:F,5,TRUE)</f>
        <v>32.532409999999999</v>
      </c>
      <c r="I167">
        <f t="shared" si="5"/>
        <v>4</v>
      </c>
    </row>
    <row r="168" spans="1:9" x14ac:dyDescent="0.25">
      <c r="A168" t="e">
        <f>VLOOKUP(B168,'Country or Territory'!A:G,2,FALSE)</f>
        <v>#N/A</v>
      </c>
      <c r="B168" t="s">
        <v>1130</v>
      </c>
      <c r="C168" t="e">
        <f>IF(VLOOKUP(B168,'Country or Territory'!A:G,4,FALSE)="Y",$C$1 &amp; " has visited","")</f>
        <v>#N/A</v>
      </c>
      <c r="D168" t="e">
        <f>IF(VLOOKUP(B168,'Country or Territory'!A:G,5,FALSE)="Y",$D$1 &amp; " has visited","")</f>
        <v>#N/A</v>
      </c>
      <c r="E168" t="e">
        <f>IF(VLOOKUP(B168,'Country or Territory'!A:G,6,FALSE)="Y",$E$1 &amp; " has visited","")</f>
        <v>#N/A</v>
      </c>
      <c r="F168" t="e">
        <f>IF(VLOOKUP(B168,'Country or Territory'!A:G,7,FALSE)="Y",$F$1 &amp; " has visited","")</f>
        <v>#N/A</v>
      </c>
      <c r="G168">
        <f>VLOOKUP(B168,latlong!A:F,4,TRUE)</f>
        <v>5.8663800000000004</v>
      </c>
      <c r="H168">
        <f>VLOOKUP(B168,latlong!A:F,5,TRUE)</f>
        <v>-55.166820000000001</v>
      </c>
      <c r="I168">
        <f t="shared" si="5"/>
        <v>4</v>
      </c>
    </row>
    <row r="169" spans="1:9" x14ac:dyDescent="0.25">
      <c r="A169" t="e">
        <f>VLOOKUP(B169,'Country or Territory'!A:G,2,FALSE)</f>
        <v>#N/A</v>
      </c>
      <c r="B169" t="s">
        <v>1132</v>
      </c>
      <c r="C169" t="e">
        <f>IF(VLOOKUP(B169,'Country or Territory'!A:G,4,FALSE)="Y",$C$1 &amp; " has visited","")</f>
        <v>#N/A</v>
      </c>
      <c r="D169" t="e">
        <f>IF(VLOOKUP(B169,'Country or Territory'!A:G,5,FALSE)="Y",$D$1 &amp; " has visited","")</f>
        <v>#N/A</v>
      </c>
      <c r="E169" t="e">
        <f>IF(VLOOKUP(B169,'Country or Territory'!A:G,6,FALSE)="Y",$E$1 &amp; " has visited","")</f>
        <v>#N/A</v>
      </c>
      <c r="F169" t="e">
        <f>IF(VLOOKUP(B169,'Country or Territory'!A:G,7,FALSE)="Y",$F$1 &amp; " has visited","")</f>
        <v>#N/A</v>
      </c>
      <c r="G169">
        <f>VLOOKUP(B169,latlong!A:F,4,TRUE)</f>
        <v>-26.498840000000001</v>
      </c>
      <c r="H169">
        <f>VLOOKUP(B169,latlong!A:F,5,TRUE)</f>
        <v>31.380040000000001</v>
      </c>
      <c r="I169">
        <f t="shared" si="5"/>
        <v>4</v>
      </c>
    </row>
    <row r="170" spans="1:9" x14ac:dyDescent="0.25">
      <c r="A170" t="e">
        <f>VLOOKUP(B170,'Country or Territory'!A:G,2,FALSE)</f>
        <v>#N/A</v>
      </c>
      <c r="B170" t="s">
        <v>1134</v>
      </c>
      <c r="C170" t="e">
        <f>IF(VLOOKUP(B170,'Country or Territory'!A:G,4,FALSE)="Y",$C$1 &amp; " has visited","")</f>
        <v>#N/A</v>
      </c>
      <c r="D170" t="e">
        <f>IF(VLOOKUP(B170,'Country or Territory'!A:G,5,FALSE)="Y",$D$1 &amp; " has visited","")</f>
        <v>#N/A</v>
      </c>
      <c r="E170" t="e">
        <f>IF(VLOOKUP(B170,'Country or Territory'!A:G,6,FALSE)="Y",$E$1 &amp; " has visited","")</f>
        <v>#N/A</v>
      </c>
      <c r="F170" t="e">
        <f>IF(VLOOKUP(B170,'Country or Territory'!A:G,7,FALSE)="Y",$F$1 &amp; " has visited","")</f>
        <v>#N/A</v>
      </c>
      <c r="G170">
        <f>VLOOKUP(B170,latlong!A:F,4,TRUE)</f>
        <v>59.33258</v>
      </c>
      <c r="H170">
        <f>VLOOKUP(B170,latlong!A:F,5,TRUE)</f>
        <v>18.064900000000002</v>
      </c>
      <c r="I170">
        <f t="shared" si="5"/>
        <v>4</v>
      </c>
    </row>
    <row r="171" spans="1:9" x14ac:dyDescent="0.25">
      <c r="A171" t="e">
        <f>VLOOKUP(B171,'Country or Territory'!A:G,2,FALSE)</f>
        <v>#N/A</v>
      </c>
      <c r="B171" t="s">
        <v>1136</v>
      </c>
      <c r="C171" t="e">
        <f>IF(VLOOKUP(B171,'Country or Territory'!A:G,4,FALSE)="Y",$C$1 &amp; " has visited","")</f>
        <v>#N/A</v>
      </c>
      <c r="D171" t="e">
        <f>IF(VLOOKUP(B171,'Country or Territory'!A:G,5,FALSE)="Y",$D$1 &amp; " has visited","")</f>
        <v>#N/A</v>
      </c>
      <c r="E171" t="e">
        <f>IF(VLOOKUP(B171,'Country or Territory'!A:G,6,FALSE)="Y",$E$1 &amp; " has visited","")</f>
        <v>#N/A</v>
      </c>
      <c r="F171" t="e">
        <f>IF(VLOOKUP(B171,'Country or Territory'!A:G,7,FALSE)="Y",$F$1 &amp; " has visited","")</f>
        <v>#N/A</v>
      </c>
      <c r="G171">
        <f>VLOOKUP(B171,latlong!A:F,4,TRUE)</f>
        <v>47.366669999999999</v>
      </c>
      <c r="H171">
        <f>VLOOKUP(B171,latlong!A:F,5,TRUE)</f>
        <v>8.5500000000000007</v>
      </c>
      <c r="I171">
        <f t="shared" si="5"/>
        <v>4</v>
      </c>
    </row>
    <row r="172" spans="1:9" x14ac:dyDescent="0.25">
      <c r="A172" t="e">
        <f>VLOOKUP(B172,'Country or Territory'!A:G,2,FALSE)</f>
        <v>#N/A</v>
      </c>
      <c r="B172" t="s">
        <v>1138</v>
      </c>
      <c r="C172" t="e">
        <f>IF(VLOOKUP(B172,'Country or Territory'!A:G,4,FALSE)="Y",$C$1 &amp; " has visited","")</f>
        <v>#N/A</v>
      </c>
      <c r="D172" t="e">
        <f>IF(VLOOKUP(B172,'Country or Territory'!A:G,5,FALSE)="Y",$D$1 &amp; " has visited","")</f>
        <v>#N/A</v>
      </c>
      <c r="E172" t="e">
        <f>IF(VLOOKUP(B172,'Country or Territory'!A:G,6,FALSE)="Y",$E$1 &amp; " has visited","")</f>
        <v>#N/A</v>
      </c>
      <c r="F172" t="e">
        <f>IF(VLOOKUP(B172,'Country or Territory'!A:G,7,FALSE)="Y",$F$1 &amp; " has visited","")</f>
        <v>#N/A</v>
      </c>
      <c r="G172">
        <f>VLOOKUP(B172,latlong!A:F,4,TRUE)</f>
        <v>36.201239999999999</v>
      </c>
      <c r="H172">
        <f>VLOOKUP(B172,latlong!A:F,5,TRUE)</f>
        <v>37.161169999999998</v>
      </c>
      <c r="I172">
        <f t="shared" si="5"/>
        <v>4</v>
      </c>
    </row>
    <row r="173" spans="1:9" x14ac:dyDescent="0.25">
      <c r="A173" t="e">
        <f>VLOOKUP(B173,'Country or Territory'!A:G,2,FALSE)</f>
        <v>#N/A</v>
      </c>
      <c r="B173" t="s">
        <v>1142</v>
      </c>
      <c r="C173" t="e">
        <f>IF(VLOOKUP(B173,'Country or Territory'!A:G,4,FALSE)="Y",$C$1 &amp; " has visited","")</f>
        <v>#N/A</v>
      </c>
      <c r="D173" t="e">
        <f>IF(VLOOKUP(B173,'Country or Territory'!A:G,5,FALSE)="Y",$D$1 &amp; " has visited","")</f>
        <v>#N/A</v>
      </c>
      <c r="E173" t="e">
        <f>IF(VLOOKUP(B173,'Country or Territory'!A:G,6,FALSE)="Y",$E$1 &amp; " has visited","")</f>
        <v>#N/A</v>
      </c>
      <c r="F173" t="e">
        <f>IF(VLOOKUP(B173,'Country or Territory'!A:G,7,FALSE)="Y",$F$1 &amp; " has visited","")</f>
        <v>#N/A</v>
      </c>
      <c r="G173">
        <f>VLOOKUP(B173,latlong!A:F,4,TRUE)</f>
        <v>38.53575</v>
      </c>
      <c r="H173">
        <f>VLOOKUP(B173,latlong!A:F,5,TRUE)</f>
        <v>68.779049999999998</v>
      </c>
      <c r="I173">
        <f t="shared" si="5"/>
        <v>4</v>
      </c>
    </row>
    <row r="174" spans="1:9" x14ac:dyDescent="0.25">
      <c r="A174" t="e">
        <f>VLOOKUP(B174,'Country or Territory'!A:G,2,FALSE)</f>
        <v>#N/A</v>
      </c>
      <c r="B174" t="s">
        <v>1144</v>
      </c>
      <c r="C174" t="e">
        <f>IF(VLOOKUP(B174,'Country or Territory'!A:G,4,FALSE)="Y",$C$1 &amp; " has visited","")</f>
        <v>#N/A</v>
      </c>
      <c r="D174" t="e">
        <f>IF(VLOOKUP(B174,'Country or Territory'!A:G,5,FALSE)="Y",$D$1 &amp; " has visited","")</f>
        <v>#N/A</v>
      </c>
      <c r="E174" t="e">
        <f>IF(VLOOKUP(B174,'Country or Territory'!A:G,6,FALSE)="Y",$E$1 &amp; " has visited","")</f>
        <v>#N/A</v>
      </c>
      <c r="F174" t="e">
        <f>IF(VLOOKUP(B174,'Country or Territory'!A:G,7,FALSE)="Y",$F$1 &amp; " has visited","")</f>
        <v>#N/A</v>
      </c>
      <c r="G174">
        <f>VLOOKUP(B174,latlong!A:F,4,TRUE)</f>
        <v>-6.8234899999999996</v>
      </c>
      <c r="H174">
        <f>VLOOKUP(B174,latlong!A:F,5,TRUE)</f>
        <v>39.269509999999997</v>
      </c>
      <c r="I174">
        <f t="shared" si="5"/>
        <v>4</v>
      </c>
    </row>
    <row r="175" spans="1:9" x14ac:dyDescent="0.25">
      <c r="A175" t="e">
        <f>VLOOKUP(B175,'Country or Territory'!A:G,2,FALSE)</f>
        <v>#N/A</v>
      </c>
      <c r="B175" t="s">
        <v>1146</v>
      </c>
      <c r="C175" t="e">
        <f>IF(VLOOKUP(B175,'Country or Territory'!A:G,4,FALSE)="Y",$C$1 &amp; " has visited","")</f>
        <v>#N/A</v>
      </c>
      <c r="D175" t="e">
        <f>IF(VLOOKUP(B175,'Country or Territory'!A:G,5,FALSE)="Y",$D$1 &amp; " has visited","")</f>
        <v>#N/A</v>
      </c>
      <c r="E175" t="e">
        <f>IF(VLOOKUP(B175,'Country or Territory'!A:G,6,FALSE)="Y",$E$1 &amp; " has visited","")</f>
        <v>#N/A</v>
      </c>
      <c r="F175" t="e">
        <f>IF(VLOOKUP(B175,'Country or Territory'!A:G,7,FALSE)="Y",$F$1 &amp; " has visited","")</f>
        <v>#N/A</v>
      </c>
      <c r="G175">
        <f>VLOOKUP(B175,latlong!A:F,4,TRUE)</f>
        <v>13.75398</v>
      </c>
      <c r="H175">
        <f>VLOOKUP(B175,latlong!A:F,5,TRUE)</f>
        <v>100.50144</v>
      </c>
      <c r="I175">
        <f t="shared" si="5"/>
        <v>4</v>
      </c>
    </row>
    <row r="176" spans="1:9" x14ac:dyDescent="0.25">
      <c r="A176" t="e">
        <f>VLOOKUP(B176,'Country or Territory'!A:G,2,FALSE)</f>
        <v>#N/A</v>
      </c>
      <c r="B176" t="s">
        <v>1148</v>
      </c>
      <c r="C176" t="e">
        <f>IF(VLOOKUP(B176,'Country or Territory'!A:G,4,FALSE)="Y",$C$1 &amp; " has visited","")</f>
        <v>#N/A</v>
      </c>
      <c r="D176" t="e">
        <f>IF(VLOOKUP(B176,'Country or Territory'!A:G,5,FALSE)="Y",$D$1 &amp; " has visited","")</f>
        <v>#N/A</v>
      </c>
      <c r="E176" t="e">
        <f>IF(VLOOKUP(B176,'Country or Territory'!A:G,6,FALSE)="Y",$E$1 &amp; " has visited","")</f>
        <v>#N/A</v>
      </c>
      <c r="F176" t="e">
        <f>IF(VLOOKUP(B176,'Country or Territory'!A:G,7,FALSE)="Y",$F$1 &amp; " has visited","")</f>
        <v>#N/A</v>
      </c>
      <c r="G176">
        <f>VLOOKUP(B176,latlong!A:F,4,TRUE)</f>
        <v>-8.5586099999999998</v>
      </c>
      <c r="H176">
        <f>VLOOKUP(B176,latlong!A:F,5,TRUE)</f>
        <v>125.57361</v>
      </c>
      <c r="I176">
        <f t="shared" si="5"/>
        <v>4</v>
      </c>
    </row>
    <row r="177" spans="1:9" x14ac:dyDescent="0.25">
      <c r="A177" t="e">
        <f>VLOOKUP(B177,'Country or Territory'!A:G,2,FALSE)</f>
        <v>#N/A</v>
      </c>
      <c r="B177" t="s">
        <v>1150</v>
      </c>
      <c r="C177" t="e">
        <f>IF(VLOOKUP(B177,'Country or Territory'!A:G,4,FALSE)="Y",$C$1 &amp; " has visited","")</f>
        <v>#N/A</v>
      </c>
      <c r="D177" t="e">
        <f>IF(VLOOKUP(B177,'Country or Territory'!A:G,5,FALSE)="Y",$D$1 &amp; " has visited","")</f>
        <v>#N/A</v>
      </c>
      <c r="E177" t="e">
        <f>IF(VLOOKUP(B177,'Country or Territory'!A:G,6,FALSE)="Y",$E$1 &amp; " has visited","")</f>
        <v>#N/A</v>
      </c>
      <c r="F177" t="e">
        <f>IF(VLOOKUP(B177,'Country or Territory'!A:G,7,FALSE)="Y",$F$1 &amp; " has visited","")</f>
        <v>#N/A</v>
      </c>
      <c r="G177">
        <f>VLOOKUP(B177,latlong!A:F,4,TRUE)</f>
        <v>6.13748</v>
      </c>
      <c r="H177">
        <f>VLOOKUP(B177,latlong!A:F,5,TRUE)</f>
        <v>1.21227</v>
      </c>
      <c r="I177">
        <f t="shared" si="5"/>
        <v>4</v>
      </c>
    </row>
    <row r="178" spans="1:9" x14ac:dyDescent="0.25">
      <c r="A178" t="e">
        <f>VLOOKUP(B178,'Country or Territory'!A:G,2,FALSE)</f>
        <v>#N/A</v>
      </c>
      <c r="B178" t="s">
        <v>1152</v>
      </c>
      <c r="C178" t="e">
        <f>IF(VLOOKUP(B178,'Country or Territory'!A:G,4,FALSE)="Y",$C$1 &amp; " has visited","")</f>
        <v>#N/A</v>
      </c>
      <c r="D178" t="e">
        <f>IF(VLOOKUP(B178,'Country or Territory'!A:G,5,FALSE)="Y",$D$1 &amp; " has visited","")</f>
        <v>#N/A</v>
      </c>
      <c r="E178" t="e">
        <f>IF(VLOOKUP(B178,'Country or Territory'!A:G,6,FALSE)="Y",$E$1 &amp; " has visited","")</f>
        <v>#N/A</v>
      </c>
      <c r="F178" t="e">
        <f>IF(VLOOKUP(B178,'Country or Territory'!A:G,7,FALSE)="Y",$F$1 &amp; " has visited","")</f>
        <v>#N/A</v>
      </c>
      <c r="G178">
        <f>VLOOKUP(B178,latlong!A:F,4,TRUE)</f>
        <v>-21.139379999999999</v>
      </c>
      <c r="H178">
        <f>VLOOKUP(B178,latlong!A:F,5,TRUE)</f>
        <v>-175.20179999999999</v>
      </c>
      <c r="I178">
        <f t="shared" si="5"/>
        <v>4</v>
      </c>
    </row>
    <row r="179" spans="1:9" x14ac:dyDescent="0.25">
      <c r="A179" t="e">
        <f>VLOOKUP(B179,'Country or Territory'!A:G,2,FALSE)</f>
        <v>#N/A</v>
      </c>
      <c r="B179" t="s">
        <v>1154</v>
      </c>
      <c r="C179" t="e">
        <f>IF(VLOOKUP(B179,'Country or Territory'!A:G,4,FALSE)="Y",$C$1 &amp; " has visited","")</f>
        <v>#N/A</v>
      </c>
      <c r="D179" t="e">
        <f>IF(VLOOKUP(B179,'Country or Territory'!A:G,5,FALSE)="Y",$D$1 &amp; " has visited","")</f>
        <v>#N/A</v>
      </c>
      <c r="E179" t="e">
        <f>IF(VLOOKUP(B179,'Country or Territory'!A:G,6,FALSE)="Y",$E$1 &amp; " has visited","")</f>
        <v>#N/A</v>
      </c>
      <c r="F179" t="e">
        <f>IF(VLOOKUP(B179,'Country or Territory'!A:G,7,FALSE)="Y",$F$1 &amp; " has visited","")</f>
        <v>#N/A</v>
      </c>
      <c r="G179">
        <f>VLOOKUP(B179,latlong!A:F,4,TRUE)</f>
        <v>10.64917</v>
      </c>
      <c r="H179">
        <f>VLOOKUP(B179,latlong!A:F,5,TRUE)</f>
        <v>-61.498890000000003</v>
      </c>
      <c r="I179">
        <f t="shared" si="5"/>
        <v>4</v>
      </c>
    </row>
    <row r="180" spans="1:9" x14ac:dyDescent="0.25">
      <c r="A180" t="e">
        <f>VLOOKUP(B180,'Country or Territory'!A:G,2,FALSE)</f>
        <v>#N/A</v>
      </c>
      <c r="B180" t="s">
        <v>1156</v>
      </c>
      <c r="C180" t="e">
        <f>IF(VLOOKUP(B180,'Country or Territory'!A:G,4,FALSE)="Y",$C$1 &amp; " has visited","")</f>
        <v>#N/A</v>
      </c>
      <c r="D180" t="e">
        <f>IF(VLOOKUP(B180,'Country or Territory'!A:G,5,FALSE)="Y",$D$1 &amp; " has visited","")</f>
        <v>#N/A</v>
      </c>
      <c r="E180" t="e">
        <f>IF(VLOOKUP(B180,'Country or Territory'!A:G,6,FALSE)="Y",$E$1 &amp; " has visited","")</f>
        <v>#N/A</v>
      </c>
      <c r="F180" t="e">
        <f>IF(VLOOKUP(B180,'Country or Territory'!A:G,7,FALSE)="Y",$F$1 &amp; " has visited","")</f>
        <v>#N/A</v>
      </c>
      <c r="G180">
        <f>VLOOKUP(B180,latlong!A:F,4,TRUE)</f>
        <v>36.81897</v>
      </c>
      <c r="H180">
        <f>VLOOKUP(B180,latlong!A:F,5,TRUE)</f>
        <v>10.165789999999999</v>
      </c>
      <c r="I180">
        <f t="shared" si="5"/>
        <v>4</v>
      </c>
    </row>
    <row r="181" spans="1:9" x14ac:dyDescent="0.25">
      <c r="A181" t="e">
        <f>VLOOKUP(B181,'Country or Territory'!A:G,2,FALSE)</f>
        <v>#N/A</v>
      </c>
      <c r="B181" t="s">
        <v>1158</v>
      </c>
      <c r="C181" t="e">
        <f>IF(VLOOKUP(B181,'Country or Territory'!A:G,4,FALSE)="Y",$C$1 &amp; " has visited","")</f>
        <v>#N/A</v>
      </c>
      <c r="D181" t="e">
        <f>IF(VLOOKUP(B181,'Country or Territory'!A:G,5,FALSE)="Y",$D$1 &amp; " has visited","")</f>
        <v>#N/A</v>
      </c>
      <c r="E181" t="e">
        <f>IF(VLOOKUP(B181,'Country or Territory'!A:G,6,FALSE)="Y",$E$1 &amp; " has visited","")</f>
        <v>#N/A</v>
      </c>
      <c r="F181" t="e">
        <f>IF(VLOOKUP(B181,'Country or Territory'!A:G,7,FALSE)="Y",$F$1 &amp; " has visited","")</f>
        <v>#N/A</v>
      </c>
      <c r="G181">
        <f>VLOOKUP(B181,latlong!A:F,4,TRUE)</f>
        <v>41.013840000000002</v>
      </c>
      <c r="H181">
        <f>VLOOKUP(B181,latlong!A:F,5,TRUE)</f>
        <v>28.949660000000002</v>
      </c>
      <c r="I181">
        <f t="shared" si="5"/>
        <v>4</v>
      </c>
    </row>
    <row r="182" spans="1:9" x14ac:dyDescent="0.25">
      <c r="A182" t="e">
        <f>VLOOKUP(B182,'Country or Territory'!A:G,2,FALSE)</f>
        <v>#N/A</v>
      </c>
      <c r="B182" t="s">
        <v>1160</v>
      </c>
      <c r="C182" t="e">
        <f>IF(VLOOKUP(B182,'Country or Territory'!A:G,4,FALSE)="Y",$C$1 &amp; " has visited","")</f>
        <v>#N/A</v>
      </c>
      <c r="D182" t="e">
        <f>IF(VLOOKUP(B182,'Country or Territory'!A:G,5,FALSE)="Y",$D$1 &amp; " has visited","")</f>
        <v>#N/A</v>
      </c>
      <c r="E182" t="e">
        <f>IF(VLOOKUP(B182,'Country or Territory'!A:G,6,FALSE)="Y",$E$1 &amp; " has visited","")</f>
        <v>#N/A</v>
      </c>
      <c r="F182" t="e">
        <f>IF(VLOOKUP(B182,'Country or Territory'!A:G,7,FALSE)="Y",$F$1 &amp; " has visited","")</f>
        <v>#N/A</v>
      </c>
      <c r="G182">
        <f>VLOOKUP(B182,latlong!A:F,4,TRUE)</f>
        <v>37.950000000000003</v>
      </c>
      <c r="H182">
        <f>VLOOKUP(B182,latlong!A:F,5,TRUE)</f>
        <v>58.383330000000001</v>
      </c>
      <c r="I182">
        <f t="shared" si="5"/>
        <v>4</v>
      </c>
    </row>
    <row r="183" spans="1:9" x14ac:dyDescent="0.25">
      <c r="A183" t="e">
        <f>VLOOKUP(B183,'Country or Territory'!A:G,2,FALSE)</f>
        <v>#N/A</v>
      </c>
      <c r="B183" t="s">
        <v>1163</v>
      </c>
      <c r="C183" t="e">
        <f>IF(VLOOKUP(B183,'Country or Territory'!A:G,4,FALSE)="Y",$C$1 &amp; " has visited","")</f>
        <v>#N/A</v>
      </c>
      <c r="D183" t="e">
        <f>IF(VLOOKUP(B183,'Country or Territory'!A:G,5,FALSE)="Y",$D$1 &amp; " has visited","")</f>
        <v>#N/A</v>
      </c>
      <c r="E183" t="e">
        <f>IF(VLOOKUP(B183,'Country or Territory'!A:G,6,FALSE)="Y",$E$1 &amp; " has visited","")</f>
        <v>#N/A</v>
      </c>
      <c r="F183" t="e">
        <f>IF(VLOOKUP(B183,'Country or Territory'!A:G,7,FALSE)="Y",$F$1 &amp; " has visited","")</f>
        <v>#N/A</v>
      </c>
      <c r="G183">
        <f>VLOOKUP(B183,latlong!A:F,4,TRUE)</f>
        <v>-8.5242500000000003</v>
      </c>
      <c r="H183">
        <f>VLOOKUP(B183,latlong!A:F,5,TRUE)</f>
        <v>179.19417000000001</v>
      </c>
      <c r="I183">
        <f t="shared" si="5"/>
        <v>4</v>
      </c>
    </row>
    <row r="184" spans="1:9" x14ac:dyDescent="0.25">
      <c r="A184" t="e">
        <f>VLOOKUP(B184,'Country or Territory'!A:G,2,FALSE)</f>
        <v>#N/A</v>
      </c>
      <c r="B184" t="s">
        <v>1165</v>
      </c>
      <c r="C184" t="e">
        <f>IF(VLOOKUP(B184,'Country or Territory'!A:G,4,FALSE)="Y",$C$1 &amp; " has visited","")</f>
        <v>#N/A</v>
      </c>
      <c r="D184" t="e">
        <f>IF(VLOOKUP(B184,'Country or Territory'!A:G,5,FALSE)="Y",$D$1 &amp; " has visited","")</f>
        <v>#N/A</v>
      </c>
      <c r="E184" t="e">
        <f>IF(VLOOKUP(B184,'Country or Territory'!A:G,6,FALSE)="Y",$E$1 &amp; " has visited","")</f>
        <v>#N/A</v>
      </c>
      <c r="F184" t="e">
        <f>IF(VLOOKUP(B184,'Country or Territory'!A:G,7,FALSE)="Y",$F$1 &amp; " has visited","")</f>
        <v>#N/A</v>
      </c>
      <c r="G184">
        <f>VLOOKUP(B184,latlong!A:F,4,TRUE)</f>
        <v>0.31628000000000001</v>
      </c>
      <c r="H184">
        <f>VLOOKUP(B184,latlong!A:F,5,TRUE)</f>
        <v>32.582189999999997</v>
      </c>
      <c r="I184">
        <f t="shared" si="5"/>
        <v>4</v>
      </c>
    </row>
    <row r="185" spans="1:9" x14ac:dyDescent="0.25">
      <c r="A185" t="e">
        <f>VLOOKUP(B185,'Country or Territory'!A:G,2,FALSE)</f>
        <v>#N/A</v>
      </c>
      <c r="B185" t="s">
        <v>1167</v>
      </c>
      <c r="C185" t="e">
        <f>IF(VLOOKUP(B185,'Country or Territory'!A:G,4,FALSE)="Y",$C$1 &amp; " has visited","")</f>
        <v>#N/A</v>
      </c>
      <c r="D185" t="e">
        <f>IF(VLOOKUP(B185,'Country or Territory'!A:G,5,FALSE)="Y",$D$1 &amp; " has visited","")</f>
        <v>#N/A</v>
      </c>
      <c r="E185" t="e">
        <f>IF(VLOOKUP(B185,'Country or Territory'!A:G,6,FALSE)="Y",$E$1 &amp; " has visited","")</f>
        <v>#N/A</v>
      </c>
      <c r="F185" t="e">
        <f>IF(VLOOKUP(B185,'Country or Territory'!A:G,7,FALSE)="Y",$F$1 &amp; " has visited","")</f>
        <v>#N/A</v>
      </c>
      <c r="G185">
        <f>VLOOKUP(B185,latlong!A:F,4,TRUE)</f>
        <v>50.454659999999997</v>
      </c>
      <c r="H185">
        <f>VLOOKUP(B185,latlong!A:F,5,TRUE)</f>
        <v>30.523800000000001</v>
      </c>
      <c r="I185">
        <f t="shared" si="5"/>
        <v>4</v>
      </c>
    </row>
    <row r="186" spans="1:9" x14ac:dyDescent="0.25">
      <c r="A186" t="e">
        <f>VLOOKUP(B186,'Country or Territory'!A:G,2,FALSE)</f>
        <v>#N/A</v>
      </c>
      <c r="B186" t="s">
        <v>1169</v>
      </c>
      <c r="C186" t="e">
        <f>IF(VLOOKUP(B186,'Country or Territory'!A:G,4,FALSE)="Y",$C$1 &amp; " has visited","")</f>
        <v>#N/A</v>
      </c>
      <c r="D186" t="e">
        <f>IF(VLOOKUP(B186,'Country or Territory'!A:G,5,FALSE)="Y",$D$1 &amp; " has visited","")</f>
        <v>#N/A</v>
      </c>
      <c r="E186" t="e">
        <f>IF(VLOOKUP(B186,'Country or Territory'!A:G,6,FALSE)="Y",$E$1 &amp; " has visited","")</f>
        <v>#N/A</v>
      </c>
      <c r="F186" t="e">
        <f>IF(VLOOKUP(B186,'Country or Territory'!A:G,7,FALSE)="Y",$F$1 &amp; " has visited","")</f>
        <v>#N/A</v>
      </c>
      <c r="G186">
        <f>VLOOKUP(B186,latlong!A:F,4,TRUE)</f>
        <v>25.0657</v>
      </c>
      <c r="H186">
        <f>VLOOKUP(B186,latlong!A:F,5,TRUE)</f>
        <v>55.171280000000003</v>
      </c>
      <c r="I186">
        <f t="shared" si="5"/>
        <v>4</v>
      </c>
    </row>
    <row r="187" spans="1:9" x14ac:dyDescent="0.25">
      <c r="A187" t="e">
        <f>VLOOKUP(B187,'Country or Territory'!A:G,2,FALSE)</f>
        <v>#N/A</v>
      </c>
      <c r="B187" t="s">
        <v>1171</v>
      </c>
      <c r="C187" t="e">
        <f>IF(VLOOKUP(B187,'Country or Territory'!A:G,4,FALSE)="Y",$C$1 &amp; " has visited","")</f>
        <v>#N/A</v>
      </c>
      <c r="D187" t="e">
        <f>IF(VLOOKUP(B187,'Country or Territory'!A:G,5,FALSE)="Y",$D$1 &amp; " has visited","")</f>
        <v>#N/A</v>
      </c>
      <c r="E187" t="e">
        <f>IF(VLOOKUP(B187,'Country or Territory'!A:G,6,FALSE)="Y",$E$1 &amp; " has visited","")</f>
        <v>#N/A</v>
      </c>
      <c r="F187" t="e">
        <f>IF(VLOOKUP(B187,'Country or Territory'!A:G,7,FALSE)="Y",$F$1 &amp; " has visited","")</f>
        <v>#N/A</v>
      </c>
      <c r="G187">
        <f>VLOOKUP(B187,latlong!A:F,4,TRUE)</f>
        <v>51.512790000000003</v>
      </c>
      <c r="H187">
        <f>VLOOKUP(B187,latlong!A:F,5,TRUE)</f>
        <v>-9.1840000000000005E-2</v>
      </c>
      <c r="I187">
        <f t="shared" si="5"/>
        <v>4</v>
      </c>
    </row>
    <row r="188" spans="1:9" x14ac:dyDescent="0.25">
      <c r="A188" t="e">
        <f>VLOOKUP(B188,'Country or Territory'!A:G,2,FALSE)</f>
        <v>#N/A</v>
      </c>
      <c r="B188" t="s">
        <v>1173</v>
      </c>
      <c r="C188" t="e">
        <f>IF(VLOOKUP(B188,'Country or Territory'!A:G,4,FALSE)="Y",$C$1 &amp; " has visited","")</f>
        <v>#N/A</v>
      </c>
      <c r="D188" t="e">
        <f>IF(VLOOKUP(B188,'Country or Territory'!A:G,5,FALSE)="Y",$D$1 &amp; " has visited","")</f>
        <v>#N/A</v>
      </c>
      <c r="E188" t="e">
        <f>IF(VLOOKUP(B188,'Country or Territory'!A:G,6,FALSE)="Y",$E$1 &amp; " has visited","")</f>
        <v>#N/A</v>
      </c>
      <c r="F188" t="e">
        <f>IF(VLOOKUP(B188,'Country or Territory'!A:G,7,FALSE)="Y",$F$1 &amp; " has visited","")</f>
        <v>#N/A</v>
      </c>
      <c r="G188">
        <f>VLOOKUP(B188,latlong!A:F,4,TRUE)</f>
        <v>40.714269999999999</v>
      </c>
      <c r="H188">
        <f>VLOOKUP(B188,latlong!A:F,5,TRUE)</f>
        <v>-74.005970000000005</v>
      </c>
      <c r="I188">
        <f t="shared" si="5"/>
        <v>4</v>
      </c>
    </row>
    <row r="189" spans="1:9" x14ac:dyDescent="0.25">
      <c r="A189" t="e">
        <f>VLOOKUP(B189,'Country or Territory'!A:G,2,FALSE)</f>
        <v>#N/A</v>
      </c>
      <c r="B189" t="s">
        <v>1176</v>
      </c>
      <c r="C189" t="e">
        <f>IF(VLOOKUP(B189,'Country or Territory'!A:G,4,FALSE)="Y",$C$1 &amp; " has visited","")</f>
        <v>#N/A</v>
      </c>
      <c r="D189" t="e">
        <f>IF(VLOOKUP(B189,'Country or Territory'!A:G,5,FALSE)="Y",$D$1 &amp; " has visited","")</f>
        <v>#N/A</v>
      </c>
      <c r="E189" t="e">
        <f>IF(VLOOKUP(B189,'Country or Territory'!A:G,6,FALSE)="Y",$E$1 &amp; " has visited","")</f>
        <v>#N/A</v>
      </c>
      <c r="F189" t="e">
        <f>IF(VLOOKUP(B189,'Country or Territory'!A:G,7,FALSE)="Y",$F$1 &amp; " has visited","")</f>
        <v>#N/A</v>
      </c>
      <c r="G189">
        <f>VLOOKUP(B189,latlong!A:F,4,TRUE)</f>
        <v>-34.903280000000002</v>
      </c>
      <c r="H189">
        <f>VLOOKUP(B189,latlong!A:F,5,TRUE)</f>
        <v>-56.188160000000003</v>
      </c>
      <c r="I189">
        <f t="shared" si="5"/>
        <v>4</v>
      </c>
    </row>
    <row r="190" spans="1:9" x14ac:dyDescent="0.25">
      <c r="A190" t="e">
        <f>VLOOKUP(B190,'Country or Territory'!A:G,2,FALSE)</f>
        <v>#N/A</v>
      </c>
      <c r="B190" t="s">
        <v>1178</v>
      </c>
      <c r="C190" t="e">
        <f>IF(VLOOKUP(B190,'Country or Territory'!A:G,4,FALSE)="Y",$C$1 &amp; " has visited","")</f>
        <v>#N/A</v>
      </c>
      <c r="D190" t="e">
        <f>IF(VLOOKUP(B190,'Country or Territory'!A:G,5,FALSE)="Y",$D$1 &amp; " has visited","")</f>
        <v>#N/A</v>
      </c>
      <c r="E190" t="e">
        <f>IF(VLOOKUP(B190,'Country or Territory'!A:G,6,FALSE)="Y",$E$1 &amp; " has visited","")</f>
        <v>#N/A</v>
      </c>
      <c r="F190" t="e">
        <f>IF(VLOOKUP(B190,'Country or Territory'!A:G,7,FALSE)="Y",$F$1 &amp; " has visited","")</f>
        <v>#N/A</v>
      </c>
      <c r="G190">
        <f>VLOOKUP(B190,latlong!A:F,4,TRUE)</f>
        <v>41.264650000000003</v>
      </c>
      <c r="H190">
        <f>VLOOKUP(B190,latlong!A:F,5,TRUE)</f>
        <v>69.216269999999994</v>
      </c>
      <c r="I190">
        <f t="shared" si="5"/>
        <v>4</v>
      </c>
    </row>
    <row r="191" spans="1:9" x14ac:dyDescent="0.25">
      <c r="A191" t="e">
        <f>VLOOKUP(B191,'Country or Territory'!A:G,2,FALSE)</f>
        <v>#N/A</v>
      </c>
      <c r="B191" t="s">
        <v>1180</v>
      </c>
      <c r="C191" t="e">
        <f>IF(VLOOKUP(B191,'Country or Territory'!A:G,4,FALSE)="Y",$C$1 &amp; " has visited","")</f>
        <v>#N/A</v>
      </c>
      <c r="D191" t="e">
        <f>IF(VLOOKUP(B191,'Country or Territory'!A:G,5,FALSE)="Y",$D$1 &amp; " has visited","")</f>
        <v>#N/A</v>
      </c>
      <c r="E191" t="e">
        <f>IF(VLOOKUP(B191,'Country or Territory'!A:G,6,FALSE)="Y",$E$1 &amp; " has visited","")</f>
        <v>#N/A</v>
      </c>
      <c r="F191" t="e">
        <f>IF(VLOOKUP(B191,'Country or Territory'!A:G,7,FALSE)="Y",$F$1 &amp; " has visited","")</f>
        <v>#N/A</v>
      </c>
      <c r="G191">
        <f>VLOOKUP(B191,latlong!A:F,4,TRUE)</f>
        <v>-17.733809999999998</v>
      </c>
      <c r="H191">
        <f>VLOOKUP(B191,latlong!A:F,5,TRUE)</f>
        <v>168.32187999999999</v>
      </c>
      <c r="I191">
        <f t="shared" si="5"/>
        <v>4</v>
      </c>
    </row>
    <row r="192" spans="1:9" x14ac:dyDescent="0.25">
      <c r="A192" t="e">
        <f>VLOOKUP(B192,'Country or Territory'!A:G,2,FALSE)</f>
        <v>#N/A</v>
      </c>
      <c r="B192" t="s">
        <v>1182</v>
      </c>
      <c r="C192" t="e">
        <f>IF(VLOOKUP(B192,'Country or Territory'!A:G,4,FALSE)="Y",$C$1 &amp; " has visited","")</f>
        <v>#N/A</v>
      </c>
      <c r="D192" t="e">
        <f>IF(VLOOKUP(B192,'Country or Territory'!A:G,5,FALSE)="Y",$D$1 &amp; " has visited","")</f>
        <v>#N/A</v>
      </c>
      <c r="E192" t="e">
        <f>IF(VLOOKUP(B192,'Country or Territory'!A:G,6,FALSE)="Y",$E$1 &amp; " has visited","")</f>
        <v>#N/A</v>
      </c>
      <c r="F192" t="e">
        <f>IF(VLOOKUP(B192,'Country or Territory'!A:G,7,FALSE)="Y",$F$1 &amp; " has visited","")</f>
        <v>#N/A</v>
      </c>
      <c r="G192">
        <f>VLOOKUP(B192,latlong!A:F,4,TRUE)</f>
        <v>10.488009999999999</v>
      </c>
      <c r="H192">
        <f>VLOOKUP(B192,latlong!A:F,5,TRUE)</f>
        <v>-66.879189999999994</v>
      </c>
      <c r="I192">
        <f t="shared" si="5"/>
        <v>4</v>
      </c>
    </row>
    <row r="193" spans="1:9" x14ac:dyDescent="0.25">
      <c r="A193" t="e">
        <f>VLOOKUP(B193,'Country or Territory'!A:G,2,FALSE)</f>
        <v>#N/A</v>
      </c>
      <c r="B193" t="s">
        <v>1184</v>
      </c>
      <c r="C193" t="e">
        <f>IF(VLOOKUP(B193,'Country or Territory'!A:G,4,FALSE)="Y",$C$1 &amp; " has visited","")</f>
        <v>#N/A</v>
      </c>
      <c r="D193" t="e">
        <f>IF(VLOOKUP(B193,'Country or Territory'!A:G,5,FALSE)="Y",$D$1 &amp; " has visited","")</f>
        <v>#N/A</v>
      </c>
      <c r="E193" t="e">
        <f>IF(VLOOKUP(B193,'Country or Territory'!A:G,6,FALSE)="Y",$E$1 &amp; " has visited","")</f>
        <v>#N/A</v>
      </c>
      <c r="F193" t="e">
        <f>IF(VLOOKUP(B193,'Country or Territory'!A:G,7,FALSE)="Y",$F$1 &amp; " has visited","")</f>
        <v>#N/A</v>
      </c>
      <c r="G193">
        <f>VLOOKUP(B193,latlong!A:F,4,TRUE)</f>
        <v>10.82302</v>
      </c>
      <c r="H193">
        <f>VLOOKUP(B193,latlong!A:F,5,TRUE)</f>
        <v>106.62965</v>
      </c>
      <c r="I193">
        <f t="shared" si="5"/>
        <v>4</v>
      </c>
    </row>
    <row r="194" spans="1:9" x14ac:dyDescent="0.25">
      <c r="A194" t="e">
        <f>VLOOKUP(B194,'Country or Territory'!A:G,2,FALSE)</f>
        <v>#N/A</v>
      </c>
      <c r="B194" t="s">
        <v>1190</v>
      </c>
      <c r="C194" t="e">
        <f>IF(VLOOKUP(B194,'Country or Territory'!A:G,4,FALSE)="Y",$C$1 &amp; " has visited","")</f>
        <v>#N/A</v>
      </c>
      <c r="D194" t="e">
        <f>IF(VLOOKUP(B194,'Country or Territory'!A:G,5,FALSE)="Y",$D$1 &amp; " has visited","")</f>
        <v>#N/A</v>
      </c>
      <c r="E194" t="e">
        <f>IF(VLOOKUP(B194,'Country or Territory'!A:G,6,FALSE)="Y",$E$1 &amp; " has visited","")</f>
        <v>#N/A</v>
      </c>
      <c r="F194" t="e">
        <f>IF(VLOOKUP(B194,'Country or Territory'!A:G,7,FALSE)="Y",$F$1 &amp; " has visited","")</f>
        <v>#N/A</v>
      </c>
      <c r="G194">
        <f>VLOOKUP(B194,latlong!A:F,4,TRUE)</f>
        <v>15.35472</v>
      </c>
      <c r="H194">
        <f>VLOOKUP(B194,latlong!A:F,5,TRUE)</f>
        <v>44.206670000000003</v>
      </c>
      <c r="I194">
        <f t="shared" si="5"/>
        <v>4</v>
      </c>
    </row>
    <row r="195" spans="1:9" x14ac:dyDescent="0.25">
      <c r="A195" t="e">
        <f>VLOOKUP(B195,'Country or Territory'!A:G,2,FALSE)</f>
        <v>#N/A</v>
      </c>
      <c r="B195" t="s">
        <v>1192</v>
      </c>
      <c r="C195" t="e">
        <f>IF(VLOOKUP(B195,'Country or Territory'!A:G,4,FALSE)="Y",$C$1 &amp; " has visited","")</f>
        <v>#N/A</v>
      </c>
      <c r="D195" t="e">
        <f>IF(VLOOKUP(B195,'Country or Territory'!A:G,5,FALSE)="Y",$D$1 &amp; " has visited","")</f>
        <v>#N/A</v>
      </c>
      <c r="E195" t="e">
        <f>IF(VLOOKUP(B195,'Country or Territory'!A:G,6,FALSE)="Y",$E$1 &amp; " has visited","")</f>
        <v>#N/A</v>
      </c>
      <c r="F195" t="e">
        <f>IF(VLOOKUP(B195,'Country or Territory'!A:G,7,FALSE)="Y",$F$1 &amp; " has visited","")</f>
        <v>#N/A</v>
      </c>
      <c r="G195">
        <f>VLOOKUP(B195,latlong!A:F,4,TRUE)</f>
        <v>-15.406689999999999</v>
      </c>
      <c r="H195">
        <f>VLOOKUP(B195,latlong!A:F,5,TRUE)</f>
        <v>28.287130000000001</v>
      </c>
      <c r="I195">
        <f t="shared" si="5"/>
        <v>4</v>
      </c>
    </row>
    <row r="196" spans="1:9" x14ac:dyDescent="0.25">
      <c r="A196" t="e">
        <f>VLOOKUP(B196,'Country or Territory'!A:G,2,FALSE)</f>
        <v>#N/A</v>
      </c>
      <c r="B196" t="s">
        <v>1194</v>
      </c>
      <c r="C196" t="e">
        <f>IF(VLOOKUP(B196,'Country or Territory'!A:G,4,FALSE)="Y",$C$1 &amp; " has visited","")</f>
        <v>#N/A</v>
      </c>
      <c r="D196" t="e">
        <f>IF(VLOOKUP(B196,'Country or Territory'!A:G,5,FALSE)="Y",$D$1 &amp; " has visited","")</f>
        <v>#N/A</v>
      </c>
      <c r="E196" t="e">
        <f>IF(VLOOKUP(B196,'Country or Territory'!A:G,6,FALSE)="Y",$E$1 &amp; " has visited","")</f>
        <v>#N/A</v>
      </c>
      <c r="F196" t="e">
        <f>IF(VLOOKUP(B196,'Country or Territory'!A:G,7,FALSE)="Y",$F$1 &amp; " has visited","")</f>
        <v>#N/A</v>
      </c>
      <c r="G196">
        <f>VLOOKUP(B196,latlong!A:F,4,TRUE)</f>
        <v>-17.827719999999999</v>
      </c>
      <c r="H196">
        <f>VLOOKUP(B196,latlong!A:F,5,TRUE)</f>
        <v>31.053370000000001</v>
      </c>
      <c r="I196">
        <f t="shared" si="5"/>
        <v>4</v>
      </c>
    </row>
    <row r="197" spans="1:9" x14ac:dyDescent="0.25">
      <c r="A197" t="e">
        <f>VLOOKUP(B197,'Country or Territory'!A:G,2,FALSE)</f>
        <v>#N/A</v>
      </c>
      <c r="B197" t="s">
        <v>1140</v>
      </c>
      <c r="C197" t="e">
        <f>IF(VLOOKUP(B197,'Country or Territory'!A:G,4,FALSE)="Y",$C$1 &amp; " has visited","")</f>
        <v>#N/A</v>
      </c>
      <c r="D197" t="e">
        <f>IF(VLOOKUP(B197,'Country or Territory'!A:G,5,FALSE)="Y",$D$1 &amp; " has visited","")</f>
        <v>#N/A</v>
      </c>
      <c r="E197" t="e">
        <f>IF(VLOOKUP(B197,'Country or Territory'!A:G,6,FALSE)="Y",$E$1 &amp; " has visited","")</f>
        <v>#N/A</v>
      </c>
      <c r="F197" t="e">
        <f>IF(VLOOKUP(B197,'Country or Territory'!A:G,7,FALSE)="Y",$F$1 &amp; " has visited","")</f>
        <v>#N/A</v>
      </c>
      <c r="G197">
        <f>VLOOKUP(B197,latlong!A:F,4,TRUE)</f>
        <v>25.04776</v>
      </c>
      <c r="H197">
        <f>VLOOKUP(B197,latlong!A:F,5,TRUE)</f>
        <v>121.53185000000001</v>
      </c>
      <c r="I197">
        <f t="shared" si="5"/>
        <v>4</v>
      </c>
    </row>
    <row r="198" spans="1:9" x14ac:dyDescent="0.25">
      <c r="A198" t="e">
        <f>VLOOKUP(B198,'Country or Territory'!A:G,2,FALSE)</f>
        <v>#N/A</v>
      </c>
      <c r="B198" t="s">
        <v>1498</v>
      </c>
      <c r="C198" t="e">
        <f>IF(VLOOKUP(B198,'Country or Territory'!A:G,4,FALSE)="Y",$C$1 &amp; " has visited","")</f>
        <v>#N/A</v>
      </c>
      <c r="D198" t="e">
        <f>IF(VLOOKUP(B198,'Country or Territory'!A:G,5,FALSE)="Y",$D$1 &amp; " has visited","")</f>
        <v>#N/A</v>
      </c>
      <c r="E198" t="e">
        <f>IF(VLOOKUP(B198,'Country or Territory'!A:G,6,FALSE)="Y",$E$1 &amp; " has visited","")</f>
        <v>#N/A</v>
      </c>
      <c r="F198" t="e">
        <f>IF(VLOOKUP(B198,'Country or Territory'!A:G,7,FALSE)="Y",$F$1 &amp; " has visited","")</f>
        <v>#N/A</v>
      </c>
      <c r="G198">
        <f>VLOOKUP(B198,latlong!A:F,4,TRUE)</f>
        <v>36.144739999999999</v>
      </c>
      <c r="H198">
        <f>VLOOKUP(B198,latlong!A:F,5,TRUE)</f>
        <v>-5.3525700000000001</v>
      </c>
      <c r="I198">
        <f t="shared" ref="I198" si="6">4-COUNTBLANK(C198:F198)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84"/>
  <sheetViews>
    <sheetView topLeftCell="A38" zoomScale="115" zoomScaleNormal="115" workbookViewId="0">
      <selection activeCell="B54" sqref="B54"/>
    </sheetView>
  </sheetViews>
  <sheetFormatPr defaultRowHeight="15" x14ac:dyDescent="0.25"/>
  <cols>
    <col min="2" max="2" width="48.42578125" bestFit="1" customWidth="1"/>
    <col min="3" max="3" width="26.7109375" customWidth="1"/>
    <col min="4" max="4" width="37.28515625" style="11" bestFit="1" customWidth="1"/>
  </cols>
  <sheetData>
    <row r="2" spans="2:10" ht="23.25" x14ac:dyDescent="0.35">
      <c r="B2" s="10" t="s">
        <v>757</v>
      </c>
      <c r="J2" t="s">
        <v>2014</v>
      </c>
    </row>
    <row r="3" spans="2:10" x14ac:dyDescent="0.25">
      <c r="B3" s="8" t="s">
        <v>751</v>
      </c>
      <c r="J3" s="8" t="s">
        <v>2013</v>
      </c>
    </row>
    <row r="4" spans="2:10" x14ac:dyDescent="0.25">
      <c r="B4" s="6" t="s">
        <v>227</v>
      </c>
    </row>
    <row r="5" spans="2:10" x14ac:dyDescent="0.25">
      <c r="B5" s="6" t="s">
        <v>758</v>
      </c>
    </row>
    <row r="6" spans="2:10" x14ac:dyDescent="0.25">
      <c r="B6" s="7" t="s">
        <v>752</v>
      </c>
    </row>
    <row r="7" spans="2:10" x14ac:dyDescent="0.25">
      <c r="B7" s="9" t="s">
        <v>754</v>
      </c>
      <c r="D7"/>
      <c r="G7" s="9"/>
    </row>
    <row r="8" spans="2:10" x14ac:dyDescent="0.25">
      <c r="B8" s="9" t="s">
        <v>753</v>
      </c>
      <c r="D8"/>
      <c r="G8" s="9"/>
    </row>
    <row r="9" spans="2:10" x14ac:dyDescent="0.25">
      <c r="B9" s="9" t="s">
        <v>755</v>
      </c>
      <c r="D9"/>
      <c r="G9" s="9"/>
    </row>
    <row r="10" spans="2:10" x14ac:dyDescent="0.25">
      <c r="B10" s="9" t="s">
        <v>756</v>
      </c>
      <c r="G10" s="9"/>
    </row>
    <row r="11" spans="2:10" x14ac:dyDescent="0.25">
      <c r="G11" s="9"/>
    </row>
    <row r="12" spans="2:10" x14ac:dyDescent="0.25">
      <c r="G12" s="9"/>
      <c r="H12" s="22" t="s">
        <v>2019</v>
      </c>
    </row>
    <row r="13" spans="2:10" x14ac:dyDescent="0.25">
      <c r="B13" s="23" t="s">
        <v>228</v>
      </c>
      <c r="C13" s="23" t="s">
        <v>229</v>
      </c>
      <c r="D13" s="23" t="s">
        <v>203</v>
      </c>
    </row>
    <row r="14" spans="2:10" x14ac:dyDescent="0.25">
      <c r="B14" s="1" t="s">
        <v>452</v>
      </c>
      <c r="C14" s="1" t="s">
        <v>453</v>
      </c>
      <c r="D14" s="12" t="s">
        <v>214</v>
      </c>
    </row>
    <row r="15" spans="2:10" x14ac:dyDescent="0.25">
      <c r="B15" s="1" t="s">
        <v>559</v>
      </c>
      <c r="C15" s="1" t="s">
        <v>560</v>
      </c>
      <c r="D15" s="12" t="s">
        <v>219</v>
      </c>
    </row>
    <row r="16" spans="2:10" x14ac:dyDescent="0.25">
      <c r="B16" s="1" t="s">
        <v>582</v>
      </c>
      <c r="C16" s="1" t="s">
        <v>583</v>
      </c>
      <c r="D16" s="12" t="s">
        <v>219</v>
      </c>
    </row>
    <row r="17" spans="2:4" x14ac:dyDescent="0.25">
      <c r="B17" s="1" t="s">
        <v>632</v>
      </c>
      <c r="C17" s="1" t="s">
        <v>633</v>
      </c>
      <c r="D17" s="12" t="s">
        <v>219</v>
      </c>
    </row>
    <row r="18" spans="2:4" x14ac:dyDescent="0.25">
      <c r="B18" s="1" t="s">
        <v>487</v>
      </c>
      <c r="C18" s="1" t="s">
        <v>488</v>
      </c>
      <c r="D18" s="12" t="s">
        <v>216</v>
      </c>
    </row>
    <row r="19" spans="2:4" x14ac:dyDescent="0.25">
      <c r="B19" s="1" t="s">
        <v>495</v>
      </c>
      <c r="C19" s="1" t="s">
        <v>496</v>
      </c>
      <c r="D19" s="12" t="s">
        <v>216</v>
      </c>
    </row>
    <row r="20" spans="2:4" x14ac:dyDescent="0.25">
      <c r="B20" s="1" t="s">
        <v>501</v>
      </c>
      <c r="C20" s="1" t="s">
        <v>502</v>
      </c>
      <c r="D20" s="12" t="s">
        <v>216</v>
      </c>
    </row>
    <row r="21" spans="2:4" x14ac:dyDescent="0.25">
      <c r="B21" s="1" t="s">
        <v>310</v>
      </c>
      <c r="C21" s="1" t="s">
        <v>210</v>
      </c>
      <c r="D21" s="12" t="s">
        <v>750</v>
      </c>
    </row>
    <row r="22" spans="2:4" x14ac:dyDescent="0.25">
      <c r="B22" s="1" t="s">
        <v>407</v>
      </c>
      <c r="C22" s="1" t="s">
        <v>408</v>
      </c>
      <c r="D22" s="12" t="s">
        <v>739</v>
      </c>
    </row>
    <row r="23" spans="2:4" x14ac:dyDescent="0.25">
      <c r="B23" s="1" t="s">
        <v>434</v>
      </c>
      <c r="C23" s="1" t="s">
        <v>435</v>
      </c>
      <c r="D23" s="12" t="s">
        <v>742</v>
      </c>
    </row>
    <row r="24" spans="2:4" x14ac:dyDescent="0.25">
      <c r="B24" s="1" t="s">
        <v>411</v>
      </c>
      <c r="C24" s="1" t="s">
        <v>368</v>
      </c>
      <c r="D24" s="12" t="s">
        <v>740</v>
      </c>
    </row>
    <row r="25" spans="2:4" x14ac:dyDescent="0.25">
      <c r="B25" s="1" t="s">
        <v>340</v>
      </c>
      <c r="C25" s="1" t="s">
        <v>341</v>
      </c>
      <c r="D25" s="12" t="s">
        <v>737</v>
      </c>
    </row>
    <row r="26" spans="2:4" x14ac:dyDescent="0.25">
      <c r="B26" s="1" t="s">
        <v>428</v>
      </c>
      <c r="C26" s="1" t="s">
        <v>429</v>
      </c>
      <c r="D26" s="12" t="s">
        <v>741</v>
      </c>
    </row>
    <row r="27" spans="2:4" x14ac:dyDescent="0.25">
      <c r="B27" s="1" t="s">
        <v>547</v>
      </c>
      <c r="C27" s="1" t="s">
        <v>548</v>
      </c>
      <c r="D27" s="12" t="s">
        <v>743</v>
      </c>
    </row>
    <row r="28" spans="2:4" x14ac:dyDescent="0.25">
      <c r="B28" s="1" t="s">
        <v>322</v>
      </c>
      <c r="C28" s="1" t="s">
        <v>323</v>
      </c>
      <c r="D28" s="12" t="s">
        <v>733</v>
      </c>
    </row>
    <row r="29" spans="2:4" x14ac:dyDescent="0.25">
      <c r="B29" s="1" t="s">
        <v>90</v>
      </c>
      <c r="C29" s="1" t="s">
        <v>503</v>
      </c>
      <c r="D29" s="12" t="s">
        <v>504</v>
      </c>
    </row>
    <row r="30" spans="2:4" x14ac:dyDescent="0.25">
      <c r="B30" s="1" t="s">
        <v>720</v>
      </c>
      <c r="C30" s="1" t="s">
        <v>745</v>
      </c>
      <c r="D30" s="12" t="s">
        <v>204</v>
      </c>
    </row>
    <row r="31" spans="2:4" x14ac:dyDescent="0.25">
      <c r="B31" s="1" t="s">
        <v>729</v>
      </c>
      <c r="C31" s="1" t="s">
        <v>399</v>
      </c>
      <c r="D31" s="12" t="s">
        <v>226</v>
      </c>
    </row>
    <row r="32" spans="2:4" x14ac:dyDescent="0.25">
      <c r="B32" s="1" t="s">
        <v>673</v>
      </c>
      <c r="C32" s="1" t="s">
        <v>399</v>
      </c>
      <c r="D32" s="12" t="s">
        <v>212</v>
      </c>
    </row>
    <row r="33" spans="2:4" x14ac:dyDescent="0.25">
      <c r="B33" s="1" t="s">
        <v>363</v>
      </c>
      <c r="C33" s="1" t="s">
        <v>364</v>
      </c>
      <c r="D33" s="12" t="s">
        <v>212</v>
      </c>
    </row>
    <row r="34" spans="2:4" x14ac:dyDescent="0.25">
      <c r="B34" s="1" t="s">
        <v>365</v>
      </c>
      <c r="C34" s="1" t="s">
        <v>366</v>
      </c>
      <c r="D34" s="12" t="s">
        <v>212</v>
      </c>
    </row>
    <row r="35" spans="2:4" x14ac:dyDescent="0.25">
      <c r="B35" s="1" t="s">
        <v>679</v>
      </c>
      <c r="C35" s="1" t="s">
        <v>399</v>
      </c>
      <c r="D35" s="12" t="s">
        <v>212</v>
      </c>
    </row>
    <row r="36" spans="2:4" x14ac:dyDescent="0.25">
      <c r="B36" s="1" t="s">
        <v>731</v>
      </c>
      <c r="C36" s="1" t="s">
        <v>399</v>
      </c>
      <c r="D36" s="12" t="s">
        <v>212</v>
      </c>
    </row>
    <row r="37" spans="2:4" x14ac:dyDescent="0.25">
      <c r="B37" s="1" t="s">
        <v>671</v>
      </c>
      <c r="C37" s="1" t="s">
        <v>672</v>
      </c>
      <c r="D37" s="12" t="s">
        <v>222</v>
      </c>
    </row>
    <row r="38" spans="2:4" x14ac:dyDescent="0.25">
      <c r="B38" s="1" t="s">
        <v>676</v>
      </c>
      <c r="C38" s="1" t="s">
        <v>399</v>
      </c>
      <c r="D38" s="12" t="s">
        <v>222</v>
      </c>
    </row>
    <row r="39" spans="2:4" x14ac:dyDescent="0.25">
      <c r="B39" s="1" t="s">
        <v>684</v>
      </c>
      <c r="C39" s="1" t="s">
        <v>685</v>
      </c>
      <c r="D39" s="12" t="s">
        <v>222</v>
      </c>
    </row>
    <row r="40" spans="2:4" x14ac:dyDescent="0.25">
      <c r="B40" s="1" t="s">
        <v>686</v>
      </c>
      <c r="C40" s="1" t="s">
        <v>399</v>
      </c>
      <c r="D40" s="12" t="s">
        <v>222</v>
      </c>
    </row>
    <row r="41" spans="2:4" x14ac:dyDescent="0.25">
      <c r="B41" s="1" t="s">
        <v>687</v>
      </c>
      <c r="C41" s="1" t="s">
        <v>399</v>
      </c>
      <c r="D41" s="12" t="s">
        <v>222</v>
      </c>
    </row>
    <row r="42" spans="2:4" x14ac:dyDescent="0.25">
      <c r="B42" s="1" t="s">
        <v>688</v>
      </c>
      <c r="C42" s="1" t="s">
        <v>399</v>
      </c>
      <c r="D42" s="12" t="s">
        <v>222</v>
      </c>
    </row>
    <row r="43" spans="2:4" x14ac:dyDescent="0.25">
      <c r="B43" s="1" t="s">
        <v>689</v>
      </c>
      <c r="C43" s="1" t="s">
        <v>399</v>
      </c>
      <c r="D43" s="12" t="s">
        <v>222</v>
      </c>
    </row>
    <row r="44" spans="2:4" x14ac:dyDescent="0.25">
      <c r="B44" s="1" t="s">
        <v>696</v>
      </c>
      <c r="C44" s="1" t="s">
        <v>399</v>
      </c>
      <c r="D44" s="12" t="s">
        <v>222</v>
      </c>
    </row>
    <row r="45" spans="2:4" x14ac:dyDescent="0.25">
      <c r="B45" s="1" t="s">
        <v>609</v>
      </c>
      <c r="C45" s="1" t="s">
        <v>610</v>
      </c>
      <c r="D45" s="12" t="s">
        <v>222</v>
      </c>
    </row>
    <row r="46" spans="2:4" x14ac:dyDescent="0.25">
      <c r="B46" s="1" t="s">
        <v>707</v>
      </c>
      <c r="C46" s="1" t="s">
        <v>708</v>
      </c>
      <c r="D46" s="12" t="s">
        <v>222</v>
      </c>
    </row>
    <row r="47" spans="2:4" x14ac:dyDescent="0.25">
      <c r="B47" s="1" t="s">
        <v>711</v>
      </c>
      <c r="C47" s="1" t="s">
        <v>399</v>
      </c>
      <c r="D47" s="12" t="s">
        <v>222</v>
      </c>
    </row>
    <row r="48" spans="2:4" x14ac:dyDescent="0.25">
      <c r="B48" s="1" t="s">
        <v>615</v>
      </c>
      <c r="C48" s="1" t="s">
        <v>616</v>
      </c>
      <c r="D48" s="12" t="s">
        <v>222</v>
      </c>
    </row>
    <row r="49" spans="2:4" x14ac:dyDescent="0.25">
      <c r="B49" s="1" t="s">
        <v>640</v>
      </c>
      <c r="C49" s="1" t="s">
        <v>641</v>
      </c>
      <c r="D49" s="12" t="s">
        <v>222</v>
      </c>
    </row>
    <row r="50" spans="2:4" x14ac:dyDescent="0.25">
      <c r="B50" s="1" t="s">
        <v>726</v>
      </c>
      <c r="C50" s="1" t="s">
        <v>399</v>
      </c>
      <c r="D50" s="12" t="s">
        <v>222</v>
      </c>
    </row>
    <row r="51" spans="2:4" x14ac:dyDescent="0.25">
      <c r="B51" s="1" t="s">
        <v>682</v>
      </c>
      <c r="C51" s="1" t="s">
        <v>683</v>
      </c>
      <c r="D51" s="12" t="s">
        <v>205</v>
      </c>
    </row>
    <row r="52" spans="2:4" x14ac:dyDescent="0.25">
      <c r="B52" s="1" t="s">
        <v>619</v>
      </c>
      <c r="C52" s="1" t="s">
        <v>620</v>
      </c>
      <c r="D52" s="12" t="s">
        <v>205</v>
      </c>
    </row>
    <row r="53" spans="2:4" x14ac:dyDescent="0.25">
      <c r="B53" s="1" t="s">
        <v>625</v>
      </c>
      <c r="C53" s="1" t="s">
        <v>626</v>
      </c>
      <c r="D53" s="12" t="s">
        <v>205</v>
      </c>
    </row>
    <row r="54" spans="2:4" x14ac:dyDescent="0.25">
      <c r="B54" s="1" t="s">
        <v>627</v>
      </c>
      <c r="C54" s="1" t="s">
        <v>628</v>
      </c>
      <c r="D54" s="12" t="s">
        <v>205</v>
      </c>
    </row>
    <row r="55" spans="2:4" x14ac:dyDescent="0.25">
      <c r="B55" s="1" t="s">
        <v>727</v>
      </c>
      <c r="C55" s="1" t="s">
        <v>728</v>
      </c>
      <c r="D55" s="12" t="s">
        <v>205</v>
      </c>
    </row>
    <row r="56" spans="2:4" x14ac:dyDescent="0.25">
      <c r="B56" s="1" t="s">
        <v>655</v>
      </c>
      <c r="C56" s="1" t="s">
        <v>656</v>
      </c>
      <c r="D56" s="12" t="s">
        <v>209</v>
      </c>
    </row>
    <row r="57" spans="2:4" x14ac:dyDescent="0.25">
      <c r="B57" s="1" t="s">
        <v>594</v>
      </c>
      <c r="C57" s="1" t="s">
        <v>595</v>
      </c>
      <c r="D57" s="12" t="s">
        <v>209</v>
      </c>
    </row>
    <row r="58" spans="2:4" x14ac:dyDescent="0.25">
      <c r="B58" s="1" t="s">
        <v>604</v>
      </c>
      <c r="C58" s="1" t="s">
        <v>605</v>
      </c>
      <c r="D58" s="12" t="s">
        <v>209</v>
      </c>
    </row>
    <row r="59" spans="2:4" x14ac:dyDescent="0.25">
      <c r="B59" s="1" t="s">
        <v>294</v>
      </c>
      <c r="C59" s="1" t="s">
        <v>295</v>
      </c>
      <c r="D59" s="12" t="s">
        <v>209</v>
      </c>
    </row>
    <row r="60" spans="2:4" x14ac:dyDescent="0.25">
      <c r="B60" s="1" t="s">
        <v>306</v>
      </c>
      <c r="C60" s="1" t="s">
        <v>307</v>
      </c>
      <c r="D60" s="12" t="s">
        <v>209</v>
      </c>
    </row>
    <row r="61" spans="2:4" x14ac:dyDescent="0.25">
      <c r="B61" s="1" t="s">
        <v>577</v>
      </c>
      <c r="C61" s="1" t="s">
        <v>399</v>
      </c>
      <c r="D61" s="12" t="s">
        <v>220</v>
      </c>
    </row>
    <row r="62" spans="2:4" x14ac:dyDescent="0.25">
      <c r="B62" s="1" t="s">
        <v>730</v>
      </c>
      <c r="C62" s="1" t="s">
        <v>747</v>
      </c>
      <c r="D62" s="12" t="s">
        <v>220</v>
      </c>
    </row>
    <row r="63" spans="2:4" x14ac:dyDescent="0.25">
      <c r="B63" s="1" t="s">
        <v>344</v>
      </c>
      <c r="C63" s="1" t="s">
        <v>345</v>
      </c>
      <c r="D63" s="12" t="s">
        <v>211</v>
      </c>
    </row>
    <row r="64" spans="2:4" x14ac:dyDescent="0.25">
      <c r="B64" s="1" t="s">
        <v>555</v>
      </c>
      <c r="C64" s="1" t="s">
        <v>556</v>
      </c>
      <c r="D64" s="12" t="s">
        <v>211</v>
      </c>
    </row>
    <row r="65" spans="2:4" x14ac:dyDescent="0.25">
      <c r="B65" s="1" t="s">
        <v>567</v>
      </c>
      <c r="C65" s="1" t="s">
        <v>568</v>
      </c>
      <c r="D65" s="12" t="s">
        <v>211</v>
      </c>
    </row>
    <row r="66" spans="2:4" x14ac:dyDescent="0.25">
      <c r="B66" s="1" t="s">
        <v>356</v>
      </c>
      <c r="C66" s="1" t="s">
        <v>357</v>
      </c>
      <c r="D66" s="12" t="s">
        <v>211</v>
      </c>
    </row>
    <row r="67" spans="2:4" x14ac:dyDescent="0.25">
      <c r="B67" s="1" t="s">
        <v>571</v>
      </c>
      <c r="C67" s="1" t="s">
        <v>572</v>
      </c>
      <c r="D67" s="12" t="s">
        <v>211</v>
      </c>
    </row>
    <row r="68" spans="2:4" x14ac:dyDescent="0.25">
      <c r="B68" s="1" t="s">
        <v>575</v>
      </c>
      <c r="C68" s="1" t="s">
        <v>576</v>
      </c>
      <c r="D68" s="12" t="s">
        <v>211</v>
      </c>
    </row>
    <row r="69" spans="2:4" x14ac:dyDescent="0.25">
      <c r="B69" s="1" t="s">
        <v>653</v>
      </c>
      <c r="C69" s="1" t="s">
        <v>654</v>
      </c>
      <c r="D69" s="12" t="s">
        <v>211</v>
      </c>
    </row>
    <row r="70" spans="2:4" x14ac:dyDescent="0.25">
      <c r="B70" s="1" t="s">
        <v>484</v>
      </c>
      <c r="C70" s="1" t="s">
        <v>484</v>
      </c>
      <c r="D70" s="12" t="s">
        <v>211</v>
      </c>
    </row>
    <row r="71" spans="2:4" x14ac:dyDescent="0.25">
      <c r="B71" s="1" t="s">
        <v>714</v>
      </c>
      <c r="C71" s="1" t="s">
        <v>715</v>
      </c>
      <c r="D71" s="12" t="s">
        <v>211</v>
      </c>
    </row>
    <row r="72" spans="2:4" x14ac:dyDescent="0.25">
      <c r="B72" s="1" t="s">
        <v>311</v>
      </c>
      <c r="C72" s="1" t="s">
        <v>732</v>
      </c>
      <c r="D72" s="12" t="s">
        <v>211</v>
      </c>
    </row>
    <row r="73" spans="2:4" x14ac:dyDescent="0.25">
      <c r="B73" s="1" t="s">
        <v>663</v>
      </c>
      <c r="C73" s="1" t="s">
        <v>664</v>
      </c>
      <c r="D73" s="12" t="s">
        <v>211</v>
      </c>
    </row>
    <row r="74" spans="2:4" x14ac:dyDescent="0.25">
      <c r="B74" s="1" t="s">
        <v>636</v>
      </c>
      <c r="C74" s="1" t="s">
        <v>637</v>
      </c>
      <c r="D74" s="12" t="s">
        <v>211</v>
      </c>
    </row>
    <row r="75" spans="2:4" x14ac:dyDescent="0.25">
      <c r="B75" s="1" t="s">
        <v>704</v>
      </c>
      <c r="C75" s="1" t="s">
        <v>705</v>
      </c>
      <c r="D75" s="12" t="s">
        <v>744</v>
      </c>
    </row>
    <row r="76" spans="2:4" x14ac:dyDescent="0.25">
      <c r="B76" s="1" t="s">
        <v>677</v>
      </c>
      <c r="C76" s="1" t="s">
        <v>678</v>
      </c>
      <c r="D76" s="12" t="s">
        <v>224</v>
      </c>
    </row>
    <row r="77" spans="2:4" x14ac:dyDescent="0.25">
      <c r="B77" s="1" t="s">
        <v>706</v>
      </c>
      <c r="C77" s="1" t="s">
        <v>603</v>
      </c>
      <c r="D77" s="12" t="s">
        <v>225</v>
      </c>
    </row>
    <row r="78" spans="2:4" x14ac:dyDescent="0.25">
      <c r="B78" s="1" t="s">
        <v>476</v>
      </c>
      <c r="C78" s="1" t="s">
        <v>477</v>
      </c>
      <c r="D78" s="12" t="s">
        <v>215</v>
      </c>
    </row>
    <row r="79" spans="2:4" x14ac:dyDescent="0.25">
      <c r="B79" s="1" t="s">
        <v>590</v>
      </c>
      <c r="C79" s="1" t="s">
        <v>591</v>
      </c>
      <c r="D79" s="12" t="s">
        <v>215</v>
      </c>
    </row>
    <row r="80" spans="2:4" x14ac:dyDescent="0.25">
      <c r="B80" s="1" t="s">
        <v>373</v>
      </c>
      <c r="C80" s="1" t="s">
        <v>373</v>
      </c>
      <c r="D80" s="12" t="s">
        <v>213</v>
      </c>
    </row>
    <row r="81" spans="2:4" x14ac:dyDescent="0.25">
      <c r="B81" s="1" t="s">
        <v>398</v>
      </c>
      <c r="C81" s="1" t="s">
        <v>399</v>
      </c>
      <c r="D81" s="12" t="s">
        <v>213</v>
      </c>
    </row>
    <row r="82" spans="2:4" x14ac:dyDescent="0.25">
      <c r="B82" s="1" t="s">
        <v>569</v>
      </c>
      <c r="C82" s="1" t="s">
        <v>570</v>
      </c>
      <c r="D82" s="12" t="s">
        <v>202</v>
      </c>
    </row>
    <row r="83" spans="2:4" x14ac:dyDescent="0.25">
      <c r="B83" s="1" t="s">
        <v>617</v>
      </c>
      <c r="C83" s="1" t="s">
        <v>618</v>
      </c>
      <c r="D83" s="12" t="s">
        <v>202</v>
      </c>
    </row>
    <row r="84" spans="2:4" x14ac:dyDescent="0.25">
      <c r="B84" s="1" t="s">
        <v>631</v>
      </c>
      <c r="C84" s="1" t="s">
        <v>560</v>
      </c>
      <c r="D84" s="12" t="s">
        <v>202</v>
      </c>
    </row>
    <row r="85" spans="2:4" x14ac:dyDescent="0.25">
      <c r="B85" s="1" t="s">
        <v>500</v>
      </c>
      <c r="C85" s="1" t="s">
        <v>399</v>
      </c>
      <c r="D85" s="12" t="s">
        <v>217</v>
      </c>
    </row>
    <row r="86" spans="2:4" x14ac:dyDescent="0.25">
      <c r="B86" s="1" t="s">
        <v>541</v>
      </c>
      <c r="C86" s="1" t="s">
        <v>542</v>
      </c>
      <c r="D86" s="12" t="s">
        <v>218</v>
      </c>
    </row>
    <row r="87" spans="2:4" x14ac:dyDescent="0.25">
      <c r="B87" s="1" t="s">
        <v>699</v>
      </c>
      <c r="C87" s="1" t="s">
        <v>700</v>
      </c>
      <c r="D87" s="12" t="s">
        <v>701</v>
      </c>
    </row>
    <row r="88" spans="2:4" x14ac:dyDescent="0.25">
      <c r="B88" s="32"/>
      <c r="C88" s="32"/>
      <c r="D88" s="33"/>
    </row>
    <row r="89" spans="2:4" x14ac:dyDescent="0.25">
      <c r="B89" s="1" t="s">
        <v>342</v>
      </c>
      <c r="C89" s="1" t="s">
        <v>343</v>
      </c>
      <c r="D89" s="12"/>
    </row>
    <row r="90" spans="2:4" x14ac:dyDescent="0.25">
      <c r="B90" s="1" t="s">
        <v>454</v>
      </c>
      <c r="C90" s="1" t="s">
        <v>455</v>
      </c>
      <c r="D90" s="12"/>
    </row>
    <row r="91" spans="2:4" x14ac:dyDescent="0.25">
      <c r="B91" s="1" t="s">
        <v>230</v>
      </c>
      <c r="C91" s="1" t="s">
        <v>231</v>
      </c>
      <c r="D91" s="12"/>
    </row>
    <row r="92" spans="2:4" x14ac:dyDescent="0.25">
      <c r="B92" s="1" t="s">
        <v>456</v>
      </c>
      <c r="C92" s="1" t="s">
        <v>457</v>
      </c>
      <c r="D92" s="12"/>
    </row>
    <row r="93" spans="2:4" x14ac:dyDescent="0.25">
      <c r="B93" s="1" t="s">
        <v>232</v>
      </c>
      <c r="C93" s="1" t="s">
        <v>233</v>
      </c>
      <c r="D93" s="12"/>
    </row>
    <row r="94" spans="2:4" x14ac:dyDescent="0.25">
      <c r="B94" s="1" t="s">
        <v>557</v>
      </c>
      <c r="C94" s="1" t="s">
        <v>558</v>
      </c>
      <c r="D94" s="12"/>
    </row>
    <row r="95" spans="2:4" x14ac:dyDescent="0.25">
      <c r="B95" s="1" t="s">
        <v>642</v>
      </c>
      <c r="C95" s="1" t="s">
        <v>643</v>
      </c>
      <c r="D95" s="12"/>
    </row>
    <row r="96" spans="2:4" x14ac:dyDescent="0.25">
      <c r="B96" s="1" t="s">
        <v>346</v>
      </c>
      <c r="C96" s="1" t="s">
        <v>347</v>
      </c>
      <c r="D96" s="12"/>
    </row>
    <row r="97" spans="2:4" x14ac:dyDescent="0.25">
      <c r="B97" s="1" t="s">
        <v>674</v>
      </c>
      <c r="C97" s="1" t="s">
        <v>675</v>
      </c>
      <c r="D97" s="12"/>
    </row>
    <row r="98" spans="2:4" x14ac:dyDescent="0.25">
      <c r="B98" s="1" t="s">
        <v>458</v>
      </c>
      <c r="C98" s="1" t="s">
        <v>459</v>
      </c>
      <c r="D98" s="12"/>
    </row>
    <row r="99" spans="2:4" x14ac:dyDescent="0.25">
      <c r="B99" s="1" t="s">
        <v>348</v>
      </c>
      <c r="C99" s="1" t="s">
        <v>349</v>
      </c>
      <c r="D99" s="12"/>
    </row>
    <row r="100" spans="2:4" x14ac:dyDescent="0.25">
      <c r="B100" s="1" t="s">
        <v>561</v>
      </c>
      <c r="C100" s="1" t="s">
        <v>562</v>
      </c>
      <c r="D100" s="12"/>
    </row>
    <row r="101" spans="2:4" x14ac:dyDescent="0.25">
      <c r="B101" s="1" t="s">
        <v>350</v>
      </c>
      <c r="C101" s="1" t="s">
        <v>351</v>
      </c>
      <c r="D101" s="12"/>
    </row>
    <row r="102" spans="2:4" x14ac:dyDescent="0.25">
      <c r="B102" s="1" t="s">
        <v>352</v>
      </c>
      <c r="C102" s="1" t="s">
        <v>353</v>
      </c>
      <c r="D102" s="12"/>
    </row>
    <row r="103" spans="2:4" x14ac:dyDescent="0.25">
      <c r="B103" s="1" t="s">
        <v>563</v>
      </c>
      <c r="C103" s="1" t="s">
        <v>564</v>
      </c>
      <c r="D103" s="12"/>
    </row>
    <row r="104" spans="2:4" x14ac:dyDescent="0.25">
      <c r="B104" s="1" t="s">
        <v>460</v>
      </c>
      <c r="C104" s="1" t="s">
        <v>461</v>
      </c>
      <c r="D104" s="12"/>
    </row>
    <row r="105" spans="2:4" x14ac:dyDescent="0.25">
      <c r="B105" s="1" t="s">
        <v>462</v>
      </c>
      <c r="C105" s="1" t="s">
        <v>463</v>
      </c>
      <c r="D105" s="12"/>
    </row>
    <row r="106" spans="2:4" x14ac:dyDescent="0.25">
      <c r="B106" s="1" t="s">
        <v>565</v>
      </c>
      <c r="C106" s="1" t="s">
        <v>566</v>
      </c>
      <c r="D106" s="12"/>
    </row>
    <row r="107" spans="2:4" x14ac:dyDescent="0.25">
      <c r="B107" s="1" t="s">
        <v>234</v>
      </c>
      <c r="C107" s="1" t="s">
        <v>748</v>
      </c>
      <c r="D107" s="12"/>
    </row>
    <row r="108" spans="2:4" x14ac:dyDescent="0.25">
      <c r="B108" s="1" t="s">
        <v>354</v>
      </c>
      <c r="C108" s="1" t="s">
        <v>355</v>
      </c>
      <c r="D108" s="12"/>
    </row>
    <row r="109" spans="2:4" x14ac:dyDescent="0.25">
      <c r="B109" s="1" t="s">
        <v>644</v>
      </c>
      <c r="C109" s="1" t="s">
        <v>223</v>
      </c>
      <c r="D109" s="12"/>
    </row>
    <row r="110" spans="2:4" x14ac:dyDescent="0.25">
      <c r="B110" s="1" t="s">
        <v>464</v>
      </c>
      <c r="C110" s="1" t="s">
        <v>465</v>
      </c>
      <c r="D110" s="12"/>
    </row>
    <row r="111" spans="2:4" x14ac:dyDescent="0.25">
      <c r="B111" s="1" t="s">
        <v>235</v>
      </c>
      <c r="C111" s="1" t="s">
        <v>236</v>
      </c>
      <c r="D111" s="12"/>
    </row>
    <row r="112" spans="2:4" x14ac:dyDescent="0.25">
      <c r="B112" s="1" t="s">
        <v>645</v>
      </c>
      <c r="C112" s="1" t="s">
        <v>646</v>
      </c>
      <c r="D112" s="12"/>
    </row>
    <row r="113" spans="2:4" x14ac:dyDescent="0.25">
      <c r="B113" s="1" t="s">
        <v>358</v>
      </c>
      <c r="C113" s="1" t="s">
        <v>359</v>
      </c>
      <c r="D113" s="12"/>
    </row>
    <row r="114" spans="2:4" x14ac:dyDescent="0.25">
      <c r="B114" s="1" t="s">
        <v>466</v>
      </c>
      <c r="C114" s="1" t="s">
        <v>467</v>
      </c>
      <c r="D114" s="12"/>
    </row>
    <row r="115" spans="2:4" x14ac:dyDescent="0.25">
      <c r="B115" s="1" t="s">
        <v>237</v>
      </c>
      <c r="C115" s="1" t="s">
        <v>238</v>
      </c>
      <c r="D115" s="12"/>
    </row>
    <row r="116" spans="2:4" x14ac:dyDescent="0.25">
      <c r="B116" s="1" t="s">
        <v>239</v>
      </c>
      <c r="C116" s="1" t="s">
        <v>240</v>
      </c>
      <c r="D116" s="12"/>
    </row>
    <row r="117" spans="2:4" x14ac:dyDescent="0.25">
      <c r="B117" s="1" t="s">
        <v>360</v>
      </c>
      <c r="C117" s="1" t="s">
        <v>361</v>
      </c>
      <c r="D117" s="12"/>
    </row>
    <row r="118" spans="2:4" x14ac:dyDescent="0.25">
      <c r="B118" s="1" t="s">
        <v>241</v>
      </c>
      <c r="C118" s="1" t="s">
        <v>242</v>
      </c>
      <c r="D118" s="12"/>
    </row>
    <row r="119" spans="2:4" x14ac:dyDescent="0.25">
      <c r="B119" s="1" t="s">
        <v>573</v>
      </c>
      <c r="C119" s="1" t="s">
        <v>574</v>
      </c>
      <c r="D119" s="12"/>
    </row>
    <row r="120" spans="2:4" x14ac:dyDescent="0.25">
      <c r="B120" s="1" t="s">
        <v>243</v>
      </c>
      <c r="C120" s="1" t="s">
        <v>244</v>
      </c>
      <c r="D120" s="12"/>
    </row>
    <row r="121" spans="2:4" x14ac:dyDescent="0.25">
      <c r="B121" s="1" t="s">
        <v>245</v>
      </c>
      <c r="C121" s="1" t="s">
        <v>246</v>
      </c>
      <c r="D121" s="12"/>
    </row>
    <row r="122" spans="2:4" x14ac:dyDescent="0.25">
      <c r="B122" s="1" t="s">
        <v>247</v>
      </c>
      <c r="C122" s="1" t="s">
        <v>248</v>
      </c>
      <c r="D122" s="12"/>
    </row>
    <row r="123" spans="2:4" x14ac:dyDescent="0.25">
      <c r="B123" s="1" t="s">
        <v>647</v>
      </c>
      <c r="C123" s="1" t="s">
        <v>648</v>
      </c>
      <c r="D123" s="12"/>
    </row>
    <row r="124" spans="2:4" x14ac:dyDescent="0.25">
      <c r="B124" s="1" t="s">
        <v>34</v>
      </c>
      <c r="C124" s="1" t="s">
        <v>362</v>
      </c>
      <c r="D124" s="12"/>
    </row>
    <row r="125" spans="2:4" x14ac:dyDescent="0.25">
      <c r="B125" s="1" t="s">
        <v>649</v>
      </c>
      <c r="C125" s="1" t="s">
        <v>650</v>
      </c>
      <c r="D125" s="12"/>
    </row>
    <row r="126" spans="2:4" x14ac:dyDescent="0.25">
      <c r="B126" s="1" t="s">
        <v>249</v>
      </c>
      <c r="C126" s="1" t="s">
        <v>250</v>
      </c>
      <c r="D126" s="12"/>
    </row>
    <row r="127" spans="2:4" x14ac:dyDescent="0.25">
      <c r="B127" s="1" t="s">
        <v>251</v>
      </c>
      <c r="C127" s="1" t="s">
        <v>252</v>
      </c>
      <c r="D127" s="12"/>
    </row>
    <row r="128" spans="2:4" x14ac:dyDescent="0.25">
      <c r="B128" s="1" t="s">
        <v>578</v>
      </c>
      <c r="C128" s="1" t="s">
        <v>579</v>
      </c>
      <c r="D128" s="12"/>
    </row>
    <row r="129" spans="2:4" x14ac:dyDescent="0.25">
      <c r="B129" s="1" t="s">
        <v>468</v>
      </c>
      <c r="C129" s="1" t="s">
        <v>469</v>
      </c>
      <c r="D129" s="12"/>
    </row>
    <row r="130" spans="2:4" x14ac:dyDescent="0.25">
      <c r="B130" s="1" t="s">
        <v>580</v>
      </c>
      <c r="C130" s="1" t="s">
        <v>581</v>
      </c>
      <c r="D130" s="12"/>
    </row>
    <row r="131" spans="2:4" x14ac:dyDescent="0.25">
      <c r="B131" s="1" t="s">
        <v>367</v>
      </c>
      <c r="C131" s="1" t="s">
        <v>368</v>
      </c>
      <c r="D131" s="12"/>
    </row>
    <row r="132" spans="2:4" x14ac:dyDescent="0.25">
      <c r="B132" s="1" t="s">
        <v>470</v>
      </c>
      <c r="C132" s="1" t="s">
        <v>471</v>
      </c>
      <c r="D132" s="12"/>
    </row>
    <row r="133" spans="2:4" x14ac:dyDescent="0.25">
      <c r="B133" s="1" t="s">
        <v>253</v>
      </c>
      <c r="C133" s="1" t="s">
        <v>254</v>
      </c>
      <c r="D133" s="12"/>
    </row>
    <row r="134" spans="2:4" x14ac:dyDescent="0.25">
      <c r="B134" s="1" t="s">
        <v>472</v>
      </c>
      <c r="C134" s="1" t="s">
        <v>473</v>
      </c>
      <c r="D134" s="12"/>
    </row>
    <row r="135" spans="2:4" x14ac:dyDescent="0.25">
      <c r="B135" s="1" t="s">
        <v>255</v>
      </c>
      <c r="C135" s="1" t="s">
        <v>256</v>
      </c>
      <c r="D135" s="12"/>
    </row>
    <row r="136" spans="2:4" x14ac:dyDescent="0.25">
      <c r="B136" s="1" t="s">
        <v>584</v>
      </c>
      <c r="C136" s="1" t="s">
        <v>585</v>
      </c>
      <c r="D136" s="12"/>
    </row>
    <row r="137" spans="2:4" x14ac:dyDescent="0.25">
      <c r="B137" s="1" t="s">
        <v>586</v>
      </c>
      <c r="C137" s="1" t="s">
        <v>587</v>
      </c>
      <c r="D137" s="12"/>
    </row>
    <row r="138" spans="2:4" x14ac:dyDescent="0.25">
      <c r="B138" s="1" t="s">
        <v>369</v>
      </c>
      <c r="C138" s="1" t="s">
        <v>370</v>
      </c>
      <c r="D138" s="12"/>
    </row>
    <row r="139" spans="2:4" x14ac:dyDescent="0.25">
      <c r="B139" s="1" t="s">
        <v>651</v>
      </c>
      <c r="C139" s="1" t="s">
        <v>652</v>
      </c>
      <c r="D139" s="12"/>
    </row>
    <row r="140" spans="2:4" x14ac:dyDescent="0.25">
      <c r="B140" s="1" t="s">
        <v>257</v>
      </c>
      <c r="C140" s="1" t="s">
        <v>258</v>
      </c>
      <c r="D140" s="12"/>
    </row>
    <row r="141" spans="2:4" x14ac:dyDescent="0.25">
      <c r="B141" s="1" t="s">
        <v>588</v>
      </c>
      <c r="C141" s="1" t="s">
        <v>589</v>
      </c>
      <c r="D141" s="12"/>
    </row>
    <row r="142" spans="2:4" x14ac:dyDescent="0.25">
      <c r="B142" s="1" t="s">
        <v>259</v>
      </c>
      <c r="C142" s="1" t="s">
        <v>260</v>
      </c>
      <c r="D142" s="12"/>
    </row>
    <row r="143" spans="2:4" x14ac:dyDescent="0.25">
      <c r="B143" s="1" t="s">
        <v>261</v>
      </c>
      <c r="C143" s="1" t="s">
        <v>262</v>
      </c>
      <c r="D143" s="12"/>
    </row>
    <row r="144" spans="2:4" x14ac:dyDescent="0.25">
      <c r="B144" s="1" t="s">
        <v>474</v>
      </c>
      <c r="C144" s="1" t="s">
        <v>475</v>
      </c>
      <c r="D144" s="12"/>
    </row>
    <row r="145" spans="2:4" x14ac:dyDescent="0.25">
      <c r="B145" s="1" t="s">
        <v>263</v>
      </c>
      <c r="C145" s="1" t="s">
        <v>264</v>
      </c>
      <c r="D145" s="12"/>
    </row>
    <row r="146" spans="2:4" x14ac:dyDescent="0.25">
      <c r="B146" s="1" t="s">
        <v>680</v>
      </c>
      <c r="C146" s="1" t="s">
        <v>681</v>
      </c>
      <c r="D146" s="12"/>
    </row>
    <row r="147" spans="2:4" x14ac:dyDescent="0.25">
      <c r="B147" s="1" t="s">
        <v>478</v>
      </c>
      <c r="C147" s="1" t="s">
        <v>479</v>
      </c>
      <c r="D147" s="12"/>
    </row>
    <row r="148" spans="2:4" x14ac:dyDescent="0.25">
      <c r="B148" s="1" t="s">
        <v>480</v>
      </c>
      <c r="C148" s="1" t="s">
        <v>481</v>
      </c>
      <c r="D148" s="12"/>
    </row>
    <row r="149" spans="2:4" x14ac:dyDescent="0.25">
      <c r="B149" s="1" t="s">
        <v>265</v>
      </c>
      <c r="C149" s="1" t="s">
        <v>266</v>
      </c>
      <c r="D149" s="12"/>
    </row>
    <row r="150" spans="2:4" x14ac:dyDescent="0.25">
      <c r="B150" s="1" t="s">
        <v>267</v>
      </c>
      <c r="C150" s="1" t="s">
        <v>268</v>
      </c>
      <c r="D150" s="12"/>
    </row>
    <row r="151" spans="2:4" x14ac:dyDescent="0.25">
      <c r="B151" s="1" t="s">
        <v>371</v>
      </c>
      <c r="C151" s="1" t="s">
        <v>372</v>
      </c>
      <c r="D151" s="12"/>
    </row>
    <row r="152" spans="2:4" x14ac:dyDescent="0.25">
      <c r="B152" s="1" t="s">
        <v>482</v>
      </c>
      <c r="C152" s="1" t="s">
        <v>483</v>
      </c>
      <c r="D152" s="12"/>
    </row>
    <row r="153" spans="2:4" x14ac:dyDescent="0.25">
      <c r="B153" s="1" t="s">
        <v>269</v>
      </c>
      <c r="C153" s="1" t="s">
        <v>270</v>
      </c>
      <c r="D153" s="12"/>
    </row>
    <row r="154" spans="2:4" x14ac:dyDescent="0.25">
      <c r="B154" s="1" t="s">
        <v>485</v>
      </c>
      <c r="C154" s="1" t="s">
        <v>486</v>
      </c>
      <c r="D154" s="12"/>
    </row>
    <row r="155" spans="2:4" x14ac:dyDescent="0.25">
      <c r="B155" s="1" t="s">
        <v>592</v>
      </c>
      <c r="C155" s="1" t="s">
        <v>593</v>
      </c>
      <c r="D155" s="12"/>
    </row>
    <row r="156" spans="2:4" x14ac:dyDescent="0.25">
      <c r="B156" s="1" t="s">
        <v>596</v>
      </c>
      <c r="C156" s="1" t="s">
        <v>597</v>
      </c>
      <c r="D156" s="12"/>
    </row>
    <row r="157" spans="2:4" x14ac:dyDescent="0.25">
      <c r="B157" s="1" t="s">
        <v>271</v>
      </c>
      <c r="C157" s="1" t="s">
        <v>272</v>
      </c>
      <c r="D157" s="12"/>
    </row>
    <row r="158" spans="2:4" x14ac:dyDescent="0.25">
      <c r="B158" s="1" t="s">
        <v>273</v>
      </c>
      <c r="C158" s="1" t="s">
        <v>274</v>
      </c>
      <c r="D158" s="12"/>
    </row>
    <row r="159" spans="2:4" x14ac:dyDescent="0.25">
      <c r="B159" s="1" t="s">
        <v>657</v>
      </c>
      <c r="C159" s="1" t="s">
        <v>658</v>
      </c>
      <c r="D159" s="12"/>
    </row>
    <row r="160" spans="2:4" x14ac:dyDescent="0.25">
      <c r="B160" s="1" t="s">
        <v>598</v>
      </c>
      <c r="C160" s="1" t="s">
        <v>599</v>
      </c>
      <c r="D160" s="12"/>
    </row>
    <row r="161" spans="2:4" x14ac:dyDescent="0.25">
      <c r="B161" s="1" t="s">
        <v>600</v>
      </c>
      <c r="C161" s="1" t="s">
        <v>601</v>
      </c>
      <c r="D161" s="12"/>
    </row>
    <row r="162" spans="2:4" x14ac:dyDescent="0.25">
      <c r="B162" s="1" t="s">
        <v>489</v>
      </c>
      <c r="C162" s="1" t="s">
        <v>490</v>
      </c>
      <c r="D162" s="12"/>
    </row>
    <row r="163" spans="2:4" x14ac:dyDescent="0.25">
      <c r="B163" s="1" t="s">
        <v>491</v>
      </c>
      <c r="C163" s="1" t="s">
        <v>492</v>
      </c>
      <c r="D163" s="12"/>
    </row>
    <row r="164" spans="2:4" x14ac:dyDescent="0.25">
      <c r="B164" s="1" t="s">
        <v>374</v>
      </c>
      <c r="C164" s="1" t="s">
        <v>375</v>
      </c>
      <c r="D164" s="12"/>
    </row>
    <row r="165" spans="2:4" x14ac:dyDescent="0.25">
      <c r="B165" s="1" t="s">
        <v>376</v>
      </c>
      <c r="C165" s="1" t="s">
        <v>377</v>
      </c>
      <c r="D165" s="12"/>
    </row>
    <row r="166" spans="2:4" x14ac:dyDescent="0.25">
      <c r="B166" s="1" t="s">
        <v>378</v>
      </c>
      <c r="C166" s="1" t="s">
        <v>379</v>
      </c>
      <c r="D166" s="12"/>
    </row>
    <row r="167" spans="2:4" x14ac:dyDescent="0.25">
      <c r="B167" s="1" t="s">
        <v>380</v>
      </c>
      <c r="C167" s="1" t="s">
        <v>381</v>
      </c>
      <c r="D167" s="12"/>
    </row>
    <row r="168" spans="2:4" x14ac:dyDescent="0.25">
      <c r="B168" s="1" t="s">
        <v>493</v>
      </c>
      <c r="C168" s="1" t="s">
        <v>494</v>
      </c>
      <c r="D168" s="12"/>
    </row>
    <row r="169" spans="2:4" x14ac:dyDescent="0.25">
      <c r="B169" s="1" t="s">
        <v>382</v>
      </c>
      <c r="C169" s="1" t="s">
        <v>383</v>
      </c>
      <c r="D169" s="12"/>
    </row>
    <row r="170" spans="2:4" x14ac:dyDescent="0.25">
      <c r="B170" s="1" t="s">
        <v>497</v>
      </c>
      <c r="C170" s="1" t="s">
        <v>498</v>
      </c>
      <c r="D170" s="12"/>
    </row>
    <row r="171" spans="2:4" x14ac:dyDescent="0.25">
      <c r="B171" s="1" t="s">
        <v>275</v>
      </c>
      <c r="C171" s="1" t="s">
        <v>749</v>
      </c>
      <c r="D171" s="12"/>
    </row>
    <row r="172" spans="2:4" x14ac:dyDescent="0.25">
      <c r="B172" s="1" t="s">
        <v>602</v>
      </c>
      <c r="C172" s="1" t="s">
        <v>603</v>
      </c>
      <c r="D172" s="12"/>
    </row>
    <row r="173" spans="2:4" x14ac:dyDescent="0.25">
      <c r="B173" s="1" t="s">
        <v>384</v>
      </c>
      <c r="C173" s="1" t="s">
        <v>385</v>
      </c>
      <c r="D173" s="12"/>
    </row>
    <row r="174" spans="2:4" x14ac:dyDescent="0.25">
      <c r="B174" s="1" t="s">
        <v>386</v>
      </c>
      <c r="C174" s="1" t="s">
        <v>387</v>
      </c>
      <c r="D174" s="12"/>
    </row>
    <row r="175" spans="2:4" x14ac:dyDescent="0.25">
      <c r="B175" s="1" t="s">
        <v>388</v>
      </c>
      <c r="C175" s="1" t="s">
        <v>389</v>
      </c>
      <c r="D175" s="12"/>
    </row>
    <row r="176" spans="2:4" x14ac:dyDescent="0.25">
      <c r="B176" s="1" t="s">
        <v>276</v>
      </c>
      <c r="C176" s="1" t="s">
        <v>277</v>
      </c>
      <c r="D176" s="12"/>
    </row>
    <row r="177" spans="2:4" x14ac:dyDescent="0.25">
      <c r="B177" s="1" t="s">
        <v>690</v>
      </c>
      <c r="C177" s="1" t="s">
        <v>691</v>
      </c>
      <c r="D177" s="12"/>
    </row>
    <row r="178" spans="2:4" x14ac:dyDescent="0.25">
      <c r="B178" s="1" t="s">
        <v>390</v>
      </c>
      <c r="C178" s="1" t="s">
        <v>391</v>
      </c>
      <c r="D178" s="12"/>
    </row>
    <row r="179" spans="2:4" x14ac:dyDescent="0.25">
      <c r="B179" s="1" t="s">
        <v>392</v>
      </c>
      <c r="C179" s="1" t="s">
        <v>393</v>
      </c>
      <c r="D179" s="12"/>
    </row>
    <row r="180" spans="2:4" x14ac:dyDescent="0.25">
      <c r="B180" s="1" t="s">
        <v>394</v>
      </c>
      <c r="C180" s="1" t="s">
        <v>395</v>
      </c>
      <c r="D180" s="12"/>
    </row>
    <row r="181" spans="2:4" x14ac:dyDescent="0.25">
      <c r="B181" s="1" t="s">
        <v>505</v>
      </c>
      <c r="C181" s="1" t="s">
        <v>506</v>
      </c>
      <c r="D181" s="12"/>
    </row>
    <row r="182" spans="2:4" x14ac:dyDescent="0.25">
      <c r="B182" s="1" t="s">
        <v>396</v>
      </c>
      <c r="C182" s="1" t="s">
        <v>397</v>
      </c>
      <c r="D182" s="12"/>
    </row>
    <row r="183" spans="2:4" x14ac:dyDescent="0.25">
      <c r="B183" s="1" t="s">
        <v>278</v>
      </c>
      <c r="C183" s="1" t="s">
        <v>279</v>
      </c>
      <c r="D183" s="12"/>
    </row>
    <row r="184" spans="2:4" x14ac:dyDescent="0.25">
      <c r="B184" s="1" t="s">
        <v>280</v>
      </c>
      <c r="C184" s="1" t="s">
        <v>281</v>
      </c>
      <c r="D184" s="12"/>
    </row>
    <row r="185" spans="2:4" x14ac:dyDescent="0.25">
      <c r="B185" s="1" t="s">
        <v>282</v>
      </c>
      <c r="C185" s="1" t="s">
        <v>283</v>
      </c>
      <c r="D185" s="12"/>
    </row>
    <row r="186" spans="2:4" x14ac:dyDescent="0.25">
      <c r="B186" s="1" t="s">
        <v>507</v>
      </c>
      <c r="C186" s="1" t="s">
        <v>508</v>
      </c>
      <c r="D186" s="12"/>
    </row>
    <row r="187" spans="2:4" x14ac:dyDescent="0.25">
      <c r="B187" s="1" t="s">
        <v>509</v>
      </c>
      <c r="C187" s="1" t="s">
        <v>510</v>
      </c>
      <c r="D187" s="12"/>
    </row>
    <row r="188" spans="2:4" x14ac:dyDescent="0.25">
      <c r="B188" s="1" t="s">
        <v>511</v>
      </c>
      <c r="C188" s="1" t="s">
        <v>511</v>
      </c>
      <c r="D188" s="12"/>
    </row>
    <row r="189" spans="2:4" x14ac:dyDescent="0.25">
      <c r="B189" s="1" t="s">
        <v>512</v>
      </c>
      <c r="C189" s="1" t="s">
        <v>513</v>
      </c>
      <c r="D189" s="12"/>
    </row>
    <row r="190" spans="2:4" x14ac:dyDescent="0.25">
      <c r="B190" s="1" t="s">
        <v>284</v>
      </c>
      <c r="C190" s="1" t="s">
        <v>285</v>
      </c>
      <c r="D190" s="12"/>
    </row>
    <row r="191" spans="2:4" x14ac:dyDescent="0.25">
      <c r="B191" s="1" t="s">
        <v>286</v>
      </c>
      <c r="C191" s="1" t="s">
        <v>287</v>
      </c>
      <c r="D191" s="12"/>
    </row>
    <row r="192" spans="2:4" x14ac:dyDescent="0.25">
      <c r="B192" s="1" t="s">
        <v>400</v>
      </c>
      <c r="C192" s="1" t="s">
        <v>738</v>
      </c>
      <c r="D192" s="12"/>
    </row>
    <row r="193" spans="2:4" x14ac:dyDescent="0.25">
      <c r="B193" s="1" t="s">
        <v>401</v>
      </c>
      <c r="C193" s="1" t="s">
        <v>402</v>
      </c>
      <c r="D193" s="12"/>
    </row>
    <row r="194" spans="2:4" x14ac:dyDescent="0.25">
      <c r="B194" s="1" t="s">
        <v>288</v>
      </c>
      <c r="C194" s="1" t="s">
        <v>289</v>
      </c>
      <c r="D194" s="12"/>
    </row>
    <row r="195" spans="2:4" x14ac:dyDescent="0.25">
      <c r="B195" s="1" t="s">
        <v>514</v>
      </c>
      <c r="C195" s="1" t="s">
        <v>515</v>
      </c>
      <c r="D195" s="12"/>
    </row>
    <row r="196" spans="2:4" x14ac:dyDescent="0.25">
      <c r="B196" s="1" t="s">
        <v>692</v>
      </c>
      <c r="C196" s="1" t="s">
        <v>693</v>
      </c>
      <c r="D196" s="12"/>
    </row>
    <row r="197" spans="2:4" x14ac:dyDescent="0.25">
      <c r="B197" s="1" t="s">
        <v>290</v>
      </c>
      <c r="C197" s="1" t="s">
        <v>291</v>
      </c>
      <c r="D197" s="12"/>
    </row>
    <row r="198" spans="2:4" x14ac:dyDescent="0.25">
      <c r="B198" s="1" t="s">
        <v>292</v>
      </c>
      <c r="C198" s="1" t="s">
        <v>293</v>
      </c>
      <c r="D198" s="12"/>
    </row>
    <row r="199" spans="2:4" x14ac:dyDescent="0.25">
      <c r="B199" s="1" t="s">
        <v>606</v>
      </c>
      <c r="C199" s="1" t="s">
        <v>607</v>
      </c>
      <c r="D199" s="12"/>
    </row>
    <row r="200" spans="2:4" x14ac:dyDescent="0.25">
      <c r="B200" s="1" t="s">
        <v>694</v>
      </c>
      <c r="C200" s="1" t="s">
        <v>695</v>
      </c>
      <c r="D200" s="12"/>
    </row>
    <row r="201" spans="2:4" x14ac:dyDescent="0.25">
      <c r="B201" s="1" t="s">
        <v>516</v>
      </c>
      <c r="C201" s="1" t="s">
        <v>517</v>
      </c>
      <c r="D201" s="12"/>
    </row>
    <row r="202" spans="2:4" x14ac:dyDescent="0.25">
      <c r="B202" s="1" t="s">
        <v>518</v>
      </c>
      <c r="C202" s="1" t="s">
        <v>518</v>
      </c>
      <c r="D202" s="12"/>
    </row>
    <row r="203" spans="2:4" x14ac:dyDescent="0.25">
      <c r="B203" s="1" t="s">
        <v>403</v>
      </c>
      <c r="C203" s="1" t="s">
        <v>404</v>
      </c>
      <c r="D203" s="12"/>
    </row>
    <row r="204" spans="2:4" x14ac:dyDescent="0.25">
      <c r="B204" s="1" t="s">
        <v>519</v>
      </c>
      <c r="C204" s="1" t="s">
        <v>520</v>
      </c>
      <c r="D204" s="12"/>
    </row>
    <row r="205" spans="2:4" x14ac:dyDescent="0.25">
      <c r="B205" s="1" t="s">
        <v>608</v>
      </c>
      <c r="C205" s="1" t="s">
        <v>221</v>
      </c>
      <c r="D205" s="12"/>
    </row>
    <row r="206" spans="2:4" x14ac:dyDescent="0.25">
      <c r="B206" s="1" t="s">
        <v>296</v>
      </c>
      <c r="C206" s="1" t="s">
        <v>297</v>
      </c>
      <c r="D206" s="12"/>
    </row>
    <row r="207" spans="2:4" x14ac:dyDescent="0.25">
      <c r="B207" s="1" t="s">
        <v>298</v>
      </c>
      <c r="C207" s="1" t="s">
        <v>299</v>
      </c>
      <c r="D207" s="12"/>
    </row>
    <row r="208" spans="2:4" x14ac:dyDescent="0.25">
      <c r="B208" s="1" t="s">
        <v>405</v>
      </c>
      <c r="C208" s="1" t="s">
        <v>406</v>
      </c>
      <c r="D208" s="12"/>
    </row>
    <row r="209" spans="2:4" x14ac:dyDescent="0.25">
      <c r="B209" s="1" t="s">
        <v>300</v>
      </c>
      <c r="C209" s="1" t="s">
        <v>301</v>
      </c>
      <c r="D209" s="12"/>
    </row>
    <row r="210" spans="2:4" x14ac:dyDescent="0.25">
      <c r="B210" s="1" t="s">
        <v>697</v>
      </c>
      <c r="C210" s="1" t="s">
        <v>698</v>
      </c>
      <c r="D210" s="12"/>
    </row>
    <row r="211" spans="2:4" x14ac:dyDescent="0.25">
      <c r="B211" s="1" t="s">
        <v>409</v>
      </c>
      <c r="C211" s="1" t="s">
        <v>410</v>
      </c>
      <c r="D211" s="12"/>
    </row>
    <row r="212" spans="2:4" x14ac:dyDescent="0.25">
      <c r="B212" s="1" t="s">
        <v>521</v>
      </c>
      <c r="C212" s="1" t="s">
        <v>522</v>
      </c>
      <c r="D212" s="12"/>
    </row>
    <row r="213" spans="2:4" x14ac:dyDescent="0.25">
      <c r="B213" s="1" t="s">
        <v>702</v>
      </c>
      <c r="C213" s="1" t="s">
        <v>703</v>
      </c>
      <c r="D213" s="12"/>
    </row>
    <row r="214" spans="2:4" x14ac:dyDescent="0.25">
      <c r="B214" s="1" t="s">
        <v>611</v>
      </c>
      <c r="C214" s="1" t="s">
        <v>612</v>
      </c>
      <c r="D214" s="12"/>
    </row>
    <row r="215" spans="2:4" x14ac:dyDescent="0.25">
      <c r="B215" s="1" t="s">
        <v>302</v>
      </c>
      <c r="C215" s="1" t="s">
        <v>303</v>
      </c>
      <c r="D215" s="12"/>
    </row>
    <row r="216" spans="2:4" x14ac:dyDescent="0.25">
      <c r="B216" s="1" t="s">
        <v>304</v>
      </c>
      <c r="C216" s="1" t="s">
        <v>305</v>
      </c>
      <c r="D216" s="12"/>
    </row>
    <row r="217" spans="2:4" x14ac:dyDescent="0.25">
      <c r="B217" s="1" t="s">
        <v>412</v>
      </c>
      <c r="C217" s="1" t="s">
        <v>413</v>
      </c>
      <c r="D217" s="12"/>
    </row>
    <row r="218" spans="2:4" x14ac:dyDescent="0.25">
      <c r="B218" s="1" t="s">
        <v>499</v>
      </c>
      <c r="C218" s="1" t="s">
        <v>523</v>
      </c>
      <c r="D218" s="12"/>
    </row>
    <row r="219" spans="2:4" x14ac:dyDescent="0.25">
      <c r="B219" s="1" t="s">
        <v>414</v>
      </c>
      <c r="C219" s="1" t="s">
        <v>415</v>
      </c>
      <c r="D219" s="12"/>
    </row>
    <row r="220" spans="2:4" x14ac:dyDescent="0.25">
      <c r="B220" s="1" t="s">
        <v>416</v>
      </c>
      <c r="C220" s="1" t="s">
        <v>417</v>
      </c>
      <c r="D220" s="12"/>
    </row>
    <row r="221" spans="2:4" x14ac:dyDescent="0.25">
      <c r="B221" s="1" t="s">
        <v>709</v>
      </c>
      <c r="C221" s="1" t="s">
        <v>710</v>
      </c>
      <c r="D221" s="12"/>
    </row>
    <row r="222" spans="2:4" x14ac:dyDescent="0.25">
      <c r="B222" s="1" t="s">
        <v>418</v>
      </c>
      <c r="C222" s="1" t="s">
        <v>208</v>
      </c>
      <c r="D222" s="12"/>
    </row>
    <row r="223" spans="2:4" x14ac:dyDescent="0.25">
      <c r="B223" s="1" t="s">
        <v>613</v>
      </c>
      <c r="C223" s="1" t="s">
        <v>614</v>
      </c>
      <c r="D223" s="12"/>
    </row>
    <row r="224" spans="2:4" x14ac:dyDescent="0.25">
      <c r="B224" s="1" t="s">
        <v>712</v>
      </c>
      <c r="C224" s="1" t="s">
        <v>713</v>
      </c>
      <c r="D224" s="12"/>
    </row>
    <row r="225" spans="2:4" x14ac:dyDescent="0.25">
      <c r="B225" s="1" t="s">
        <v>659</v>
      </c>
      <c r="C225" s="1" t="s">
        <v>660</v>
      </c>
      <c r="D225" s="12"/>
    </row>
    <row r="226" spans="2:4" x14ac:dyDescent="0.25">
      <c r="B226" s="1" t="s">
        <v>661</v>
      </c>
      <c r="C226" s="1" t="s">
        <v>662</v>
      </c>
      <c r="D226" s="12"/>
    </row>
    <row r="227" spans="2:4" x14ac:dyDescent="0.25">
      <c r="B227" s="1" t="s">
        <v>419</v>
      </c>
      <c r="C227" s="1" t="s">
        <v>420</v>
      </c>
      <c r="D227" s="12"/>
    </row>
    <row r="228" spans="2:4" x14ac:dyDescent="0.25">
      <c r="B228" s="1" t="s">
        <v>524</v>
      </c>
      <c r="C228" s="1" t="s">
        <v>525</v>
      </c>
      <c r="D228" s="12"/>
    </row>
    <row r="229" spans="2:4" x14ac:dyDescent="0.25">
      <c r="B229" s="1" t="s">
        <v>526</v>
      </c>
      <c r="C229" s="1" t="s">
        <v>527</v>
      </c>
      <c r="D229" s="12"/>
    </row>
    <row r="230" spans="2:4" x14ac:dyDescent="0.25">
      <c r="B230" s="1" t="s">
        <v>421</v>
      </c>
      <c r="C230" s="1" t="s">
        <v>422</v>
      </c>
      <c r="D230" s="12"/>
    </row>
    <row r="231" spans="2:4" x14ac:dyDescent="0.25">
      <c r="B231" s="1" t="s">
        <v>528</v>
      </c>
      <c r="C231" s="1" t="s">
        <v>529</v>
      </c>
      <c r="D231" s="12"/>
    </row>
    <row r="232" spans="2:4" x14ac:dyDescent="0.25">
      <c r="B232" s="1" t="s">
        <v>530</v>
      </c>
      <c r="C232" s="1" t="s">
        <v>531</v>
      </c>
      <c r="D232" s="12"/>
    </row>
    <row r="233" spans="2:4" x14ac:dyDescent="0.25">
      <c r="B233" s="1" t="s">
        <v>308</v>
      </c>
      <c r="C233" s="1" t="s">
        <v>309</v>
      </c>
      <c r="D233" s="12"/>
    </row>
    <row r="234" spans="2:4" x14ac:dyDescent="0.25">
      <c r="B234" s="1" t="s">
        <v>621</v>
      </c>
      <c r="C234" s="1" t="s">
        <v>622</v>
      </c>
      <c r="D234" s="12"/>
    </row>
    <row r="235" spans="2:4" x14ac:dyDescent="0.25">
      <c r="B235" s="1" t="s">
        <v>623</v>
      </c>
      <c r="C235" s="1" t="s">
        <v>624</v>
      </c>
      <c r="D235" s="12"/>
    </row>
    <row r="236" spans="2:4" x14ac:dyDescent="0.25">
      <c r="B236" s="1" t="s">
        <v>629</v>
      </c>
      <c r="C236" s="1" t="s">
        <v>630</v>
      </c>
      <c r="D236" s="12"/>
    </row>
    <row r="237" spans="2:4" x14ac:dyDescent="0.25">
      <c r="B237" s="1" t="s">
        <v>716</v>
      </c>
      <c r="C237" s="1" t="s">
        <v>717</v>
      </c>
      <c r="D237" s="12"/>
    </row>
    <row r="238" spans="2:4" x14ac:dyDescent="0.25">
      <c r="B238" s="1" t="s">
        <v>532</v>
      </c>
      <c r="C238" s="1" t="s">
        <v>532</v>
      </c>
      <c r="D238" s="12"/>
    </row>
    <row r="239" spans="2:4" x14ac:dyDescent="0.25">
      <c r="B239" s="1" t="s">
        <v>312</v>
      </c>
      <c r="C239" s="1" t="s">
        <v>313</v>
      </c>
      <c r="D239" s="12"/>
    </row>
    <row r="240" spans="2:4" x14ac:dyDescent="0.25">
      <c r="B240" s="1" t="s">
        <v>423</v>
      </c>
      <c r="C240" s="1" t="s">
        <v>424</v>
      </c>
      <c r="D240" s="12"/>
    </row>
    <row r="241" spans="2:4" x14ac:dyDescent="0.25">
      <c r="B241" s="1" t="s">
        <v>314</v>
      </c>
      <c r="C241" s="1" t="s">
        <v>315</v>
      </c>
      <c r="D241" s="12"/>
    </row>
    <row r="242" spans="2:4" x14ac:dyDescent="0.25">
      <c r="B242" s="1" t="s">
        <v>533</v>
      </c>
      <c r="C242" s="1" t="s">
        <v>534</v>
      </c>
      <c r="D242" s="12"/>
    </row>
    <row r="243" spans="2:4" x14ac:dyDescent="0.25">
      <c r="B243" s="1" t="s">
        <v>316</v>
      </c>
      <c r="C243" s="1" t="s">
        <v>317</v>
      </c>
      <c r="D243" s="12"/>
    </row>
    <row r="244" spans="2:4" x14ac:dyDescent="0.25">
      <c r="B244" s="1" t="s">
        <v>318</v>
      </c>
      <c r="C244" s="1" t="s">
        <v>319</v>
      </c>
      <c r="D244" s="12"/>
    </row>
    <row r="245" spans="2:4" x14ac:dyDescent="0.25">
      <c r="B245" s="1" t="s">
        <v>425</v>
      </c>
      <c r="C245" s="1" t="s">
        <v>425</v>
      </c>
      <c r="D245" s="12"/>
    </row>
    <row r="246" spans="2:4" x14ac:dyDescent="0.25">
      <c r="B246" s="1" t="s">
        <v>535</v>
      </c>
      <c r="C246" s="1" t="s">
        <v>536</v>
      </c>
      <c r="D246" s="12"/>
    </row>
    <row r="247" spans="2:4" x14ac:dyDescent="0.25">
      <c r="B247" s="1" t="s">
        <v>537</v>
      </c>
      <c r="C247" s="1" t="s">
        <v>538</v>
      </c>
      <c r="D247" s="12"/>
    </row>
    <row r="248" spans="2:4" x14ac:dyDescent="0.25">
      <c r="B248" s="1" t="s">
        <v>718</v>
      </c>
      <c r="C248" s="1" t="s">
        <v>719</v>
      </c>
      <c r="D248" s="12"/>
    </row>
    <row r="249" spans="2:4" x14ac:dyDescent="0.25">
      <c r="B249" s="1" t="s">
        <v>320</v>
      </c>
      <c r="C249" s="1" t="s">
        <v>321</v>
      </c>
      <c r="D249" s="12"/>
    </row>
    <row r="250" spans="2:4" x14ac:dyDescent="0.25">
      <c r="B250" s="1" t="s">
        <v>324</v>
      </c>
      <c r="C250" s="1" t="s">
        <v>734</v>
      </c>
      <c r="D250" s="12"/>
    </row>
    <row r="251" spans="2:4" x14ac:dyDescent="0.25">
      <c r="B251" s="1" t="s">
        <v>426</v>
      </c>
      <c r="C251" s="1" t="s">
        <v>427</v>
      </c>
      <c r="D251" s="12"/>
    </row>
    <row r="252" spans="2:4" x14ac:dyDescent="0.25">
      <c r="B252" s="1" t="s">
        <v>325</v>
      </c>
      <c r="C252" s="1" t="s">
        <v>326</v>
      </c>
      <c r="D252" s="12"/>
    </row>
    <row r="253" spans="2:4" x14ac:dyDescent="0.25">
      <c r="B253" s="1" t="s">
        <v>539</v>
      </c>
      <c r="C253" s="1" t="s">
        <v>540</v>
      </c>
      <c r="D253" s="12"/>
    </row>
    <row r="254" spans="2:4" x14ac:dyDescent="0.25">
      <c r="B254" s="1" t="s">
        <v>430</v>
      </c>
      <c r="C254" s="1" t="s">
        <v>431</v>
      </c>
      <c r="D254" s="12"/>
    </row>
    <row r="255" spans="2:4" x14ac:dyDescent="0.25">
      <c r="B255" s="1" t="s">
        <v>327</v>
      </c>
      <c r="C255" s="1" t="s">
        <v>328</v>
      </c>
      <c r="D255" s="12"/>
    </row>
    <row r="256" spans="2:4" x14ac:dyDescent="0.25">
      <c r="B256" s="1" t="s">
        <v>665</v>
      </c>
      <c r="C256" s="1" t="s">
        <v>666</v>
      </c>
      <c r="D256" s="12"/>
    </row>
    <row r="257" spans="2:4" x14ac:dyDescent="0.25">
      <c r="B257" s="1" t="s">
        <v>2128</v>
      </c>
      <c r="C257" s="1" t="s">
        <v>735</v>
      </c>
      <c r="D257" s="12"/>
    </row>
    <row r="258" spans="2:4" x14ac:dyDescent="0.25">
      <c r="B258" s="1" t="s">
        <v>543</v>
      </c>
      <c r="C258" s="1" t="s">
        <v>544</v>
      </c>
      <c r="D258" s="12"/>
    </row>
    <row r="259" spans="2:4" x14ac:dyDescent="0.25">
      <c r="B259" s="1" t="s">
        <v>545</v>
      </c>
      <c r="C259" s="1" t="s">
        <v>546</v>
      </c>
      <c r="D259" s="12"/>
    </row>
    <row r="260" spans="2:4" x14ac:dyDescent="0.25">
      <c r="B260" s="1" t="s">
        <v>432</v>
      </c>
      <c r="C260" s="1" t="s">
        <v>433</v>
      </c>
      <c r="D260" s="12"/>
    </row>
    <row r="261" spans="2:4" x14ac:dyDescent="0.25">
      <c r="B261" s="1" t="s">
        <v>436</v>
      </c>
      <c r="C261" s="1" t="s">
        <v>437</v>
      </c>
      <c r="D261" s="12"/>
    </row>
    <row r="262" spans="2:4" x14ac:dyDescent="0.25">
      <c r="B262" s="1" t="s">
        <v>329</v>
      </c>
      <c r="C262" s="1" t="s">
        <v>736</v>
      </c>
      <c r="D262" s="12"/>
    </row>
    <row r="263" spans="2:4" x14ac:dyDescent="0.25">
      <c r="B263" s="1" t="s">
        <v>438</v>
      </c>
      <c r="C263" s="1" t="s">
        <v>439</v>
      </c>
      <c r="D263" s="12"/>
    </row>
    <row r="264" spans="2:4" x14ac:dyDescent="0.25">
      <c r="B264" s="1" t="s">
        <v>330</v>
      </c>
      <c r="C264" s="1" t="s">
        <v>331</v>
      </c>
      <c r="D264" s="12"/>
    </row>
    <row r="265" spans="2:4" x14ac:dyDescent="0.25">
      <c r="B265" s="1" t="s">
        <v>721</v>
      </c>
      <c r="C265" s="1" t="s">
        <v>746</v>
      </c>
      <c r="D265" s="12"/>
    </row>
    <row r="266" spans="2:4" x14ac:dyDescent="0.25">
      <c r="B266" s="1" t="s">
        <v>634</v>
      </c>
      <c r="C266" s="1" t="s">
        <v>635</v>
      </c>
      <c r="D266" s="12"/>
    </row>
    <row r="267" spans="2:4" x14ac:dyDescent="0.25">
      <c r="B267" s="1" t="s">
        <v>332</v>
      </c>
      <c r="C267" s="1" t="s">
        <v>333</v>
      </c>
      <c r="D267" s="12"/>
    </row>
    <row r="268" spans="2:4" x14ac:dyDescent="0.25">
      <c r="B268" s="1" t="s">
        <v>440</v>
      </c>
      <c r="C268" s="1" t="s">
        <v>441</v>
      </c>
      <c r="D268" s="12"/>
    </row>
    <row r="269" spans="2:4" x14ac:dyDescent="0.25">
      <c r="B269" s="1" t="s">
        <v>442</v>
      </c>
      <c r="C269" s="1" t="s">
        <v>443</v>
      </c>
      <c r="D269" s="12"/>
    </row>
    <row r="270" spans="2:4" x14ac:dyDescent="0.25">
      <c r="B270" s="1" t="s">
        <v>722</v>
      </c>
      <c r="C270" s="1" t="s">
        <v>723</v>
      </c>
      <c r="D270" s="12"/>
    </row>
    <row r="271" spans="2:4" x14ac:dyDescent="0.25">
      <c r="B271" s="1" t="s">
        <v>334</v>
      </c>
      <c r="C271" s="1" t="s">
        <v>335</v>
      </c>
      <c r="D271" s="12"/>
    </row>
    <row r="272" spans="2:4" x14ac:dyDescent="0.25">
      <c r="B272" s="1" t="s">
        <v>549</v>
      </c>
      <c r="C272" s="1" t="s">
        <v>550</v>
      </c>
      <c r="D272" s="12"/>
    </row>
    <row r="273" spans="2:4" x14ac:dyDescent="0.25">
      <c r="B273" s="1" t="s">
        <v>444</v>
      </c>
      <c r="C273" s="1" t="s">
        <v>445</v>
      </c>
      <c r="D273" s="12"/>
    </row>
    <row r="274" spans="2:4" x14ac:dyDescent="0.25">
      <c r="B274" s="1" t="s">
        <v>551</v>
      </c>
      <c r="C274" s="1" t="s">
        <v>552</v>
      </c>
      <c r="D274" s="12"/>
    </row>
    <row r="275" spans="2:4" x14ac:dyDescent="0.25">
      <c r="B275" s="1" t="s">
        <v>638</v>
      </c>
      <c r="C275" s="1" t="s">
        <v>639</v>
      </c>
      <c r="D275" s="12"/>
    </row>
    <row r="276" spans="2:4" x14ac:dyDescent="0.25">
      <c r="B276" s="1" t="s">
        <v>667</v>
      </c>
      <c r="C276" s="1" t="s">
        <v>668</v>
      </c>
      <c r="D276" s="12"/>
    </row>
    <row r="277" spans="2:4" x14ac:dyDescent="0.25">
      <c r="B277" s="1" t="s">
        <v>446</v>
      </c>
      <c r="C277" s="1" t="s">
        <v>447</v>
      </c>
      <c r="D277" s="12"/>
    </row>
    <row r="278" spans="2:4" x14ac:dyDescent="0.25">
      <c r="B278" s="1" t="s">
        <v>724</v>
      </c>
      <c r="C278" s="1" t="s">
        <v>725</v>
      </c>
      <c r="D278" s="12"/>
    </row>
    <row r="279" spans="2:4" x14ac:dyDescent="0.25">
      <c r="B279" s="1" t="s">
        <v>554</v>
      </c>
      <c r="C279" s="1" t="s">
        <v>553</v>
      </c>
      <c r="D279" s="12"/>
    </row>
    <row r="280" spans="2:4" x14ac:dyDescent="0.25">
      <c r="B280" s="1" t="s">
        <v>669</v>
      </c>
      <c r="C280" s="1" t="s">
        <v>670</v>
      </c>
      <c r="D280" s="12"/>
    </row>
    <row r="281" spans="2:4" x14ac:dyDescent="0.25">
      <c r="B281" s="1" t="s">
        <v>448</v>
      </c>
      <c r="C281" s="1" t="s">
        <v>449</v>
      </c>
      <c r="D281" s="12"/>
    </row>
    <row r="282" spans="2:4" x14ac:dyDescent="0.25">
      <c r="B282" s="1" t="s">
        <v>450</v>
      </c>
      <c r="C282" s="1" t="s">
        <v>451</v>
      </c>
      <c r="D282" s="12"/>
    </row>
    <row r="283" spans="2:4" x14ac:dyDescent="0.25">
      <c r="B283" s="1" t="s">
        <v>336</v>
      </c>
      <c r="C283" s="1" t="s">
        <v>337</v>
      </c>
      <c r="D283" s="12"/>
    </row>
    <row r="284" spans="2:4" x14ac:dyDescent="0.25">
      <c r="B284" s="24" t="s">
        <v>338</v>
      </c>
      <c r="C284" s="24" t="s">
        <v>339</v>
      </c>
      <c r="D284" s="25"/>
    </row>
  </sheetData>
  <sortState xmlns:xlrd2="http://schemas.microsoft.com/office/spreadsheetml/2017/richdata2" ref="B7:E289">
    <sortCondition ref="B7:B289"/>
  </sortState>
  <hyperlinks>
    <hyperlink ref="B3" r:id="rId1" xr:uid="{00000000-0004-0000-0300-000000000000}"/>
    <hyperlink ref="J3" r:id="rId2" xr:uid="{00000000-0004-0000-0300-000001000000}"/>
  </hyperlinks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3"/>
  <sheetViews>
    <sheetView workbookViewId="0">
      <pane xSplit="1" ySplit="1" topLeftCell="B49" activePane="bottomRight" state="frozen"/>
      <selection pane="topRight" activeCell="B1" sqref="B1"/>
      <selection pane="bottomLeft" activeCell="A3" sqref="A3"/>
      <selection pane="bottomRight" activeCell="A59" sqref="A59"/>
    </sheetView>
  </sheetViews>
  <sheetFormatPr defaultRowHeight="15" x14ac:dyDescent="0.25"/>
  <cols>
    <col min="1" max="1" width="43.28515625" bestFit="1" customWidth="1"/>
    <col min="2" max="3" width="14.7109375" hidden="1" customWidth="1"/>
    <col min="4" max="4" width="14.7109375" customWidth="1"/>
    <col min="5" max="6" width="14.7109375" hidden="1" customWidth="1"/>
  </cols>
  <sheetData>
    <row r="1" spans="1:6" x14ac:dyDescent="0.25">
      <c r="A1" t="s">
        <v>12097</v>
      </c>
      <c r="B1" t="s">
        <v>2158</v>
      </c>
      <c r="C1" t="s">
        <v>2159</v>
      </c>
      <c r="D1" t="s">
        <v>12089</v>
      </c>
      <c r="E1" t="s">
        <v>2160</v>
      </c>
      <c r="F1" t="s">
        <v>12067</v>
      </c>
    </row>
    <row r="2" spans="1:6" x14ac:dyDescent="0.25">
      <c r="A2" t="s">
        <v>0</v>
      </c>
      <c r="B2" t="s">
        <v>1252</v>
      </c>
      <c r="C2" t="s">
        <v>760</v>
      </c>
      <c r="D2" t="str">
        <f>VLOOKUP(A2,'geojson fields'!$A$1:$M$280,12, FALSE)</f>
        <v>AFG</v>
      </c>
      <c r="F2" t="str">
        <f t="shared" ref="F2:F20" si="0">IF(ISBLANK(E2),B2,E2)</f>
        <v>AF</v>
      </c>
    </row>
    <row r="3" spans="1:6" x14ac:dyDescent="0.25">
      <c r="A3" t="s">
        <v>12508</v>
      </c>
      <c r="B3" t="s">
        <v>1286</v>
      </c>
      <c r="C3" t="s">
        <v>1196</v>
      </c>
      <c r="D3" t="str">
        <f>VLOOKUP(A3,'geojson fields'!$A$1:$M$280,12, FALSE)</f>
        <v>ALD</v>
      </c>
      <c r="F3" t="str">
        <f t="shared" si="0"/>
        <v>AX</v>
      </c>
    </row>
    <row r="4" spans="1:6" x14ac:dyDescent="0.25">
      <c r="A4" t="s">
        <v>1</v>
      </c>
      <c r="B4" t="s">
        <v>1261</v>
      </c>
      <c r="C4" t="s">
        <v>762</v>
      </c>
      <c r="D4" t="str">
        <f>VLOOKUP(A4,'geojson fields'!$A$1:$M$280,12, FALSE)</f>
        <v>ALB</v>
      </c>
      <c r="F4" t="str">
        <f t="shared" si="0"/>
        <v>AL</v>
      </c>
    </row>
    <row r="5" spans="1:6" x14ac:dyDescent="0.25">
      <c r="A5" t="s">
        <v>2</v>
      </c>
      <c r="B5" t="s">
        <v>1428</v>
      </c>
      <c r="C5" t="s">
        <v>764</v>
      </c>
      <c r="D5" t="str">
        <f>VLOOKUP(A5,'geojson fields'!$A$1:$M$280,12, FALSE)</f>
        <v>DZA</v>
      </c>
      <c r="F5" t="str">
        <f t="shared" si="0"/>
        <v>DZ</v>
      </c>
    </row>
    <row r="6" spans="1:6" x14ac:dyDescent="0.25">
      <c r="A6" t="s">
        <v>1197</v>
      </c>
      <c r="B6" t="s">
        <v>1273</v>
      </c>
      <c r="C6" t="s">
        <v>765</v>
      </c>
      <c r="D6" t="str">
        <f>VLOOKUP(A6,'geojson fields'!$A$1:$M$280,12, FALSE)</f>
        <v>ASM</v>
      </c>
      <c r="F6" t="str">
        <f t="shared" si="0"/>
        <v>AS</v>
      </c>
    </row>
    <row r="7" spans="1:6" x14ac:dyDescent="0.25">
      <c r="A7" t="s">
        <v>3</v>
      </c>
      <c r="B7" t="s">
        <v>1245</v>
      </c>
      <c r="C7" t="s">
        <v>767</v>
      </c>
      <c r="D7" t="str">
        <f>VLOOKUP(A7,'geojson fields'!$A$1:$M$280,12, FALSE)</f>
        <v>AND</v>
      </c>
      <c r="F7" t="str">
        <f t="shared" si="0"/>
        <v>AD</v>
      </c>
    </row>
    <row r="8" spans="1:6" x14ac:dyDescent="0.25">
      <c r="A8" t="s">
        <v>4</v>
      </c>
      <c r="B8" t="s">
        <v>1267</v>
      </c>
      <c r="C8" t="s">
        <v>769</v>
      </c>
      <c r="D8" t="str">
        <f>VLOOKUP(A8,'geojson fields'!$A$1:$M$280,12, FALSE)</f>
        <v>AGO</v>
      </c>
      <c r="F8" t="str">
        <f t="shared" si="0"/>
        <v>AO</v>
      </c>
    </row>
    <row r="9" spans="1:6" x14ac:dyDescent="0.25">
      <c r="A9" t="s">
        <v>1198</v>
      </c>
      <c r="B9" t="s">
        <v>1258</v>
      </c>
      <c r="C9" t="s">
        <v>770</v>
      </c>
      <c r="D9" t="str">
        <f>VLOOKUP(A9,'geojson fields'!$A$1:$M$280,12, FALSE)</f>
        <v>AIA</v>
      </c>
      <c r="F9" t="str">
        <f t="shared" si="0"/>
        <v>AI</v>
      </c>
    </row>
    <row r="10" spans="1:6" x14ac:dyDescent="0.25">
      <c r="A10" t="s">
        <v>1199</v>
      </c>
      <c r="B10" t="s">
        <v>2151</v>
      </c>
      <c r="C10" t="s">
        <v>771</v>
      </c>
      <c r="D10" t="str">
        <f>VLOOKUP(A10,'geojson fields'!$A$1:$M$280,12, FALSE)</f>
        <v>ATA</v>
      </c>
      <c r="F10" t="str">
        <f t="shared" si="0"/>
        <v>AQ</v>
      </c>
    </row>
    <row r="11" spans="1:6" x14ac:dyDescent="0.25">
      <c r="A11" t="s">
        <v>5</v>
      </c>
      <c r="B11" t="s">
        <v>1255</v>
      </c>
      <c r="C11" t="s">
        <v>773</v>
      </c>
      <c r="D11" t="str">
        <f>VLOOKUP(A11,'geojson fields'!$A$1:$M$280,12, FALSE)</f>
        <v>ATG</v>
      </c>
      <c r="F11" t="str">
        <f t="shared" si="0"/>
        <v>AG</v>
      </c>
    </row>
    <row r="12" spans="1:6" x14ac:dyDescent="0.25">
      <c r="A12" t="s">
        <v>6</v>
      </c>
      <c r="B12" t="s">
        <v>1270</v>
      </c>
      <c r="C12" t="s">
        <v>775</v>
      </c>
      <c r="D12" t="str">
        <f>VLOOKUP(A12,'geojson fields'!$A$1:$M$280,12, FALSE)</f>
        <v>ARG</v>
      </c>
      <c r="F12" t="str">
        <f t="shared" si="0"/>
        <v>AR</v>
      </c>
    </row>
    <row r="13" spans="1:6" x14ac:dyDescent="0.25">
      <c r="A13" t="s">
        <v>7</v>
      </c>
      <c r="B13" t="s">
        <v>1264</v>
      </c>
      <c r="C13" t="s">
        <v>777</v>
      </c>
      <c r="D13" t="str">
        <f>VLOOKUP(A13,'geojson fields'!$A$1:$M$280,12, FALSE)</f>
        <v>ARM</v>
      </c>
      <c r="F13" t="str">
        <f t="shared" si="0"/>
        <v>AM</v>
      </c>
    </row>
    <row r="14" spans="1:6" x14ac:dyDescent="0.25">
      <c r="A14" t="s">
        <v>1200</v>
      </c>
      <c r="B14" t="s">
        <v>1283</v>
      </c>
      <c r="C14" t="s">
        <v>778</v>
      </c>
      <c r="D14" t="str">
        <f>VLOOKUP(A14,'geojson fields'!$A$1:$M$280,12, FALSE)</f>
        <v>ABW</v>
      </c>
      <c r="F14" t="str">
        <f t="shared" si="0"/>
        <v>AW</v>
      </c>
    </row>
    <row r="15" spans="1:6" x14ac:dyDescent="0.25">
      <c r="A15" t="s">
        <v>8</v>
      </c>
      <c r="B15" t="s">
        <v>1279</v>
      </c>
      <c r="C15" t="s">
        <v>780</v>
      </c>
      <c r="D15" t="str">
        <f>VLOOKUP(A15,'geojson fields'!$A$1:$M$280,12, FALSE)</f>
        <v>AUS</v>
      </c>
      <c r="F15" t="str">
        <f t="shared" si="0"/>
        <v>AU</v>
      </c>
    </row>
    <row r="16" spans="1:6" x14ac:dyDescent="0.25">
      <c r="A16" t="s">
        <v>9</v>
      </c>
      <c r="B16" t="s">
        <v>1276</v>
      </c>
      <c r="C16" t="s">
        <v>782</v>
      </c>
      <c r="D16" t="str">
        <f>VLOOKUP(A16,'geojson fields'!$A$1:$M$280,12, FALSE)</f>
        <v>AUT</v>
      </c>
      <c r="F16" t="str">
        <f t="shared" si="0"/>
        <v>AT</v>
      </c>
    </row>
    <row r="17" spans="1:6" x14ac:dyDescent="0.25">
      <c r="A17" t="s">
        <v>10</v>
      </c>
      <c r="B17" t="s">
        <v>1290</v>
      </c>
      <c r="C17" t="s">
        <v>784</v>
      </c>
      <c r="D17" t="str">
        <f>VLOOKUP(A17,'geojson fields'!$A$1:$M$280,12, FALSE)</f>
        <v>AZE</v>
      </c>
      <c r="E17" s="48"/>
      <c r="F17" t="str">
        <f t="shared" si="0"/>
        <v>AZ</v>
      </c>
    </row>
    <row r="18" spans="1:6" x14ac:dyDescent="0.25">
      <c r="A18" t="s">
        <v>12064</v>
      </c>
      <c r="D18" t="str">
        <f>VLOOKUP(A18,'geojson fields'!$A$1:$M$280,12, FALSE)</f>
        <v>PT-20</v>
      </c>
      <c r="E18" t="s">
        <v>9416</v>
      </c>
      <c r="F18" t="str">
        <f t="shared" si="0"/>
        <v>PT-20</v>
      </c>
    </row>
    <row r="19" spans="1:6" x14ac:dyDescent="0.25">
      <c r="A19" t="s">
        <v>17255</v>
      </c>
      <c r="B19" t="s">
        <v>1341</v>
      </c>
      <c r="C19" t="s">
        <v>786</v>
      </c>
      <c r="D19" t="str">
        <f>VLOOKUP(A19,'geojson fields'!$A$1:$M$280,12, FALSE)</f>
        <v>BHS</v>
      </c>
      <c r="F19" t="str">
        <f t="shared" si="0"/>
        <v>BS</v>
      </c>
    </row>
    <row r="20" spans="1:6" x14ac:dyDescent="0.25">
      <c r="A20" t="s">
        <v>12</v>
      </c>
      <c r="B20" t="s">
        <v>1313</v>
      </c>
      <c r="C20" t="s">
        <v>788</v>
      </c>
      <c r="D20" t="str">
        <f>VLOOKUP(A20,'geojson fields'!$A$1:$M$280,12, FALSE)</f>
        <v>BHR</v>
      </c>
      <c r="F20" t="str">
        <f t="shared" si="0"/>
        <v>BH</v>
      </c>
    </row>
    <row r="21" spans="1:6" x14ac:dyDescent="0.25">
      <c r="A21" t="s">
        <v>18388</v>
      </c>
      <c r="D21" t="str">
        <f>VLOOKUP(A21,'geojson fields'!$A$1:$M$280,12, FALSE)</f>
        <v>ES-PM</v>
      </c>
      <c r="E21" t="s">
        <v>4602</v>
      </c>
    </row>
    <row r="22" spans="1:6" x14ac:dyDescent="0.25">
      <c r="A22" t="s">
        <v>13</v>
      </c>
      <c r="B22" t="s">
        <v>1299</v>
      </c>
      <c r="C22" t="s">
        <v>790</v>
      </c>
      <c r="D22" t="str">
        <f>VLOOKUP(A22,'geojson fields'!$A$1:$M$280,12, FALSE)</f>
        <v>BGD</v>
      </c>
      <c r="F22" t="str">
        <f t="shared" ref="F22:F50" si="1">IF(ISBLANK(E22),B22,E22)</f>
        <v>BD</v>
      </c>
    </row>
    <row r="23" spans="1:6" x14ac:dyDescent="0.25">
      <c r="A23" t="s">
        <v>14</v>
      </c>
      <c r="B23" t="s">
        <v>1296</v>
      </c>
      <c r="C23" t="s">
        <v>792</v>
      </c>
      <c r="D23" t="str">
        <f>VLOOKUP(A23,'geojson fields'!$A$1:$M$280,12, FALSE)</f>
        <v>BRB</v>
      </c>
      <c r="F23" t="str">
        <f t="shared" si="1"/>
        <v>BB</v>
      </c>
    </row>
    <row r="24" spans="1:6" x14ac:dyDescent="0.25">
      <c r="A24" t="s">
        <v>15</v>
      </c>
      <c r="B24" t="s">
        <v>1350</v>
      </c>
      <c r="C24" t="s">
        <v>794</v>
      </c>
      <c r="D24" t="str">
        <f>VLOOKUP(A24,'geojson fields'!$A$1:$M$280,12, FALSE)</f>
        <v>BLR</v>
      </c>
      <c r="F24" t="str">
        <f t="shared" si="1"/>
        <v>BY</v>
      </c>
    </row>
    <row r="25" spans="1:6" x14ac:dyDescent="0.25">
      <c r="A25" t="s">
        <v>16</v>
      </c>
      <c r="B25" t="s">
        <v>1302</v>
      </c>
      <c r="C25" t="s">
        <v>796</v>
      </c>
      <c r="D25" t="str">
        <f>VLOOKUP(A25,'geojson fields'!$A$1:$M$280,12, FALSE)</f>
        <v>BEL</v>
      </c>
      <c r="F25" t="str">
        <f t="shared" si="1"/>
        <v>BE</v>
      </c>
    </row>
    <row r="26" spans="1:6" x14ac:dyDescent="0.25">
      <c r="A26" t="s">
        <v>17</v>
      </c>
      <c r="B26" t="s">
        <v>1353</v>
      </c>
      <c r="C26" t="s">
        <v>798</v>
      </c>
      <c r="D26" t="str">
        <f>VLOOKUP(A26,'geojson fields'!$A$1:$M$280,12, FALSE)</f>
        <v>BLZ</v>
      </c>
      <c r="F26" t="str">
        <f t="shared" si="1"/>
        <v>BZ</v>
      </c>
    </row>
    <row r="27" spans="1:6" x14ac:dyDescent="0.25">
      <c r="A27" t="s">
        <v>18</v>
      </c>
      <c r="B27" t="s">
        <v>1320</v>
      </c>
      <c r="C27" t="s">
        <v>800</v>
      </c>
      <c r="D27" t="str">
        <f>VLOOKUP(A27,'geojson fields'!$A$1:$M$280,12, FALSE)</f>
        <v>BEN</v>
      </c>
      <c r="F27" t="str">
        <f t="shared" si="1"/>
        <v>BJ</v>
      </c>
    </row>
    <row r="28" spans="1:6" x14ac:dyDescent="0.25">
      <c r="A28" t="s">
        <v>1201</v>
      </c>
      <c r="B28" t="s">
        <v>1326</v>
      </c>
      <c r="C28" t="s">
        <v>801</v>
      </c>
      <c r="D28" t="str">
        <f>VLOOKUP(A28,'geojson fields'!$A$1:$M$280,12, FALSE)</f>
        <v>BMU</v>
      </c>
      <c r="F28" t="str">
        <f t="shared" si="1"/>
        <v>BM</v>
      </c>
    </row>
    <row r="29" spans="1:6" x14ac:dyDescent="0.25">
      <c r="A29" t="s">
        <v>19</v>
      </c>
      <c r="B29" t="s">
        <v>1344</v>
      </c>
      <c r="C29" t="s">
        <v>803</v>
      </c>
      <c r="D29" t="str">
        <f>VLOOKUP(A29,'geojson fields'!$A$1:$M$280,12, FALSE)</f>
        <v>BTN</v>
      </c>
      <c r="F29" t="str">
        <f t="shared" si="1"/>
        <v>BT</v>
      </c>
    </row>
    <row r="30" spans="1:6" x14ac:dyDescent="0.25">
      <c r="A30" t="s">
        <v>20</v>
      </c>
      <c r="B30" t="s">
        <v>1332</v>
      </c>
      <c r="C30" t="s">
        <v>805</v>
      </c>
      <c r="D30" t="str">
        <f>VLOOKUP(A30,'geojson fields'!$A$1:$M$280,12, FALSE)</f>
        <v>BOL</v>
      </c>
      <c r="F30" t="str">
        <f t="shared" si="1"/>
        <v>BO</v>
      </c>
    </row>
    <row r="31" spans="1:6" x14ac:dyDescent="0.25">
      <c r="A31" t="s">
        <v>1202</v>
      </c>
      <c r="B31" t="s">
        <v>1335</v>
      </c>
      <c r="C31" t="s">
        <v>806</v>
      </c>
      <c r="D31" t="str">
        <f>VLOOKUP(A31,'geojson fields'!$A$1:$M$280,12, FALSE)</f>
        <v>NL-BQ1</v>
      </c>
      <c r="F31" t="str">
        <f t="shared" si="1"/>
        <v>BQ</v>
      </c>
    </row>
    <row r="32" spans="1:6" x14ac:dyDescent="0.25">
      <c r="A32" t="s">
        <v>21</v>
      </c>
      <c r="B32" t="s">
        <v>1293</v>
      </c>
      <c r="C32" t="s">
        <v>808</v>
      </c>
      <c r="D32" t="str">
        <f>VLOOKUP(A32,'geojson fields'!$A$1:$M$280,12, FALSE)</f>
        <v>BIH</v>
      </c>
      <c r="F32" t="str">
        <f t="shared" si="1"/>
        <v>BA</v>
      </c>
    </row>
    <row r="33" spans="1:6" x14ac:dyDescent="0.25">
      <c r="A33" t="s">
        <v>22</v>
      </c>
      <c r="B33" t="s">
        <v>1347</v>
      </c>
      <c r="C33" t="s">
        <v>810</v>
      </c>
      <c r="D33" t="str">
        <f>VLOOKUP(A33,'geojson fields'!$A$1:$M$280,12, FALSE)</f>
        <v>BWA</v>
      </c>
      <c r="F33" t="str">
        <f t="shared" si="1"/>
        <v>BW</v>
      </c>
    </row>
    <row r="34" spans="1:6" x14ac:dyDescent="0.25">
      <c r="A34" t="s">
        <v>23</v>
      </c>
      <c r="B34" t="s">
        <v>1338</v>
      </c>
      <c r="C34" t="s">
        <v>812</v>
      </c>
      <c r="D34" t="str">
        <f>VLOOKUP(A34,'geojson fields'!$A$1:$M$280,12, FALSE)</f>
        <v>BRA</v>
      </c>
      <c r="F34" t="str">
        <f t="shared" si="1"/>
        <v>BR</v>
      </c>
    </row>
    <row r="35" spans="1:6" x14ac:dyDescent="0.25">
      <c r="A35" t="s">
        <v>1237</v>
      </c>
      <c r="B35" t="s">
        <v>1966</v>
      </c>
      <c r="C35" t="s">
        <v>1186</v>
      </c>
      <c r="D35" t="str">
        <f>VLOOKUP(A35,'geojson fields'!$A$1:$M$280,12, FALSE)</f>
        <v>VGB</v>
      </c>
      <c r="F35" t="str">
        <f t="shared" si="1"/>
        <v>VG</v>
      </c>
    </row>
    <row r="36" spans="1:6" x14ac:dyDescent="0.25">
      <c r="A36" t="s">
        <v>24</v>
      </c>
      <c r="B36" t="s">
        <v>1329</v>
      </c>
      <c r="C36" t="s">
        <v>814</v>
      </c>
      <c r="D36" t="str">
        <f>VLOOKUP(A36,'geojson fields'!$A$1:$M$280,12, FALSE)</f>
        <v>BRN</v>
      </c>
      <c r="F36" t="str">
        <f t="shared" si="1"/>
        <v>BN</v>
      </c>
    </row>
    <row r="37" spans="1:6" x14ac:dyDescent="0.25">
      <c r="A37" t="s">
        <v>25</v>
      </c>
      <c r="B37" t="s">
        <v>1309</v>
      </c>
      <c r="C37" t="s">
        <v>816</v>
      </c>
      <c r="D37" t="str">
        <f>VLOOKUP(A37,'geojson fields'!$A$1:$M$280,12, FALSE)</f>
        <v>BGR</v>
      </c>
      <c r="F37" t="str">
        <f t="shared" si="1"/>
        <v>BG</v>
      </c>
    </row>
    <row r="38" spans="1:6" x14ac:dyDescent="0.25">
      <c r="A38" t="s">
        <v>26</v>
      </c>
      <c r="B38" t="s">
        <v>1306</v>
      </c>
      <c r="C38" t="s">
        <v>818</v>
      </c>
      <c r="D38" t="str">
        <f>VLOOKUP(A38,'geojson fields'!$A$1:$M$280,12, FALSE)</f>
        <v>BFA</v>
      </c>
      <c r="F38" t="str">
        <f t="shared" si="1"/>
        <v>BF</v>
      </c>
    </row>
    <row r="39" spans="1:6" x14ac:dyDescent="0.25">
      <c r="A39" t="s">
        <v>27</v>
      </c>
      <c r="B39" t="s">
        <v>1316</v>
      </c>
      <c r="C39" t="s">
        <v>820</v>
      </c>
      <c r="D39" t="str">
        <f>VLOOKUP(A39,'geojson fields'!$A$1:$M$280,12, FALSE)</f>
        <v>BDI</v>
      </c>
      <c r="F39" t="str">
        <f t="shared" si="1"/>
        <v>BI</v>
      </c>
    </row>
    <row r="40" spans="1:6" x14ac:dyDescent="0.25">
      <c r="A40" t="s">
        <v>28</v>
      </c>
      <c r="B40" t="s">
        <v>1399</v>
      </c>
      <c r="C40" t="s">
        <v>828</v>
      </c>
      <c r="D40" t="str">
        <f>VLOOKUP(A40,'geojson fields'!$A$1:$M$280,12, FALSE)</f>
        <v>CPV</v>
      </c>
      <c r="F40" t="str">
        <f t="shared" si="1"/>
        <v>CV</v>
      </c>
    </row>
    <row r="41" spans="1:6" x14ac:dyDescent="0.25">
      <c r="A41" t="s">
        <v>29</v>
      </c>
      <c r="B41" t="s">
        <v>1600</v>
      </c>
      <c r="C41" t="s">
        <v>822</v>
      </c>
      <c r="D41" t="str">
        <f>VLOOKUP(A41,'geojson fields'!$A$1:$M$280,12, FALSE)</f>
        <v>KHM</v>
      </c>
      <c r="F41" t="str">
        <f t="shared" si="1"/>
        <v>KH</v>
      </c>
    </row>
    <row r="42" spans="1:6" x14ac:dyDescent="0.25">
      <c r="A42" t="s">
        <v>30</v>
      </c>
      <c r="B42" t="s">
        <v>1384</v>
      </c>
      <c r="C42" t="s">
        <v>824</v>
      </c>
      <c r="D42" t="str">
        <f>VLOOKUP(A42,'geojson fields'!$A$1:$M$280,12, FALSE)</f>
        <v>CMR</v>
      </c>
      <c r="F42" t="str">
        <f t="shared" si="1"/>
        <v>CM</v>
      </c>
    </row>
    <row r="43" spans="1:6" x14ac:dyDescent="0.25">
      <c r="A43" t="s">
        <v>31</v>
      </c>
      <c r="B43" t="s">
        <v>1356</v>
      </c>
      <c r="C43" t="s">
        <v>826</v>
      </c>
      <c r="D43" t="str">
        <f>VLOOKUP(A43,'geojson fields'!$A$1:$M$280,12, FALSE)</f>
        <v>CAN</v>
      </c>
      <c r="F43" t="str">
        <f t="shared" si="1"/>
        <v>CA</v>
      </c>
    </row>
    <row r="44" spans="1:6" x14ac:dyDescent="0.25">
      <c r="A44" t="s">
        <v>2023</v>
      </c>
      <c r="B44" t="s">
        <v>2156</v>
      </c>
      <c r="D44" t="str">
        <f>VLOOKUP(A44,'geojson fields'!$A$1:$M$280,12, FALSE)</f>
        <v>ES-CN</v>
      </c>
      <c r="E44" t="s">
        <v>4525</v>
      </c>
      <c r="F44" t="str">
        <f t="shared" si="1"/>
        <v>ES-CN</v>
      </c>
    </row>
    <row r="45" spans="1:6" x14ac:dyDescent="0.25">
      <c r="A45" t="s">
        <v>1204</v>
      </c>
      <c r="B45" t="s">
        <v>1622</v>
      </c>
      <c r="C45" t="s">
        <v>829</v>
      </c>
      <c r="D45" t="str">
        <f>VLOOKUP(A45,'geojson fields'!$A$1:$M$280,12, FALSE)</f>
        <v>CYM</v>
      </c>
      <c r="F45" t="str">
        <f t="shared" si="1"/>
        <v>KY</v>
      </c>
    </row>
    <row r="46" spans="1:6" x14ac:dyDescent="0.25">
      <c r="A46" t="s">
        <v>197</v>
      </c>
      <c r="B46" t="s">
        <v>1365</v>
      </c>
      <c r="C46" t="s">
        <v>831</v>
      </c>
      <c r="D46" t="str">
        <f>VLOOKUP(A46,'geojson fields'!$A$1:$M$280,12, FALSE)</f>
        <v>CAF</v>
      </c>
      <c r="F46" t="str">
        <f t="shared" si="1"/>
        <v>CF</v>
      </c>
    </row>
    <row r="47" spans="1:6" x14ac:dyDescent="0.25">
      <c r="A47" t="s">
        <v>4535</v>
      </c>
      <c r="D47" t="str">
        <f>VLOOKUP(A47,'geojson fields'!$A$1:$M$280,12, FALSE)</f>
        <v>ES-CE</v>
      </c>
      <c r="E47" t="s">
        <v>4534</v>
      </c>
      <c r="F47" t="str">
        <f t="shared" si="1"/>
        <v>ES-CE</v>
      </c>
    </row>
    <row r="48" spans="1:6" x14ac:dyDescent="0.25">
      <c r="A48" t="s">
        <v>32</v>
      </c>
      <c r="B48" t="s">
        <v>1896</v>
      </c>
      <c r="C48" t="s">
        <v>833</v>
      </c>
      <c r="D48" t="str">
        <f>VLOOKUP(A48,'geojson fields'!$A$1:$M$280,12, FALSE)</f>
        <v>TCD</v>
      </c>
      <c r="F48" t="str">
        <f t="shared" si="1"/>
        <v>TD</v>
      </c>
    </row>
    <row r="49" spans="1:6" x14ac:dyDescent="0.25">
      <c r="A49" t="s">
        <v>33</v>
      </c>
      <c r="B49" t="s">
        <v>1381</v>
      </c>
      <c r="C49" t="s">
        <v>835</v>
      </c>
      <c r="D49" t="str">
        <f>VLOOKUP(A49,'geojson fields'!$A$1:$M$280,12, FALSE)</f>
        <v>CHL</v>
      </c>
      <c r="F49" t="str">
        <f t="shared" si="1"/>
        <v>CL</v>
      </c>
    </row>
    <row r="50" spans="1:6" x14ac:dyDescent="0.25">
      <c r="A50" t="s">
        <v>1205</v>
      </c>
      <c r="B50" t="s">
        <v>1387</v>
      </c>
      <c r="C50" t="s">
        <v>837</v>
      </c>
      <c r="D50" t="str">
        <f>VLOOKUP(A50,'geojson fields'!$A$1:$M$280,12, FALSE)</f>
        <v>CHN</v>
      </c>
      <c r="F50" t="str">
        <f t="shared" si="1"/>
        <v>CN</v>
      </c>
    </row>
    <row r="51" spans="1:6" x14ac:dyDescent="0.25">
      <c r="A51" t="s">
        <v>13675</v>
      </c>
      <c r="D51" t="str">
        <f>VLOOKUP(A51,'geojson fields'!$A$1:$M$280,12, FALSE)</f>
        <v>CLP</v>
      </c>
    </row>
    <row r="52" spans="1:6" x14ac:dyDescent="0.25">
      <c r="A52" t="s">
        <v>35</v>
      </c>
      <c r="B52" t="s">
        <v>1390</v>
      </c>
      <c r="C52" t="s">
        <v>839</v>
      </c>
      <c r="D52" t="str">
        <f>VLOOKUP(A52,'geojson fields'!$A$1:$M$280,12, FALSE)</f>
        <v>COL</v>
      </c>
      <c r="F52" t="str">
        <f t="shared" ref="F52:F115" si="2">IF(ISBLANK(E52),B52,E52)</f>
        <v>CO</v>
      </c>
    </row>
    <row r="53" spans="1:6" x14ac:dyDescent="0.25">
      <c r="A53" t="s">
        <v>36</v>
      </c>
      <c r="B53" t="s">
        <v>1607</v>
      </c>
      <c r="C53" t="s">
        <v>841</v>
      </c>
      <c r="D53" t="str">
        <f>VLOOKUP(A53,'geojson fields'!$A$1:$M$280,12, FALSE)</f>
        <v>COM</v>
      </c>
      <c r="F53" t="str">
        <f t="shared" si="2"/>
        <v>KM</v>
      </c>
    </row>
    <row r="54" spans="1:6" x14ac:dyDescent="0.25">
      <c r="A54" t="s">
        <v>1206</v>
      </c>
      <c r="B54" t="s">
        <v>1378</v>
      </c>
      <c r="C54" t="s">
        <v>846</v>
      </c>
      <c r="D54" t="str">
        <f>VLOOKUP(A54,'geojson fields'!$A$1:$M$280,12, FALSE)</f>
        <v>COK</v>
      </c>
      <c r="F54" t="str">
        <f t="shared" si="2"/>
        <v>CK</v>
      </c>
    </row>
    <row r="55" spans="1:6" x14ac:dyDescent="0.25">
      <c r="A55" t="s">
        <v>39</v>
      </c>
      <c r="B55" t="s">
        <v>1393</v>
      </c>
      <c r="C55" t="s">
        <v>848</v>
      </c>
      <c r="D55" t="str">
        <f>VLOOKUP(A55,'geojson fields'!$A$1:$M$280,12, FALSE)</f>
        <v>CRI</v>
      </c>
      <c r="F55" t="str">
        <f t="shared" si="2"/>
        <v>CR</v>
      </c>
    </row>
    <row r="56" spans="1:6" x14ac:dyDescent="0.25">
      <c r="A56" t="s">
        <v>18853</v>
      </c>
      <c r="B56" t="s">
        <v>1375</v>
      </c>
      <c r="C56" t="s">
        <v>859</v>
      </c>
      <c r="D56" t="str">
        <f>VLOOKUP(A56,'geojson fields'!$A$1:$M$280,12, FALSE)</f>
        <v>CIV</v>
      </c>
      <c r="F56" t="str">
        <f t="shared" si="2"/>
        <v>CI</v>
      </c>
    </row>
    <row r="57" spans="1:6" x14ac:dyDescent="0.25">
      <c r="A57" t="s">
        <v>41</v>
      </c>
      <c r="B57" t="s">
        <v>1544</v>
      </c>
      <c r="C57" t="s">
        <v>850</v>
      </c>
      <c r="D57" t="str">
        <f>VLOOKUP(A57,'geojson fields'!$A$1:$M$280,12, FALSE)</f>
        <v>HRV</v>
      </c>
      <c r="F57" t="str">
        <f t="shared" si="2"/>
        <v>HR</v>
      </c>
    </row>
    <row r="58" spans="1:6" x14ac:dyDescent="0.25">
      <c r="A58" t="s">
        <v>42</v>
      </c>
      <c r="B58" t="s">
        <v>1396</v>
      </c>
      <c r="C58" t="s">
        <v>852</v>
      </c>
      <c r="D58" t="str">
        <f>VLOOKUP(A58,'geojson fields'!$A$1:$M$280,12, FALSE)</f>
        <v>CUB</v>
      </c>
      <c r="F58" t="str">
        <f t="shared" si="2"/>
        <v>CU</v>
      </c>
    </row>
    <row r="59" spans="1:6" x14ac:dyDescent="0.25">
      <c r="A59" t="s">
        <v>18385</v>
      </c>
      <c r="B59" t="s">
        <v>1402</v>
      </c>
      <c r="C59" t="s">
        <v>853</v>
      </c>
      <c r="D59" t="str">
        <f>VLOOKUP(A59,'geojson fields'!$A$1:$M$280,12, FALSE)</f>
        <v>CUW</v>
      </c>
      <c r="F59" t="str">
        <f t="shared" si="2"/>
        <v>CW</v>
      </c>
    </row>
    <row r="60" spans="1:6" x14ac:dyDescent="0.25">
      <c r="A60" t="s">
        <v>43</v>
      </c>
      <c r="B60" t="s">
        <v>1408</v>
      </c>
      <c r="C60" t="s">
        <v>855</v>
      </c>
      <c r="D60" t="str">
        <f>VLOOKUP(A60,'geojson fields'!$A$1:$M$280,12, FALSE)</f>
        <v>CYP</v>
      </c>
      <c r="F60" t="str">
        <f t="shared" si="2"/>
        <v>CY</v>
      </c>
    </row>
    <row r="61" spans="1:6" x14ac:dyDescent="0.25">
      <c r="A61" t="s">
        <v>2146</v>
      </c>
      <c r="B61" t="s">
        <v>1411</v>
      </c>
      <c r="C61" t="s">
        <v>857</v>
      </c>
      <c r="D61" t="str">
        <f>VLOOKUP(A61,'geojson fields'!$A$1:$M$280,12, FALSE)</f>
        <v>CZE</v>
      </c>
      <c r="F61" t="str">
        <f t="shared" si="2"/>
        <v>CZ</v>
      </c>
    </row>
    <row r="62" spans="1:6" x14ac:dyDescent="0.25">
      <c r="A62" t="s">
        <v>13583</v>
      </c>
      <c r="B62" t="s">
        <v>1362</v>
      </c>
      <c r="C62" t="s">
        <v>845</v>
      </c>
      <c r="D62" t="str">
        <f>VLOOKUP(A62,'geojson fields'!$A$1:$M$280,12, FALSE)</f>
        <v>COD</v>
      </c>
      <c r="F62" t="str">
        <f t="shared" si="2"/>
        <v>CD</v>
      </c>
    </row>
    <row r="63" spans="1:6" x14ac:dyDescent="0.25">
      <c r="A63" t="s">
        <v>45</v>
      </c>
      <c r="B63" t="s">
        <v>1419</v>
      </c>
      <c r="C63" t="s">
        <v>861</v>
      </c>
      <c r="D63" t="str">
        <f>VLOOKUP(A63,'geojson fields'!$A$1:$M$280,12, FALSE)</f>
        <v>DNK</v>
      </c>
      <c r="F63" t="str">
        <f t="shared" si="2"/>
        <v>DK</v>
      </c>
    </row>
    <row r="64" spans="1:6" x14ac:dyDescent="0.25">
      <c r="A64" t="s">
        <v>46</v>
      </c>
      <c r="B64" t="s">
        <v>1416</v>
      </c>
      <c r="C64" t="s">
        <v>863</v>
      </c>
      <c r="D64" t="str">
        <f>VLOOKUP(A64,'geojson fields'!$A$1:$M$280,12, FALSE)</f>
        <v>DJI</v>
      </c>
      <c r="F64" t="str">
        <f t="shared" si="2"/>
        <v>DJ</v>
      </c>
    </row>
    <row r="65" spans="1:6" x14ac:dyDescent="0.25">
      <c r="A65" t="s">
        <v>47</v>
      </c>
      <c r="B65" t="s">
        <v>1422</v>
      </c>
      <c r="C65" t="s">
        <v>865</v>
      </c>
      <c r="D65" t="str">
        <f>VLOOKUP(A65,'geojson fields'!$A$1:$M$280,12, FALSE)</f>
        <v>DMA</v>
      </c>
      <c r="F65" t="str">
        <f t="shared" si="2"/>
        <v>DM</v>
      </c>
    </row>
    <row r="66" spans="1:6" x14ac:dyDescent="0.25">
      <c r="A66" t="s">
        <v>48</v>
      </c>
      <c r="B66" t="s">
        <v>1425</v>
      </c>
      <c r="C66" t="s">
        <v>867</v>
      </c>
      <c r="D66" t="str">
        <f>VLOOKUP(A66,'geojson fields'!$A$1:$M$280,12, FALSE)</f>
        <v>DOM</v>
      </c>
      <c r="F66" t="str">
        <f t="shared" si="2"/>
        <v>DO</v>
      </c>
    </row>
    <row r="67" spans="1:6" x14ac:dyDescent="0.25">
      <c r="A67" t="s">
        <v>49</v>
      </c>
      <c r="B67" t="s">
        <v>1431</v>
      </c>
      <c r="C67" t="s">
        <v>869</v>
      </c>
      <c r="D67" t="str">
        <f>VLOOKUP(A67,'geojson fields'!$A$1:$M$280,12, FALSE)</f>
        <v>ECU</v>
      </c>
      <c r="F67" t="str">
        <f t="shared" si="2"/>
        <v>EC</v>
      </c>
    </row>
    <row r="68" spans="1:6" x14ac:dyDescent="0.25">
      <c r="A68" t="s">
        <v>50</v>
      </c>
      <c r="B68" t="s">
        <v>1437</v>
      </c>
      <c r="C68" t="s">
        <v>871</v>
      </c>
      <c r="D68" t="str">
        <f>VLOOKUP(A68,'geojson fields'!$A$1:$M$280,12, FALSE)</f>
        <v>EGY</v>
      </c>
      <c r="F68" t="str">
        <f t="shared" si="2"/>
        <v>EG</v>
      </c>
    </row>
    <row r="69" spans="1:6" x14ac:dyDescent="0.25">
      <c r="A69" t="s">
        <v>51</v>
      </c>
      <c r="B69" t="s">
        <v>1881</v>
      </c>
      <c r="C69" t="s">
        <v>873</v>
      </c>
      <c r="D69" t="str">
        <f>VLOOKUP(A69,'geojson fields'!$A$1:$M$280,12, FALSE)</f>
        <v>SLV</v>
      </c>
      <c r="F69" t="str">
        <f t="shared" si="2"/>
        <v>SV</v>
      </c>
    </row>
    <row r="70" spans="1:6" x14ac:dyDescent="0.25">
      <c r="A70" t="s">
        <v>52</v>
      </c>
      <c r="B70" t="s">
        <v>1514</v>
      </c>
      <c r="C70" t="s">
        <v>875</v>
      </c>
      <c r="D70" t="str">
        <f>VLOOKUP(A70,'geojson fields'!$A$1:$M$280,12, FALSE)</f>
        <v>GNQ</v>
      </c>
      <c r="F70" t="str">
        <f t="shared" si="2"/>
        <v>GQ</v>
      </c>
    </row>
    <row r="71" spans="1:6" x14ac:dyDescent="0.25">
      <c r="A71" t="s">
        <v>53</v>
      </c>
      <c r="B71" t="s">
        <v>1445</v>
      </c>
      <c r="C71" t="s">
        <v>877</v>
      </c>
      <c r="D71" t="str">
        <f>VLOOKUP(A71,'geojson fields'!$A$1:$M$280,12, FALSE)</f>
        <v>ERI</v>
      </c>
      <c r="F71" t="str">
        <f t="shared" si="2"/>
        <v>ER</v>
      </c>
    </row>
    <row r="72" spans="1:6" x14ac:dyDescent="0.25">
      <c r="A72" t="s">
        <v>54</v>
      </c>
      <c r="B72" t="s">
        <v>1434</v>
      </c>
      <c r="C72" t="s">
        <v>879</v>
      </c>
      <c r="D72" t="str">
        <f>VLOOKUP(A72,'geojson fields'!$A$1:$M$280,12, FALSE)</f>
        <v>EST</v>
      </c>
      <c r="F72" t="str">
        <f t="shared" si="2"/>
        <v>EE</v>
      </c>
    </row>
    <row r="73" spans="1:6" x14ac:dyDescent="0.25">
      <c r="A73" t="s">
        <v>2147</v>
      </c>
      <c r="B73" t="s">
        <v>1890</v>
      </c>
      <c r="C73" t="s">
        <v>1133</v>
      </c>
      <c r="D73" t="str">
        <f>VLOOKUP(A73,'geojson fields'!$A$1:$M$280,12, FALSE)</f>
        <v>SWZ</v>
      </c>
      <c r="F73" t="str">
        <f t="shared" si="2"/>
        <v>SZ</v>
      </c>
    </row>
    <row r="74" spans="1:6" x14ac:dyDescent="0.25">
      <c r="A74" t="s">
        <v>55</v>
      </c>
      <c r="B74" t="s">
        <v>1452</v>
      </c>
      <c r="C74" t="s">
        <v>881</v>
      </c>
      <c r="D74" t="str">
        <f>VLOOKUP(A74,'geojson fields'!$A$1:$M$280,12, FALSE)</f>
        <v>ETH</v>
      </c>
      <c r="F74" t="str">
        <f t="shared" si="2"/>
        <v>ET</v>
      </c>
    </row>
    <row r="75" spans="1:6" x14ac:dyDescent="0.25">
      <c r="A75" t="s">
        <v>14202</v>
      </c>
      <c r="B75" t="s">
        <v>1460</v>
      </c>
      <c r="C75" t="s">
        <v>882</v>
      </c>
      <c r="D75" t="str">
        <f>VLOOKUP(A75,'geojson fields'!$A$1:$M$280,12, FALSE)</f>
        <v>FLK</v>
      </c>
      <c r="F75" t="str">
        <f t="shared" si="2"/>
        <v>FK</v>
      </c>
    </row>
    <row r="76" spans="1:6" x14ac:dyDescent="0.25">
      <c r="A76" t="s">
        <v>1207</v>
      </c>
      <c r="B76" t="s">
        <v>1467</v>
      </c>
      <c r="C76" t="s">
        <v>883</v>
      </c>
      <c r="D76" t="str">
        <f>VLOOKUP(A76,'geojson fields'!$A$1:$M$280,12, FALSE)</f>
        <v>FRO</v>
      </c>
      <c r="F76" t="str">
        <f t="shared" si="2"/>
        <v>FO</v>
      </c>
    </row>
    <row r="77" spans="1:6" x14ac:dyDescent="0.25">
      <c r="A77" t="s">
        <v>113</v>
      </c>
      <c r="B77" t="s">
        <v>1463</v>
      </c>
      <c r="C77" t="s">
        <v>1012</v>
      </c>
      <c r="D77" t="str">
        <f>VLOOKUP(A77,'geojson fields'!$A$1:$M$280,12, FALSE)</f>
        <v>FSM</v>
      </c>
      <c r="F77" t="str">
        <f t="shared" si="2"/>
        <v>FM</v>
      </c>
    </row>
    <row r="78" spans="1:6" x14ac:dyDescent="0.25">
      <c r="A78" t="s">
        <v>56</v>
      </c>
      <c r="B78" t="s">
        <v>1457</v>
      </c>
      <c r="C78" t="s">
        <v>885</v>
      </c>
      <c r="D78" t="str">
        <f>VLOOKUP(A78,'geojson fields'!$A$1:$M$280,12, FALSE)</f>
        <v>FJI</v>
      </c>
      <c r="E78" s="48"/>
      <c r="F78" t="str">
        <f t="shared" si="2"/>
        <v>FJ</v>
      </c>
    </row>
    <row r="79" spans="1:6" x14ac:dyDescent="0.25">
      <c r="A79" t="s">
        <v>57</v>
      </c>
      <c r="B79" t="s">
        <v>1287</v>
      </c>
      <c r="C79" t="s">
        <v>887</v>
      </c>
      <c r="D79" t="str">
        <f>VLOOKUP(A79,'geojson fields'!$A$1:$M$280,12, FALSE)</f>
        <v>FIN</v>
      </c>
      <c r="F79" t="str">
        <f t="shared" si="2"/>
        <v>FI</v>
      </c>
    </row>
    <row r="80" spans="1:6" x14ac:dyDescent="0.25">
      <c r="A80" t="s">
        <v>58</v>
      </c>
      <c r="B80" t="s">
        <v>1471</v>
      </c>
      <c r="C80" t="s">
        <v>889</v>
      </c>
      <c r="D80" t="str">
        <f>VLOOKUP(A80,'geojson fields'!$A$1:$M$280,12, FALSE)</f>
        <v>FRA</v>
      </c>
      <c r="F80" t="str">
        <f t="shared" si="2"/>
        <v>FR</v>
      </c>
    </row>
    <row r="81" spans="1:6" x14ac:dyDescent="0.25">
      <c r="A81" t="s">
        <v>1208</v>
      </c>
      <c r="B81" t="s">
        <v>1490</v>
      </c>
      <c r="C81" t="s">
        <v>890</v>
      </c>
      <c r="D81" t="str">
        <f>VLOOKUP(A81,'geojson fields'!$A$1:$M$280,12, FALSE)</f>
        <v>FR-GF</v>
      </c>
      <c r="E81" s="53" t="s">
        <v>12077</v>
      </c>
      <c r="F81" t="str">
        <f t="shared" si="2"/>
        <v>FR-GF</v>
      </c>
    </row>
    <row r="82" spans="1:6" x14ac:dyDescent="0.25">
      <c r="A82" t="s">
        <v>1209</v>
      </c>
      <c r="B82" t="s">
        <v>1777</v>
      </c>
      <c r="C82" t="s">
        <v>891</v>
      </c>
      <c r="D82" t="str">
        <f>VLOOKUP(A82,'geojson fields'!$A$1:$M$280,12, FALSE)</f>
        <v>PYF</v>
      </c>
      <c r="F82" t="str">
        <f t="shared" si="2"/>
        <v>PF</v>
      </c>
    </row>
    <row r="83" spans="1:6" x14ac:dyDescent="0.25">
      <c r="A83" t="s">
        <v>14777</v>
      </c>
      <c r="B83" t="s">
        <v>1899</v>
      </c>
      <c r="C83" t="s">
        <v>892</v>
      </c>
      <c r="D83" t="str">
        <f>VLOOKUP(A83,'geojson fields'!$A$1:$M$280,12, FALSE)</f>
        <v>ATF</v>
      </c>
      <c r="F83" t="str">
        <f t="shared" si="2"/>
        <v>TF</v>
      </c>
    </row>
    <row r="84" spans="1:6" x14ac:dyDescent="0.25">
      <c r="A84" t="s">
        <v>59</v>
      </c>
      <c r="B84" t="s">
        <v>1474</v>
      </c>
      <c r="C84" t="s">
        <v>894</v>
      </c>
      <c r="D84" t="str">
        <f>VLOOKUP(A84,'geojson fields'!$A$1:$M$280,12, FALSE)</f>
        <v>GAB</v>
      </c>
      <c r="F84" t="str">
        <f t="shared" si="2"/>
        <v>GA</v>
      </c>
    </row>
    <row r="85" spans="1:6" x14ac:dyDescent="0.25">
      <c r="A85" t="s">
        <v>14364</v>
      </c>
      <c r="B85" t="s">
        <v>1504</v>
      </c>
      <c r="C85" t="s">
        <v>896</v>
      </c>
      <c r="D85" t="str">
        <f>VLOOKUP(A85,'geojson fields'!$A$1:$M$280,12, FALSE)</f>
        <v>GMB</v>
      </c>
      <c r="F85" t="str">
        <f t="shared" si="2"/>
        <v>GM</v>
      </c>
    </row>
    <row r="86" spans="1:6" x14ac:dyDescent="0.25">
      <c r="A86" t="s">
        <v>61</v>
      </c>
      <c r="B86" t="s">
        <v>1487</v>
      </c>
      <c r="C86" t="s">
        <v>898</v>
      </c>
      <c r="D86" t="str">
        <f>VLOOKUP(A86,'geojson fields'!$A$1:$M$280,12, FALSE)</f>
        <v>GEO</v>
      </c>
      <c r="F86" t="str">
        <f t="shared" si="2"/>
        <v>GE</v>
      </c>
    </row>
    <row r="87" spans="1:6" x14ac:dyDescent="0.25">
      <c r="A87" t="s">
        <v>62</v>
      </c>
      <c r="B87" t="s">
        <v>1414</v>
      </c>
      <c r="C87" t="s">
        <v>900</v>
      </c>
      <c r="D87" t="str">
        <f>VLOOKUP(A87,'geojson fields'!$A$1:$M$280,12, FALSE)</f>
        <v>DEU</v>
      </c>
      <c r="F87" t="str">
        <f t="shared" si="2"/>
        <v>DE</v>
      </c>
    </row>
    <row r="88" spans="1:6" x14ac:dyDescent="0.25">
      <c r="A88" t="s">
        <v>63</v>
      </c>
      <c r="B88" t="s">
        <v>1496</v>
      </c>
      <c r="C88" t="s">
        <v>902</v>
      </c>
      <c r="D88" t="str">
        <f>VLOOKUP(A88,'geojson fields'!$A$1:$M$280,12, FALSE)</f>
        <v>GHA</v>
      </c>
      <c r="F88" t="str">
        <f t="shared" si="2"/>
        <v>GH</v>
      </c>
    </row>
    <row r="89" spans="1:6" x14ac:dyDescent="0.25">
      <c r="A89" t="s">
        <v>1211</v>
      </c>
      <c r="B89" t="s">
        <v>1498</v>
      </c>
      <c r="C89" t="s">
        <v>903</v>
      </c>
      <c r="D89" t="str">
        <f>VLOOKUP(A89,'geojson fields'!$A$1:$M$280,12, FALSE)</f>
        <v>GIB</v>
      </c>
      <c r="F89" t="str">
        <f t="shared" si="2"/>
        <v>GI</v>
      </c>
    </row>
    <row r="90" spans="1:6" x14ac:dyDescent="0.25">
      <c r="A90" t="s">
        <v>64</v>
      </c>
      <c r="B90" t="s">
        <v>1517</v>
      </c>
      <c r="C90" t="s">
        <v>905</v>
      </c>
      <c r="D90" t="str">
        <f>VLOOKUP(A90,'geojson fields'!$A$1:$M$280,12, FALSE)</f>
        <v>GRC</v>
      </c>
      <c r="E90" s="48"/>
      <c r="F90" t="str">
        <f t="shared" si="2"/>
        <v>GR</v>
      </c>
    </row>
    <row r="91" spans="1:6" x14ac:dyDescent="0.25">
      <c r="A91" t="s">
        <v>1212</v>
      </c>
      <c r="B91" t="s">
        <v>1501</v>
      </c>
      <c r="C91" t="s">
        <v>906</v>
      </c>
      <c r="D91" t="str">
        <f>VLOOKUP(A91,'geojson fields'!$A$1:$M$280,12, FALSE)</f>
        <v>GRL</v>
      </c>
      <c r="F91" t="str">
        <f t="shared" si="2"/>
        <v>GL</v>
      </c>
    </row>
    <row r="92" spans="1:6" x14ac:dyDescent="0.25">
      <c r="A92" t="s">
        <v>65</v>
      </c>
      <c r="B92" t="s">
        <v>1484</v>
      </c>
      <c r="C92" t="s">
        <v>908</v>
      </c>
      <c r="D92" t="str">
        <f>VLOOKUP(A92,'geojson fields'!$A$1:$M$280,12, FALSE)</f>
        <v>GRD</v>
      </c>
      <c r="F92" t="str">
        <f t="shared" si="2"/>
        <v>GD</v>
      </c>
    </row>
    <row r="93" spans="1:6" x14ac:dyDescent="0.25">
      <c r="A93" t="s">
        <v>1213</v>
      </c>
      <c r="B93" t="s">
        <v>1511</v>
      </c>
      <c r="C93" t="s">
        <v>909</v>
      </c>
      <c r="D93" t="str">
        <f>VLOOKUP(A93,'geojson fields'!$A$1:$M$280,12, FALSE)</f>
        <v>FR-GP</v>
      </c>
      <c r="E93" t="s">
        <v>12078</v>
      </c>
      <c r="F93" t="str">
        <f t="shared" si="2"/>
        <v>FR-GP</v>
      </c>
    </row>
    <row r="94" spans="1:6" x14ac:dyDescent="0.25">
      <c r="A94" t="s">
        <v>1214</v>
      </c>
      <c r="B94" t="s">
        <v>1527</v>
      </c>
      <c r="C94" t="s">
        <v>910</v>
      </c>
      <c r="D94" t="str">
        <f>VLOOKUP(A94,'geojson fields'!$A$1:$M$280,12, FALSE)</f>
        <v>GUM</v>
      </c>
      <c r="F94" t="str">
        <f t="shared" si="2"/>
        <v>GU</v>
      </c>
    </row>
    <row r="95" spans="1:6" x14ac:dyDescent="0.25">
      <c r="A95" t="s">
        <v>66</v>
      </c>
      <c r="B95" t="s">
        <v>1524</v>
      </c>
      <c r="C95" t="s">
        <v>912</v>
      </c>
      <c r="D95" t="str">
        <f>VLOOKUP(A95,'geojson fields'!$A$1:$M$280,12, FALSE)</f>
        <v>GTM</v>
      </c>
      <c r="F95" t="str">
        <f t="shared" si="2"/>
        <v>GT</v>
      </c>
    </row>
    <row r="96" spans="1:6" x14ac:dyDescent="0.25">
      <c r="A96" t="s">
        <v>1215</v>
      </c>
      <c r="B96" t="s">
        <v>1493</v>
      </c>
      <c r="C96" t="s">
        <v>913</v>
      </c>
      <c r="D96" t="str">
        <f>VLOOKUP(A96,'geojson fields'!$A$1:$M$280,12, FALSE)</f>
        <v>GGY</v>
      </c>
      <c r="F96" t="str">
        <f t="shared" si="2"/>
        <v>GG</v>
      </c>
    </row>
    <row r="97" spans="1:6" x14ac:dyDescent="0.25">
      <c r="A97" t="s">
        <v>67</v>
      </c>
      <c r="B97" t="s">
        <v>1508</v>
      </c>
      <c r="C97" t="s">
        <v>915</v>
      </c>
      <c r="D97" t="str">
        <f>VLOOKUP(A97,'geojson fields'!$A$1:$M$280,12, FALSE)</f>
        <v>GIN</v>
      </c>
      <c r="F97" t="str">
        <f t="shared" si="2"/>
        <v>GN</v>
      </c>
    </row>
    <row r="98" spans="1:6" x14ac:dyDescent="0.25">
      <c r="A98" t="s">
        <v>68</v>
      </c>
      <c r="B98" t="s">
        <v>1531</v>
      </c>
      <c r="C98" t="s">
        <v>917</v>
      </c>
      <c r="D98" t="str">
        <f>VLOOKUP(A98,'geojson fields'!$A$1:$M$280,12, FALSE)</f>
        <v>GNB</v>
      </c>
      <c r="F98" t="str">
        <f t="shared" si="2"/>
        <v>GW</v>
      </c>
    </row>
    <row r="99" spans="1:6" x14ac:dyDescent="0.25">
      <c r="A99" t="s">
        <v>69</v>
      </c>
      <c r="B99" t="s">
        <v>1534</v>
      </c>
      <c r="C99" t="s">
        <v>919</v>
      </c>
      <c r="D99" t="str">
        <f>VLOOKUP(A99,'geojson fields'!$A$1:$M$280,12, FALSE)</f>
        <v>GUY</v>
      </c>
      <c r="F99" t="str">
        <f t="shared" si="2"/>
        <v>GY</v>
      </c>
    </row>
    <row r="100" spans="1:6" x14ac:dyDescent="0.25">
      <c r="A100" t="s">
        <v>70</v>
      </c>
      <c r="B100" t="s">
        <v>1547</v>
      </c>
      <c r="C100" t="s">
        <v>921</v>
      </c>
      <c r="D100" t="str">
        <f>VLOOKUP(A100,'geojson fields'!$A$1:$M$280,12, FALSE)</f>
        <v>HTI</v>
      </c>
      <c r="F100" t="str">
        <f t="shared" si="2"/>
        <v>HT</v>
      </c>
    </row>
    <row r="101" spans="1:6" x14ac:dyDescent="0.25">
      <c r="A101" t="s">
        <v>15760</v>
      </c>
      <c r="B101" t="s">
        <v>2153</v>
      </c>
      <c r="C101" t="s">
        <v>922</v>
      </c>
      <c r="D101" t="str">
        <f>VLOOKUP(A101,'geojson fields'!$A$1:$M$280,12, FALSE)</f>
        <v>HMD</v>
      </c>
      <c r="F101" t="str">
        <f t="shared" si="2"/>
        <v>HM</v>
      </c>
    </row>
    <row r="102" spans="1:6" x14ac:dyDescent="0.25">
      <c r="A102" t="s">
        <v>72</v>
      </c>
      <c r="B102" t="s">
        <v>1540</v>
      </c>
      <c r="C102" t="s">
        <v>926</v>
      </c>
      <c r="D102" t="str">
        <f>VLOOKUP(A102,'geojson fields'!$A$1:$M$280,12, FALSE)</f>
        <v>HND</v>
      </c>
      <c r="F102" t="str">
        <f t="shared" si="2"/>
        <v>HN</v>
      </c>
    </row>
    <row r="103" spans="1:6" x14ac:dyDescent="0.25">
      <c r="A103" t="s">
        <v>1216</v>
      </c>
      <c r="B103" t="s">
        <v>1536</v>
      </c>
      <c r="C103" t="s">
        <v>927</v>
      </c>
      <c r="D103" t="str">
        <f>VLOOKUP(A103,'geojson fields'!$A$1:$M$280,12, FALSE)</f>
        <v>HKG</v>
      </c>
      <c r="F103" t="str">
        <f t="shared" si="2"/>
        <v>HK</v>
      </c>
    </row>
    <row r="104" spans="1:6" x14ac:dyDescent="0.25">
      <c r="A104" t="s">
        <v>73</v>
      </c>
      <c r="B104" t="s">
        <v>1550</v>
      </c>
      <c r="C104" t="s">
        <v>929</v>
      </c>
      <c r="D104" t="str">
        <f>VLOOKUP(A104,'geojson fields'!$A$1:$M$280,12, FALSE)</f>
        <v>HUN</v>
      </c>
      <c r="F104" t="str">
        <f t="shared" si="2"/>
        <v>HU</v>
      </c>
    </row>
    <row r="105" spans="1:6" x14ac:dyDescent="0.25">
      <c r="A105" t="s">
        <v>74</v>
      </c>
      <c r="B105" t="s">
        <v>1575</v>
      </c>
      <c r="C105" t="s">
        <v>931</v>
      </c>
      <c r="D105" t="str">
        <f>VLOOKUP(A105,'geojson fields'!$A$1:$M$280,12, FALSE)</f>
        <v>ISL</v>
      </c>
      <c r="F105" t="str">
        <f t="shared" si="2"/>
        <v>IS</v>
      </c>
    </row>
    <row r="106" spans="1:6" x14ac:dyDescent="0.25">
      <c r="A106" t="s">
        <v>75</v>
      </c>
      <c r="B106" t="s">
        <v>1566</v>
      </c>
      <c r="C106" t="s">
        <v>933</v>
      </c>
      <c r="D106" t="str">
        <f>VLOOKUP(A106,'geojson fields'!$A$1:$M$280,12, FALSE)</f>
        <v>IND</v>
      </c>
      <c r="F106" t="str">
        <f t="shared" si="2"/>
        <v>IN</v>
      </c>
    </row>
    <row r="107" spans="1:6" x14ac:dyDescent="0.25">
      <c r="A107" t="s">
        <v>76</v>
      </c>
      <c r="B107" t="s">
        <v>1553</v>
      </c>
      <c r="C107" t="s">
        <v>935</v>
      </c>
      <c r="D107" t="str">
        <f>VLOOKUP(A107,'geojson fields'!$A$1:$M$280,12, FALSE)</f>
        <v>IDN</v>
      </c>
      <c r="F107" t="str">
        <f t="shared" si="2"/>
        <v>ID</v>
      </c>
    </row>
    <row r="108" spans="1:6" x14ac:dyDescent="0.25">
      <c r="A108" t="s">
        <v>77</v>
      </c>
      <c r="B108" t="s">
        <v>1572</v>
      </c>
      <c r="C108" t="s">
        <v>937</v>
      </c>
      <c r="D108" t="str">
        <f>VLOOKUP(A108,'geojson fields'!$A$1:$M$280,12, FALSE)</f>
        <v>IRN</v>
      </c>
      <c r="F108" t="str">
        <f t="shared" si="2"/>
        <v>IR</v>
      </c>
    </row>
    <row r="109" spans="1:6" x14ac:dyDescent="0.25">
      <c r="A109" t="s">
        <v>78</v>
      </c>
      <c r="B109" t="s">
        <v>1569</v>
      </c>
      <c r="C109" t="s">
        <v>939</v>
      </c>
      <c r="D109" t="str">
        <f>VLOOKUP(A109,'geojson fields'!$A$1:$M$280,12, FALSE)</f>
        <v>IRQ</v>
      </c>
      <c r="F109" t="str">
        <f t="shared" si="2"/>
        <v>IQ</v>
      </c>
    </row>
    <row r="110" spans="1:6" x14ac:dyDescent="0.25">
      <c r="A110" t="s">
        <v>79</v>
      </c>
      <c r="B110" t="s">
        <v>1556</v>
      </c>
      <c r="C110" t="s">
        <v>941</v>
      </c>
      <c r="D110" t="str">
        <f>VLOOKUP(A110,'geojson fields'!$A$1:$M$280,12, FALSE)</f>
        <v>IRL</v>
      </c>
      <c r="F110" t="str">
        <f t="shared" si="2"/>
        <v>IE</v>
      </c>
    </row>
    <row r="111" spans="1:6" x14ac:dyDescent="0.25">
      <c r="A111" t="s">
        <v>1217</v>
      </c>
      <c r="B111" t="s">
        <v>1563</v>
      </c>
      <c r="C111" t="s">
        <v>942</v>
      </c>
      <c r="D111" t="str">
        <f>VLOOKUP(A111,'geojson fields'!$A$1:$M$280,12, FALSE)</f>
        <v>IMN</v>
      </c>
      <c r="F111" t="str">
        <f t="shared" si="2"/>
        <v>IM</v>
      </c>
    </row>
    <row r="112" spans="1:6" x14ac:dyDescent="0.25">
      <c r="A112" t="s">
        <v>80</v>
      </c>
      <c r="B112" t="s">
        <v>1560</v>
      </c>
      <c r="C112" t="s">
        <v>944</v>
      </c>
      <c r="D112" t="str">
        <f>VLOOKUP(A112,'geojson fields'!$A$1:$M$280,12, FALSE)</f>
        <v>ISR</v>
      </c>
      <c r="F112" t="str">
        <f t="shared" si="2"/>
        <v>IL</v>
      </c>
    </row>
    <row r="113" spans="1:6" x14ac:dyDescent="0.25">
      <c r="A113" t="s">
        <v>81</v>
      </c>
      <c r="B113" t="s">
        <v>1578</v>
      </c>
      <c r="C113" t="s">
        <v>946</v>
      </c>
      <c r="D113" t="str">
        <f>VLOOKUP(A113,'geojson fields'!$A$1:$M$280,12, FALSE)</f>
        <v>ITA</v>
      </c>
      <c r="F113" t="str">
        <f t="shared" si="2"/>
        <v>IT</v>
      </c>
    </row>
    <row r="114" spans="1:6" x14ac:dyDescent="0.25">
      <c r="A114" t="s">
        <v>82</v>
      </c>
      <c r="B114" t="s">
        <v>1585</v>
      </c>
      <c r="C114" t="s">
        <v>948</v>
      </c>
      <c r="D114" t="str">
        <f>VLOOKUP(A114,'geojson fields'!$A$1:$M$280,12, FALSE)</f>
        <v>JAM</v>
      </c>
      <c r="F114" t="str">
        <f t="shared" si="2"/>
        <v>JM</v>
      </c>
    </row>
    <row r="115" spans="1:6" x14ac:dyDescent="0.25">
      <c r="A115" t="s">
        <v>83</v>
      </c>
      <c r="B115" t="s">
        <v>1591</v>
      </c>
      <c r="C115" t="s">
        <v>950</v>
      </c>
      <c r="D115" t="str">
        <f>VLOOKUP(A115,'geojson fields'!$A$1:$M$280,12, FALSE)</f>
        <v>JPN</v>
      </c>
      <c r="F115" t="str">
        <f t="shared" si="2"/>
        <v>JP</v>
      </c>
    </row>
    <row r="116" spans="1:6" x14ac:dyDescent="0.25">
      <c r="A116" t="s">
        <v>1218</v>
      </c>
      <c r="B116" t="s">
        <v>1582</v>
      </c>
      <c r="C116" t="s">
        <v>951</v>
      </c>
      <c r="D116" t="str">
        <f>VLOOKUP(A116,'geojson fields'!$A$1:$M$280,12, FALSE)</f>
        <v>JEY</v>
      </c>
      <c r="F116" t="str">
        <f t="shared" ref="F116:F179" si="3">IF(ISBLANK(E116),B116,E116)</f>
        <v>JE</v>
      </c>
    </row>
    <row r="117" spans="1:6" x14ac:dyDescent="0.25">
      <c r="A117" t="s">
        <v>84</v>
      </c>
      <c r="B117" t="s">
        <v>1588</v>
      </c>
      <c r="C117" t="s">
        <v>953</v>
      </c>
      <c r="D117" t="str">
        <f>VLOOKUP(A117,'geojson fields'!$A$1:$M$280,12, FALSE)</f>
        <v>JOR</v>
      </c>
      <c r="F117" t="str">
        <f t="shared" si="3"/>
        <v>JO</v>
      </c>
    </row>
    <row r="118" spans="1:6" x14ac:dyDescent="0.25">
      <c r="A118" t="s">
        <v>85</v>
      </c>
      <c r="B118" t="s">
        <v>1625</v>
      </c>
      <c r="C118" t="s">
        <v>955</v>
      </c>
      <c r="D118" t="str">
        <f>VLOOKUP(A118,'geojson fields'!$A$1:$M$280,12, FALSE)</f>
        <v>KAZ</v>
      </c>
      <c r="F118" t="str">
        <f t="shared" si="3"/>
        <v>KZ</v>
      </c>
    </row>
    <row r="119" spans="1:6" x14ac:dyDescent="0.25">
      <c r="A119" t="s">
        <v>86</v>
      </c>
      <c r="B119" t="s">
        <v>1594</v>
      </c>
      <c r="C119" t="s">
        <v>957</v>
      </c>
      <c r="D119" t="str">
        <f>VLOOKUP(A119,'geojson fields'!$A$1:$M$280,12, FALSE)</f>
        <v>KEN</v>
      </c>
      <c r="F119" t="str">
        <f t="shared" si="3"/>
        <v>KE</v>
      </c>
    </row>
    <row r="120" spans="1:6" x14ac:dyDescent="0.25">
      <c r="A120" t="s">
        <v>87</v>
      </c>
      <c r="B120" t="s">
        <v>1603</v>
      </c>
      <c r="C120" t="s">
        <v>959</v>
      </c>
      <c r="D120" t="str">
        <f>VLOOKUP(A120,'geojson fields'!$A$1:$M$280,12, FALSE)</f>
        <v>KIR</v>
      </c>
      <c r="F120" t="str">
        <f t="shared" si="3"/>
        <v>KI</v>
      </c>
    </row>
    <row r="121" spans="1:6" x14ac:dyDescent="0.25">
      <c r="A121" t="s">
        <v>12071</v>
      </c>
      <c r="B121" t="s">
        <v>1240</v>
      </c>
      <c r="D121" t="str">
        <f>VLOOKUP(A121,'geojson fields'!$A$1:$M$280,12, FALSE)</f>
        <v>KOS</v>
      </c>
      <c r="F121" t="str">
        <f t="shared" si="3"/>
        <v>XK</v>
      </c>
    </row>
    <row r="122" spans="1:6" x14ac:dyDescent="0.25">
      <c r="A122" t="s">
        <v>91</v>
      </c>
      <c r="B122" t="s">
        <v>1619</v>
      </c>
      <c r="C122" t="s">
        <v>965</v>
      </c>
      <c r="D122" t="str">
        <f>VLOOKUP(A122,'geojson fields'!$A$1:$M$280,12, FALSE)</f>
        <v>KWT</v>
      </c>
      <c r="F122" t="str">
        <f t="shared" si="3"/>
        <v>KW</v>
      </c>
    </row>
    <row r="123" spans="1:6" x14ac:dyDescent="0.25">
      <c r="A123" t="s">
        <v>92</v>
      </c>
      <c r="B123" t="s">
        <v>1597</v>
      </c>
      <c r="C123" t="s">
        <v>967</v>
      </c>
      <c r="D123" t="str">
        <f>VLOOKUP(A123,'geojson fields'!$A$1:$M$280,12, FALSE)</f>
        <v>KGZ</v>
      </c>
      <c r="F123" t="str">
        <f t="shared" si="3"/>
        <v>KG</v>
      </c>
    </row>
    <row r="124" spans="1:6" x14ac:dyDescent="0.25">
      <c r="A124" t="s">
        <v>4892</v>
      </c>
      <c r="B124" t="s">
        <v>1819</v>
      </c>
      <c r="C124" t="s">
        <v>1081</v>
      </c>
      <c r="D124" t="str">
        <f>VLOOKUP(A124,'geojson fields'!$A$1:$M$280,12, FALSE)</f>
        <v>FR-RE</v>
      </c>
      <c r="E124" t="s">
        <v>12074</v>
      </c>
      <c r="F124" t="str">
        <f t="shared" si="3"/>
        <v>FR-RE</v>
      </c>
    </row>
    <row r="125" spans="1:6" x14ac:dyDescent="0.25">
      <c r="A125" t="s">
        <v>93</v>
      </c>
      <c r="B125" t="s">
        <v>1628</v>
      </c>
      <c r="C125" t="s">
        <v>969</v>
      </c>
      <c r="D125" t="str">
        <f>VLOOKUP(A125,'geojson fields'!$A$1:$M$280,12, FALSE)</f>
        <v>LAO</v>
      </c>
      <c r="F125" t="str">
        <f t="shared" si="3"/>
        <v>LA</v>
      </c>
    </row>
    <row r="126" spans="1:6" x14ac:dyDescent="0.25">
      <c r="A126" t="s">
        <v>94</v>
      </c>
      <c r="B126" t="s">
        <v>1654</v>
      </c>
      <c r="C126" t="s">
        <v>971</v>
      </c>
      <c r="D126" t="str">
        <f>VLOOKUP(A126,'geojson fields'!$A$1:$M$280,12, FALSE)</f>
        <v>LVA</v>
      </c>
      <c r="F126" t="str">
        <f t="shared" si="3"/>
        <v>LV</v>
      </c>
    </row>
    <row r="127" spans="1:6" x14ac:dyDescent="0.25">
      <c r="A127" t="s">
        <v>95</v>
      </c>
      <c r="B127" t="s">
        <v>1631</v>
      </c>
      <c r="C127" t="s">
        <v>973</v>
      </c>
      <c r="D127" t="str">
        <f>VLOOKUP(A127,'geojson fields'!$A$1:$M$280,12, FALSE)</f>
        <v>LBN</v>
      </c>
      <c r="F127" t="str">
        <f t="shared" si="3"/>
        <v>LB</v>
      </c>
    </row>
    <row r="128" spans="1:6" x14ac:dyDescent="0.25">
      <c r="A128" t="s">
        <v>96</v>
      </c>
      <c r="B128" t="s">
        <v>1646</v>
      </c>
      <c r="C128" t="s">
        <v>975</v>
      </c>
      <c r="D128" t="str">
        <f>VLOOKUP(A128,'geojson fields'!$A$1:$M$280,12, FALSE)</f>
        <v>LSO</v>
      </c>
      <c r="F128" t="str">
        <f t="shared" si="3"/>
        <v>LS</v>
      </c>
    </row>
    <row r="129" spans="1:6" x14ac:dyDescent="0.25">
      <c r="A129" t="s">
        <v>97</v>
      </c>
      <c r="B129" t="s">
        <v>1643</v>
      </c>
      <c r="C129" t="s">
        <v>977</v>
      </c>
      <c r="D129" t="str">
        <f>VLOOKUP(A129,'geojson fields'!$A$1:$M$280,12, FALSE)</f>
        <v>LBR</v>
      </c>
      <c r="F129" t="str">
        <f t="shared" si="3"/>
        <v>LR</v>
      </c>
    </row>
    <row r="130" spans="1:6" x14ac:dyDescent="0.25">
      <c r="A130" t="s">
        <v>98</v>
      </c>
      <c r="B130" t="s">
        <v>1657</v>
      </c>
      <c r="C130" t="s">
        <v>979</v>
      </c>
      <c r="D130" t="str">
        <f>VLOOKUP(A130,'geojson fields'!$A$1:$M$280,12, FALSE)</f>
        <v>LBY</v>
      </c>
      <c r="F130" t="str">
        <f t="shared" si="3"/>
        <v>LY</v>
      </c>
    </row>
    <row r="131" spans="1:6" x14ac:dyDescent="0.25">
      <c r="A131" t="s">
        <v>99</v>
      </c>
      <c r="B131" t="s">
        <v>1637</v>
      </c>
      <c r="C131" t="s">
        <v>981</v>
      </c>
      <c r="D131" t="str">
        <f>VLOOKUP(A131,'geojson fields'!$A$1:$M$280,12, FALSE)</f>
        <v>LIE</v>
      </c>
      <c r="F131" t="str">
        <f t="shared" si="3"/>
        <v>LI</v>
      </c>
    </row>
    <row r="132" spans="1:6" x14ac:dyDescent="0.25">
      <c r="A132" t="s">
        <v>100</v>
      </c>
      <c r="B132" t="s">
        <v>1649</v>
      </c>
      <c r="C132" t="s">
        <v>983</v>
      </c>
      <c r="D132" t="str">
        <f>VLOOKUP(A132,'geojson fields'!$A$1:$M$280,12, FALSE)</f>
        <v>LTU</v>
      </c>
      <c r="F132" t="str">
        <f t="shared" si="3"/>
        <v>LT</v>
      </c>
    </row>
    <row r="133" spans="1:6" x14ac:dyDescent="0.25">
      <c r="A133" t="s">
        <v>101</v>
      </c>
      <c r="B133" t="s">
        <v>1651</v>
      </c>
      <c r="C133" t="s">
        <v>985</v>
      </c>
      <c r="D133" t="str">
        <f>VLOOKUP(A133,'geojson fields'!$A$1:$M$280,12, FALSE)</f>
        <v>LUX</v>
      </c>
      <c r="F133" t="str">
        <f t="shared" si="3"/>
        <v>LU</v>
      </c>
    </row>
    <row r="134" spans="1:6" x14ac:dyDescent="0.25">
      <c r="A134" t="s">
        <v>1219</v>
      </c>
      <c r="B134" t="s">
        <v>1692</v>
      </c>
      <c r="C134" t="s">
        <v>986</v>
      </c>
      <c r="D134" t="str">
        <f>VLOOKUP(A134,'geojson fields'!$A$1:$M$280,12, FALSE)</f>
        <v>MAC</v>
      </c>
      <c r="F134" t="str">
        <f t="shared" si="3"/>
        <v>MO</v>
      </c>
    </row>
    <row r="135" spans="1:6" x14ac:dyDescent="0.25">
      <c r="A135" t="s">
        <v>103</v>
      </c>
      <c r="B135" t="s">
        <v>1672</v>
      </c>
      <c r="C135" t="s">
        <v>990</v>
      </c>
      <c r="D135" t="str">
        <f>VLOOKUP(A135,'geojson fields'!$A$1:$M$280,12, FALSE)</f>
        <v>MDG</v>
      </c>
      <c r="E135" s="48"/>
      <c r="F135" t="str">
        <f t="shared" si="3"/>
        <v>MG</v>
      </c>
    </row>
    <row r="136" spans="1:6" x14ac:dyDescent="0.25">
      <c r="A136" t="s">
        <v>2021</v>
      </c>
      <c r="B136" t="s">
        <v>1663</v>
      </c>
      <c r="D136" t="str">
        <f>VLOOKUP(A136,'geojson fields'!$A$1:$M$280,12, FALSE)</f>
        <v>PT-30</v>
      </c>
      <c r="E136" s="53" t="s">
        <v>9414</v>
      </c>
      <c r="F136" t="str">
        <f t="shared" si="3"/>
        <v>PT-30</v>
      </c>
    </row>
    <row r="137" spans="1:6" x14ac:dyDescent="0.25">
      <c r="A137" t="s">
        <v>104</v>
      </c>
      <c r="B137" t="s">
        <v>1717</v>
      </c>
      <c r="C137" t="s">
        <v>992</v>
      </c>
      <c r="D137" t="str">
        <f>VLOOKUP(A137,'geojson fields'!$A$1:$M$280,12, FALSE)</f>
        <v>MWI</v>
      </c>
      <c r="F137" t="str">
        <f t="shared" si="3"/>
        <v>MW</v>
      </c>
    </row>
    <row r="138" spans="1:6" x14ac:dyDescent="0.25">
      <c r="A138" t="s">
        <v>105</v>
      </c>
      <c r="B138" t="s">
        <v>1724</v>
      </c>
      <c r="C138" t="s">
        <v>994</v>
      </c>
      <c r="D138" t="str">
        <f>VLOOKUP(A138,'geojson fields'!$A$1:$M$280,12, FALSE)</f>
        <v>MYS</v>
      </c>
      <c r="F138" t="str">
        <f t="shared" si="3"/>
        <v>MY</v>
      </c>
    </row>
    <row r="139" spans="1:6" x14ac:dyDescent="0.25">
      <c r="A139" t="s">
        <v>106</v>
      </c>
      <c r="B139" t="s">
        <v>1714</v>
      </c>
      <c r="C139" t="s">
        <v>996</v>
      </c>
      <c r="D139" t="str">
        <f>VLOOKUP(A139,'geojson fields'!$A$1:$M$280,12, FALSE)</f>
        <v>MDV</v>
      </c>
      <c r="F139" t="str">
        <f t="shared" si="3"/>
        <v>MV</v>
      </c>
    </row>
    <row r="140" spans="1:6" x14ac:dyDescent="0.25">
      <c r="A140" t="s">
        <v>107</v>
      </c>
      <c r="B140" t="s">
        <v>1681</v>
      </c>
      <c r="C140" t="s">
        <v>998</v>
      </c>
      <c r="D140" t="str">
        <f>VLOOKUP(A140,'geojson fields'!$A$1:$M$280,12, FALSE)</f>
        <v>MLI</v>
      </c>
      <c r="F140" t="str">
        <f t="shared" si="3"/>
        <v>ML</v>
      </c>
    </row>
    <row r="141" spans="1:6" x14ac:dyDescent="0.25">
      <c r="A141" t="s">
        <v>108</v>
      </c>
      <c r="B141" t="s">
        <v>1708</v>
      </c>
      <c r="C141" t="s">
        <v>1000</v>
      </c>
      <c r="D141" t="str">
        <f>VLOOKUP(A141,'geojson fields'!$A$1:$M$280,12, FALSE)</f>
        <v>MLT</v>
      </c>
      <c r="F141" t="str">
        <f t="shared" si="3"/>
        <v>MT</v>
      </c>
    </row>
    <row r="142" spans="1:6" x14ac:dyDescent="0.25">
      <c r="A142" t="s">
        <v>109</v>
      </c>
      <c r="B142" t="s">
        <v>1675</v>
      </c>
      <c r="C142" t="s">
        <v>1002</v>
      </c>
      <c r="D142" t="str">
        <f>VLOOKUP(A142,'geojson fields'!$A$1:$M$280,12, FALSE)</f>
        <v>MHL</v>
      </c>
      <c r="E142" s="48"/>
      <c r="F142" t="str">
        <f t="shared" si="3"/>
        <v>MH</v>
      </c>
    </row>
    <row r="143" spans="1:6" x14ac:dyDescent="0.25">
      <c r="A143" t="s">
        <v>1220</v>
      </c>
      <c r="B143" t="s">
        <v>1698</v>
      </c>
      <c r="C143" t="s">
        <v>1003</v>
      </c>
      <c r="D143" t="str">
        <f>VLOOKUP(A143,'geojson fields'!$A$1:$M$280,12, FALSE)</f>
        <v>FR-MQ</v>
      </c>
      <c r="E143" t="s">
        <v>12075</v>
      </c>
      <c r="F143" t="str">
        <f t="shared" si="3"/>
        <v>FR-MQ</v>
      </c>
    </row>
    <row r="144" spans="1:6" x14ac:dyDescent="0.25">
      <c r="A144" t="s">
        <v>110</v>
      </c>
      <c r="B144" t="s">
        <v>1701</v>
      </c>
      <c r="C144" t="s">
        <v>1005</v>
      </c>
      <c r="D144" t="str">
        <f>VLOOKUP(A144,'geojson fields'!$A$1:$M$280,12, FALSE)</f>
        <v>MRT</v>
      </c>
      <c r="F144" t="str">
        <f t="shared" si="3"/>
        <v>MR</v>
      </c>
    </row>
    <row r="145" spans="1:6" x14ac:dyDescent="0.25">
      <c r="A145" t="s">
        <v>111</v>
      </c>
      <c r="B145" t="s">
        <v>1711</v>
      </c>
      <c r="C145" t="s">
        <v>1007</v>
      </c>
      <c r="D145" t="str">
        <f>VLOOKUP(A145,'geojson fields'!$A$1:$M$280,12, FALSE)</f>
        <v>MUS</v>
      </c>
      <c r="F145" t="str">
        <f t="shared" si="3"/>
        <v>MU</v>
      </c>
    </row>
    <row r="146" spans="1:6" x14ac:dyDescent="0.25">
      <c r="A146" t="s">
        <v>1221</v>
      </c>
      <c r="B146" t="s">
        <v>1988</v>
      </c>
      <c r="C146" t="s">
        <v>1008</v>
      </c>
      <c r="D146" t="str">
        <f>VLOOKUP(A146,'geojson fields'!$A$1:$M$280,12, FALSE)</f>
        <v>FR-YT</v>
      </c>
      <c r="E146" s="48" t="s">
        <v>12076</v>
      </c>
      <c r="F146" t="str">
        <f t="shared" si="3"/>
        <v>FR-YT</v>
      </c>
    </row>
    <row r="147" spans="1:6" x14ac:dyDescent="0.25">
      <c r="A147" t="s">
        <v>4547</v>
      </c>
      <c r="D147" t="str">
        <f>VLOOKUP(A147,'geojson fields'!$A$1:$M$280,12, FALSE)</f>
        <v>ES-ML</v>
      </c>
      <c r="E147" s="53" t="s">
        <v>4546</v>
      </c>
      <c r="F147" t="str">
        <f t="shared" si="3"/>
        <v>ES-ML</v>
      </c>
    </row>
    <row r="148" spans="1:6" x14ac:dyDescent="0.25">
      <c r="A148" t="s">
        <v>112</v>
      </c>
      <c r="B148" t="s">
        <v>1721</v>
      </c>
      <c r="C148" t="s">
        <v>1010</v>
      </c>
      <c r="D148" t="str">
        <f>VLOOKUP(A148,'geojson fields'!$A$1:$M$280,12, FALSE)</f>
        <v>MEX</v>
      </c>
      <c r="F148" t="str">
        <f t="shared" si="3"/>
        <v>MX</v>
      </c>
    </row>
    <row r="149" spans="1:6" x14ac:dyDescent="0.25">
      <c r="A149" t="s">
        <v>114</v>
      </c>
      <c r="B149" t="s">
        <v>1663</v>
      </c>
      <c r="C149" t="s">
        <v>1014</v>
      </c>
      <c r="D149" t="str">
        <f>VLOOKUP(A149,'geojson fields'!$A$1:$M$280,12, FALSE)</f>
        <v>MDA</v>
      </c>
      <c r="F149" t="str">
        <f t="shared" si="3"/>
        <v>MD</v>
      </c>
    </row>
    <row r="150" spans="1:6" x14ac:dyDescent="0.25">
      <c r="A150" t="s">
        <v>115</v>
      </c>
      <c r="B150" t="s">
        <v>1660</v>
      </c>
      <c r="C150" t="s">
        <v>1016</v>
      </c>
      <c r="D150" t="str">
        <f>VLOOKUP(A150,'geojson fields'!$A$1:$M$280,12, FALSE)</f>
        <v>MCO</v>
      </c>
      <c r="F150" t="str">
        <f t="shared" si="3"/>
        <v>MC</v>
      </c>
    </row>
    <row r="151" spans="1:6" x14ac:dyDescent="0.25">
      <c r="A151" t="s">
        <v>116</v>
      </c>
      <c r="B151" t="s">
        <v>1689</v>
      </c>
      <c r="C151" t="s">
        <v>1018</v>
      </c>
      <c r="D151" t="str">
        <f>VLOOKUP(A151,'geojson fields'!$A$1:$M$280,12, FALSE)</f>
        <v>MNG</v>
      </c>
      <c r="F151" t="str">
        <f t="shared" si="3"/>
        <v>MN</v>
      </c>
    </row>
    <row r="152" spans="1:6" x14ac:dyDescent="0.25">
      <c r="A152" t="s">
        <v>117</v>
      </c>
      <c r="B152" t="s">
        <v>1666</v>
      </c>
      <c r="C152" t="s">
        <v>1020</v>
      </c>
      <c r="D152" t="str">
        <f>VLOOKUP(A152,'geojson fields'!$A$1:$M$280,12, FALSE)</f>
        <v>MNE</v>
      </c>
      <c r="F152" t="str">
        <f t="shared" si="3"/>
        <v>ME</v>
      </c>
    </row>
    <row r="153" spans="1:6" x14ac:dyDescent="0.25">
      <c r="A153" t="s">
        <v>1222</v>
      </c>
      <c r="B153" t="s">
        <v>1705</v>
      </c>
      <c r="C153" t="s">
        <v>1021</v>
      </c>
      <c r="D153" t="str">
        <f>VLOOKUP(A153,'geojson fields'!$A$1:$M$280,12, FALSE)</f>
        <v>MSR</v>
      </c>
      <c r="F153" t="str">
        <f t="shared" si="3"/>
        <v>MS</v>
      </c>
    </row>
    <row r="154" spans="1:6" x14ac:dyDescent="0.25">
      <c r="A154" t="s">
        <v>118</v>
      </c>
      <c r="B154" t="s">
        <v>1441</v>
      </c>
      <c r="C154" t="s">
        <v>1023</v>
      </c>
      <c r="D154" t="str">
        <f>VLOOKUP(A154,'geojson fields'!$A$1:$M$280,12, FALSE)</f>
        <v>MAR</v>
      </c>
      <c r="F154" t="str">
        <f t="shared" si="3"/>
        <v>MA</v>
      </c>
    </row>
    <row r="155" spans="1:6" x14ac:dyDescent="0.25">
      <c r="A155" t="s">
        <v>119</v>
      </c>
      <c r="B155" t="s">
        <v>1727</v>
      </c>
      <c r="C155" t="s">
        <v>1025</v>
      </c>
      <c r="D155" t="str">
        <f>VLOOKUP(A155,'geojson fields'!$A$1:$M$280,12, FALSE)</f>
        <v>MOZ</v>
      </c>
      <c r="F155" t="str">
        <f t="shared" si="3"/>
        <v>MZ</v>
      </c>
    </row>
    <row r="156" spans="1:6" x14ac:dyDescent="0.25">
      <c r="A156" t="s">
        <v>1223</v>
      </c>
      <c r="B156" t="s">
        <v>1684</v>
      </c>
      <c r="C156" t="s">
        <v>1027</v>
      </c>
      <c r="D156" t="str">
        <f>VLOOKUP(A156,'geojson fields'!$A$1:$M$280,12, FALSE)</f>
        <v>MMR</v>
      </c>
      <c r="F156" t="str">
        <f t="shared" si="3"/>
        <v>MM</v>
      </c>
    </row>
    <row r="157" spans="1:6" x14ac:dyDescent="0.25">
      <c r="A157" t="s">
        <v>120</v>
      </c>
      <c r="B157" t="s">
        <v>1730</v>
      </c>
      <c r="C157" t="s">
        <v>1029</v>
      </c>
      <c r="D157" t="str">
        <f>VLOOKUP(A157,'geojson fields'!$A$1:$M$280,12, FALSE)</f>
        <v>NAM</v>
      </c>
      <c r="F157" t="str">
        <f t="shared" si="3"/>
        <v>NA</v>
      </c>
    </row>
    <row r="158" spans="1:6" x14ac:dyDescent="0.25">
      <c r="A158" t="s">
        <v>121</v>
      </c>
      <c r="B158" t="s">
        <v>1757</v>
      </c>
      <c r="C158" t="s">
        <v>1031</v>
      </c>
      <c r="D158" t="str">
        <f>VLOOKUP(A158,'geojson fields'!$A$1:$M$280,12, FALSE)</f>
        <v>NRU</v>
      </c>
      <c r="F158" t="str">
        <f t="shared" si="3"/>
        <v>NR</v>
      </c>
    </row>
    <row r="159" spans="1:6" x14ac:dyDescent="0.25">
      <c r="A159" t="s">
        <v>122</v>
      </c>
      <c r="B159" t="s">
        <v>1754</v>
      </c>
      <c r="C159" t="s">
        <v>1033</v>
      </c>
      <c r="D159" t="str">
        <f>VLOOKUP(A159,'geojson fields'!$A$1:$M$280,12, FALSE)</f>
        <v>NPL</v>
      </c>
      <c r="F159" t="str">
        <f t="shared" si="3"/>
        <v>NP</v>
      </c>
    </row>
    <row r="160" spans="1:6" x14ac:dyDescent="0.25">
      <c r="A160" t="s">
        <v>123</v>
      </c>
      <c r="B160" t="s">
        <v>1748</v>
      </c>
      <c r="C160" t="s">
        <v>1035</v>
      </c>
      <c r="D160" t="str">
        <f>VLOOKUP(A160,'geojson fields'!$A$1:$M$280,12, FALSE)</f>
        <v>NLD</v>
      </c>
      <c r="F160" t="str">
        <f t="shared" si="3"/>
        <v>NL</v>
      </c>
    </row>
    <row r="161" spans="1:6" x14ac:dyDescent="0.25">
      <c r="A161" t="s">
        <v>1224</v>
      </c>
      <c r="B161" t="s">
        <v>1733</v>
      </c>
      <c r="C161" t="s">
        <v>1036</v>
      </c>
      <c r="D161" t="str">
        <f>VLOOKUP(A161,'geojson fields'!$A$1:$M$280,12, FALSE)</f>
        <v>NCL</v>
      </c>
      <c r="F161" t="str">
        <f t="shared" si="3"/>
        <v>NC</v>
      </c>
    </row>
    <row r="162" spans="1:6" x14ac:dyDescent="0.25">
      <c r="A162" t="s">
        <v>124</v>
      </c>
      <c r="B162" t="s">
        <v>1763</v>
      </c>
      <c r="C162" t="s">
        <v>1038</v>
      </c>
      <c r="D162" t="str">
        <f>VLOOKUP(A162,'geojson fields'!$A$1:$M$280,12, FALSE)</f>
        <v>NZL</v>
      </c>
      <c r="F162" t="str">
        <f t="shared" si="3"/>
        <v>NZ</v>
      </c>
    </row>
    <row r="163" spans="1:6" x14ac:dyDescent="0.25">
      <c r="A163" t="s">
        <v>125</v>
      </c>
      <c r="B163" t="s">
        <v>1745</v>
      </c>
      <c r="C163" t="s">
        <v>1040</v>
      </c>
      <c r="D163" t="str">
        <f>VLOOKUP(A163,'geojson fields'!$A$1:$M$280,12, FALSE)</f>
        <v>NIC</v>
      </c>
      <c r="F163" t="str">
        <f t="shared" si="3"/>
        <v>NI</v>
      </c>
    </row>
    <row r="164" spans="1:6" x14ac:dyDescent="0.25">
      <c r="A164" t="s">
        <v>126</v>
      </c>
      <c r="B164" t="s">
        <v>1736</v>
      </c>
      <c r="C164" t="s">
        <v>1042</v>
      </c>
      <c r="D164" t="str">
        <f>VLOOKUP(A164,'geojson fields'!$A$1:$M$280,12, FALSE)</f>
        <v>NER</v>
      </c>
      <c r="F164" t="str">
        <f t="shared" si="3"/>
        <v>NE</v>
      </c>
    </row>
    <row r="165" spans="1:6" x14ac:dyDescent="0.25">
      <c r="A165" t="s">
        <v>127</v>
      </c>
      <c r="B165" t="s">
        <v>1742</v>
      </c>
      <c r="C165" t="s">
        <v>1044</v>
      </c>
      <c r="D165" t="str">
        <f>VLOOKUP(A165,'geojson fields'!$A$1:$M$280,12, FALSE)</f>
        <v>NGA</v>
      </c>
      <c r="F165" t="str">
        <f t="shared" si="3"/>
        <v>NG</v>
      </c>
    </row>
    <row r="166" spans="1:6" x14ac:dyDescent="0.25">
      <c r="A166" t="s">
        <v>1225</v>
      </c>
      <c r="B166" t="s">
        <v>1760</v>
      </c>
      <c r="C166" t="s">
        <v>1045</v>
      </c>
      <c r="D166" t="str">
        <f>VLOOKUP(A166,'geojson fields'!$A$1:$M$280,12, FALSE)</f>
        <v>NIU</v>
      </c>
      <c r="F166" t="str">
        <f t="shared" si="3"/>
        <v>NU</v>
      </c>
    </row>
    <row r="167" spans="1:6" x14ac:dyDescent="0.25">
      <c r="A167" t="s">
        <v>1226</v>
      </c>
      <c r="B167" t="s">
        <v>1738</v>
      </c>
      <c r="C167" t="s">
        <v>1046</v>
      </c>
      <c r="D167" t="str">
        <f>VLOOKUP(A167,'geojson fields'!$A$1:$M$280,12, FALSE)</f>
        <v>NFK</v>
      </c>
      <c r="F167" t="str">
        <f t="shared" si="3"/>
        <v>NF</v>
      </c>
    </row>
    <row r="168" spans="1:6" x14ac:dyDescent="0.25">
      <c r="A168" t="s">
        <v>88</v>
      </c>
      <c r="B168" t="s">
        <v>1613</v>
      </c>
      <c r="C168" t="s">
        <v>961</v>
      </c>
      <c r="D168" t="str">
        <f>VLOOKUP(A168,'geojson fields'!$A$1:$M$280,12, FALSE)</f>
        <v>PRK</v>
      </c>
      <c r="F168" t="str">
        <f t="shared" si="3"/>
        <v>KP</v>
      </c>
    </row>
    <row r="169" spans="1:6" x14ac:dyDescent="0.25">
      <c r="A169" t="s">
        <v>15989</v>
      </c>
      <c r="B169" t="s">
        <v>1678</v>
      </c>
      <c r="C169" t="s">
        <v>988</v>
      </c>
      <c r="D169" t="str">
        <f>VLOOKUP(A169,'geojson fields'!$A$1:$M$280,12, FALSE)</f>
        <v>MKD</v>
      </c>
      <c r="F169" t="str">
        <f t="shared" si="3"/>
        <v>MK</v>
      </c>
    </row>
    <row r="170" spans="1:6" x14ac:dyDescent="0.25">
      <c r="A170" t="s">
        <v>1227</v>
      </c>
      <c r="B170" t="s">
        <v>1695</v>
      </c>
      <c r="C170" t="s">
        <v>1047</v>
      </c>
      <c r="D170" t="str">
        <f>VLOOKUP(A170,'geojson fields'!$A$1:$M$280,12, FALSE)</f>
        <v>MNP</v>
      </c>
      <c r="F170" t="str">
        <f t="shared" si="3"/>
        <v>MP</v>
      </c>
    </row>
    <row r="171" spans="1:6" x14ac:dyDescent="0.25">
      <c r="A171" t="s">
        <v>128</v>
      </c>
      <c r="B171" t="s">
        <v>1751</v>
      </c>
      <c r="C171" t="s">
        <v>1049</v>
      </c>
      <c r="D171" t="str">
        <f>VLOOKUP(A171,'geojson fields'!$A$1:$M$280,12, FALSE)</f>
        <v>NOR</v>
      </c>
      <c r="F171" t="str">
        <f t="shared" si="3"/>
        <v>NO</v>
      </c>
    </row>
    <row r="172" spans="1:6" x14ac:dyDescent="0.25">
      <c r="A172" t="s">
        <v>129</v>
      </c>
      <c r="B172" t="s">
        <v>1767</v>
      </c>
      <c r="C172" t="s">
        <v>1051</v>
      </c>
      <c r="D172" t="str">
        <f>VLOOKUP(A172,'geojson fields'!$A$1:$M$280,12, FALSE)</f>
        <v>OMN</v>
      </c>
      <c r="F172" t="str">
        <f t="shared" si="3"/>
        <v>OM</v>
      </c>
    </row>
    <row r="173" spans="1:6" x14ac:dyDescent="0.25">
      <c r="A173" t="s">
        <v>130</v>
      </c>
      <c r="B173" t="s">
        <v>1788</v>
      </c>
      <c r="C173" t="s">
        <v>1053</v>
      </c>
      <c r="D173" t="str">
        <f>VLOOKUP(A173,'geojson fields'!$A$1:$M$280,12, FALSE)</f>
        <v>PAK</v>
      </c>
      <c r="F173" t="str">
        <f t="shared" si="3"/>
        <v>PK</v>
      </c>
    </row>
    <row r="174" spans="1:6" x14ac:dyDescent="0.25">
      <c r="A174" t="s">
        <v>131</v>
      </c>
      <c r="B174" t="s">
        <v>1810</v>
      </c>
      <c r="C174" t="s">
        <v>1055</v>
      </c>
      <c r="D174" t="str">
        <f>VLOOKUP(A174,'geojson fields'!$A$1:$M$280,12, FALSE)</f>
        <v>PLW</v>
      </c>
      <c r="F174" t="str">
        <f t="shared" si="3"/>
        <v>PW</v>
      </c>
    </row>
    <row r="175" spans="1:6" x14ac:dyDescent="0.25">
      <c r="A175" t="s">
        <v>17714</v>
      </c>
      <c r="B175" t="s">
        <v>1803</v>
      </c>
      <c r="C175" t="s">
        <v>1056</v>
      </c>
      <c r="D175" t="str">
        <f>VLOOKUP(A175,'geojson fields'!$A$1:$M$280,12, FALSE)</f>
        <v>PSX</v>
      </c>
      <c r="F175" t="str">
        <f t="shared" si="3"/>
        <v>PS</v>
      </c>
    </row>
    <row r="176" spans="1:6" x14ac:dyDescent="0.25">
      <c r="A176" t="s">
        <v>132</v>
      </c>
      <c r="B176" t="s">
        <v>1770</v>
      </c>
      <c r="C176" t="s">
        <v>1058</v>
      </c>
      <c r="D176" t="str">
        <f>VLOOKUP(A176,'geojson fields'!$A$1:$M$280,12, FALSE)</f>
        <v>PAN</v>
      </c>
      <c r="F176" t="str">
        <f t="shared" si="3"/>
        <v>PA</v>
      </c>
    </row>
    <row r="177" spans="1:6" x14ac:dyDescent="0.25">
      <c r="A177" t="s">
        <v>133</v>
      </c>
      <c r="B177" t="s">
        <v>1780</v>
      </c>
      <c r="C177" t="s">
        <v>1060</v>
      </c>
      <c r="D177" t="str">
        <f>VLOOKUP(A177,'geojson fields'!$A$1:$M$280,12, FALSE)</f>
        <v>PNG</v>
      </c>
      <c r="F177" t="str">
        <f t="shared" si="3"/>
        <v>PG</v>
      </c>
    </row>
    <row r="178" spans="1:6" x14ac:dyDescent="0.25">
      <c r="A178" t="s">
        <v>134</v>
      </c>
      <c r="B178" t="s">
        <v>1813</v>
      </c>
      <c r="C178" t="s">
        <v>1062</v>
      </c>
      <c r="D178" t="str">
        <f>VLOOKUP(A178,'geojson fields'!$A$1:$M$280,12, FALSE)</f>
        <v>PRY</v>
      </c>
      <c r="F178" t="str">
        <f t="shared" si="3"/>
        <v>PY</v>
      </c>
    </row>
    <row r="179" spans="1:6" x14ac:dyDescent="0.25">
      <c r="A179" t="s">
        <v>135</v>
      </c>
      <c r="B179" t="s">
        <v>1773</v>
      </c>
      <c r="C179" t="s">
        <v>1064</v>
      </c>
      <c r="D179" t="str">
        <f>VLOOKUP(A179,'geojson fields'!$A$1:$M$280,12, FALSE)</f>
        <v>PER</v>
      </c>
      <c r="F179" t="str">
        <f t="shared" si="3"/>
        <v>PE</v>
      </c>
    </row>
    <row r="180" spans="1:6" x14ac:dyDescent="0.25">
      <c r="A180" t="s">
        <v>136</v>
      </c>
      <c r="B180" t="s">
        <v>1783</v>
      </c>
      <c r="C180" t="s">
        <v>1066</v>
      </c>
      <c r="D180" t="str">
        <f>VLOOKUP(A180,'geojson fields'!$A$1:$M$280,12, FALSE)</f>
        <v>PHL</v>
      </c>
      <c r="F180" t="str">
        <f t="shared" ref="F180:F243" si="4">IF(ISBLANK(E180),B180,E180)</f>
        <v>PH</v>
      </c>
    </row>
    <row r="181" spans="1:6" x14ac:dyDescent="0.25">
      <c r="A181" t="s">
        <v>17740</v>
      </c>
      <c r="B181" t="s">
        <v>1797</v>
      </c>
      <c r="C181" t="s">
        <v>1067</v>
      </c>
      <c r="D181" t="str">
        <f>VLOOKUP(A181,'geojson fields'!$A$1:$M$280,12, FALSE)</f>
        <v>PCN</v>
      </c>
      <c r="F181" t="str">
        <f t="shared" si="4"/>
        <v>PN</v>
      </c>
    </row>
    <row r="182" spans="1:6" x14ac:dyDescent="0.25">
      <c r="A182" t="s">
        <v>137</v>
      </c>
      <c r="B182" t="s">
        <v>1791</v>
      </c>
      <c r="C182" t="s">
        <v>1069</v>
      </c>
      <c r="D182" t="str">
        <f>VLOOKUP(A182,'geojson fields'!$A$1:$M$280,12, FALSE)</f>
        <v>POL</v>
      </c>
      <c r="F182" t="str">
        <f t="shared" si="4"/>
        <v>PL</v>
      </c>
    </row>
    <row r="183" spans="1:6" x14ac:dyDescent="0.25">
      <c r="A183" t="s">
        <v>138</v>
      </c>
      <c r="B183" t="s">
        <v>1807</v>
      </c>
      <c r="C183" t="s">
        <v>1071</v>
      </c>
      <c r="D183" t="str">
        <f>VLOOKUP(A183,'geojson fields'!$A$1:$M$280,12, FALSE)</f>
        <v>PRT</v>
      </c>
      <c r="F183" t="str">
        <f t="shared" si="4"/>
        <v>PT</v>
      </c>
    </row>
    <row r="184" spans="1:6" x14ac:dyDescent="0.25">
      <c r="A184" t="s">
        <v>1229</v>
      </c>
      <c r="B184" t="s">
        <v>1800</v>
      </c>
      <c r="C184" t="s">
        <v>1072</v>
      </c>
      <c r="D184" t="str">
        <f>VLOOKUP(A184,'geojson fields'!$A$1:$M$280,12, FALSE)</f>
        <v>PRI</v>
      </c>
      <c r="F184" t="str">
        <f t="shared" si="4"/>
        <v>PR</v>
      </c>
    </row>
    <row r="185" spans="1:6" x14ac:dyDescent="0.25">
      <c r="A185" t="s">
        <v>139</v>
      </c>
      <c r="B185" t="s">
        <v>1816</v>
      </c>
      <c r="C185" t="s">
        <v>1074</v>
      </c>
      <c r="D185" t="str">
        <f>VLOOKUP(A185,'geojson fields'!$A$1:$M$280,12, FALSE)</f>
        <v>QAT</v>
      </c>
      <c r="F185" t="str">
        <f t="shared" si="4"/>
        <v>QA</v>
      </c>
    </row>
    <row r="186" spans="1:6" x14ac:dyDescent="0.25">
      <c r="A186" t="s">
        <v>16329</v>
      </c>
      <c r="B186" t="s">
        <v>1368</v>
      </c>
      <c r="C186" t="s">
        <v>843</v>
      </c>
      <c r="D186" t="str">
        <f>VLOOKUP(A186,'geojson fields'!$A$1:$M$280,12, FALSE)</f>
        <v>COG</v>
      </c>
      <c r="F186" t="str">
        <f t="shared" si="4"/>
        <v>CG</v>
      </c>
    </row>
    <row r="187" spans="1:6" x14ac:dyDescent="0.25">
      <c r="A187" t="s">
        <v>140</v>
      </c>
      <c r="B187" t="s">
        <v>1822</v>
      </c>
      <c r="C187" t="s">
        <v>1076</v>
      </c>
      <c r="D187" t="str">
        <f>VLOOKUP(A187,'geojson fields'!$A$1:$M$280,12, FALSE)</f>
        <v>ROU</v>
      </c>
      <c r="E187" s="48"/>
      <c r="F187" t="str">
        <f t="shared" si="4"/>
        <v>RO</v>
      </c>
    </row>
    <row r="188" spans="1:6" x14ac:dyDescent="0.25">
      <c r="A188" t="s">
        <v>141</v>
      </c>
      <c r="B188" t="s">
        <v>1829</v>
      </c>
      <c r="C188" t="s">
        <v>1078</v>
      </c>
      <c r="D188" t="str">
        <f>VLOOKUP(A188,'geojson fields'!$A$1:$M$280,12, FALSE)</f>
        <v>RUS</v>
      </c>
      <c r="F188" t="str">
        <f t="shared" si="4"/>
        <v>RU</v>
      </c>
    </row>
    <row r="189" spans="1:6" x14ac:dyDescent="0.25">
      <c r="A189" t="s">
        <v>142</v>
      </c>
      <c r="B189" t="s">
        <v>1832</v>
      </c>
      <c r="C189" t="s">
        <v>1080</v>
      </c>
      <c r="D189" t="str">
        <f>VLOOKUP(A189,'geojson fields'!$A$1:$M$280,12, FALSE)</f>
        <v>RWA</v>
      </c>
      <c r="F189" t="str">
        <f t="shared" si="4"/>
        <v>RW</v>
      </c>
    </row>
    <row r="190" spans="1:6" x14ac:dyDescent="0.25">
      <c r="A190" t="s">
        <v>1231</v>
      </c>
      <c r="B190" t="s">
        <v>1851</v>
      </c>
      <c r="C190" t="s">
        <v>1083</v>
      </c>
      <c r="D190" t="str">
        <f>VLOOKUP(A190,'geojson fields'!$A$1:$M$280,12, FALSE)</f>
        <v>SHN</v>
      </c>
      <c r="F190" t="str">
        <f t="shared" si="4"/>
        <v>SH</v>
      </c>
    </row>
    <row r="191" spans="1:6" x14ac:dyDescent="0.25">
      <c r="A191" t="s">
        <v>143</v>
      </c>
      <c r="B191" t="s">
        <v>1610</v>
      </c>
      <c r="C191" t="s">
        <v>1085</v>
      </c>
      <c r="D191" t="str">
        <f>VLOOKUP(A191,'geojson fields'!$A$1:$M$280,12, FALSE)</f>
        <v>KNA</v>
      </c>
      <c r="F191" t="str">
        <f t="shared" si="4"/>
        <v>KN</v>
      </c>
    </row>
    <row r="192" spans="1:6" x14ac:dyDescent="0.25">
      <c r="A192" t="s">
        <v>144</v>
      </c>
      <c r="B192" t="s">
        <v>1634</v>
      </c>
      <c r="C192" t="s">
        <v>1087</v>
      </c>
      <c r="D192" t="str">
        <f>VLOOKUP(A192,'geojson fields'!$A$1:$M$280,12, FALSE)</f>
        <v>LCA</v>
      </c>
      <c r="F192" t="str">
        <f t="shared" si="4"/>
        <v>LC</v>
      </c>
    </row>
    <row r="193" spans="1:6" x14ac:dyDescent="0.25">
      <c r="A193" t="s">
        <v>17840</v>
      </c>
      <c r="B193" t="s">
        <v>1669</v>
      </c>
      <c r="C193" t="s">
        <v>1088</v>
      </c>
      <c r="D193" t="str">
        <f>VLOOKUP(A193,'geojson fields'!$A$1:$M$280,12, FALSE)</f>
        <v>MAF</v>
      </c>
      <c r="F193" t="str">
        <f t="shared" si="4"/>
        <v>MF</v>
      </c>
    </row>
    <row r="194" spans="1:6" x14ac:dyDescent="0.25">
      <c r="A194" t="s">
        <v>1232</v>
      </c>
      <c r="B194" t="s">
        <v>1794</v>
      </c>
      <c r="C194" t="s">
        <v>1089</v>
      </c>
      <c r="D194" t="str">
        <f>VLOOKUP(A194,'geojson fields'!$A$1:$M$280,12, FALSE)</f>
        <v>SPM</v>
      </c>
      <c r="F194" t="str">
        <f t="shared" si="4"/>
        <v>PM</v>
      </c>
    </row>
    <row r="195" spans="1:6" x14ac:dyDescent="0.25">
      <c r="A195" t="s">
        <v>145</v>
      </c>
      <c r="B195" t="s">
        <v>1960</v>
      </c>
      <c r="C195" t="s">
        <v>1091</v>
      </c>
      <c r="D195" t="str">
        <f>VLOOKUP(A195,'geojson fields'!$A$1:$M$280,12, FALSE)</f>
        <v>VCT</v>
      </c>
      <c r="F195" t="str">
        <f t="shared" si="4"/>
        <v>VC</v>
      </c>
    </row>
    <row r="196" spans="1:6" x14ac:dyDescent="0.25">
      <c r="A196" t="s">
        <v>18854</v>
      </c>
      <c r="B196" t="s">
        <v>1323</v>
      </c>
      <c r="C196" t="s">
        <v>1082</v>
      </c>
      <c r="D196" t="str">
        <f>VLOOKUP(A196,'geojson fields'!$A$1:$M$280,12, FALSE)</f>
        <v>BLM</v>
      </c>
      <c r="F196" t="str">
        <f t="shared" si="4"/>
        <v>BL</v>
      </c>
    </row>
    <row r="197" spans="1:6" x14ac:dyDescent="0.25">
      <c r="A197" t="s">
        <v>146</v>
      </c>
      <c r="B197" t="s">
        <v>1981</v>
      </c>
      <c r="C197" t="s">
        <v>1093</v>
      </c>
      <c r="D197" t="str">
        <f>VLOOKUP(A197,'geojson fields'!$A$1:$M$280,12, FALSE)</f>
        <v>WSM</v>
      </c>
      <c r="F197" t="str">
        <f t="shared" si="4"/>
        <v>WS</v>
      </c>
    </row>
    <row r="198" spans="1:6" x14ac:dyDescent="0.25">
      <c r="A198" t="s">
        <v>147</v>
      </c>
      <c r="B198" t="s">
        <v>1865</v>
      </c>
      <c r="C198" t="s">
        <v>1095</v>
      </c>
      <c r="D198" t="str">
        <f>VLOOKUP(A198,'geojson fields'!$A$1:$M$280,12, FALSE)</f>
        <v>SMR</v>
      </c>
      <c r="F198" t="str">
        <f t="shared" si="4"/>
        <v>SM</v>
      </c>
    </row>
    <row r="199" spans="1:6" x14ac:dyDescent="0.25">
      <c r="A199" t="s">
        <v>18386</v>
      </c>
      <c r="B199" t="s">
        <v>1468</v>
      </c>
      <c r="C199" t="s">
        <v>1097</v>
      </c>
      <c r="D199" t="str">
        <f>VLOOKUP(A199,'geojson fields'!$A$1:$M$280,12, FALSE)</f>
        <v>STP</v>
      </c>
      <c r="F199" t="str">
        <f t="shared" si="4"/>
        <v>ST</v>
      </c>
    </row>
    <row r="200" spans="1:6" x14ac:dyDescent="0.25">
      <c r="A200" t="s">
        <v>149</v>
      </c>
      <c r="B200" t="s">
        <v>1835</v>
      </c>
      <c r="C200" t="s">
        <v>1099</v>
      </c>
      <c r="D200" t="str">
        <f>VLOOKUP(A200,'geojson fields'!$A$1:$M$280,12, FALSE)</f>
        <v>SAU</v>
      </c>
      <c r="F200" t="str">
        <f t="shared" si="4"/>
        <v>SA</v>
      </c>
    </row>
    <row r="201" spans="1:6" x14ac:dyDescent="0.25">
      <c r="A201" t="s">
        <v>150</v>
      </c>
      <c r="B201" t="s">
        <v>1868</v>
      </c>
      <c r="C201" t="s">
        <v>1101</v>
      </c>
      <c r="D201" t="str">
        <f>VLOOKUP(A201,'geojson fields'!$A$1:$M$280,12, FALSE)</f>
        <v>SEN</v>
      </c>
      <c r="F201" t="str">
        <f t="shared" si="4"/>
        <v>SN</v>
      </c>
    </row>
    <row r="202" spans="1:6" x14ac:dyDescent="0.25">
      <c r="A202" t="s">
        <v>151</v>
      </c>
      <c r="B202" t="s">
        <v>1825</v>
      </c>
      <c r="C202" t="s">
        <v>1103</v>
      </c>
      <c r="D202" t="str">
        <f>VLOOKUP(A202,'geojson fields'!$A$1:$M$280,12, FALSE)</f>
        <v>SRB</v>
      </c>
      <c r="F202" t="str">
        <f t="shared" si="4"/>
        <v>RS</v>
      </c>
    </row>
    <row r="203" spans="1:6" x14ac:dyDescent="0.25">
      <c r="A203" t="s">
        <v>152</v>
      </c>
      <c r="B203" t="s">
        <v>1841</v>
      </c>
      <c r="C203" t="s">
        <v>1105</v>
      </c>
      <c r="D203" t="str">
        <f>VLOOKUP(A203,'geojson fields'!$A$1:$M$280,12, FALSE)</f>
        <v>SYC</v>
      </c>
      <c r="F203" t="str">
        <f t="shared" si="4"/>
        <v>SC</v>
      </c>
    </row>
    <row r="204" spans="1:6" x14ac:dyDescent="0.25">
      <c r="A204" t="s">
        <v>153</v>
      </c>
      <c r="B204" t="s">
        <v>1863</v>
      </c>
      <c r="C204" t="s">
        <v>1107</v>
      </c>
      <c r="D204" t="str">
        <f>VLOOKUP(A204,'geojson fields'!$A$1:$M$280,12, FALSE)</f>
        <v>SLE</v>
      </c>
      <c r="F204" t="str">
        <f t="shared" si="4"/>
        <v>SL</v>
      </c>
    </row>
    <row r="205" spans="1:6" x14ac:dyDescent="0.25">
      <c r="A205" t="s">
        <v>154</v>
      </c>
      <c r="B205" t="s">
        <v>1848</v>
      </c>
      <c r="C205" t="s">
        <v>1109</v>
      </c>
      <c r="D205" t="str">
        <f>VLOOKUP(A205,'geojson fields'!$A$1:$M$280,12, FALSE)</f>
        <v>SGP</v>
      </c>
      <c r="F205" t="str">
        <f t="shared" si="4"/>
        <v>SG</v>
      </c>
    </row>
    <row r="206" spans="1:6" x14ac:dyDescent="0.25">
      <c r="A206" t="s">
        <v>8864</v>
      </c>
      <c r="B206" t="s">
        <v>1884</v>
      </c>
      <c r="C206" t="s">
        <v>1110</v>
      </c>
      <c r="D206" t="str">
        <f>VLOOKUP(A206,'geojson fields'!$A$1:$M$280,12, FALSE)</f>
        <v>SXM</v>
      </c>
      <c r="F206" t="str">
        <f t="shared" si="4"/>
        <v>SX</v>
      </c>
    </row>
    <row r="207" spans="1:6" x14ac:dyDescent="0.25">
      <c r="A207" t="s">
        <v>155</v>
      </c>
      <c r="B207" t="s">
        <v>1860</v>
      </c>
      <c r="C207" t="s">
        <v>1112</v>
      </c>
      <c r="D207" t="str">
        <f>VLOOKUP(A207,'geojson fields'!$A$1:$M$280,12, FALSE)</f>
        <v>SVK</v>
      </c>
      <c r="F207" t="str">
        <f t="shared" si="4"/>
        <v>SK</v>
      </c>
    </row>
    <row r="208" spans="1:6" x14ac:dyDescent="0.25">
      <c r="A208" t="s">
        <v>156</v>
      </c>
      <c r="B208" t="s">
        <v>1854</v>
      </c>
      <c r="C208" t="s">
        <v>1114</v>
      </c>
      <c r="D208" t="str">
        <f>VLOOKUP(A208,'geojson fields'!$A$1:$M$280,12, FALSE)</f>
        <v>SVN</v>
      </c>
      <c r="F208" t="str">
        <f t="shared" si="4"/>
        <v>SI</v>
      </c>
    </row>
    <row r="209" spans="1:6" x14ac:dyDescent="0.25">
      <c r="A209" t="s">
        <v>157</v>
      </c>
      <c r="B209" t="s">
        <v>1838</v>
      </c>
      <c r="C209" t="s">
        <v>1116</v>
      </c>
      <c r="D209" t="str">
        <f>VLOOKUP(A209,'geojson fields'!$A$1:$M$280,12, FALSE)</f>
        <v>SLB</v>
      </c>
      <c r="F209" t="str">
        <f t="shared" si="4"/>
        <v>SB</v>
      </c>
    </row>
    <row r="210" spans="1:6" x14ac:dyDescent="0.25">
      <c r="A210" t="s">
        <v>158</v>
      </c>
      <c r="B210" t="s">
        <v>1464</v>
      </c>
      <c r="C210" t="s">
        <v>1118</v>
      </c>
      <c r="D210" t="str">
        <f>VLOOKUP(A210,'geojson fields'!$A$1:$M$280,12, FALSE)</f>
        <v>SOM</v>
      </c>
      <c r="F210" t="str">
        <f t="shared" si="4"/>
        <v>SO</v>
      </c>
    </row>
    <row r="211" spans="1:6" x14ac:dyDescent="0.25">
      <c r="A211" t="s">
        <v>159</v>
      </c>
      <c r="B211" t="s">
        <v>1991</v>
      </c>
      <c r="C211" t="s">
        <v>1120</v>
      </c>
      <c r="D211" t="str">
        <f>VLOOKUP(A211,'geojson fields'!$A$1:$M$280,12, FALSE)</f>
        <v>ZAF</v>
      </c>
      <c r="F211" t="str">
        <f t="shared" si="4"/>
        <v>ZA</v>
      </c>
    </row>
    <row r="212" spans="1:6" x14ac:dyDescent="0.25">
      <c r="A212" t="s">
        <v>18387</v>
      </c>
      <c r="B212" t="s">
        <v>1521</v>
      </c>
      <c r="C212" t="s">
        <v>1121</v>
      </c>
      <c r="D212" t="str">
        <f>VLOOKUP(A212,'geojson fields'!$A$1:$M$280,12, FALSE)</f>
        <v>SGS</v>
      </c>
      <c r="F212" t="str">
        <f t="shared" si="4"/>
        <v>GS</v>
      </c>
    </row>
    <row r="213" spans="1:6" x14ac:dyDescent="0.25">
      <c r="A213" t="s">
        <v>89</v>
      </c>
      <c r="B213" t="s">
        <v>1616</v>
      </c>
      <c r="C213" t="s">
        <v>963</v>
      </c>
      <c r="D213" t="str">
        <f>VLOOKUP(A213,'geojson fields'!$A$1:$M$280,12, FALSE)</f>
        <v>KOR</v>
      </c>
      <c r="F213" t="str">
        <f t="shared" si="4"/>
        <v>KR</v>
      </c>
    </row>
    <row r="214" spans="1:6" x14ac:dyDescent="0.25">
      <c r="A214" t="s">
        <v>160</v>
      </c>
      <c r="B214" t="s">
        <v>1876</v>
      </c>
      <c r="C214" t="s">
        <v>1123</v>
      </c>
      <c r="D214" t="str">
        <f>VLOOKUP(A214,'geojson fields'!$A$1:$M$280,12, FALSE)</f>
        <v>SDS</v>
      </c>
      <c r="F214" t="str">
        <f t="shared" si="4"/>
        <v>SS</v>
      </c>
    </row>
    <row r="215" spans="1:6" x14ac:dyDescent="0.25">
      <c r="A215" t="s">
        <v>161</v>
      </c>
      <c r="B215" t="s">
        <v>1448</v>
      </c>
      <c r="C215" t="s">
        <v>1125</v>
      </c>
      <c r="D215" t="str">
        <f>VLOOKUP(A215,'geojson fields'!$A$1:$M$280,12, FALSE)</f>
        <v>ESP</v>
      </c>
      <c r="F215" t="str">
        <f t="shared" si="4"/>
        <v>ES</v>
      </c>
    </row>
    <row r="216" spans="1:6" x14ac:dyDescent="0.25">
      <c r="A216" t="s">
        <v>162</v>
      </c>
      <c r="B216" t="s">
        <v>1640</v>
      </c>
      <c r="C216" t="s">
        <v>1127</v>
      </c>
      <c r="D216" t="str">
        <f>VLOOKUP(A216,'geojson fields'!$A$1:$M$280,12, FALSE)</f>
        <v>LKA</v>
      </c>
      <c r="F216" t="str">
        <f t="shared" si="4"/>
        <v>LK</v>
      </c>
    </row>
    <row r="217" spans="1:6" x14ac:dyDescent="0.25">
      <c r="A217" t="s">
        <v>163</v>
      </c>
      <c r="B217" t="s">
        <v>1844</v>
      </c>
      <c r="C217" t="s">
        <v>1129</v>
      </c>
      <c r="D217" t="str">
        <f>VLOOKUP(A217,'geojson fields'!$A$1:$M$280,12, FALSE)</f>
        <v>SDN</v>
      </c>
      <c r="F217" t="str">
        <f t="shared" si="4"/>
        <v>SD</v>
      </c>
    </row>
    <row r="218" spans="1:6" x14ac:dyDescent="0.25">
      <c r="A218" t="s">
        <v>164</v>
      </c>
      <c r="B218" t="s">
        <v>1873</v>
      </c>
      <c r="C218" t="s">
        <v>1131</v>
      </c>
      <c r="D218" t="str">
        <f>VLOOKUP(A218,'geojson fields'!$A$1:$M$280,12, FALSE)</f>
        <v>SUR</v>
      </c>
      <c r="F218" t="str">
        <f t="shared" si="4"/>
        <v>SR</v>
      </c>
    </row>
    <row r="219" spans="1:6" x14ac:dyDescent="0.25">
      <c r="A219" t="s">
        <v>165</v>
      </c>
      <c r="B219" t="s">
        <v>1826</v>
      </c>
      <c r="C219" t="s">
        <v>1135</v>
      </c>
      <c r="D219" t="str">
        <f>VLOOKUP(A219,'geojson fields'!$A$1:$M$280,12, FALSE)</f>
        <v>SWE</v>
      </c>
      <c r="F219" t="str">
        <f t="shared" si="4"/>
        <v>SE</v>
      </c>
    </row>
    <row r="220" spans="1:6" x14ac:dyDescent="0.25">
      <c r="A220" t="s">
        <v>166</v>
      </c>
      <c r="B220" t="s">
        <v>1371</v>
      </c>
      <c r="C220" t="s">
        <v>1137</v>
      </c>
      <c r="D220" t="str">
        <f>VLOOKUP(A220,'geojson fields'!$A$1:$M$280,12, FALSE)</f>
        <v>CHE</v>
      </c>
      <c r="F220" t="str">
        <f t="shared" si="4"/>
        <v>CH</v>
      </c>
    </row>
    <row r="221" spans="1:6" x14ac:dyDescent="0.25">
      <c r="A221" t="s">
        <v>167</v>
      </c>
      <c r="B221" t="s">
        <v>1887</v>
      </c>
      <c r="C221" t="s">
        <v>1139</v>
      </c>
      <c r="D221" t="str">
        <f>VLOOKUP(A221,'geojson fields'!$A$1:$M$280,12, FALSE)</f>
        <v>SYR</v>
      </c>
      <c r="F221" t="str">
        <f t="shared" si="4"/>
        <v>SY</v>
      </c>
    </row>
    <row r="222" spans="1:6" x14ac:dyDescent="0.25">
      <c r="A222" t="s">
        <v>192</v>
      </c>
      <c r="B222" t="s">
        <v>1604</v>
      </c>
      <c r="C222" t="s">
        <v>1141</v>
      </c>
      <c r="D222" t="str">
        <f>VLOOKUP(A222,'geojson fields'!$A$1:$M$280,12, FALSE)</f>
        <v>TWN</v>
      </c>
      <c r="F222" t="str">
        <f t="shared" si="4"/>
        <v>TW</v>
      </c>
    </row>
    <row r="223" spans="1:6" x14ac:dyDescent="0.25">
      <c r="A223" t="s">
        <v>168</v>
      </c>
      <c r="B223" t="s">
        <v>1908</v>
      </c>
      <c r="C223" t="s">
        <v>1143</v>
      </c>
      <c r="D223" t="str">
        <f>VLOOKUP(A223,'geojson fields'!$A$1:$M$280,12, FALSE)</f>
        <v>TJK</v>
      </c>
      <c r="F223" t="str">
        <f t="shared" si="4"/>
        <v>TJ</v>
      </c>
    </row>
    <row r="224" spans="1:6" x14ac:dyDescent="0.25">
      <c r="A224" t="s">
        <v>169</v>
      </c>
      <c r="B224" t="s">
        <v>1938</v>
      </c>
      <c r="C224" t="s">
        <v>1145</v>
      </c>
      <c r="D224" t="str">
        <f>VLOOKUP(A224,'geojson fields'!$A$1:$M$280,12, FALSE)</f>
        <v>TZA</v>
      </c>
      <c r="F224" t="str">
        <f t="shared" si="4"/>
        <v>TZ</v>
      </c>
    </row>
    <row r="225" spans="1:6" x14ac:dyDescent="0.25">
      <c r="A225" t="s">
        <v>170</v>
      </c>
      <c r="B225" t="s">
        <v>1905</v>
      </c>
      <c r="C225" t="s">
        <v>1147</v>
      </c>
      <c r="D225" t="str">
        <f>VLOOKUP(A225,'geojson fields'!$A$1:$M$280,12, FALSE)</f>
        <v>THA</v>
      </c>
      <c r="F225" t="str">
        <f t="shared" si="4"/>
        <v>TH</v>
      </c>
    </row>
    <row r="226" spans="1:6" x14ac:dyDescent="0.25">
      <c r="A226" t="s">
        <v>12065</v>
      </c>
      <c r="D226" t="str">
        <f>VLOOKUP(A226,'geojson fields'!$A$1:$M$280,12, FALSE)</f>
        <v>CN-XZ</v>
      </c>
      <c r="E226" t="s">
        <v>12066</v>
      </c>
      <c r="F226" t="str">
        <f t="shared" si="4"/>
        <v>CX-XZ</v>
      </c>
    </row>
    <row r="227" spans="1:6" x14ac:dyDescent="0.25">
      <c r="A227" t="s">
        <v>171</v>
      </c>
      <c r="B227" t="s">
        <v>1911</v>
      </c>
      <c r="C227" t="s">
        <v>1149</v>
      </c>
      <c r="D227" t="str">
        <f>VLOOKUP(A227,'geojson fields'!$A$1:$M$280,12, FALSE)</f>
        <v>TLS</v>
      </c>
      <c r="F227" t="str">
        <f t="shared" si="4"/>
        <v>TL</v>
      </c>
    </row>
    <row r="228" spans="1:6" x14ac:dyDescent="0.25">
      <c r="A228" t="s">
        <v>172</v>
      </c>
      <c r="B228" t="s">
        <v>1902</v>
      </c>
      <c r="C228" t="s">
        <v>1151</v>
      </c>
      <c r="D228" t="str">
        <f>VLOOKUP(A228,'geojson fields'!$A$1:$M$280,12, FALSE)</f>
        <v>TGO</v>
      </c>
      <c r="F228" t="str">
        <f t="shared" si="4"/>
        <v>TG</v>
      </c>
    </row>
    <row r="229" spans="1:6" x14ac:dyDescent="0.25">
      <c r="A229" t="s">
        <v>173</v>
      </c>
      <c r="B229" t="s">
        <v>1921</v>
      </c>
      <c r="C229" t="s">
        <v>1153</v>
      </c>
      <c r="D229" t="str">
        <f>VLOOKUP(A229,'geojson fields'!$A$1:$M$280,12, FALSE)</f>
        <v>TON</v>
      </c>
      <c r="F229" t="str">
        <f t="shared" si="4"/>
        <v>TO</v>
      </c>
    </row>
    <row r="230" spans="1:6" x14ac:dyDescent="0.25">
      <c r="A230" t="s">
        <v>174</v>
      </c>
      <c r="B230" t="s">
        <v>1927</v>
      </c>
      <c r="C230" t="s">
        <v>1155</v>
      </c>
      <c r="D230" t="str">
        <f>VLOOKUP(A230,'geojson fields'!$A$1:$M$280,12, FALSE)</f>
        <v>TTO</v>
      </c>
      <c r="F230" t="str">
        <f t="shared" si="4"/>
        <v>TT</v>
      </c>
    </row>
    <row r="231" spans="1:6" x14ac:dyDescent="0.25">
      <c r="A231" t="s">
        <v>175</v>
      </c>
      <c r="B231" t="s">
        <v>1918</v>
      </c>
      <c r="C231" t="s">
        <v>1157</v>
      </c>
      <c r="D231" t="str">
        <f>VLOOKUP(A231,'geojson fields'!$A$1:$M$280,12, FALSE)</f>
        <v>TUN</v>
      </c>
      <c r="F231" t="str">
        <f t="shared" si="4"/>
        <v>TN</v>
      </c>
    </row>
    <row r="232" spans="1:6" x14ac:dyDescent="0.25">
      <c r="A232" t="s">
        <v>176</v>
      </c>
      <c r="B232" t="s">
        <v>1924</v>
      </c>
      <c r="C232" t="s">
        <v>1159</v>
      </c>
      <c r="D232" t="str">
        <f>VLOOKUP(A232,'geojson fields'!$A$1:$M$280,12, FALSE)</f>
        <v>TUR</v>
      </c>
      <c r="F232" t="str">
        <f t="shared" si="4"/>
        <v>TR</v>
      </c>
    </row>
    <row r="233" spans="1:6" x14ac:dyDescent="0.25">
      <c r="A233" t="s">
        <v>177</v>
      </c>
      <c r="B233" t="s">
        <v>1915</v>
      </c>
      <c r="C233" t="s">
        <v>1161</v>
      </c>
      <c r="D233" t="str">
        <f>VLOOKUP(A233,'geojson fields'!$A$1:$M$280,12, FALSE)</f>
        <v>TKM</v>
      </c>
      <c r="F233" t="str">
        <f t="shared" si="4"/>
        <v>TM</v>
      </c>
    </row>
    <row r="234" spans="1:6" x14ac:dyDescent="0.25">
      <c r="A234" t="s">
        <v>1235</v>
      </c>
      <c r="B234" t="s">
        <v>1893</v>
      </c>
      <c r="C234" t="s">
        <v>1162</v>
      </c>
      <c r="D234" t="str">
        <f>VLOOKUP(A234,'geojson fields'!$A$1:$M$280,12, FALSE)</f>
        <v>TCA</v>
      </c>
      <c r="F234" t="str">
        <f t="shared" si="4"/>
        <v>TC</v>
      </c>
    </row>
    <row r="235" spans="1:6" x14ac:dyDescent="0.25">
      <c r="A235" t="s">
        <v>178</v>
      </c>
      <c r="B235" t="s">
        <v>1931</v>
      </c>
      <c r="C235" t="s">
        <v>1164</v>
      </c>
      <c r="D235" t="str">
        <f>VLOOKUP(A235,'geojson fields'!$A$1:$M$280,12, FALSE)</f>
        <v>TUV</v>
      </c>
      <c r="F235" t="str">
        <f t="shared" si="4"/>
        <v>TV</v>
      </c>
    </row>
    <row r="236" spans="1:6" x14ac:dyDescent="0.25">
      <c r="A236" t="s">
        <v>18855</v>
      </c>
      <c r="B236" t="s">
        <v>2155</v>
      </c>
      <c r="C236" t="s">
        <v>1175</v>
      </c>
      <c r="D236" t="str">
        <f>VLOOKUP(A236,'geojson fields'!$A$1:$M$280,12, FALSE)</f>
        <v>UMI</v>
      </c>
      <c r="F236" t="str">
        <f t="shared" si="4"/>
        <v>UM</v>
      </c>
    </row>
    <row r="237" spans="1:6" x14ac:dyDescent="0.25">
      <c r="A237" t="s">
        <v>2018</v>
      </c>
      <c r="B237" t="s">
        <v>1969</v>
      </c>
      <c r="C237" t="s">
        <v>1187</v>
      </c>
      <c r="D237" t="str">
        <f>VLOOKUP(A237,'geojson fields'!$A$1:$M$280,12, FALSE)</f>
        <v>VIR</v>
      </c>
      <c r="F237" t="str">
        <f t="shared" si="4"/>
        <v>VI</v>
      </c>
    </row>
    <row r="238" spans="1:6" x14ac:dyDescent="0.25">
      <c r="A238" t="s">
        <v>179</v>
      </c>
      <c r="B238" t="s">
        <v>1944</v>
      </c>
      <c r="C238" t="s">
        <v>1166</v>
      </c>
      <c r="D238" t="str">
        <f>VLOOKUP(A238,'geojson fields'!$A$1:$M$280,12, FALSE)</f>
        <v>UGA</v>
      </c>
      <c r="F238" t="str">
        <f t="shared" si="4"/>
        <v>UG</v>
      </c>
    </row>
    <row r="239" spans="1:6" x14ac:dyDescent="0.25">
      <c r="A239" t="s">
        <v>180</v>
      </c>
      <c r="B239" t="s">
        <v>1941</v>
      </c>
      <c r="C239" t="s">
        <v>1168</v>
      </c>
      <c r="D239" t="str">
        <f>VLOOKUP(A239,'geojson fields'!$A$1:$M$280,12, FALSE)</f>
        <v>UKR</v>
      </c>
      <c r="F239" t="str">
        <f t="shared" si="4"/>
        <v>UA</v>
      </c>
    </row>
    <row r="240" spans="1:6" x14ac:dyDescent="0.25">
      <c r="A240" t="s">
        <v>181</v>
      </c>
      <c r="B240" t="s">
        <v>1249</v>
      </c>
      <c r="C240" t="s">
        <v>1170</v>
      </c>
      <c r="D240" t="str">
        <f>VLOOKUP(A240,'geojson fields'!$A$1:$M$280,12, FALSE)</f>
        <v>ARE</v>
      </c>
      <c r="F240" t="str">
        <f t="shared" si="4"/>
        <v>AE</v>
      </c>
    </row>
    <row r="241" spans="1:6" x14ac:dyDescent="0.25">
      <c r="A241" t="s">
        <v>182</v>
      </c>
      <c r="B241" t="s">
        <v>1478</v>
      </c>
      <c r="C241" t="s">
        <v>1172</v>
      </c>
      <c r="D241" t="str">
        <f>VLOOKUP(A241,'geojson fields'!$A$1:$M$280,12, FALSE)</f>
        <v>GBR</v>
      </c>
      <c r="F241" t="str">
        <f t="shared" si="4"/>
        <v>GB</v>
      </c>
    </row>
    <row r="242" spans="1:6" x14ac:dyDescent="0.25">
      <c r="A242" t="s">
        <v>12532</v>
      </c>
      <c r="B242" t="s">
        <v>1947</v>
      </c>
      <c r="C242" t="s">
        <v>1174</v>
      </c>
      <c r="D242" t="str">
        <f>VLOOKUP(A242,'geojson fields'!$A$1:$M$280,12, FALSE)</f>
        <v>USA</v>
      </c>
      <c r="F242" t="str">
        <f t="shared" si="4"/>
        <v>US</v>
      </c>
    </row>
    <row r="243" spans="1:6" x14ac:dyDescent="0.25">
      <c r="A243" t="s">
        <v>184</v>
      </c>
      <c r="B243" t="s">
        <v>1951</v>
      </c>
      <c r="C243" t="s">
        <v>1177</v>
      </c>
      <c r="D243" t="str">
        <f>VLOOKUP(A243,'geojson fields'!$A$1:$M$280,12, FALSE)</f>
        <v>URY</v>
      </c>
      <c r="F243" t="str">
        <f t="shared" si="4"/>
        <v>UY</v>
      </c>
    </row>
    <row r="244" spans="1:6" x14ac:dyDescent="0.25">
      <c r="A244" t="s">
        <v>185</v>
      </c>
      <c r="B244" t="s">
        <v>1954</v>
      </c>
      <c r="C244" t="s">
        <v>1179</v>
      </c>
      <c r="D244" t="str">
        <f>VLOOKUP(A244,'geojson fields'!$A$1:$M$280,12, FALSE)</f>
        <v>UZB</v>
      </c>
      <c r="F244" t="str">
        <f t="shared" ref="F244:F253" si="5">IF(ISBLANK(E244),B244,E244)</f>
        <v>UZ</v>
      </c>
    </row>
    <row r="245" spans="1:6" x14ac:dyDescent="0.25">
      <c r="A245" t="s">
        <v>186</v>
      </c>
      <c r="B245" t="s">
        <v>1975</v>
      </c>
      <c r="C245" t="s">
        <v>1181</v>
      </c>
      <c r="D245" t="str">
        <f>VLOOKUP(A245,'geojson fields'!$A$1:$M$280,12, FALSE)</f>
        <v>VUT</v>
      </c>
      <c r="F245" t="str">
        <f t="shared" si="5"/>
        <v>VU</v>
      </c>
    </row>
    <row r="246" spans="1:6" x14ac:dyDescent="0.25">
      <c r="A246" t="s">
        <v>18215</v>
      </c>
      <c r="B246" t="s">
        <v>1957</v>
      </c>
      <c r="C246" t="s">
        <v>924</v>
      </c>
      <c r="D246" t="str">
        <f>VLOOKUP(A246,'geojson fields'!$A$1:$M$280,12, FALSE)</f>
        <v>VAT</v>
      </c>
      <c r="F246" t="str">
        <f t="shared" si="5"/>
        <v>VA</v>
      </c>
    </row>
    <row r="247" spans="1:6" x14ac:dyDescent="0.25">
      <c r="A247" t="s">
        <v>187</v>
      </c>
      <c r="B247" t="s">
        <v>1963</v>
      </c>
      <c r="C247" t="s">
        <v>1183</v>
      </c>
      <c r="D247" t="str">
        <f>VLOOKUP(A247,'geojson fields'!$A$1:$M$280,12, FALSE)</f>
        <v>VEN</v>
      </c>
      <c r="F247" t="str">
        <f t="shared" si="5"/>
        <v>VE</v>
      </c>
    </row>
    <row r="248" spans="1:6" x14ac:dyDescent="0.25">
      <c r="A248" t="s">
        <v>188</v>
      </c>
      <c r="B248" t="s">
        <v>1972</v>
      </c>
      <c r="C248" t="s">
        <v>1185</v>
      </c>
      <c r="D248" t="str">
        <f>VLOOKUP(A248,'geojson fields'!$A$1:$M$280,12, FALSE)</f>
        <v>VNM</v>
      </c>
      <c r="F248" t="str">
        <f t="shared" si="5"/>
        <v>VN</v>
      </c>
    </row>
    <row r="249" spans="1:6" x14ac:dyDescent="0.25">
      <c r="A249" t="s">
        <v>18134</v>
      </c>
      <c r="B249" t="s">
        <v>1978</v>
      </c>
      <c r="C249" t="s">
        <v>1188</v>
      </c>
      <c r="D249" t="str">
        <f>VLOOKUP(A249,'geojson fields'!$A$1:$M$280,12, FALSE)</f>
        <v>WLF</v>
      </c>
      <c r="F249" t="str">
        <f t="shared" si="5"/>
        <v>WF</v>
      </c>
    </row>
    <row r="250" spans="1:6" x14ac:dyDescent="0.25">
      <c r="A250" t="s">
        <v>1239</v>
      </c>
      <c r="B250" t="s">
        <v>1440</v>
      </c>
      <c r="C250" t="s">
        <v>1189</v>
      </c>
      <c r="D250" t="str">
        <f>VLOOKUP(A250,'geojson fields'!$A$1:$M$280,12, FALSE)</f>
        <v>SAH</v>
      </c>
      <c r="F250" t="str">
        <f t="shared" si="5"/>
        <v>EH</v>
      </c>
    </row>
    <row r="251" spans="1:6" x14ac:dyDescent="0.25">
      <c r="A251" t="s">
        <v>189</v>
      </c>
      <c r="B251" t="s">
        <v>1985</v>
      </c>
      <c r="C251" t="s">
        <v>1191</v>
      </c>
      <c r="D251" t="str">
        <f>VLOOKUP(A251,'geojson fields'!$A$1:$M$280,12, FALSE)</f>
        <v>YEM</v>
      </c>
      <c r="F251" t="str">
        <f t="shared" si="5"/>
        <v>YE</v>
      </c>
    </row>
    <row r="252" spans="1:6" x14ac:dyDescent="0.25">
      <c r="A252" t="s">
        <v>190</v>
      </c>
      <c r="B252" t="s">
        <v>1995</v>
      </c>
      <c r="C252" t="s">
        <v>1193</v>
      </c>
      <c r="D252" t="str">
        <f>VLOOKUP(A252,'geojson fields'!$A$1:$M$280,12, FALSE)</f>
        <v>ZMB</v>
      </c>
      <c r="F252" t="str">
        <f t="shared" si="5"/>
        <v>ZM</v>
      </c>
    </row>
    <row r="253" spans="1:6" x14ac:dyDescent="0.25">
      <c r="A253" t="s">
        <v>191</v>
      </c>
      <c r="B253" t="s">
        <v>1998</v>
      </c>
      <c r="C253" t="s">
        <v>1195</v>
      </c>
      <c r="D253" t="str">
        <f>VLOOKUP(A253,'geojson fields'!$A$1:$M$280,12, FALSE)</f>
        <v>ZWE</v>
      </c>
      <c r="F253" t="str">
        <f t="shared" si="5"/>
        <v>ZW</v>
      </c>
    </row>
  </sheetData>
  <sortState xmlns:xlrd2="http://schemas.microsoft.com/office/spreadsheetml/2017/richdata2" ref="A2:F253">
    <sortCondition ref="A2:A25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03C2-B65D-4175-BA8D-AB2FEAC8AB1B}">
  <dimension ref="A1:IS277"/>
  <sheetViews>
    <sheetView zoomScale="115" zoomScaleNormal="11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3.5703125" customWidth="1"/>
    <col min="37" max="37" width="14.42578125" customWidth="1"/>
  </cols>
  <sheetData>
    <row r="1" spans="1:253" x14ac:dyDescent="0.25">
      <c r="A1" t="s">
        <v>12097</v>
      </c>
      <c r="B1" t="s">
        <v>12080</v>
      </c>
      <c r="C1" t="s">
        <v>12081</v>
      </c>
      <c r="D1" t="s">
        <v>12082</v>
      </c>
      <c r="E1" t="s">
        <v>12083</v>
      </c>
      <c r="F1" t="s">
        <v>12079</v>
      </c>
      <c r="G1" t="s">
        <v>12084</v>
      </c>
      <c r="H1" t="s">
        <v>12085</v>
      </c>
      <c r="I1" t="s">
        <v>12086</v>
      </c>
      <c r="J1" t="s">
        <v>12087</v>
      </c>
      <c r="K1" t="s">
        <v>12088</v>
      </c>
      <c r="L1" t="s">
        <v>12089</v>
      </c>
      <c r="M1" t="s">
        <v>12090</v>
      </c>
      <c r="N1" t="s">
        <v>12091</v>
      </c>
      <c r="O1" t="s">
        <v>12092</v>
      </c>
      <c r="P1" t="s">
        <v>12093</v>
      </c>
      <c r="Q1" t="s">
        <v>12094</v>
      </c>
      <c r="R1" t="s">
        <v>12095</v>
      </c>
      <c r="S1" t="s">
        <v>12096</v>
      </c>
      <c r="T1" t="s">
        <v>12098</v>
      </c>
      <c r="U1" t="s">
        <v>12099</v>
      </c>
      <c r="V1" t="s">
        <v>12100</v>
      </c>
      <c r="W1" t="s">
        <v>12101</v>
      </c>
      <c r="X1" t="s">
        <v>12102</v>
      </c>
      <c r="Y1" t="s">
        <v>12103</v>
      </c>
      <c r="Z1" t="s">
        <v>12104</v>
      </c>
      <c r="AA1" t="s">
        <v>12105</v>
      </c>
      <c r="AB1" t="s">
        <v>12106</v>
      </c>
      <c r="AC1" t="s">
        <v>12107</v>
      </c>
      <c r="AD1" t="s">
        <v>12108</v>
      </c>
      <c r="AE1" t="s">
        <v>12109</v>
      </c>
      <c r="AF1" t="s">
        <v>12110</v>
      </c>
      <c r="AG1" t="s">
        <v>12111</v>
      </c>
      <c r="AH1" t="s">
        <v>12112</v>
      </c>
      <c r="AI1" t="s">
        <v>12113</v>
      </c>
      <c r="AJ1" t="s">
        <v>12114</v>
      </c>
      <c r="AK1" t="s">
        <v>12115</v>
      </c>
      <c r="AL1" t="s">
        <v>12116</v>
      </c>
      <c r="AM1" t="s">
        <v>12117</v>
      </c>
      <c r="AN1" t="s">
        <v>12118</v>
      </c>
      <c r="AO1" t="s">
        <v>12119</v>
      </c>
      <c r="AP1" t="s">
        <v>12120</v>
      </c>
      <c r="AQ1" t="s">
        <v>12121</v>
      </c>
      <c r="AR1" t="s">
        <v>12122</v>
      </c>
      <c r="AS1" t="s">
        <v>12123</v>
      </c>
      <c r="AT1" t="s">
        <v>12124</v>
      </c>
      <c r="AU1" t="s">
        <v>12125</v>
      </c>
      <c r="AV1" t="s">
        <v>12126</v>
      </c>
      <c r="AW1" t="s">
        <v>12127</v>
      </c>
      <c r="AX1" t="s">
        <v>12128</v>
      </c>
      <c r="AY1" t="s">
        <v>12129</v>
      </c>
      <c r="AZ1" t="s">
        <v>12130</v>
      </c>
      <c r="BA1" t="s">
        <v>12131</v>
      </c>
      <c r="BB1" t="s">
        <v>12132</v>
      </c>
      <c r="BC1" t="s">
        <v>12133</v>
      </c>
      <c r="BD1" t="s">
        <v>12134</v>
      </c>
      <c r="BE1" t="s">
        <v>12135</v>
      </c>
      <c r="BF1" t="s">
        <v>12136</v>
      </c>
      <c r="BG1" t="s">
        <v>12137</v>
      </c>
      <c r="BH1" t="s">
        <v>12138</v>
      </c>
      <c r="BI1" t="s">
        <v>12139</v>
      </c>
      <c r="BJ1" t="s">
        <v>12140</v>
      </c>
      <c r="BK1" t="s">
        <v>12141</v>
      </c>
      <c r="BL1" t="s">
        <v>12142</v>
      </c>
      <c r="BM1" t="s">
        <v>12143</v>
      </c>
      <c r="BN1" t="s">
        <v>12144</v>
      </c>
      <c r="BO1" t="s">
        <v>12145</v>
      </c>
      <c r="BP1" t="s">
        <v>12146</v>
      </c>
      <c r="BQ1" t="s">
        <v>12147</v>
      </c>
      <c r="BR1" t="s">
        <v>12148</v>
      </c>
      <c r="BS1" t="s">
        <v>12149</v>
      </c>
      <c r="BT1" t="s">
        <v>12150</v>
      </c>
      <c r="BU1" t="s">
        <v>12151</v>
      </c>
      <c r="BV1" t="s">
        <v>12152</v>
      </c>
      <c r="BW1" t="s">
        <v>12153</v>
      </c>
      <c r="BX1" t="s">
        <v>12154</v>
      </c>
      <c r="BY1" t="s">
        <v>12155</v>
      </c>
      <c r="BZ1" t="s">
        <v>12156</v>
      </c>
      <c r="CA1" t="s">
        <v>12157</v>
      </c>
      <c r="CB1" t="s">
        <v>12158</v>
      </c>
      <c r="CC1" t="s">
        <v>12159</v>
      </c>
      <c r="CD1" t="s">
        <v>12160</v>
      </c>
      <c r="CE1" t="s">
        <v>12161</v>
      </c>
      <c r="CF1" t="s">
        <v>12162</v>
      </c>
      <c r="CG1" t="s">
        <v>12163</v>
      </c>
      <c r="CH1" t="s">
        <v>12164</v>
      </c>
      <c r="CI1" t="s">
        <v>12165</v>
      </c>
      <c r="CJ1" t="s">
        <v>12166</v>
      </c>
      <c r="CK1" t="s">
        <v>12167</v>
      </c>
      <c r="CL1" t="s">
        <v>12168</v>
      </c>
      <c r="CM1" t="s">
        <v>12169</v>
      </c>
      <c r="CN1" t="s">
        <v>12170</v>
      </c>
      <c r="CO1" t="s">
        <v>12171</v>
      </c>
      <c r="CP1" t="s">
        <v>12172</v>
      </c>
      <c r="CQ1" t="s">
        <v>12173</v>
      </c>
      <c r="CR1" t="s">
        <v>12174</v>
      </c>
      <c r="CS1" t="s">
        <v>12175</v>
      </c>
      <c r="CT1" t="s">
        <v>12176</v>
      </c>
      <c r="CU1" t="s">
        <v>12177</v>
      </c>
      <c r="CV1" t="s">
        <v>12178</v>
      </c>
      <c r="CW1" t="s">
        <v>12179</v>
      </c>
      <c r="CX1" t="s">
        <v>12180</v>
      </c>
      <c r="CY1" t="s">
        <v>12181</v>
      </c>
      <c r="CZ1" t="s">
        <v>12182</v>
      </c>
      <c r="DA1" t="s">
        <v>12183</v>
      </c>
      <c r="DB1" t="s">
        <v>12184</v>
      </c>
      <c r="DC1" t="s">
        <v>12185</v>
      </c>
      <c r="DD1" t="s">
        <v>12186</v>
      </c>
      <c r="DE1" t="s">
        <v>12187</v>
      </c>
      <c r="DF1" t="s">
        <v>12188</v>
      </c>
      <c r="DG1" t="s">
        <v>12189</v>
      </c>
      <c r="DH1" t="s">
        <v>12190</v>
      </c>
      <c r="DI1" t="s">
        <v>12191</v>
      </c>
      <c r="DJ1" t="s">
        <v>12192</v>
      </c>
      <c r="DK1" t="s">
        <v>12193</v>
      </c>
      <c r="DL1" t="s">
        <v>12194</v>
      </c>
      <c r="DM1" t="s">
        <v>12195</v>
      </c>
      <c r="DN1" t="s">
        <v>12196</v>
      </c>
      <c r="DO1" t="s">
        <v>12197</v>
      </c>
      <c r="DP1" t="s">
        <v>12198</v>
      </c>
      <c r="DQ1" t="s">
        <v>12199</v>
      </c>
      <c r="DR1" t="s">
        <v>12200</v>
      </c>
      <c r="DS1" t="s">
        <v>12201</v>
      </c>
      <c r="DT1" t="s">
        <v>12202</v>
      </c>
      <c r="DU1" t="s">
        <v>12203</v>
      </c>
      <c r="DV1" t="s">
        <v>12204</v>
      </c>
      <c r="DW1" t="s">
        <v>12205</v>
      </c>
      <c r="DX1" t="s">
        <v>12206</v>
      </c>
      <c r="DY1" t="s">
        <v>12207</v>
      </c>
      <c r="DZ1" t="s">
        <v>12208</v>
      </c>
      <c r="EA1" t="s">
        <v>12209</v>
      </c>
      <c r="EB1" t="s">
        <v>12210</v>
      </c>
      <c r="EC1" t="s">
        <v>12211</v>
      </c>
      <c r="ED1" t="s">
        <v>12212</v>
      </c>
      <c r="EE1" t="s">
        <v>12213</v>
      </c>
      <c r="EF1" t="s">
        <v>12214</v>
      </c>
      <c r="EG1" t="s">
        <v>12215</v>
      </c>
      <c r="EH1" t="s">
        <v>12216</v>
      </c>
      <c r="EI1" t="s">
        <v>12217</v>
      </c>
      <c r="EJ1" t="s">
        <v>12218</v>
      </c>
      <c r="EK1" t="s">
        <v>12219</v>
      </c>
      <c r="EL1" t="s">
        <v>12220</v>
      </c>
      <c r="EM1" t="s">
        <v>12221</v>
      </c>
      <c r="EN1" t="s">
        <v>12222</v>
      </c>
      <c r="EO1" t="s">
        <v>12223</v>
      </c>
      <c r="EP1" t="s">
        <v>12224</v>
      </c>
      <c r="EQ1" t="s">
        <v>12225</v>
      </c>
      <c r="ER1" t="s">
        <v>12226</v>
      </c>
      <c r="ES1" t="s">
        <v>12227</v>
      </c>
      <c r="ET1" t="s">
        <v>12228</v>
      </c>
      <c r="EU1" t="s">
        <v>12229</v>
      </c>
      <c r="EV1" t="s">
        <v>12230</v>
      </c>
      <c r="EW1" t="s">
        <v>12231</v>
      </c>
      <c r="EX1" t="s">
        <v>12232</v>
      </c>
      <c r="EY1" t="s">
        <v>12233</v>
      </c>
      <c r="EZ1" t="s">
        <v>12234</v>
      </c>
      <c r="FA1" t="s">
        <v>12235</v>
      </c>
      <c r="FB1" t="s">
        <v>12236</v>
      </c>
      <c r="FC1" t="s">
        <v>12237</v>
      </c>
      <c r="FD1" t="s">
        <v>12238</v>
      </c>
      <c r="FE1" t="s">
        <v>12239</v>
      </c>
      <c r="FF1" t="s">
        <v>12240</v>
      </c>
      <c r="FG1" t="s">
        <v>12241</v>
      </c>
      <c r="FH1" t="s">
        <v>12242</v>
      </c>
      <c r="FI1" t="s">
        <v>12243</v>
      </c>
      <c r="FJ1" t="s">
        <v>12244</v>
      </c>
      <c r="FK1" t="s">
        <v>12245</v>
      </c>
      <c r="FL1" t="s">
        <v>12246</v>
      </c>
      <c r="FM1" t="s">
        <v>18389</v>
      </c>
      <c r="FN1" t="s">
        <v>18390</v>
      </c>
      <c r="FO1" t="s">
        <v>18391</v>
      </c>
      <c r="FP1" t="s">
        <v>18392</v>
      </c>
      <c r="FQ1" t="s">
        <v>18393</v>
      </c>
      <c r="FR1" t="s">
        <v>18394</v>
      </c>
      <c r="FS1" t="s">
        <v>18395</v>
      </c>
      <c r="FT1" t="s">
        <v>18396</v>
      </c>
      <c r="FU1" t="s">
        <v>2166</v>
      </c>
      <c r="FV1" t="s">
        <v>18397</v>
      </c>
      <c r="FW1" t="s">
        <v>18398</v>
      </c>
      <c r="FX1" t="s">
        <v>18399</v>
      </c>
      <c r="FY1" t="s">
        <v>18400</v>
      </c>
      <c r="FZ1" t="s">
        <v>18401</v>
      </c>
      <c r="GA1" t="s">
        <v>2311</v>
      </c>
      <c r="GB1" t="s">
        <v>18402</v>
      </c>
      <c r="GC1" t="s">
        <v>18403</v>
      </c>
      <c r="GD1" t="s">
        <v>18404</v>
      </c>
      <c r="GE1" t="s">
        <v>18405</v>
      </c>
      <c r="GF1" t="s">
        <v>18406</v>
      </c>
      <c r="GG1" t="s">
        <v>18407</v>
      </c>
      <c r="GH1" t="s">
        <v>18408</v>
      </c>
      <c r="GI1" t="s">
        <v>18409</v>
      </c>
      <c r="GJ1" t="s">
        <v>18410</v>
      </c>
      <c r="GK1" t="s">
        <v>18411</v>
      </c>
      <c r="GL1" t="s">
        <v>18412</v>
      </c>
      <c r="GM1" t="s">
        <v>18413</v>
      </c>
      <c r="GN1" t="s">
        <v>18414</v>
      </c>
      <c r="GO1" t="s">
        <v>18415</v>
      </c>
      <c r="GP1" t="s">
        <v>18416</v>
      </c>
      <c r="GQ1" t="s">
        <v>18417</v>
      </c>
      <c r="GR1" t="s">
        <v>18418</v>
      </c>
      <c r="GS1" t="s">
        <v>2002</v>
      </c>
      <c r="GT1" t="s">
        <v>2003</v>
      </c>
      <c r="GU1" t="s">
        <v>18419</v>
      </c>
      <c r="GV1" t="s">
        <v>18420</v>
      </c>
      <c r="GW1" t="s">
        <v>18421</v>
      </c>
      <c r="GX1" t="s">
        <v>18422</v>
      </c>
      <c r="GY1" t="s">
        <v>18423</v>
      </c>
      <c r="GZ1" t="s">
        <v>18424</v>
      </c>
      <c r="HA1" t="s">
        <v>18425</v>
      </c>
      <c r="HB1" t="s">
        <v>18426</v>
      </c>
      <c r="HC1" t="s">
        <v>18427</v>
      </c>
      <c r="HD1" t="s">
        <v>18428</v>
      </c>
      <c r="HE1" t="s">
        <v>18429</v>
      </c>
      <c r="HF1" t="s">
        <v>18430</v>
      </c>
      <c r="HG1" t="s">
        <v>18431</v>
      </c>
      <c r="HH1" t="s">
        <v>18432</v>
      </c>
      <c r="HI1" t="s">
        <v>18433</v>
      </c>
      <c r="HJ1" t="s">
        <v>18434</v>
      </c>
      <c r="HK1" t="s">
        <v>18435</v>
      </c>
      <c r="HL1" t="s">
        <v>18436</v>
      </c>
      <c r="HM1" t="s">
        <v>18437</v>
      </c>
      <c r="HN1" t="s">
        <v>18438</v>
      </c>
      <c r="HO1" t="s">
        <v>18439</v>
      </c>
      <c r="HP1" t="s">
        <v>18440</v>
      </c>
      <c r="HQ1" t="s">
        <v>18441</v>
      </c>
      <c r="HR1" t="s">
        <v>18442</v>
      </c>
      <c r="HS1" t="s">
        <v>18443</v>
      </c>
      <c r="HT1" t="s">
        <v>18444</v>
      </c>
      <c r="HU1" t="s">
        <v>18445</v>
      </c>
      <c r="HV1" t="s">
        <v>18446</v>
      </c>
      <c r="HW1" t="s">
        <v>18447</v>
      </c>
      <c r="HX1" t="s">
        <v>18448</v>
      </c>
      <c r="HY1" t="s">
        <v>18449</v>
      </c>
      <c r="HZ1" t="s">
        <v>18450</v>
      </c>
      <c r="IA1" t="s">
        <v>18451</v>
      </c>
      <c r="IB1" t="s">
        <v>18452</v>
      </c>
      <c r="IC1" t="s">
        <v>18453</v>
      </c>
      <c r="ID1" t="s">
        <v>18454</v>
      </c>
      <c r="IE1" t="s">
        <v>18455</v>
      </c>
      <c r="IF1" t="s">
        <v>18456</v>
      </c>
      <c r="IG1" t="s">
        <v>18457</v>
      </c>
      <c r="IH1" t="s">
        <v>18458</v>
      </c>
      <c r="II1" t="s">
        <v>18459</v>
      </c>
      <c r="IJ1" t="s">
        <v>18460</v>
      </c>
      <c r="IK1" t="s">
        <v>18461</v>
      </c>
      <c r="IL1" t="s">
        <v>18462</v>
      </c>
      <c r="IM1" t="s">
        <v>18463</v>
      </c>
      <c r="IN1" t="s">
        <v>18464</v>
      </c>
      <c r="IO1" t="s">
        <v>18465</v>
      </c>
      <c r="IP1" t="s">
        <v>18466</v>
      </c>
      <c r="IQ1" t="s">
        <v>18467</v>
      </c>
      <c r="IR1" t="s">
        <v>18468</v>
      </c>
      <c r="IS1" t="s">
        <v>18469</v>
      </c>
    </row>
    <row r="2" spans="1:253" x14ac:dyDescent="0.25">
      <c r="A2" t="s">
        <v>0</v>
      </c>
      <c r="B2" t="s">
        <v>12247</v>
      </c>
      <c r="C2">
        <v>0</v>
      </c>
      <c r="D2">
        <v>3</v>
      </c>
      <c r="E2" t="s">
        <v>0</v>
      </c>
      <c r="F2" t="s">
        <v>12248</v>
      </c>
      <c r="G2">
        <v>0</v>
      </c>
      <c r="H2">
        <v>2</v>
      </c>
      <c r="I2" t="s">
        <v>12249</v>
      </c>
      <c r="J2">
        <v>1</v>
      </c>
      <c r="K2" t="s">
        <v>0</v>
      </c>
      <c r="L2" t="s">
        <v>12248</v>
      </c>
      <c r="M2">
        <v>0</v>
      </c>
      <c r="N2" t="s">
        <v>0</v>
      </c>
      <c r="O2" t="s">
        <v>12248</v>
      </c>
      <c r="P2">
        <v>0</v>
      </c>
      <c r="Q2" t="s">
        <v>0</v>
      </c>
      <c r="R2" t="s">
        <v>12248</v>
      </c>
      <c r="S2">
        <v>0</v>
      </c>
      <c r="T2" t="s">
        <v>0</v>
      </c>
      <c r="U2" t="s">
        <v>12248</v>
      </c>
      <c r="V2" t="s">
        <v>0</v>
      </c>
      <c r="X2" t="s">
        <v>12250</v>
      </c>
      <c r="Y2" t="s">
        <v>1252</v>
      </c>
      <c r="Z2" t="s">
        <v>12251</v>
      </c>
      <c r="AB2" t="s">
        <v>0</v>
      </c>
      <c r="AE2" t="s">
        <v>0</v>
      </c>
      <c r="AG2">
        <v>5</v>
      </c>
      <c r="AH2">
        <v>6</v>
      </c>
      <c r="AI2">
        <v>8</v>
      </c>
      <c r="AJ2">
        <v>7</v>
      </c>
      <c r="AK2">
        <v>38041754</v>
      </c>
      <c r="AL2">
        <v>15</v>
      </c>
      <c r="AM2">
        <v>2019</v>
      </c>
      <c r="AN2">
        <v>19291</v>
      </c>
      <c r="AO2">
        <v>2019</v>
      </c>
      <c r="AP2" t="s">
        <v>12252</v>
      </c>
      <c r="AQ2" t="s">
        <v>12253</v>
      </c>
      <c r="AR2" t="s">
        <v>1252</v>
      </c>
      <c r="AS2" t="s">
        <v>1252</v>
      </c>
      <c r="AT2" t="s">
        <v>1252</v>
      </c>
      <c r="AU2" t="s">
        <v>12248</v>
      </c>
      <c r="AV2" t="s">
        <v>12248</v>
      </c>
      <c r="AW2">
        <v>4</v>
      </c>
      <c r="AX2">
        <v>4</v>
      </c>
      <c r="AY2">
        <v>4</v>
      </c>
      <c r="AZ2" t="s">
        <v>1252</v>
      </c>
      <c r="BA2" t="s">
        <v>12248</v>
      </c>
      <c r="BB2">
        <v>23424739</v>
      </c>
      <c r="BC2">
        <v>23424739</v>
      </c>
      <c r="BD2" t="s">
        <v>12254</v>
      </c>
      <c r="BE2" t="s">
        <v>12248</v>
      </c>
      <c r="BG2" t="s">
        <v>12248</v>
      </c>
      <c r="BH2" t="s">
        <v>12248</v>
      </c>
      <c r="BI2" t="s">
        <v>12248</v>
      </c>
      <c r="BJ2" t="s">
        <v>12248</v>
      </c>
      <c r="BK2" t="s">
        <v>12248</v>
      </c>
      <c r="BL2" t="s">
        <v>12248</v>
      </c>
      <c r="BM2" t="s">
        <v>12248</v>
      </c>
      <c r="BN2" t="s">
        <v>12248</v>
      </c>
      <c r="BO2" t="s">
        <v>12248</v>
      </c>
      <c r="BP2" t="s">
        <v>12248</v>
      </c>
      <c r="BQ2" t="s">
        <v>12248</v>
      </c>
      <c r="BR2" t="s">
        <v>12248</v>
      </c>
      <c r="BS2" t="s">
        <v>12248</v>
      </c>
      <c r="BT2" t="s">
        <v>12248</v>
      </c>
      <c r="BU2" t="s">
        <v>12248</v>
      </c>
      <c r="BV2" t="s">
        <v>12248</v>
      </c>
      <c r="BW2" t="s">
        <v>12248</v>
      </c>
      <c r="BX2" t="s">
        <v>12248</v>
      </c>
      <c r="BY2" t="s">
        <v>12248</v>
      </c>
      <c r="BZ2" t="s">
        <v>12248</v>
      </c>
      <c r="CA2" t="s">
        <v>12248</v>
      </c>
      <c r="CB2" t="s">
        <v>12248</v>
      </c>
      <c r="CC2" t="s">
        <v>12248</v>
      </c>
      <c r="CD2" t="s">
        <v>12248</v>
      </c>
      <c r="CE2" t="s">
        <v>12248</v>
      </c>
      <c r="CF2" t="s">
        <v>12248</v>
      </c>
      <c r="CG2" t="s">
        <v>12248</v>
      </c>
      <c r="CH2" t="s">
        <v>12248</v>
      </c>
      <c r="CI2" t="s">
        <v>12248</v>
      </c>
      <c r="CJ2" t="s">
        <v>12248</v>
      </c>
      <c r="CK2" t="s">
        <v>12248</v>
      </c>
      <c r="CL2" t="s">
        <v>12248</v>
      </c>
      <c r="CM2">
        <v>-99</v>
      </c>
      <c r="CN2">
        <v>-99</v>
      </c>
      <c r="CO2" t="s">
        <v>12255</v>
      </c>
      <c r="CP2" t="s">
        <v>12255</v>
      </c>
      <c r="CQ2" t="s">
        <v>12256</v>
      </c>
      <c r="CR2" t="s">
        <v>12257</v>
      </c>
      <c r="CS2">
        <v>11</v>
      </c>
      <c r="CT2">
        <v>11</v>
      </c>
      <c r="CU2">
        <v>4</v>
      </c>
      <c r="CV2">
        <v>-99</v>
      </c>
      <c r="CW2">
        <v>1</v>
      </c>
      <c r="CX2">
        <v>0</v>
      </c>
      <c r="CY2">
        <v>3</v>
      </c>
      <c r="CZ2">
        <v>7</v>
      </c>
      <c r="DA2">
        <v>66.496585999999994</v>
      </c>
      <c r="DB2">
        <v>34.164262000000001</v>
      </c>
      <c r="DC2">
        <v>1159320319</v>
      </c>
      <c r="DD2" t="s">
        <v>12258</v>
      </c>
      <c r="DE2" t="s">
        <v>12259</v>
      </c>
      <c r="DF2" t="s">
        <v>12260</v>
      </c>
      <c r="DG2" t="s">
        <v>0</v>
      </c>
      <c r="DH2" t="s">
        <v>0</v>
      </c>
      <c r="DI2" t="s">
        <v>12261</v>
      </c>
      <c r="DJ2" t="s">
        <v>12262</v>
      </c>
      <c r="DK2" t="s">
        <v>0</v>
      </c>
      <c r="DL2" t="s">
        <v>12263</v>
      </c>
      <c r="DM2" t="s">
        <v>12264</v>
      </c>
      <c r="DN2" t="s">
        <v>12265</v>
      </c>
      <c r="DO2" t="s">
        <v>12266</v>
      </c>
      <c r="DP2" t="s">
        <v>12267</v>
      </c>
      <c r="DQ2" t="s">
        <v>0</v>
      </c>
      <c r="DR2" t="s">
        <v>12268</v>
      </c>
      <c r="DS2" t="s">
        <v>12269</v>
      </c>
      <c r="DT2" t="s">
        <v>0</v>
      </c>
      <c r="DU2" t="s">
        <v>12267</v>
      </c>
      <c r="DV2" t="s">
        <v>12270</v>
      </c>
      <c r="DW2" t="s">
        <v>12271</v>
      </c>
      <c r="DX2" t="s">
        <v>0</v>
      </c>
      <c r="DY2" t="s">
        <v>12267</v>
      </c>
      <c r="DZ2" t="s">
        <v>12272</v>
      </c>
      <c r="EA2" t="s">
        <v>12262</v>
      </c>
      <c r="EB2" t="s">
        <v>0</v>
      </c>
      <c r="EC2" t="s">
        <v>12273</v>
      </c>
      <c r="ED2" t="s">
        <v>12273</v>
      </c>
      <c r="EE2" t="s">
        <v>12247</v>
      </c>
      <c r="EG2" t="s">
        <v>12247</v>
      </c>
    </row>
    <row r="3" spans="1:253" x14ac:dyDescent="0.25">
      <c r="A3" t="s">
        <v>12483</v>
      </c>
      <c r="B3" t="s">
        <v>12247</v>
      </c>
      <c r="C3">
        <v>3</v>
      </c>
      <c r="D3">
        <v>3</v>
      </c>
      <c r="E3" t="s">
        <v>182</v>
      </c>
      <c r="F3" t="s">
        <v>12479</v>
      </c>
      <c r="G3">
        <v>1</v>
      </c>
      <c r="H3">
        <v>2</v>
      </c>
      <c r="I3" t="s">
        <v>12480</v>
      </c>
      <c r="J3">
        <v>1</v>
      </c>
      <c r="K3" t="s">
        <v>12481</v>
      </c>
      <c r="L3" t="s">
        <v>12482</v>
      </c>
      <c r="M3">
        <v>0</v>
      </c>
      <c r="N3" t="s">
        <v>12481</v>
      </c>
      <c r="O3" t="s">
        <v>12482</v>
      </c>
      <c r="P3">
        <v>0</v>
      </c>
      <c r="Q3" t="s">
        <v>12481</v>
      </c>
      <c r="R3" t="s">
        <v>12482</v>
      </c>
      <c r="S3">
        <v>0</v>
      </c>
      <c r="T3" t="s">
        <v>12483</v>
      </c>
      <c r="U3" t="s">
        <v>12482</v>
      </c>
      <c r="V3" t="s">
        <v>12483</v>
      </c>
      <c r="X3" t="s">
        <v>12484</v>
      </c>
      <c r="Y3" t="s">
        <v>12485</v>
      </c>
      <c r="AC3" t="s">
        <v>12486</v>
      </c>
      <c r="AD3" t="s">
        <v>12487</v>
      </c>
      <c r="AE3" t="s">
        <v>12481</v>
      </c>
      <c r="AG3">
        <v>6</v>
      </c>
      <c r="AH3">
        <v>6</v>
      </c>
      <c r="AI3">
        <v>6</v>
      </c>
      <c r="AJ3">
        <v>3</v>
      </c>
      <c r="AK3">
        <v>7850</v>
      </c>
      <c r="AL3">
        <v>5</v>
      </c>
      <c r="AM3">
        <v>2017</v>
      </c>
      <c r="AN3">
        <v>314</v>
      </c>
      <c r="AO3">
        <v>2016</v>
      </c>
      <c r="AP3" t="s">
        <v>12334</v>
      </c>
      <c r="AQ3" t="s">
        <v>12335</v>
      </c>
      <c r="AR3">
        <v>-99</v>
      </c>
      <c r="AS3">
        <v>-99</v>
      </c>
      <c r="AT3">
        <v>-99</v>
      </c>
      <c r="AU3">
        <v>-99</v>
      </c>
      <c r="AV3">
        <v>-99</v>
      </c>
      <c r="AW3">
        <v>-99</v>
      </c>
      <c r="AX3">
        <v>-99</v>
      </c>
      <c r="AY3">
        <v>-99</v>
      </c>
      <c r="AZ3">
        <v>-99</v>
      </c>
      <c r="BA3">
        <v>-99</v>
      </c>
      <c r="BB3">
        <v>-99</v>
      </c>
      <c r="BC3">
        <v>-99</v>
      </c>
      <c r="BD3" t="s">
        <v>12488</v>
      </c>
      <c r="BE3">
        <v>-99</v>
      </c>
      <c r="BF3">
        <v>1</v>
      </c>
      <c r="BG3" t="s">
        <v>12482</v>
      </c>
      <c r="BH3" t="s">
        <v>12482</v>
      </c>
      <c r="BI3" t="s">
        <v>12482</v>
      </c>
      <c r="BJ3" t="s">
        <v>12482</v>
      </c>
      <c r="BK3" t="s">
        <v>12482</v>
      </c>
      <c r="BL3" t="s">
        <v>12482</v>
      </c>
      <c r="BM3" t="s">
        <v>12482</v>
      </c>
      <c r="BN3" t="s">
        <v>12482</v>
      </c>
      <c r="BO3" t="s">
        <v>12482</v>
      </c>
      <c r="BP3" t="s">
        <v>12482</v>
      </c>
      <c r="BQ3" t="s">
        <v>12482</v>
      </c>
      <c r="BR3" t="s">
        <v>12482</v>
      </c>
      <c r="BS3" t="s">
        <v>12482</v>
      </c>
      <c r="BT3" t="s">
        <v>12482</v>
      </c>
      <c r="BU3" t="s">
        <v>12482</v>
      </c>
      <c r="BV3" t="s">
        <v>12482</v>
      </c>
      <c r="BW3" t="s">
        <v>12482</v>
      </c>
      <c r="BX3" t="s">
        <v>12482</v>
      </c>
      <c r="BY3" t="s">
        <v>12482</v>
      </c>
      <c r="BZ3" t="s">
        <v>12482</v>
      </c>
      <c r="CA3" t="s">
        <v>12482</v>
      </c>
      <c r="CB3" t="s">
        <v>12482</v>
      </c>
      <c r="CC3" t="s">
        <v>12482</v>
      </c>
      <c r="CD3" t="s">
        <v>12482</v>
      </c>
      <c r="CE3" t="s">
        <v>12482</v>
      </c>
      <c r="CF3" t="s">
        <v>12482</v>
      </c>
      <c r="CG3" t="s">
        <v>12482</v>
      </c>
      <c r="CH3" t="s">
        <v>12482</v>
      </c>
      <c r="CI3" t="s">
        <v>12482</v>
      </c>
      <c r="CJ3" t="s">
        <v>12482</v>
      </c>
      <c r="CK3" t="s">
        <v>12482</v>
      </c>
      <c r="CL3" t="s">
        <v>12482</v>
      </c>
      <c r="CM3">
        <v>-99</v>
      </c>
      <c r="CN3">
        <v>-99</v>
      </c>
      <c r="CO3" t="s">
        <v>12255</v>
      </c>
      <c r="CP3" t="s">
        <v>12255</v>
      </c>
      <c r="CQ3" t="s">
        <v>12458</v>
      </c>
      <c r="CR3" t="s">
        <v>12281</v>
      </c>
      <c r="CS3">
        <v>8</v>
      </c>
      <c r="CT3">
        <v>8</v>
      </c>
      <c r="CU3">
        <v>4</v>
      </c>
      <c r="CV3">
        <v>-99</v>
      </c>
      <c r="CW3">
        <v>-99</v>
      </c>
      <c r="CX3">
        <v>0</v>
      </c>
      <c r="CY3">
        <v>6.5</v>
      </c>
      <c r="CZ3">
        <v>11</v>
      </c>
      <c r="DA3">
        <v>32.979025</v>
      </c>
      <c r="DB3">
        <v>34.600830000000002</v>
      </c>
      <c r="DC3">
        <v>1159320741</v>
      </c>
      <c r="DD3" t="s">
        <v>12489</v>
      </c>
      <c r="DE3" t="s">
        <v>12490</v>
      </c>
      <c r="DF3" t="s">
        <v>12491</v>
      </c>
      <c r="DG3" t="s">
        <v>12483</v>
      </c>
      <c r="DH3" t="s">
        <v>12481</v>
      </c>
      <c r="DI3" t="s">
        <v>12483</v>
      </c>
      <c r="DJ3" t="s">
        <v>12492</v>
      </c>
      <c r="DK3" t="s">
        <v>12483</v>
      </c>
      <c r="DL3" t="s">
        <v>12493</v>
      </c>
      <c r="DM3" t="s">
        <v>12494</v>
      </c>
      <c r="DN3" t="s">
        <v>12495</v>
      </c>
      <c r="DO3" t="s">
        <v>12496</v>
      </c>
      <c r="DP3" t="s">
        <v>12483</v>
      </c>
      <c r="DQ3" t="s">
        <v>12483</v>
      </c>
      <c r="DR3" t="s">
        <v>12497</v>
      </c>
      <c r="DS3" t="s">
        <v>12498</v>
      </c>
      <c r="DT3" t="s">
        <v>12483</v>
      </c>
      <c r="DU3" t="s">
        <v>12483</v>
      </c>
      <c r="DV3" t="s">
        <v>12499</v>
      </c>
      <c r="DW3" t="s">
        <v>12500</v>
      </c>
      <c r="DX3" t="s">
        <v>12483</v>
      </c>
      <c r="DY3" t="s">
        <v>12501</v>
      </c>
      <c r="DZ3" t="s">
        <v>12502</v>
      </c>
      <c r="EA3" t="s">
        <v>12503</v>
      </c>
      <c r="EB3" t="s">
        <v>12483</v>
      </c>
      <c r="EC3" t="s">
        <v>12504</v>
      </c>
      <c r="ED3" t="s">
        <v>12504</v>
      </c>
      <c r="EE3" t="s">
        <v>12505</v>
      </c>
      <c r="EF3">
        <v>1</v>
      </c>
      <c r="EG3" t="s">
        <v>12397</v>
      </c>
      <c r="EH3" t="s">
        <v>12397</v>
      </c>
      <c r="EI3" t="s">
        <v>12397</v>
      </c>
      <c r="EK3" t="s">
        <v>12397</v>
      </c>
      <c r="EQ3" t="s">
        <v>12397</v>
      </c>
      <c r="ER3" t="s">
        <v>12397</v>
      </c>
      <c r="EY3" t="s">
        <v>12397</v>
      </c>
      <c r="FA3" t="s">
        <v>12397</v>
      </c>
      <c r="FB3" t="s">
        <v>12397</v>
      </c>
      <c r="FD3" t="s">
        <v>12397</v>
      </c>
      <c r="FF3" t="s">
        <v>12397</v>
      </c>
      <c r="FG3" t="s">
        <v>12397</v>
      </c>
      <c r="FH3" t="s">
        <v>12397</v>
      </c>
      <c r="FI3" t="s">
        <v>12397</v>
      </c>
      <c r="FJ3" t="s">
        <v>12397</v>
      </c>
      <c r="FL3" t="s">
        <v>12397</v>
      </c>
    </row>
    <row r="4" spans="1:253" x14ac:dyDescent="0.25">
      <c r="A4" t="s">
        <v>12508</v>
      </c>
      <c r="B4" t="s">
        <v>12247</v>
      </c>
      <c r="C4">
        <v>3</v>
      </c>
      <c r="D4">
        <v>6</v>
      </c>
      <c r="E4" t="s">
        <v>57</v>
      </c>
      <c r="F4" t="s">
        <v>12506</v>
      </c>
      <c r="G4">
        <v>1</v>
      </c>
      <c r="H4">
        <v>2</v>
      </c>
      <c r="I4" t="s">
        <v>12507</v>
      </c>
      <c r="J4">
        <v>1</v>
      </c>
      <c r="K4" t="s">
        <v>12508</v>
      </c>
      <c r="L4" t="s">
        <v>12509</v>
      </c>
      <c r="M4">
        <v>0</v>
      </c>
      <c r="N4" t="s">
        <v>12508</v>
      </c>
      <c r="O4" t="s">
        <v>12509</v>
      </c>
      <c r="P4">
        <v>0</v>
      </c>
      <c r="Q4" t="s">
        <v>12508</v>
      </c>
      <c r="R4" t="s">
        <v>12509</v>
      </c>
      <c r="S4">
        <v>0</v>
      </c>
      <c r="T4" t="s">
        <v>12511</v>
      </c>
      <c r="U4" t="s">
        <v>12509</v>
      </c>
      <c r="V4" t="s">
        <v>12510</v>
      </c>
      <c r="X4" t="s">
        <v>12510</v>
      </c>
      <c r="Y4" t="s">
        <v>1258</v>
      </c>
      <c r="Z4" t="s">
        <v>12511</v>
      </c>
      <c r="AC4" t="s">
        <v>12512</v>
      </c>
      <c r="AE4" t="s">
        <v>12508</v>
      </c>
      <c r="AG4">
        <v>4</v>
      </c>
      <c r="AH4">
        <v>1</v>
      </c>
      <c r="AI4">
        <v>4</v>
      </c>
      <c r="AJ4">
        <v>6</v>
      </c>
      <c r="AK4">
        <v>29884</v>
      </c>
      <c r="AL4">
        <v>7</v>
      </c>
      <c r="AM4">
        <v>2019</v>
      </c>
      <c r="AN4">
        <v>1563</v>
      </c>
      <c r="AO4">
        <v>2016</v>
      </c>
      <c r="AP4" t="s">
        <v>12334</v>
      </c>
      <c r="AQ4" t="s">
        <v>12513</v>
      </c>
      <c r="AR4">
        <v>-99</v>
      </c>
      <c r="AS4" t="s">
        <v>1286</v>
      </c>
      <c r="AT4" t="s">
        <v>1286</v>
      </c>
      <c r="AU4" t="s">
        <v>12514</v>
      </c>
      <c r="AV4" t="s">
        <v>12514</v>
      </c>
      <c r="AW4">
        <v>248</v>
      </c>
      <c r="AX4">
        <v>248</v>
      </c>
      <c r="AY4">
        <v>248</v>
      </c>
      <c r="AZ4">
        <v>-99</v>
      </c>
      <c r="BA4">
        <v>-99</v>
      </c>
      <c r="BB4">
        <v>12577865</v>
      </c>
      <c r="BC4">
        <v>12577865</v>
      </c>
      <c r="BD4" t="s">
        <v>12254</v>
      </c>
      <c r="BE4" t="s">
        <v>12509</v>
      </c>
      <c r="BG4" t="s">
        <v>12509</v>
      </c>
      <c r="BH4" t="s">
        <v>12509</v>
      </c>
      <c r="BI4" t="s">
        <v>12509</v>
      </c>
      <c r="BJ4" t="s">
        <v>12509</v>
      </c>
      <c r="BK4" t="s">
        <v>12509</v>
      </c>
      <c r="BL4" t="s">
        <v>12509</v>
      </c>
      <c r="BM4" t="s">
        <v>12509</v>
      </c>
      <c r="BN4" t="s">
        <v>12509</v>
      </c>
      <c r="BO4" t="s">
        <v>12509</v>
      </c>
      <c r="BP4" t="s">
        <v>12509</v>
      </c>
      <c r="BQ4" t="s">
        <v>12509</v>
      </c>
      <c r="BR4" t="s">
        <v>12509</v>
      </c>
      <c r="BS4" t="s">
        <v>12509</v>
      </c>
      <c r="BT4" t="s">
        <v>12509</v>
      </c>
      <c r="BU4" t="s">
        <v>12509</v>
      </c>
      <c r="BV4" t="s">
        <v>12509</v>
      </c>
      <c r="BW4" t="s">
        <v>12509</v>
      </c>
      <c r="BX4" t="s">
        <v>12509</v>
      </c>
      <c r="BY4" t="s">
        <v>12509</v>
      </c>
      <c r="BZ4" t="s">
        <v>12509</v>
      </c>
      <c r="CA4" t="s">
        <v>12509</v>
      </c>
      <c r="CB4" t="s">
        <v>12509</v>
      </c>
      <c r="CC4" t="s">
        <v>12509</v>
      </c>
      <c r="CD4" t="s">
        <v>12509</v>
      </c>
      <c r="CE4" t="s">
        <v>12509</v>
      </c>
      <c r="CF4" t="s">
        <v>12509</v>
      </c>
      <c r="CG4" t="s">
        <v>12509</v>
      </c>
      <c r="CH4" t="s">
        <v>12509</v>
      </c>
      <c r="CI4" t="s">
        <v>12509</v>
      </c>
      <c r="CJ4" t="s">
        <v>12509</v>
      </c>
      <c r="CK4" t="s">
        <v>12509</v>
      </c>
      <c r="CL4" t="s">
        <v>12509</v>
      </c>
      <c r="CM4">
        <v>-99</v>
      </c>
      <c r="CN4">
        <v>-99</v>
      </c>
      <c r="CO4" t="s">
        <v>12279</v>
      </c>
      <c r="CP4" t="s">
        <v>12279</v>
      </c>
      <c r="CQ4" t="s">
        <v>12515</v>
      </c>
      <c r="CR4" t="s">
        <v>12281</v>
      </c>
      <c r="CS4">
        <v>5</v>
      </c>
      <c r="CT4">
        <v>13</v>
      </c>
      <c r="CU4">
        <v>5</v>
      </c>
      <c r="CV4">
        <v>5</v>
      </c>
      <c r="CW4">
        <v>-99</v>
      </c>
      <c r="CX4">
        <v>0</v>
      </c>
      <c r="CY4">
        <v>5</v>
      </c>
      <c r="CZ4">
        <v>10</v>
      </c>
      <c r="DA4">
        <v>19.869671</v>
      </c>
      <c r="DB4">
        <v>60.156466999999999</v>
      </c>
      <c r="DC4">
        <v>1159320621</v>
      </c>
      <c r="DD4" t="s">
        <v>12516</v>
      </c>
      <c r="DE4" t="s">
        <v>12517</v>
      </c>
      <c r="DF4" t="s">
        <v>12518</v>
      </c>
      <c r="DG4" t="s">
        <v>12510</v>
      </c>
      <c r="DH4" t="s">
        <v>12510</v>
      </c>
      <c r="DI4" t="s">
        <v>12510</v>
      </c>
      <c r="DJ4" t="s">
        <v>12519</v>
      </c>
      <c r="DK4" t="s">
        <v>12510</v>
      </c>
      <c r="DL4" t="s">
        <v>12520</v>
      </c>
      <c r="DM4" t="s">
        <v>12521</v>
      </c>
      <c r="DN4" t="s">
        <v>12522</v>
      </c>
      <c r="DO4" t="s">
        <v>12510</v>
      </c>
      <c r="DP4" t="s">
        <v>12510</v>
      </c>
      <c r="DQ4" t="s">
        <v>12523</v>
      </c>
      <c r="DR4" t="s">
        <v>12524</v>
      </c>
      <c r="DS4" t="s">
        <v>12525</v>
      </c>
      <c r="DT4" t="s">
        <v>12510</v>
      </c>
      <c r="DU4" t="s">
        <v>12526</v>
      </c>
      <c r="DV4" t="s">
        <v>12510</v>
      </c>
      <c r="DW4" t="s">
        <v>12527</v>
      </c>
      <c r="DX4" t="s">
        <v>12510</v>
      </c>
      <c r="DY4" t="s">
        <v>12510</v>
      </c>
      <c r="DZ4" t="s">
        <v>12528</v>
      </c>
      <c r="EA4" t="s">
        <v>12529</v>
      </c>
      <c r="EB4" t="s">
        <v>12510</v>
      </c>
      <c r="EC4" t="s">
        <v>12530</v>
      </c>
      <c r="ED4" t="s">
        <v>12531</v>
      </c>
      <c r="EE4" t="s">
        <v>12397</v>
      </c>
      <c r="EG4" t="s">
        <v>12397</v>
      </c>
      <c r="EJ4" t="s">
        <v>12505</v>
      </c>
      <c r="EL4" t="s">
        <v>12505</v>
      </c>
    </row>
    <row r="5" spans="1:253" x14ac:dyDescent="0.25">
      <c r="A5" t="s">
        <v>1</v>
      </c>
      <c r="B5" t="s">
        <v>12247</v>
      </c>
      <c r="C5">
        <v>0</v>
      </c>
      <c r="D5">
        <v>6</v>
      </c>
      <c r="E5" t="s">
        <v>1</v>
      </c>
      <c r="F5" t="s">
        <v>12274</v>
      </c>
      <c r="G5">
        <v>0</v>
      </c>
      <c r="H5">
        <v>2</v>
      </c>
      <c r="I5" t="s">
        <v>12249</v>
      </c>
      <c r="J5">
        <v>1</v>
      </c>
      <c r="K5" t="s">
        <v>1</v>
      </c>
      <c r="L5" t="s">
        <v>12274</v>
      </c>
      <c r="M5">
        <v>0</v>
      </c>
      <c r="N5" t="s">
        <v>1</v>
      </c>
      <c r="O5" t="s">
        <v>12274</v>
      </c>
      <c r="P5">
        <v>0</v>
      </c>
      <c r="Q5" t="s">
        <v>1</v>
      </c>
      <c r="R5" t="s">
        <v>12274</v>
      </c>
      <c r="S5">
        <v>0</v>
      </c>
      <c r="T5" t="s">
        <v>1</v>
      </c>
      <c r="U5" t="s">
        <v>12274</v>
      </c>
      <c r="V5" t="s">
        <v>1</v>
      </c>
      <c r="X5" t="s">
        <v>12275</v>
      </c>
      <c r="Y5" t="s">
        <v>1261</v>
      </c>
      <c r="Z5" t="s">
        <v>12276</v>
      </c>
      <c r="AB5" t="s">
        <v>1</v>
      </c>
      <c r="AE5" t="s">
        <v>1</v>
      </c>
      <c r="AG5">
        <v>1</v>
      </c>
      <c r="AH5">
        <v>4</v>
      </c>
      <c r="AI5">
        <v>1</v>
      </c>
      <c r="AJ5">
        <v>6</v>
      </c>
      <c r="AK5">
        <v>2854191</v>
      </c>
      <c r="AL5">
        <v>12</v>
      </c>
      <c r="AM5">
        <v>2019</v>
      </c>
      <c r="AN5">
        <v>15279</v>
      </c>
      <c r="AO5">
        <v>2019</v>
      </c>
      <c r="AP5" t="s">
        <v>12277</v>
      </c>
      <c r="AQ5" t="s">
        <v>12278</v>
      </c>
      <c r="AR5" t="s">
        <v>1261</v>
      </c>
      <c r="AS5" t="s">
        <v>1261</v>
      </c>
      <c r="AT5" t="s">
        <v>1261</v>
      </c>
      <c r="AU5" t="s">
        <v>12274</v>
      </c>
      <c r="AV5" t="s">
        <v>12274</v>
      </c>
      <c r="AW5">
        <v>8</v>
      </c>
      <c r="AX5">
        <v>8</v>
      </c>
      <c r="AY5">
        <v>8</v>
      </c>
      <c r="AZ5" t="s">
        <v>1261</v>
      </c>
      <c r="BA5" t="s">
        <v>12274</v>
      </c>
      <c r="BB5">
        <v>23424742</v>
      </c>
      <c r="BC5">
        <v>23424742</v>
      </c>
      <c r="BD5" t="s">
        <v>12254</v>
      </c>
      <c r="BE5" t="s">
        <v>12274</v>
      </c>
      <c r="BG5" t="s">
        <v>12274</v>
      </c>
      <c r="BH5" t="s">
        <v>12274</v>
      </c>
      <c r="BI5" t="s">
        <v>12274</v>
      </c>
      <c r="BJ5" t="s">
        <v>12274</v>
      </c>
      <c r="BK5" t="s">
        <v>12274</v>
      </c>
      <c r="BL5" t="s">
        <v>12274</v>
      </c>
      <c r="BM5" t="s">
        <v>12274</v>
      </c>
      <c r="BN5" t="s">
        <v>12274</v>
      </c>
      <c r="BO5" t="s">
        <v>12274</v>
      </c>
      <c r="BP5" t="s">
        <v>12274</v>
      </c>
      <c r="BQ5" t="s">
        <v>12274</v>
      </c>
      <c r="BR5" t="s">
        <v>12274</v>
      </c>
      <c r="BS5" t="s">
        <v>12274</v>
      </c>
      <c r="BT5" t="s">
        <v>12274</v>
      </c>
      <c r="BU5" t="s">
        <v>12274</v>
      </c>
      <c r="BV5" t="s">
        <v>12274</v>
      </c>
      <c r="BW5" t="s">
        <v>12274</v>
      </c>
      <c r="BX5" t="s">
        <v>12274</v>
      </c>
      <c r="BY5" t="s">
        <v>12274</v>
      </c>
      <c r="BZ5" t="s">
        <v>12274</v>
      </c>
      <c r="CA5" t="s">
        <v>12274</v>
      </c>
      <c r="CB5" t="s">
        <v>12274</v>
      </c>
      <c r="CC5" t="s">
        <v>12274</v>
      </c>
      <c r="CD5" t="s">
        <v>12274</v>
      </c>
      <c r="CE5" t="s">
        <v>12274</v>
      </c>
      <c r="CF5" t="s">
        <v>12274</v>
      </c>
      <c r="CG5" t="s">
        <v>12274</v>
      </c>
      <c r="CH5" t="s">
        <v>12274</v>
      </c>
      <c r="CI5" t="s">
        <v>12274</v>
      </c>
      <c r="CJ5" t="s">
        <v>12274</v>
      </c>
      <c r="CK5" t="s">
        <v>12274</v>
      </c>
      <c r="CL5" t="s">
        <v>12274</v>
      </c>
      <c r="CM5">
        <v>-99</v>
      </c>
      <c r="CN5">
        <v>-99</v>
      </c>
      <c r="CO5" t="s">
        <v>12279</v>
      </c>
      <c r="CP5" t="s">
        <v>12279</v>
      </c>
      <c r="CQ5" t="s">
        <v>12280</v>
      </c>
      <c r="CR5" t="s">
        <v>12281</v>
      </c>
      <c r="CS5">
        <v>7</v>
      </c>
      <c r="CT5">
        <v>7</v>
      </c>
      <c r="CU5">
        <v>4</v>
      </c>
      <c r="CV5">
        <v>-99</v>
      </c>
      <c r="CW5">
        <v>1</v>
      </c>
      <c r="CX5">
        <v>0</v>
      </c>
      <c r="CY5">
        <v>5</v>
      </c>
      <c r="CZ5">
        <v>10</v>
      </c>
      <c r="DA5">
        <v>20.11384</v>
      </c>
      <c r="DB5">
        <v>40.654854999999998</v>
      </c>
      <c r="DC5">
        <v>1159320325</v>
      </c>
      <c r="DD5" t="s">
        <v>12282</v>
      </c>
      <c r="DE5" t="s">
        <v>12283</v>
      </c>
      <c r="DF5" t="s">
        <v>12284</v>
      </c>
      <c r="DG5" t="s">
        <v>12285</v>
      </c>
      <c r="DH5" t="s">
        <v>1</v>
      </c>
      <c r="DI5" t="s">
        <v>1</v>
      </c>
      <c r="DJ5" t="s">
        <v>12286</v>
      </c>
      <c r="DK5" t="s">
        <v>12287</v>
      </c>
      <c r="DL5" t="s">
        <v>12288</v>
      </c>
      <c r="DM5" t="s">
        <v>12289</v>
      </c>
      <c r="DN5" t="s">
        <v>12290</v>
      </c>
      <c r="DO5" t="s">
        <v>12291</v>
      </c>
      <c r="DP5" t="s">
        <v>1</v>
      </c>
      <c r="DQ5" t="s">
        <v>1</v>
      </c>
      <c r="DR5" t="s">
        <v>12292</v>
      </c>
      <c r="DS5" t="s">
        <v>12293</v>
      </c>
      <c r="DT5" t="s">
        <v>12294</v>
      </c>
      <c r="DU5" t="s">
        <v>1</v>
      </c>
      <c r="DV5" t="s">
        <v>12295</v>
      </c>
      <c r="DW5" t="s">
        <v>12296</v>
      </c>
      <c r="DX5" t="s">
        <v>12285</v>
      </c>
      <c r="DY5" t="s">
        <v>12297</v>
      </c>
      <c r="DZ5" t="s">
        <v>12298</v>
      </c>
      <c r="EA5" t="s">
        <v>12299</v>
      </c>
      <c r="EB5" t="s">
        <v>1</v>
      </c>
      <c r="EC5" t="s">
        <v>12300</v>
      </c>
      <c r="ED5" t="s">
        <v>12301</v>
      </c>
      <c r="EE5" t="s">
        <v>12247</v>
      </c>
      <c r="EG5" t="s">
        <v>12247</v>
      </c>
    </row>
    <row r="6" spans="1:253" x14ac:dyDescent="0.25">
      <c r="A6" t="s">
        <v>2</v>
      </c>
      <c r="B6" t="s">
        <v>12247</v>
      </c>
      <c r="C6">
        <v>0</v>
      </c>
      <c r="D6">
        <v>3</v>
      </c>
      <c r="E6" t="s">
        <v>2</v>
      </c>
      <c r="F6" t="s">
        <v>12302</v>
      </c>
      <c r="G6">
        <v>0</v>
      </c>
      <c r="H6">
        <v>2</v>
      </c>
      <c r="I6" t="s">
        <v>12249</v>
      </c>
      <c r="J6">
        <v>1</v>
      </c>
      <c r="K6" t="s">
        <v>2</v>
      </c>
      <c r="L6" t="s">
        <v>12302</v>
      </c>
      <c r="M6">
        <v>0</v>
      </c>
      <c r="N6" t="s">
        <v>2</v>
      </c>
      <c r="O6" t="s">
        <v>12302</v>
      </c>
      <c r="P6">
        <v>0</v>
      </c>
      <c r="Q6" t="s">
        <v>2</v>
      </c>
      <c r="R6" t="s">
        <v>12302</v>
      </c>
      <c r="S6">
        <v>0</v>
      </c>
      <c r="T6" t="s">
        <v>2</v>
      </c>
      <c r="U6" t="s">
        <v>12302</v>
      </c>
      <c r="V6" t="s">
        <v>2</v>
      </c>
      <c r="X6" t="s">
        <v>12303</v>
      </c>
      <c r="Y6" t="s">
        <v>1428</v>
      </c>
      <c r="Z6" t="s">
        <v>12304</v>
      </c>
      <c r="AB6" t="s">
        <v>2</v>
      </c>
      <c r="AE6" t="s">
        <v>2</v>
      </c>
      <c r="AG6">
        <v>5</v>
      </c>
      <c r="AH6">
        <v>1</v>
      </c>
      <c r="AI6">
        <v>6</v>
      </c>
      <c r="AJ6">
        <v>3</v>
      </c>
      <c r="AK6">
        <v>43053054</v>
      </c>
      <c r="AL6">
        <v>15</v>
      </c>
      <c r="AM6">
        <v>2019</v>
      </c>
      <c r="AN6">
        <v>171091</v>
      </c>
      <c r="AO6">
        <v>2019</v>
      </c>
      <c r="AP6" t="s">
        <v>12277</v>
      </c>
      <c r="AQ6" t="s">
        <v>12305</v>
      </c>
      <c r="AR6" t="s">
        <v>1255</v>
      </c>
      <c r="AS6" t="s">
        <v>1428</v>
      </c>
      <c r="AT6" t="s">
        <v>1428</v>
      </c>
      <c r="AU6" t="s">
        <v>12302</v>
      </c>
      <c r="AV6" t="s">
        <v>12302</v>
      </c>
      <c r="AW6">
        <v>12</v>
      </c>
      <c r="AX6">
        <v>12</v>
      </c>
      <c r="AY6">
        <v>12</v>
      </c>
      <c r="AZ6" t="s">
        <v>1428</v>
      </c>
      <c r="BA6" t="s">
        <v>12302</v>
      </c>
      <c r="BB6">
        <v>23424740</v>
      </c>
      <c r="BC6">
        <v>23424740</v>
      </c>
      <c r="BD6" t="s">
        <v>12254</v>
      </c>
      <c r="BE6" t="s">
        <v>12302</v>
      </c>
      <c r="BG6" t="s">
        <v>12302</v>
      </c>
      <c r="BH6" t="s">
        <v>12302</v>
      </c>
      <c r="BI6" t="s">
        <v>12302</v>
      </c>
      <c r="BJ6" t="s">
        <v>12302</v>
      </c>
      <c r="BK6" t="s">
        <v>12302</v>
      </c>
      <c r="BL6" t="s">
        <v>12302</v>
      </c>
      <c r="BM6" t="s">
        <v>12302</v>
      </c>
      <c r="BN6" t="s">
        <v>12302</v>
      </c>
      <c r="BO6" t="s">
        <v>12302</v>
      </c>
      <c r="BP6" t="s">
        <v>12302</v>
      </c>
      <c r="BQ6" t="s">
        <v>12302</v>
      </c>
      <c r="BR6" t="s">
        <v>12302</v>
      </c>
      <c r="BS6" t="s">
        <v>12302</v>
      </c>
      <c r="BT6" t="s">
        <v>12302</v>
      </c>
      <c r="BU6" t="s">
        <v>12302</v>
      </c>
      <c r="BV6" t="s">
        <v>12302</v>
      </c>
      <c r="BW6" t="s">
        <v>12302</v>
      </c>
      <c r="BX6" t="s">
        <v>12302</v>
      </c>
      <c r="BY6" t="s">
        <v>12302</v>
      </c>
      <c r="BZ6" t="s">
        <v>12302</v>
      </c>
      <c r="CA6" t="s">
        <v>12302</v>
      </c>
      <c r="CB6" t="s">
        <v>12302</v>
      </c>
      <c r="CC6" t="s">
        <v>12302</v>
      </c>
      <c r="CD6" t="s">
        <v>12302</v>
      </c>
      <c r="CE6" t="s">
        <v>12302</v>
      </c>
      <c r="CF6" t="s">
        <v>12302</v>
      </c>
      <c r="CG6" t="s">
        <v>12302</v>
      </c>
      <c r="CH6" t="s">
        <v>12302</v>
      </c>
      <c r="CI6" t="s">
        <v>12302</v>
      </c>
      <c r="CJ6" t="s">
        <v>12302</v>
      </c>
      <c r="CK6" t="s">
        <v>12302</v>
      </c>
      <c r="CL6" t="s">
        <v>12302</v>
      </c>
      <c r="CM6">
        <v>-99</v>
      </c>
      <c r="CN6">
        <v>-99</v>
      </c>
      <c r="CO6" t="s">
        <v>12306</v>
      </c>
      <c r="CP6" t="s">
        <v>12306</v>
      </c>
      <c r="CQ6" t="s">
        <v>12307</v>
      </c>
      <c r="CR6" t="s">
        <v>12308</v>
      </c>
      <c r="CS6">
        <v>7</v>
      </c>
      <c r="CT6">
        <v>7</v>
      </c>
      <c r="CU6">
        <v>4</v>
      </c>
      <c r="CV6">
        <v>-99</v>
      </c>
      <c r="CW6">
        <v>1</v>
      </c>
      <c r="CX6">
        <v>0</v>
      </c>
      <c r="CY6">
        <v>2.5</v>
      </c>
      <c r="CZ6">
        <v>7</v>
      </c>
      <c r="DA6">
        <v>2.80824099999999</v>
      </c>
      <c r="DB6">
        <v>27.397406</v>
      </c>
      <c r="DC6">
        <v>1159320565</v>
      </c>
      <c r="DD6" t="s">
        <v>12309</v>
      </c>
      <c r="DE6" t="s">
        <v>12310</v>
      </c>
      <c r="DF6" t="s">
        <v>12311</v>
      </c>
      <c r="DG6" t="s">
        <v>12312</v>
      </c>
      <c r="DH6" t="s">
        <v>2</v>
      </c>
      <c r="DI6" t="s">
        <v>12313</v>
      </c>
      <c r="DJ6" t="s">
        <v>12314</v>
      </c>
      <c r="DK6" t="s">
        <v>12315</v>
      </c>
      <c r="DL6" t="s">
        <v>12316</v>
      </c>
      <c r="DM6" t="s">
        <v>12317</v>
      </c>
      <c r="DN6" t="s">
        <v>12318</v>
      </c>
      <c r="DO6" t="s">
        <v>12319</v>
      </c>
      <c r="DP6" t="s">
        <v>12320</v>
      </c>
      <c r="DQ6" t="s">
        <v>2</v>
      </c>
      <c r="DR6" t="s">
        <v>12321</v>
      </c>
      <c r="DS6" t="s">
        <v>12322</v>
      </c>
      <c r="DT6" t="s">
        <v>12323</v>
      </c>
      <c r="DU6" t="s">
        <v>12324</v>
      </c>
      <c r="DV6" t="s">
        <v>12325</v>
      </c>
      <c r="DW6" t="s">
        <v>12326</v>
      </c>
      <c r="DX6" t="s">
        <v>12327</v>
      </c>
      <c r="DY6" t="s">
        <v>12328</v>
      </c>
      <c r="DZ6" t="s">
        <v>12326</v>
      </c>
      <c r="EA6" t="s">
        <v>12310</v>
      </c>
      <c r="EB6" t="s">
        <v>12315</v>
      </c>
      <c r="EC6" t="s">
        <v>12329</v>
      </c>
      <c r="ED6" t="s">
        <v>12330</v>
      </c>
      <c r="EE6" t="s">
        <v>12247</v>
      </c>
      <c r="EG6" t="s">
        <v>12247</v>
      </c>
    </row>
    <row r="7" spans="1:253" x14ac:dyDescent="0.25">
      <c r="A7" t="s">
        <v>1197</v>
      </c>
      <c r="B7" t="s">
        <v>12247</v>
      </c>
      <c r="C7">
        <v>5</v>
      </c>
      <c r="D7">
        <v>4</v>
      </c>
      <c r="E7" t="s">
        <v>12532</v>
      </c>
      <c r="F7" t="s">
        <v>12533</v>
      </c>
      <c r="G7">
        <v>1</v>
      </c>
      <c r="H7">
        <v>2</v>
      </c>
      <c r="I7" t="s">
        <v>12480</v>
      </c>
      <c r="J7">
        <v>1</v>
      </c>
      <c r="K7" t="s">
        <v>1197</v>
      </c>
      <c r="L7" t="s">
        <v>12534</v>
      </c>
      <c r="M7">
        <v>0</v>
      </c>
      <c r="N7" t="s">
        <v>1197</v>
      </c>
      <c r="O7" t="s">
        <v>12534</v>
      </c>
      <c r="P7">
        <v>0</v>
      </c>
      <c r="Q7" t="s">
        <v>1197</v>
      </c>
      <c r="R7" t="s">
        <v>12534</v>
      </c>
      <c r="S7">
        <v>0</v>
      </c>
      <c r="T7" t="s">
        <v>1197</v>
      </c>
      <c r="U7" t="s">
        <v>12534</v>
      </c>
      <c r="V7" t="s">
        <v>1197</v>
      </c>
      <c r="X7" t="s">
        <v>12535</v>
      </c>
      <c r="Y7" t="s">
        <v>1273</v>
      </c>
      <c r="Z7" t="s">
        <v>1197</v>
      </c>
      <c r="AB7" t="s">
        <v>1197</v>
      </c>
      <c r="AC7" t="s">
        <v>12536</v>
      </c>
      <c r="AE7" t="s">
        <v>1197</v>
      </c>
      <c r="AG7">
        <v>4</v>
      </c>
      <c r="AH7">
        <v>5</v>
      </c>
      <c r="AI7">
        <v>1</v>
      </c>
      <c r="AJ7">
        <v>1</v>
      </c>
      <c r="AK7">
        <v>55312</v>
      </c>
      <c r="AL7">
        <v>8</v>
      </c>
      <c r="AM7">
        <v>2019</v>
      </c>
      <c r="AN7">
        <v>636</v>
      </c>
      <c r="AO7">
        <v>2018</v>
      </c>
      <c r="AP7" t="s">
        <v>12277</v>
      </c>
      <c r="AQ7" t="s">
        <v>12305</v>
      </c>
      <c r="AR7" t="s">
        <v>2151</v>
      </c>
      <c r="AS7" t="s">
        <v>1273</v>
      </c>
      <c r="AT7" t="s">
        <v>1273</v>
      </c>
      <c r="AU7" t="s">
        <v>12534</v>
      </c>
      <c r="AV7" t="s">
        <v>12534</v>
      </c>
      <c r="AW7">
        <v>16</v>
      </c>
      <c r="AX7">
        <v>16</v>
      </c>
      <c r="AY7">
        <v>16</v>
      </c>
      <c r="AZ7" t="s">
        <v>1273</v>
      </c>
      <c r="BA7" t="s">
        <v>12534</v>
      </c>
      <c r="BB7">
        <v>23424746</v>
      </c>
      <c r="BC7">
        <v>23424746</v>
      </c>
      <c r="BD7" t="s">
        <v>12254</v>
      </c>
      <c r="BE7" t="s">
        <v>12534</v>
      </c>
      <c r="BG7" t="s">
        <v>12534</v>
      </c>
      <c r="BH7" t="s">
        <v>12534</v>
      </c>
      <c r="BI7" t="s">
        <v>12534</v>
      </c>
      <c r="BJ7" t="s">
        <v>12534</v>
      </c>
      <c r="BK7" t="s">
        <v>12534</v>
      </c>
      <c r="BL7" t="s">
        <v>12534</v>
      </c>
      <c r="BM7" t="s">
        <v>12534</v>
      </c>
      <c r="BN7" t="s">
        <v>12534</v>
      </c>
      <c r="BO7" t="s">
        <v>12534</v>
      </c>
      <c r="BP7" t="s">
        <v>12534</v>
      </c>
      <c r="BQ7" t="s">
        <v>12534</v>
      </c>
      <c r="BR7" t="s">
        <v>12534</v>
      </c>
      <c r="BS7" t="s">
        <v>12534</v>
      </c>
      <c r="BT7" t="s">
        <v>12534</v>
      </c>
      <c r="BU7" t="s">
        <v>12534</v>
      </c>
      <c r="BV7" t="s">
        <v>12534</v>
      </c>
      <c r="BW7" t="s">
        <v>12534</v>
      </c>
      <c r="BX7" t="s">
        <v>12534</v>
      </c>
      <c r="BY7" t="s">
        <v>12534</v>
      </c>
      <c r="BZ7" t="s">
        <v>12534</v>
      </c>
      <c r="CA7" t="s">
        <v>12534</v>
      </c>
      <c r="CB7" t="s">
        <v>12534</v>
      </c>
      <c r="CC7" t="s">
        <v>12534</v>
      </c>
      <c r="CD7" t="s">
        <v>12534</v>
      </c>
      <c r="CE7" t="s">
        <v>12534</v>
      </c>
      <c r="CF7" t="s">
        <v>12534</v>
      </c>
      <c r="CG7" t="s">
        <v>12534</v>
      </c>
      <c r="CH7" t="s">
        <v>12534</v>
      </c>
      <c r="CI7" t="s">
        <v>12534</v>
      </c>
      <c r="CJ7" t="s">
        <v>12534</v>
      </c>
      <c r="CK7" t="s">
        <v>12534</v>
      </c>
      <c r="CL7" t="s">
        <v>12534</v>
      </c>
      <c r="CM7">
        <v>-99</v>
      </c>
      <c r="CN7">
        <v>-99</v>
      </c>
      <c r="CO7" t="s">
        <v>12537</v>
      </c>
      <c r="CP7" t="s">
        <v>12537</v>
      </c>
      <c r="CQ7" t="s">
        <v>12538</v>
      </c>
      <c r="CR7" t="s">
        <v>12539</v>
      </c>
      <c r="CS7">
        <v>14</v>
      </c>
      <c r="CT7">
        <v>14</v>
      </c>
      <c r="CU7">
        <v>9</v>
      </c>
      <c r="CV7">
        <v>3</v>
      </c>
      <c r="CW7">
        <v>-99</v>
      </c>
      <c r="CX7">
        <v>0</v>
      </c>
      <c r="CY7">
        <v>4</v>
      </c>
      <c r="CZ7">
        <v>9</v>
      </c>
      <c r="DA7">
        <v>-170.747153</v>
      </c>
      <c r="DB7">
        <v>-14.32671</v>
      </c>
      <c r="DC7">
        <v>1159321357</v>
      </c>
      <c r="DD7" t="s">
        <v>12540</v>
      </c>
      <c r="DE7" t="s">
        <v>12541</v>
      </c>
      <c r="DF7" t="s">
        <v>12542</v>
      </c>
      <c r="DG7" t="s">
        <v>12543</v>
      </c>
      <c r="DH7" t="s">
        <v>1197</v>
      </c>
      <c r="DI7" t="s">
        <v>12544</v>
      </c>
      <c r="DJ7" t="s">
        <v>12545</v>
      </c>
      <c r="DK7" t="s">
        <v>12546</v>
      </c>
      <c r="DL7" t="s">
        <v>12547</v>
      </c>
      <c r="DM7" t="s">
        <v>12548</v>
      </c>
      <c r="DN7" t="s">
        <v>12549</v>
      </c>
      <c r="DO7" t="s">
        <v>12550</v>
      </c>
      <c r="DP7" t="s">
        <v>12551</v>
      </c>
      <c r="DQ7" t="s">
        <v>12552</v>
      </c>
      <c r="DR7" t="s">
        <v>12553</v>
      </c>
      <c r="DS7" t="s">
        <v>12554</v>
      </c>
      <c r="DT7" t="s">
        <v>12555</v>
      </c>
      <c r="DU7" t="s">
        <v>12556</v>
      </c>
      <c r="DV7" t="s">
        <v>12557</v>
      </c>
      <c r="DW7" t="s">
        <v>12558</v>
      </c>
      <c r="DX7" t="s">
        <v>12559</v>
      </c>
      <c r="DY7" t="s">
        <v>12560</v>
      </c>
      <c r="DZ7" t="s">
        <v>12561</v>
      </c>
      <c r="EA7" t="s">
        <v>12562</v>
      </c>
      <c r="EB7" t="s">
        <v>12563</v>
      </c>
      <c r="EC7" t="s">
        <v>12564</v>
      </c>
      <c r="ED7" t="s">
        <v>12565</v>
      </c>
      <c r="EE7" t="s">
        <v>12397</v>
      </c>
      <c r="EG7" t="s">
        <v>12397</v>
      </c>
    </row>
    <row r="8" spans="1:253" x14ac:dyDescent="0.25">
      <c r="A8" t="s">
        <v>3</v>
      </c>
      <c r="B8" t="s">
        <v>12247</v>
      </c>
      <c r="C8">
        <v>0</v>
      </c>
      <c r="D8">
        <v>6</v>
      </c>
      <c r="E8" t="s">
        <v>3</v>
      </c>
      <c r="F8" t="s">
        <v>12331</v>
      </c>
      <c r="G8">
        <v>0</v>
      </c>
      <c r="H8">
        <v>2</v>
      </c>
      <c r="I8" t="s">
        <v>12249</v>
      </c>
      <c r="J8">
        <v>1</v>
      </c>
      <c r="K8" t="s">
        <v>3</v>
      </c>
      <c r="L8" t="s">
        <v>12331</v>
      </c>
      <c r="M8">
        <v>0</v>
      </c>
      <c r="N8" t="s">
        <v>3</v>
      </c>
      <c r="O8" t="s">
        <v>12331</v>
      </c>
      <c r="P8">
        <v>0</v>
      </c>
      <c r="Q8" t="s">
        <v>3</v>
      </c>
      <c r="R8" t="s">
        <v>12331</v>
      </c>
      <c r="S8">
        <v>0</v>
      </c>
      <c r="T8" t="s">
        <v>3</v>
      </c>
      <c r="U8" t="s">
        <v>12331</v>
      </c>
      <c r="V8" t="s">
        <v>3</v>
      </c>
      <c r="X8" t="s">
        <v>12332</v>
      </c>
      <c r="Y8" t="s">
        <v>12331</v>
      </c>
      <c r="Z8" t="s">
        <v>12333</v>
      </c>
      <c r="AB8" t="s">
        <v>3</v>
      </c>
      <c r="AE8" t="s">
        <v>3</v>
      </c>
      <c r="AG8">
        <v>1</v>
      </c>
      <c r="AH8">
        <v>4</v>
      </c>
      <c r="AI8">
        <v>1</v>
      </c>
      <c r="AJ8">
        <v>8</v>
      </c>
      <c r="AK8">
        <v>77142</v>
      </c>
      <c r="AL8">
        <v>8</v>
      </c>
      <c r="AM8">
        <v>2019</v>
      </c>
      <c r="AN8">
        <v>3154</v>
      </c>
      <c r="AO8">
        <v>2019</v>
      </c>
      <c r="AP8" t="s">
        <v>12334</v>
      </c>
      <c r="AQ8" t="s">
        <v>12335</v>
      </c>
      <c r="AR8" t="s">
        <v>12336</v>
      </c>
      <c r="AS8" t="s">
        <v>1245</v>
      </c>
      <c r="AT8" t="s">
        <v>1245</v>
      </c>
      <c r="AU8" t="s">
        <v>12331</v>
      </c>
      <c r="AV8" t="s">
        <v>12331</v>
      </c>
      <c r="AW8">
        <v>20</v>
      </c>
      <c r="AX8">
        <v>20</v>
      </c>
      <c r="AY8">
        <v>20</v>
      </c>
      <c r="AZ8" t="s">
        <v>1245</v>
      </c>
      <c r="BA8" t="s">
        <v>12337</v>
      </c>
      <c r="BB8">
        <v>23424744</v>
      </c>
      <c r="BC8">
        <v>23424744</v>
      </c>
      <c r="BD8" t="s">
        <v>12254</v>
      </c>
      <c r="BE8" t="s">
        <v>12331</v>
      </c>
      <c r="BG8" t="s">
        <v>12331</v>
      </c>
      <c r="BH8" t="s">
        <v>12331</v>
      </c>
      <c r="BI8" t="s">
        <v>12331</v>
      </c>
      <c r="BJ8" t="s">
        <v>12331</v>
      </c>
      <c r="BK8" t="s">
        <v>12331</v>
      </c>
      <c r="BL8" t="s">
        <v>12331</v>
      </c>
      <c r="BM8" t="s">
        <v>12331</v>
      </c>
      <c r="BN8" t="s">
        <v>12331</v>
      </c>
      <c r="BO8" t="s">
        <v>12331</v>
      </c>
      <c r="BP8" t="s">
        <v>12331</v>
      </c>
      <c r="BQ8" t="s">
        <v>12331</v>
      </c>
      <c r="BR8" t="s">
        <v>12331</v>
      </c>
      <c r="BS8" t="s">
        <v>12331</v>
      </c>
      <c r="BT8" t="s">
        <v>12331</v>
      </c>
      <c r="BU8" t="s">
        <v>12331</v>
      </c>
      <c r="BV8" t="s">
        <v>12331</v>
      </c>
      <c r="BW8" t="s">
        <v>12331</v>
      </c>
      <c r="BX8" t="s">
        <v>12331</v>
      </c>
      <c r="BY8" t="s">
        <v>12331</v>
      </c>
      <c r="BZ8" t="s">
        <v>12331</v>
      </c>
      <c r="CA8" t="s">
        <v>12331</v>
      </c>
      <c r="CB8" t="s">
        <v>12331</v>
      </c>
      <c r="CC8" t="s">
        <v>12331</v>
      </c>
      <c r="CD8" t="s">
        <v>12331</v>
      </c>
      <c r="CE8" t="s">
        <v>12331</v>
      </c>
      <c r="CF8" t="s">
        <v>12331</v>
      </c>
      <c r="CG8" t="s">
        <v>12331</v>
      </c>
      <c r="CH8" t="s">
        <v>12331</v>
      </c>
      <c r="CI8" t="s">
        <v>12331</v>
      </c>
      <c r="CJ8" t="s">
        <v>12331</v>
      </c>
      <c r="CK8" t="s">
        <v>12331</v>
      </c>
      <c r="CL8" t="s">
        <v>12331</v>
      </c>
      <c r="CM8">
        <v>-99</v>
      </c>
      <c r="CN8">
        <v>-99</v>
      </c>
      <c r="CO8" t="s">
        <v>12279</v>
      </c>
      <c r="CP8" t="s">
        <v>12279</v>
      </c>
      <c r="CQ8" t="s">
        <v>12280</v>
      </c>
      <c r="CR8" t="s">
        <v>12281</v>
      </c>
      <c r="CS8">
        <v>7</v>
      </c>
      <c r="CT8">
        <v>7</v>
      </c>
      <c r="CU8">
        <v>4</v>
      </c>
      <c r="CV8">
        <v>5</v>
      </c>
      <c r="CW8">
        <v>1</v>
      </c>
      <c r="CX8">
        <v>0</v>
      </c>
      <c r="CY8">
        <v>5</v>
      </c>
      <c r="CZ8">
        <v>10</v>
      </c>
      <c r="DA8">
        <v>1.539409</v>
      </c>
      <c r="DB8">
        <v>42.547643000000001</v>
      </c>
      <c r="DC8">
        <v>1159320327</v>
      </c>
      <c r="DD8" t="s">
        <v>12338</v>
      </c>
      <c r="DE8" t="s">
        <v>12339</v>
      </c>
      <c r="DF8" t="s">
        <v>12340</v>
      </c>
      <c r="DG8" t="s">
        <v>3</v>
      </c>
      <c r="DH8" t="s">
        <v>3</v>
      </c>
      <c r="DI8" t="s">
        <v>3</v>
      </c>
      <c r="DJ8" t="s">
        <v>12341</v>
      </c>
      <c r="DK8" t="s">
        <v>12342</v>
      </c>
      <c r="DL8" t="s">
        <v>12343</v>
      </c>
      <c r="DM8" t="s">
        <v>12344</v>
      </c>
      <c r="DN8" t="s">
        <v>12345</v>
      </c>
      <c r="DO8" t="s">
        <v>3</v>
      </c>
      <c r="DP8" t="s">
        <v>3</v>
      </c>
      <c r="DQ8" t="s">
        <v>3</v>
      </c>
      <c r="DR8" t="s">
        <v>12346</v>
      </c>
      <c r="DS8" t="s">
        <v>12347</v>
      </c>
      <c r="DT8" t="s">
        <v>3</v>
      </c>
      <c r="DU8" t="s">
        <v>12348</v>
      </c>
      <c r="DV8" t="s">
        <v>3</v>
      </c>
      <c r="DW8" t="s">
        <v>12349</v>
      </c>
      <c r="DX8" t="s">
        <v>3</v>
      </c>
      <c r="DY8" t="s">
        <v>3</v>
      </c>
      <c r="DZ8" t="s">
        <v>12349</v>
      </c>
      <c r="EA8" t="s">
        <v>12350</v>
      </c>
      <c r="EB8" t="s">
        <v>3</v>
      </c>
      <c r="EC8" t="s">
        <v>12351</v>
      </c>
      <c r="ED8" t="s">
        <v>12352</v>
      </c>
      <c r="EE8" t="s">
        <v>12247</v>
      </c>
      <c r="EG8" t="s">
        <v>12247</v>
      </c>
    </row>
    <row r="9" spans="1:253" x14ac:dyDescent="0.25">
      <c r="A9" t="s">
        <v>4</v>
      </c>
      <c r="B9" t="s">
        <v>12247</v>
      </c>
      <c r="C9">
        <v>0</v>
      </c>
      <c r="D9">
        <v>3</v>
      </c>
      <c r="E9" t="s">
        <v>4</v>
      </c>
      <c r="F9" t="s">
        <v>12353</v>
      </c>
      <c r="G9">
        <v>0</v>
      </c>
      <c r="H9">
        <v>2</v>
      </c>
      <c r="I9" t="s">
        <v>12249</v>
      </c>
      <c r="J9">
        <v>1</v>
      </c>
      <c r="K9" t="s">
        <v>4</v>
      </c>
      <c r="L9" t="s">
        <v>12353</v>
      </c>
      <c r="M9">
        <v>0</v>
      </c>
      <c r="N9" t="s">
        <v>4</v>
      </c>
      <c r="O9" t="s">
        <v>12353</v>
      </c>
      <c r="P9">
        <v>0</v>
      </c>
      <c r="Q9" t="s">
        <v>4</v>
      </c>
      <c r="R9" t="s">
        <v>12353</v>
      </c>
      <c r="S9">
        <v>0</v>
      </c>
      <c r="T9" t="s">
        <v>4</v>
      </c>
      <c r="U9" t="s">
        <v>12353</v>
      </c>
      <c r="V9" t="s">
        <v>4</v>
      </c>
      <c r="X9" t="s">
        <v>12354</v>
      </c>
      <c r="Y9" t="s">
        <v>1267</v>
      </c>
      <c r="Z9" t="s">
        <v>12355</v>
      </c>
      <c r="AB9" t="s">
        <v>4</v>
      </c>
      <c r="AE9" t="s">
        <v>4</v>
      </c>
      <c r="AG9">
        <v>3</v>
      </c>
      <c r="AH9">
        <v>2</v>
      </c>
      <c r="AI9">
        <v>6</v>
      </c>
      <c r="AJ9">
        <v>1</v>
      </c>
      <c r="AK9">
        <v>31825295</v>
      </c>
      <c r="AL9">
        <v>15</v>
      </c>
      <c r="AM9">
        <v>2019</v>
      </c>
      <c r="AN9">
        <v>88815</v>
      </c>
      <c r="AO9">
        <v>2019</v>
      </c>
      <c r="AP9" t="s">
        <v>12252</v>
      </c>
      <c r="AQ9" t="s">
        <v>12305</v>
      </c>
      <c r="AR9" t="s">
        <v>1267</v>
      </c>
      <c r="AS9" t="s">
        <v>1267</v>
      </c>
      <c r="AT9" t="s">
        <v>1267</v>
      </c>
      <c r="AU9" t="s">
        <v>12353</v>
      </c>
      <c r="AV9" t="s">
        <v>12353</v>
      </c>
      <c r="AW9">
        <v>24</v>
      </c>
      <c r="AX9">
        <v>24</v>
      </c>
      <c r="AY9">
        <v>24</v>
      </c>
      <c r="AZ9" t="s">
        <v>1267</v>
      </c>
      <c r="BA9" t="s">
        <v>12353</v>
      </c>
      <c r="BB9">
        <v>23424745</v>
      </c>
      <c r="BC9">
        <v>23424745</v>
      </c>
      <c r="BD9" t="s">
        <v>12254</v>
      </c>
      <c r="BE9" t="s">
        <v>12353</v>
      </c>
      <c r="BG9" t="s">
        <v>12353</v>
      </c>
      <c r="BH9" t="s">
        <v>12353</v>
      </c>
      <c r="BI9" t="s">
        <v>12353</v>
      </c>
      <c r="BJ9" t="s">
        <v>12353</v>
      </c>
      <c r="BK9" t="s">
        <v>12353</v>
      </c>
      <c r="BL9" t="s">
        <v>12353</v>
      </c>
      <c r="BM9" t="s">
        <v>12353</v>
      </c>
      <c r="BN9" t="s">
        <v>12353</v>
      </c>
      <c r="BO9" t="s">
        <v>12353</v>
      </c>
      <c r="BP9" t="s">
        <v>12353</v>
      </c>
      <c r="BQ9" t="s">
        <v>12353</v>
      </c>
      <c r="BR9" t="s">
        <v>12353</v>
      </c>
      <c r="BS9" t="s">
        <v>12353</v>
      </c>
      <c r="BT9" t="s">
        <v>12353</v>
      </c>
      <c r="BU9" t="s">
        <v>12353</v>
      </c>
      <c r="BV9" t="s">
        <v>12353</v>
      </c>
      <c r="BW9" t="s">
        <v>12353</v>
      </c>
      <c r="BX9" t="s">
        <v>12353</v>
      </c>
      <c r="BY9" t="s">
        <v>12353</v>
      </c>
      <c r="BZ9" t="s">
        <v>12353</v>
      </c>
      <c r="CA9" t="s">
        <v>12353</v>
      </c>
      <c r="CB9" t="s">
        <v>12353</v>
      </c>
      <c r="CC9" t="s">
        <v>12353</v>
      </c>
      <c r="CD9" t="s">
        <v>12353</v>
      </c>
      <c r="CE9" t="s">
        <v>12353</v>
      </c>
      <c r="CF9" t="s">
        <v>12353</v>
      </c>
      <c r="CG9" t="s">
        <v>12353</v>
      </c>
      <c r="CH9" t="s">
        <v>12353</v>
      </c>
      <c r="CI9" t="s">
        <v>12353</v>
      </c>
      <c r="CJ9" t="s">
        <v>12353</v>
      </c>
      <c r="CK9" t="s">
        <v>12353</v>
      </c>
      <c r="CL9" t="s">
        <v>12353</v>
      </c>
      <c r="CM9">
        <v>-99</v>
      </c>
      <c r="CN9">
        <v>-99</v>
      </c>
      <c r="CO9" t="s">
        <v>12306</v>
      </c>
      <c r="CP9" t="s">
        <v>12306</v>
      </c>
      <c r="CQ9" t="s">
        <v>12356</v>
      </c>
      <c r="CR9" t="s">
        <v>12357</v>
      </c>
      <c r="CS9">
        <v>6</v>
      </c>
      <c r="CT9">
        <v>6</v>
      </c>
      <c r="CU9">
        <v>4</v>
      </c>
      <c r="CV9">
        <v>-99</v>
      </c>
      <c r="CW9">
        <v>1</v>
      </c>
      <c r="CX9">
        <v>0</v>
      </c>
      <c r="CY9">
        <v>3</v>
      </c>
      <c r="CZ9">
        <v>7</v>
      </c>
      <c r="DA9">
        <v>17.984248999999998</v>
      </c>
      <c r="DB9">
        <v>-12.182762</v>
      </c>
      <c r="DC9">
        <v>1159320323</v>
      </c>
      <c r="DD9" t="s">
        <v>12358</v>
      </c>
      <c r="DE9" t="s">
        <v>12359</v>
      </c>
      <c r="DF9" t="s">
        <v>12360</v>
      </c>
      <c r="DG9" t="s">
        <v>4</v>
      </c>
      <c r="DH9" t="s">
        <v>4</v>
      </c>
      <c r="DI9" t="s">
        <v>4</v>
      </c>
      <c r="DJ9" t="s">
        <v>12361</v>
      </c>
      <c r="DK9" t="s">
        <v>4</v>
      </c>
      <c r="DL9" t="s">
        <v>12362</v>
      </c>
      <c r="DM9" t="s">
        <v>12363</v>
      </c>
      <c r="DN9" t="s">
        <v>12364</v>
      </c>
      <c r="DO9" t="s">
        <v>4</v>
      </c>
      <c r="DP9" t="s">
        <v>4</v>
      </c>
      <c r="DQ9" t="s">
        <v>4</v>
      </c>
      <c r="DR9" t="s">
        <v>12365</v>
      </c>
      <c r="DS9" t="s">
        <v>12366</v>
      </c>
      <c r="DT9" t="s">
        <v>4</v>
      </c>
      <c r="DU9" t="s">
        <v>4</v>
      </c>
      <c r="DV9" t="s">
        <v>4</v>
      </c>
      <c r="DW9" t="s">
        <v>12367</v>
      </c>
      <c r="DX9" t="s">
        <v>4</v>
      </c>
      <c r="DY9" t="s">
        <v>4</v>
      </c>
      <c r="DZ9" t="s">
        <v>12367</v>
      </c>
      <c r="EA9" t="s">
        <v>12368</v>
      </c>
      <c r="EB9" t="s">
        <v>4</v>
      </c>
      <c r="EC9" t="s">
        <v>12369</v>
      </c>
      <c r="ED9" t="s">
        <v>12369</v>
      </c>
      <c r="EE9" t="s">
        <v>12247</v>
      </c>
      <c r="EG9" t="s">
        <v>12247</v>
      </c>
    </row>
    <row r="10" spans="1:253" x14ac:dyDescent="0.25">
      <c r="A10" t="s">
        <v>1198</v>
      </c>
      <c r="B10" t="s">
        <v>12247</v>
      </c>
      <c r="C10">
        <v>3</v>
      </c>
      <c r="D10">
        <v>6</v>
      </c>
      <c r="E10" t="s">
        <v>182</v>
      </c>
      <c r="F10" t="s">
        <v>12479</v>
      </c>
      <c r="G10">
        <v>1</v>
      </c>
      <c r="H10">
        <v>2</v>
      </c>
      <c r="I10" t="s">
        <v>12480</v>
      </c>
      <c r="J10">
        <v>1</v>
      </c>
      <c r="K10" t="s">
        <v>1198</v>
      </c>
      <c r="L10" t="s">
        <v>12566</v>
      </c>
      <c r="M10">
        <v>0</v>
      </c>
      <c r="N10" t="s">
        <v>1198</v>
      </c>
      <c r="O10" t="s">
        <v>12566</v>
      </c>
      <c r="P10">
        <v>0</v>
      </c>
      <c r="Q10" t="s">
        <v>1198</v>
      </c>
      <c r="R10" t="s">
        <v>12566</v>
      </c>
      <c r="S10">
        <v>0</v>
      </c>
      <c r="T10" t="s">
        <v>1198</v>
      </c>
      <c r="U10" t="s">
        <v>12566</v>
      </c>
      <c r="V10" t="s">
        <v>1198</v>
      </c>
      <c r="X10" t="s">
        <v>12354</v>
      </c>
      <c r="Y10" t="s">
        <v>1258</v>
      </c>
      <c r="AB10" t="s">
        <v>1198</v>
      </c>
      <c r="AC10" t="s">
        <v>12486</v>
      </c>
      <c r="AE10" t="s">
        <v>1198</v>
      </c>
      <c r="AG10">
        <v>6</v>
      </c>
      <c r="AH10">
        <v>6</v>
      </c>
      <c r="AI10">
        <v>6</v>
      </c>
      <c r="AJ10">
        <v>3</v>
      </c>
      <c r="AK10">
        <v>14731</v>
      </c>
      <c r="AL10">
        <v>6</v>
      </c>
      <c r="AM10">
        <v>2018</v>
      </c>
      <c r="AN10">
        <v>175</v>
      </c>
      <c r="AO10">
        <v>2009</v>
      </c>
      <c r="AP10" t="s">
        <v>12277</v>
      </c>
      <c r="AQ10" t="s">
        <v>12305</v>
      </c>
      <c r="AR10" t="s">
        <v>12567</v>
      </c>
      <c r="AS10" t="s">
        <v>1258</v>
      </c>
      <c r="AT10" t="s">
        <v>1258</v>
      </c>
      <c r="AU10" t="s">
        <v>12566</v>
      </c>
      <c r="AV10" t="s">
        <v>12566</v>
      </c>
      <c r="AW10">
        <v>660</v>
      </c>
      <c r="AX10">
        <v>660</v>
      </c>
      <c r="AY10">
        <v>660</v>
      </c>
      <c r="AZ10">
        <v>-99</v>
      </c>
      <c r="BA10">
        <v>-99</v>
      </c>
      <c r="BB10">
        <v>23424751</v>
      </c>
      <c r="BC10">
        <v>23424751</v>
      </c>
      <c r="BD10" t="s">
        <v>12254</v>
      </c>
      <c r="BE10" t="s">
        <v>12566</v>
      </c>
      <c r="BG10" t="s">
        <v>12566</v>
      </c>
      <c r="BH10" t="s">
        <v>12566</v>
      </c>
      <c r="BI10" t="s">
        <v>12566</v>
      </c>
      <c r="BJ10" t="s">
        <v>12566</v>
      </c>
      <c r="BK10" t="s">
        <v>12566</v>
      </c>
      <c r="BL10" t="s">
        <v>12566</v>
      </c>
      <c r="BM10" t="s">
        <v>12566</v>
      </c>
      <c r="BN10" t="s">
        <v>12566</v>
      </c>
      <c r="BO10" t="s">
        <v>12566</v>
      </c>
      <c r="BP10" t="s">
        <v>12566</v>
      </c>
      <c r="BQ10" t="s">
        <v>12566</v>
      </c>
      <c r="BR10" t="s">
        <v>12566</v>
      </c>
      <c r="BS10" t="s">
        <v>12566</v>
      </c>
      <c r="BT10" t="s">
        <v>12566</v>
      </c>
      <c r="BU10" t="s">
        <v>12566</v>
      </c>
      <c r="BV10" t="s">
        <v>12566</v>
      </c>
      <c r="BW10" t="s">
        <v>12566</v>
      </c>
      <c r="BX10" t="s">
        <v>12566</v>
      </c>
      <c r="BY10" t="s">
        <v>12566</v>
      </c>
      <c r="BZ10" t="s">
        <v>12566</v>
      </c>
      <c r="CA10" t="s">
        <v>12566</v>
      </c>
      <c r="CB10" t="s">
        <v>12566</v>
      </c>
      <c r="CC10" t="s">
        <v>12566</v>
      </c>
      <c r="CD10" t="s">
        <v>12566</v>
      </c>
      <c r="CE10" t="s">
        <v>12566</v>
      </c>
      <c r="CF10" t="s">
        <v>12566</v>
      </c>
      <c r="CG10" t="s">
        <v>12566</v>
      </c>
      <c r="CH10" t="s">
        <v>12566</v>
      </c>
      <c r="CI10" t="s">
        <v>12566</v>
      </c>
      <c r="CJ10" t="s">
        <v>12566</v>
      </c>
      <c r="CK10" t="s">
        <v>12566</v>
      </c>
      <c r="CL10" t="s">
        <v>12566</v>
      </c>
      <c r="CM10">
        <v>-99</v>
      </c>
      <c r="CN10">
        <v>-99</v>
      </c>
      <c r="CO10" t="s">
        <v>12402</v>
      </c>
      <c r="CP10" t="s">
        <v>12403</v>
      </c>
      <c r="CQ10" t="s">
        <v>12404</v>
      </c>
      <c r="CR10" t="s">
        <v>12405</v>
      </c>
      <c r="CS10">
        <v>8</v>
      </c>
      <c r="CT10">
        <v>8</v>
      </c>
      <c r="CU10">
        <v>4</v>
      </c>
      <c r="CV10">
        <v>-99</v>
      </c>
      <c r="CW10">
        <v>-99</v>
      </c>
      <c r="CX10">
        <v>0</v>
      </c>
      <c r="CY10">
        <v>5</v>
      </c>
      <c r="CZ10">
        <v>10</v>
      </c>
      <c r="DA10">
        <v>-63.026361000000001</v>
      </c>
      <c r="DB10">
        <v>18.242978999999998</v>
      </c>
      <c r="DC10">
        <v>1159320703</v>
      </c>
      <c r="DD10" t="s">
        <v>12568</v>
      </c>
      <c r="DE10" t="s">
        <v>12569</v>
      </c>
      <c r="DF10" t="s">
        <v>12570</v>
      </c>
      <c r="DG10" t="s">
        <v>1198</v>
      </c>
      <c r="DH10" t="s">
        <v>1198</v>
      </c>
      <c r="DI10" t="s">
        <v>12571</v>
      </c>
      <c r="DJ10" t="s">
        <v>12572</v>
      </c>
      <c r="DK10" t="s">
        <v>1198</v>
      </c>
      <c r="DL10" t="s">
        <v>12573</v>
      </c>
      <c r="DM10" t="s">
        <v>12574</v>
      </c>
      <c r="DN10" t="s">
        <v>12575</v>
      </c>
      <c r="DO10" t="s">
        <v>1198</v>
      </c>
      <c r="DP10" t="s">
        <v>1198</v>
      </c>
      <c r="DQ10" t="s">
        <v>1198</v>
      </c>
      <c r="DR10" t="s">
        <v>12576</v>
      </c>
      <c r="DS10" t="s">
        <v>12577</v>
      </c>
      <c r="DT10" t="s">
        <v>1198</v>
      </c>
      <c r="DU10" t="s">
        <v>1198</v>
      </c>
      <c r="DV10" t="s">
        <v>1198</v>
      </c>
      <c r="DW10" t="s">
        <v>12578</v>
      </c>
      <c r="DX10" t="s">
        <v>1198</v>
      </c>
      <c r="DY10" t="s">
        <v>1198</v>
      </c>
      <c r="DZ10" t="s">
        <v>12579</v>
      </c>
      <c r="EA10" t="s">
        <v>12580</v>
      </c>
      <c r="EB10" t="s">
        <v>1198</v>
      </c>
      <c r="EC10" t="s">
        <v>12581</v>
      </c>
      <c r="ED10" t="s">
        <v>12582</v>
      </c>
      <c r="EE10" t="s">
        <v>12397</v>
      </c>
      <c r="EG10" t="s">
        <v>12397</v>
      </c>
    </row>
    <row r="11" spans="1:253" x14ac:dyDescent="0.25">
      <c r="A11" t="s">
        <v>1199</v>
      </c>
      <c r="B11" t="s">
        <v>12247</v>
      </c>
      <c r="C11">
        <v>0</v>
      </c>
      <c r="D11">
        <v>4</v>
      </c>
      <c r="E11" t="s">
        <v>1199</v>
      </c>
      <c r="F11" t="s">
        <v>12370</v>
      </c>
      <c r="G11">
        <v>0</v>
      </c>
      <c r="H11">
        <v>2</v>
      </c>
      <c r="I11" t="s">
        <v>12371</v>
      </c>
      <c r="J11">
        <v>1</v>
      </c>
      <c r="K11" t="s">
        <v>1199</v>
      </c>
      <c r="L11" t="s">
        <v>12370</v>
      </c>
      <c r="M11">
        <v>0</v>
      </c>
      <c r="N11" t="s">
        <v>1199</v>
      </c>
      <c r="O11" t="s">
        <v>12370</v>
      </c>
      <c r="P11">
        <v>0</v>
      </c>
      <c r="Q11" t="s">
        <v>1199</v>
      </c>
      <c r="R11" t="s">
        <v>12370</v>
      </c>
      <c r="S11">
        <v>0</v>
      </c>
      <c r="T11" t="s">
        <v>1199</v>
      </c>
      <c r="U11" t="s">
        <v>12370</v>
      </c>
      <c r="V11" t="s">
        <v>1199</v>
      </c>
      <c r="X11" t="s">
        <v>12372</v>
      </c>
      <c r="Y11" t="s">
        <v>2151</v>
      </c>
      <c r="AC11" t="s">
        <v>12373</v>
      </c>
      <c r="AD11" t="s">
        <v>12374</v>
      </c>
      <c r="AE11" t="s">
        <v>1199</v>
      </c>
      <c r="AG11">
        <v>4</v>
      </c>
      <c r="AH11">
        <v>5</v>
      </c>
      <c r="AI11">
        <v>1</v>
      </c>
      <c r="AJ11">
        <v>-99</v>
      </c>
      <c r="AK11">
        <v>4490</v>
      </c>
      <c r="AL11">
        <v>4</v>
      </c>
      <c r="AM11">
        <v>2019</v>
      </c>
      <c r="AN11">
        <v>898</v>
      </c>
      <c r="AO11">
        <v>2013</v>
      </c>
      <c r="AP11" t="s">
        <v>12277</v>
      </c>
      <c r="AQ11" t="s">
        <v>12335</v>
      </c>
      <c r="AR11" t="s">
        <v>12375</v>
      </c>
      <c r="AS11" t="s">
        <v>2151</v>
      </c>
      <c r="AT11" t="s">
        <v>2151</v>
      </c>
      <c r="AU11" t="s">
        <v>12370</v>
      </c>
      <c r="AV11" t="s">
        <v>12370</v>
      </c>
      <c r="AW11">
        <v>10</v>
      </c>
      <c r="AX11">
        <v>10</v>
      </c>
      <c r="AY11">
        <v>10</v>
      </c>
      <c r="AZ11">
        <v>-99</v>
      </c>
      <c r="BA11">
        <v>-99</v>
      </c>
      <c r="BB11">
        <v>28289409</v>
      </c>
      <c r="BC11">
        <v>28289409</v>
      </c>
      <c r="BD11" t="s">
        <v>12254</v>
      </c>
      <c r="BE11" t="s">
        <v>12370</v>
      </c>
      <c r="BG11" t="s">
        <v>12370</v>
      </c>
      <c r="BH11" t="s">
        <v>12370</v>
      </c>
      <c r="BI11" t="s">
        <v>12370</v>
      </c>
      <c r="BJ11" t="s">
        <v>12370</v>
      </c>
      <c r="BK11" t="s">
        <v>12370</v>
      </c>
      <c r="BL11" t="s">
        <v>12370</v>
      </c>
      <c r="BM11" t="s">
        <v>12370</v>
      </c>
      <c r="BN11" t="s">
        <v>12370</v>
      </c>
      <c r="BO11" t="s">
        <v>12370</v>
      </c>
      <c r="BP11" t="s">
        <v>12370</v>
      </c>
      <c r="BQ11" t="s">
        <v>12370</v>
      </c>
      <c r="BR11" t="s">
        <v>12370</v>
      </c>
      <c r="BS11" t="s">
        <v>12370</v>
      </c>
      <c r="BT11" t="s">
        <v>12370</v>
      </c>
      <c r="BU11" t="s">
        <v>12370</v>
      </c>
      <c r="BV11" t="s">
        <v>12370</v>
      </c>
      <c r="BW11" t="s">
        <v>12370</v>
      </c>
      <c r="BX11" t="s">
        <v>12370</v>
      </c>
      <c r="BY11" t="s">
        <v>12370</v>
      </c>
      <c r="BZ11" t="s">
        <v>12370</v>
      </c>
      <c r="CA11" t="s">
        <v>12370</v>
      </c>
      <c r="CB11" t="s">
        <v>12370</v>
      </c>
      <c r="CC11" t="s">
        <v>12370</v>
      </c>
      <c r="CD11" t="s">
        <v>12370</v>
      </c>
      <c r="CE11" t="s">
        <v>12370</v>
      </c>
      <c r="CF11" t="s">
        <v>12370</v>
      </c>
      <c r="CG11" t="s">
        <v>12370</v>
      </c>
      <c r="CH11" t="s">
        <v>12370</v>
      </c>
      <c r="CI11" t="s">
        <v>12370</v>
      </c>
      <c r="CJ11" t="s">
        <v>12370</v>
      </c>
      <c r="CK11" t="s">
        <v>12370</v>
      </c>
      <c r="CL11" t="s">
        <v>12370</v>
      </c>
      <c r="CM11">
        <v>-99</v>
      </c>
      <c r="CN11">
        <v>-99</v>
      </c>
      <c r="CO11" t="s">
        <v>1199</v>
      </c>
      <c r="CP11" t="s">
        <v>1199</v>
      </c>
      <c r="CQ11" t="s">
        <v>1199</v>
      </c>
      <c r="CR11" t="s">
        <v>1199</v>
      </c>
      <c r="CS11">
        <v>10</v>
      </c>
      <c r="CT11">
        <v>10</v>
      </c>
      <c r="CU11">
        <v>4</v>
      </c>
      <c r="CV11">
        <v>-99</v>
      </c>
      <c r="CW11">
        <v>1</v>
      </c>
      <c r="CX11">
        <v>0</v>
      </c>
      <c r="CY11">
        <v>4</v>
      </c>
      <c r="CZ11">
        <v>9</v>
      </c>
      <c r="DA11">
        <v>35.885455</v>
      </c>
      <c r="DB11">
        <v>-79.843221999999997</v>
      </c>
      <c r="DC11">
        <v>1159320335</v>
      </c>
      <c r="DD11" t="s">
        <v>12376</v>
      </c>
      <c r="DE11" t="s">
        <v>12377</v>
      </c>
      <c r="DF11" t="s">
        <v>12378</v>
      </c>
      <c r="DG11" t="s">
        <v>12379</v>
      </c>
      <c r="DH11" t="s">
        <v>1199</v>
      </c>
      <c r="DI11" t="s">
        <v>12380</v>
      </c>
      <c r="DJ11" t="s">
        <v>12381</v>
      </c>
      <c r="DK11" t="s">
        <v>12382</v>
      </c>
      <c r="DL11" t="s">
        <v>12383</v>
      </c>
      <c r="DM11" t="s">
        <v>12384</v>
      </c>
      <c r="DN11" t="s">
        <v>12385</v>
      </c>
      <c r="DO11" t="s">
        <v>12379</v>
      </c>
      <c r="DP11" t="s">
        <v>12386</v>
      </c>
      <c r="DQ11" t="s">
        <v>12387</v>
      </c>
      <c r="DR11" t="s">
        <v>12388</v>
      </c>
      <c r="DS11" t="s">
        <v>12389</v>
      </c>
      <c r="DT11" t="s">
        <v>1199</v>
      </c>
      <c r="DU11" t="s">
        <v>12390</v>
      </c>
      <c r="DV11" t="s">
        <v>12380</v>
      </c>
      <c r="DW11" t="s">
        <v>12391</v>
      </c>
      <c r="DX11" t="s">
        <v>12392</v>
      </c>
      <c r="DY11" t="s">
        <v>12379</v>
      </c>
      <c r="DZ11" t="s">
        <v>12391</v>
      </c>
      <c r="EA11" t="s">
        <v>12393</v>
      </c>
      <c r="EB11" t="s">
        <v>12394</v>
      </c>
      <c r="EC11" t="s">
        <v>12395</v>
      </c>
      <c r="ED11" t="s">
        <v>12396</v>
      </c>
      <c r="EE11" t="s">
        <v>12397</v>
      </c>
      <c r="EG11" t="s">
        <v>12397</v>
      </c>
    </row>
    <row r="12" spans="1:253" x14ac:dyDescent="0.25">
      <c r="A12" t="s">
        <v>5</v>
      </c>
      <c r="B12" t="s">
        <v>12247</v>
      </c>
      <c r="C12">
        <v>3</v>
      </c>
      <c r="D12">
        <v>6</v>
      </c>
      <c r="E12" t="s">
        <v>5</v>
      </c>
      <c r="F12" t="s">
        <v>12398</v>
      </c>
      <c r="G12">
        <v>0</v>
      </c>
      <c r="H12">
        <v>2</v>
      </c>
      <c r="I12" t="s">
        <v>12249</v>
      </c>
      <c r="J12">
        <v>1</v>
      </c>
      <c r="K12" t="s">
        <v>5</v>
      </c>
      <c r="L12" t="s">
        <v>12398</v>
      </c>
      <c r="M12">
        <v>0</v>
      </c>
      <c r="N12" t="s">
        <v>5</v>
      </c>
      <c r="O12" t="s">
        <v>12398</v>
      </c>
      <c r="P12">
        <v>0</v>
      </c>
      <c r="Q12" t="s">
        <v>5</v>
      </c>
      <c r="R12" t="s">
        <v>12398</v>
      </c>
      <c r="S12">
        <v>0</v>
      </c>
      <c r="T12" t="s">
        <v>5</v>
      </c>
      <c r="U12" t="s">
        <v>12398</v>
      </c>
      <c r="V12" t="s">
        <v>12399</v>
      </c>
      <c r="X12" t="s">
        <v>12400</v>
      </c>
      <c r="Y12" t="s">
        <v>1255</v>
      </c>
      <c r="Z12" t="s">
        <v>5</v>
      </c>
      <c r="AB12" t="s">
        <v>5</v>
      </c>
      <c r="AE12" t="s">
        <v>5</v>
      </c>
      <c r="AG12">
        <v>2</v>
      </c>
      <c r="AH12">
        <v>2</v>
      </c>
      <c r="AI12">
        <v>5</v>
      </c>
      <c r="AJ12">
        <v>5</v>
      </c>
      <c r="AK12">
        <v>97118</v>
      </c>
      <c r="AL12">
        <v>8</v>
      </c>
      <c r="AM12">
        <v>2019</v>
      </c>
      <c r="AN12">
        <v>1661</v>
      </c>
      <c r="AO12">
        <v>2019</v>
      </c>
      <c r="AP12" t="s">
        <v>12277</v>
      </c>
      <c r="AQ12" t="s">
        <v>12305</v>
      </c>
      <c r="AR12" t="s">
        <v>12401</v>
      </c>
      <c r="AS12" t="s">
        <v>1255</v>
      </c>
      <c r="AT12" t="s">
        <v>1255</v>
      </c>
      <c r="AU12" t="s">
        <v>12398</v>
      </c>
      <c r="AV12" t="s">
        <v>12398</v>
      </c>
      <c r="AW12">
        <v>28</v>
      </c>
      <c r="AX12">
        <v>28</v>
      </c>
      <c r="AY12">
        <v>28</v>
      </c>
      <c r="AZ12" t="s">
        <v>1255</v>
      </c>
      <c r="BA12" t="s">
        <v>12398</v>
      </c>
      <c r="BB12">
        <v>23424737</v>
      </c>
      <c r="BC12">
        <v>23424737</v>
      </c>
      <c r="BD12" t="s">
        <v>12254</v>
      </c>
      <c r="BE12" t="s">
        <v>12398</v>
      </c>
      <c r="BG12" t="s">
        <v>12398</v>
      </c>
      <c r="BH12" t="s">
        <v>12398</v>
      </c>
      <c r="BI12" t="s">
        <v>12398</v>
      </c>
      <c r="BJ12" t="s">
        <v>12398</v>
      </c>
      <c r="BK12" t="s">
        <v>12398</v>
      </c>
      <c r="BL12" t="s">
        <v>12398</v>
      </c>
      <c r="BM12" t="s">
        <v>12398</v>
      </c>
      <c r="BN12" t="s">
        <v>12398</v>
      </c>
      <c r="BO12" t="s">
        <v>12398</v>
      </c>
      <c r="BP12" t="s">
        <v>12398</v>
      </c>
      <c r="BQ12" t="s">
        <v>12398</v>
      </c>
      <c r="BR12" t="s">
        <v>12398</v>
      </c>
      <c r="BS12" t="s">
        <v>12398</v>
      </c>
      <c r="BT12" t="s">
        <v>12398</v>
      </c>
      <c r="BU12" t="s">
        <v>12398</v>
      </c>
      <c r="BV12" t="s">
        <v>12398</v>
      </c>
      <c r="BW12" t="s">
        <v>12398</v>
      </c>
      <c r="BX12" t="s">
        <v>12398</v>
      </c>
      <c r="BY12" t="s">
        <v>12398</v>
      </c>
      <c r="BZ12" t="s">
        <v>12398</v>
      </c>
      <c r="CA12" t="s">
        <v>12398</v>
      </c>
      <c r="CB12" t="s">
        <v>12398</v>
      </c>
      <c r="CC12" t="s">
        <v>12398</v>
      </c>
      <c r="CD12" t="s">
        <v>12398</v>
      </c>
      <c r="CE12" t="s">
        <v>12398</v>
      </c>
      <c r="CF12" t="s">
        <v>12398</v>
      </c>
      <c r="CG12" t="s">
        <v>12398</v>
      </c>
      <c r="CH12" t="s">
        <v>12398</v>
      </c>
      <c r="CI12" t="s">
        <v>12398</v>
      </c>
      <c r="CJ12" t="s">
        <v>12398</v>
      </c>
      <c r="CK12" t="s">
        <v>12398</v>
      </c>
      <c r="CL12" t="s">
        <v>12398</v>
      </c>
      <c r="CM12">
        <v>-99</v>
      </c>
      <c r="CN12">
        <v>-99</v>
      </c>
      <c r="CO12" t="s">
        <v>12402</v>
      </c>
      <c r="CP12" t="s">
        <v>12403</v>
      </c>
      <c r="CQ12" t="s">
        <v>12404</v>
      </c>
      <c r="CR12" t="s">
        <v>12405</v>
      </c>
      <c r="CS12">
        <v>17</v>
      </c>
      <c r="CT12">
        <v>19</v>
      </c>
      <c r="CU12">
        <v>6</v>
      </c>
      <c r="CV12">
        <v>4</v>
      </c>
      <c r="CW12">
        <v>1</v>
      </c>
      <c r="CX12">
        <v>0</v>
      </c>
      <c r="CY12">
        <v>5</v>
      </c>
      <c r="CZ12">
        <v>9.5</v>
      </c>
      <c r="DA12">
        <v>-61.790612000000003</v>
      </c>
      <c r="DB12">
        <v>17.352249</v>
      </c>
      <c r="DC12">
        <v>1159320345</v>
      </c>
      <c r="DD12" t="s">
        <v>12406</v>
      </c>
      <c r="DE12" t="s">
        <v>12407</v>
      </c>
      <c r="DF12" t="s">
        <v>12408</v>
      </c>
      <c r="DG12" t="s">
        <v>12409</v>
      </c>
      <c r="DH12" t="s">
        <v>5</v>
      </c>
      <c r="DI12" t="s">
        <v>12410</v>
      </c>
      <c r="DJ12" t="s">
        <v>12411</v>
      </c>
      <c r="DK12" t="s">
        <v>12412</v>
      </c>
      <c r="DL12" t="s">
        <v>12413</v>
      </c>
      <c r="DM12" t="s">
        <v>12414</v>
      </c>
      <c r="DN12" t="s">
        <v>12415</v>
      </c>
      <c r="DO12" t="s">
        <v>12416</v>
      </c>
      <c r="DP12" t="s">
        <v>12417</v>
      </c>
      <c r="DQ12" t="s">
        <v>12418</v>
      </c>
      <c r="DR12" t="s">
        <v>12419</v>
      </c>
      <c r="DS12" t="s">
        <v>12420</v>
      </c>
      <c r="DT12" t="s">
        <v>12421</v>
      </c>
      <c r="DU12" t="s">
        <v>12422</v>
      </c>
      <c r="DV12" t="s">
        <v>12423</v>
      </c>
      <c r="DW12" t="s">
        <v>12424</v>
      </c>
      <c r="DX12" t="s">
        <v>12425</v>
      </c>
      <c r="DY12" t="s">
        <v>12426</v>
      </c>
      <c r="DZ12" t="s">
        <v>12427</v>
      </c>
      <c r="EA12" t="s">
        <v>12428</v>
      </c>
      <c r="EB12" t="s">
        <v>12429</v>
      </c>
      <c r="EC12" t="s">
        <v>12430</v>
      </c>
      <c r="ED12" t="s">
        <v>12431</v>
      </c>
      <c r="EE12" t="s">
        <v>12247</v>
      </c>
      <c r="EG12" t="s">
        <v>12247</v>
      </c>
    </row>
    <row r="13" spans="1:253" x14ac:dyDescent="0.25">
      <c r="A13" t="s">
        <v>6</v>
      </c>
      <c r="B13" t="s">
        <v>12247</v>
      </c>
      <c r="C13">
        <v>0</v>
      </c>
      <c r="D13">
        <v>2</v>
      </c>
      <c r="E13" t="s">
        <v>6</v>
      </c>
      <c r="F13" t="s">
        <v>12432</v>
      </c>
      <c r="G13">
        <v>0</v>
      </c>
      <c r="H13">
        <v>2</v>
      </c>
      <c r="I13" t="s">
        <v>12249</v>
      </c>
      <c r="J13">
        <v>1</v>
      </c>
      <c r="K13" t="s">
        <v>6</v>
      </c>
      <c r="L13" t="s">
        <v>12432</v>
      </c>
      <c r="M13">
        <v>0</v>
      </c>
      <c r="N13" t="s">
        <v>6</v>
      </c>
      <c r="O13" t="s">
        <v>12432</v>
      </c>
      <c r="P13">
        <v>0</v>
      </c>
      <c r="Q13" t="s">
        <v>6</v>
      </c>
      <c r="R13" t="s">
        <v>12432</v>
      </c>
      <c r="S13">
        <v>0</v>
      </c>
      <c r="T13" t="s">
        <v>6</v>
      </c>
      <c r="U13" t="s">
        <v>12432</v>
      </c>
      <c r="V13" t="s">
        <v>6</v>
      </c>
      <c r="X13" t="s">
        <v>12433</v>
      </c>
      <c r="Y13" t="s">
        <v>1270</v>
      </c>
      <c r="Z13" t="s">
        <v>12434</v>
      </c>
      <c r="AB13" t="s">
        <v>6</v>
      </c>
      <c r="AE13" t="s">
        <v>6</v>
      </c>
      <c r="AG13">
        <v>3</v>
      </c>
      <c r="AH13">
        <v>1</v>
      </c>
      <c r="AI13">
        <v>3</v>
      </c>
      <c r="AJ13">
        <v>13</v>
      </c>
      <c r="AK13">
        <v>44938712</v>
      </c>
      <c r="AL13">
        <v>15</v>
      </c>
      <c r="AM13">
        <v>2019</v>
      </c>
      <c r="AN13">
        <v>445445</v>
      </c>
      <c r="AO13">
        <v>2019</v>
      </c>
      <c r="AP13" t="s">
        <v>12435</v>
      </c>
      <c r="AQ13" t="s">
        <v>12305</v>
      </c>
      <c r="AR13" t="s">
        <v>1270</v>
      </c>
      <c r="AS13" t="s">
        <v>1270</v>
      </c>
      <c r="AT13" t="s">
        <v>1270</v>
      </c>
      <c r="AU13" t="s">
        <v>12432</v>
      </c>
      <c r="AV13" t="s">
        <v>12432</v>
      </c>
      <c r="AW13">
        <v>32</v>
      </c>
      <c r="AX13">
        <v>32</v>
      </c>
      <c r="AY13">
        <v>32</v>
      </c>
      <c r="AZ13" t="s">
        <v>1270</v>
      </c>
      <c r="BA13" t="s">
        <v>12432</v>
      </c>
      <c r="BB13">
        <v>23424747</v>
      </c>
      <c r="BC13">
        <v>23424747</v>
      </c>
      <c r="BD13" t="s">
        <v>12254</v>
      </c>
      <c r="BE13" t="s">
        <v>12432</v>
      </c>
      <c r="BG13" t="s">
        <v>12432</v>
      </c>
      <c r="BH13" t="s">
        <v>12432</v>
      </c>
      <c r="BI13" t="s">
        <v>12432</v>
      </c>
      <c r="BJ13" t="s">
        <v>12432</v>
      </c>
      <c r="BK13" t="s">
        <v>12432</v>
      </c>
      <c r="BL13" t="s">
        <v>12432</v>
      </c>
      <c r="BM13" t="s">
        <v>12432</v>
      </c>
      <c r="BN13" t="s">
        <v>12432</v>
      </c>
      <c r="BO13" t="s">
        <v>12432</v>
      </c>
      <c r="BP13" t="s">
        <v>12432</v>
      </c>
      <c r="BQ13" t="s">
        <v>12432</v>
      </c>
      <c r="BR13" t="s">
        <v>12432</v>
      </c>
      <c r="BS13" t="s">
        <v>12432</v>
      </c>
      <c r="BT13" t="s">
        <v>12432</v>
      </c>
      <c r="BU13" t="s">
        <v>12432</v>
      </c>
      <c r="BV13" t="s">
        <v>12432</v>
      </c>
      <c r="BW13" t="s">
        <v>12432</v>
      </c>
      <c r="BX13" t="s">
        <v>12432</v>
      </c>
      <c r="BY13" t="s">
        <v>12432</v>
      </c>
      <c r="BZ13" t="s">
        <v>12432</v>
      </c>
      <c r="CA13" t="s">
        <v>12432</v>
      </c>
      <c r="CB13" t="s">
        <v>12432</v>
      </c>
      <c r="CC13" t="s">
        <v>12432</v>
      </c>
      <c r="CD13" t="s">
        <v>12432</v>
      </c>
      <c r="CE13" t="s">
        <v>12432</v>
      </c>
      <c r="CF13" t="s">
        <v>12432</v>
      </c>
      <c r="CG13" t="s">
        <v>12432</v>
      </c>
      <c r="CH13" t="s">
        <v>12432</v>
      </c>
      <c r="CI13" t="s">
        <v>12432</v>
      </c>
      <c r="CJ13" t="s">
        <v>12432</v>
      </c>
      <c r="CK13" t="s">
        <v>12432</v>
      </c>
      <c r="CL13" t="s">
        <v>12432</v>
      </c>
      <c r="CM13">
        <v>-99</v>
      </c>
      <c r="CN13">
        <v>-99</v>
      </c>
      <c r="CO13" t="s">
        <v>12436</v>
      </c>
      <c r="CP13" t="s">
        <v>12403</v>
      </c>
      <c r="CQ13" t="s">
        <v>12436</v>
      </c>
      <c r="CR13" t="s">
        <v>12405</v>
      </c>
      <c r="CS13">
        <v>9</v>
      </c>
      <c r="CT13">
        <v>9</v>
      </c>
      <c r="CU13">
        <v>4</v>
      </c>
      <c r="CV13">
        <v>-99</v>
      </c>
      <c r="CW13">
        <v>1</v>
      </c>
      <c r="CX13">
        <v>0</v>
      </c>
      <c r="CY13">
        <v>2</v>
      </c>
      <c r="CZ13">
        <v>7</v>
      </c>
      <c r="DA13">
        <v>-64.173331000000005</v>
      </c>
      <c r="DB13">
        <v>-33.501159000000001</v>
      </c>
      <c r="DC13">
        <v>1159320331</v>
      </c>
      <c r="DD13" t="s">
        <v>12437</v>
      </c>
      <c r="DE13" t="s">
        <v>12438</v>
      </c>
      <c r="DF13" t="s">
        <v>12439</v>
      </c>
      <c r="DG13" t="s">
        <v>12440</v>
      </c>
      <c r="DH13" t="s">
        <v>6</v>
      </c>
      <c r="DI13" t="s">
        <v>6</v>
      </c>
      <c r="DJ13" t="s">
        <v>12441</v>
      </c>
      <c r="DK13" t="s">
        <v>12442</v>
      </c>
      <c r="DL13" t="s">
        <v>12443</v>
      </c>
      <c r="DM13" t="s">
        <v>12444</v>
      </c>
      <c r="DN13" t="s">
        <v>12445</v>
      </c>
      <c r="DO13" t="s">
        <v>12446</v>
      </c>
      <c r="DP13" t="s">
        <v>6</v>
      </c>
      <c r="DQ13" t="s">
        <v>6</v>
      </c>
      <c r="DR13" t="s">
        <v>12447</v>
      </c>
      <c r="DS13" t="s">
        <v>12448</v>
      </c>
      <c r="DT13" t="s">
        <v>12449</v>
      </c>
      <c r="DU13" t="s">
        <v>12450</v>
      </c>
      <c r="DV13" t="s">
        <v>6</v>
      </c>
      <c r="DW13" t="s">
        <v>12451</v>
      </c>
      <c r="DX13" t="s">
        <v>6</v>
      </c>
      <c r="DY13" t="s">
        <v>12452</v>
      </c>
      <c r="DZ13" t="s">
        <v>12451</v>
      </c>
      <c r="EA13" t="s">
        <v>12453</v>
      </c>
      <c r="EB13" t="s">
        <v>6</v>
      </c>
      <c r="EC13" t="s">
        <v>12454</v>
      </c>
      <c r="ED13" t="s">
        <v>12454</v>
      </c>
      <c r="EE13" t="s">
        <v>12247</v>
      </c>
      <c r="EG13" t="s">
        <v>12247</v>
      </c>
    </row>
    <row r="14" spans="1:253" x14ac:dyDescent="0.25">
      <c r="A14" t="s">
        <v>7</v>
      </c>
      <c r="B14" t="s">
        <v>12247</v>
      </c>
      <c r="C14">
        <v>0</v>
      </c>
      <c r="D14">
        <v>6</v>
      </c>
      <c r="E14" t="s">
        <v>7</v>
      </c>
      <c r="F14" t="s">
        <v>12455</v>
      </c>
      <c r="G14">
        <v>0</v>
      </c>
      <c r="H14">
        <v>2</v>
      </c>
      <c r="I14" t="s">
        <v>12249</v>
      </c>
      <c r="J14">
        <v>1</v>
      </c>
      <c r="K14" t="s">
        <v>7</v>
      </c>
      <c r="L14" t="s">
        <v>12455</v>
      </c>
      <c r="M14">
        <v>0</v>
      </c>
      <c r="N14" t="s">
        <v>7</v>
      </c>
      <c r="O14" t="s">
        <v>12455</v>
      </c>
      <c r="P14">
        <v>0</v>
      </c>
      <c r="Q14" t="s">
        <v>7</v>
      </c>
      <c r="R14" t="s">
        <v>12455</v>
      </c>
      <c r="S14">
        <v>0</v>
      </c>
      <c r="T14" t="s">
        <v>7</v>
      </c>
      <c r="U14" t="s">
        <v>12455</v>
      </c>
      <c r="V14" t="s">
        <v>7</v>
      </c>
      <c r="X14" t="s">
        <v>12456</v>
      </c>
      <c r="Y14" t="s">
        <v>12455</v>
      </c>
      <c r="Z14" t="s">
        <v>12457</v>
      </c>
      <c r="AB14" t="s">
        <v>7</v>
      </c>
      <c r="AE14" t="s">
        <v>7</v>
      </c>
      <c r="AG14">
        <v>3</v>
      </c>
      <c r="AH14">
        <v>1</v>
      </c>
      <c r="AI14">
        <v>2</v>
      </c>
      <c r="AJ14">
        <v>10</v>
      </c>
      <c r="AK14">
        <v>2957731</v>
      </c>
      <c r="AL14">
        <v>12</v>
      </c>
      <c r="AM14">
        <v>2019</v>
      </c>
      <c r="AN14">
        <v>13672</v>
      </c>
      <c r="AO14">
        <v>2019</v>
      </c>
      <c r="AP14" t="s">
        <v>12277</v>
      </c>
      <c r="AQ14" t="s">
        <v>12278</v>
      </c>
      <c r="AR14" t="s">
        <v>1264</v>
      </c>
      <c r="AS14" t="s">
        <v>1264</v>
      </c>
      <c r="AT14" t="s">
        <v>1264</v>
      </c>
      <c r="AU14" t="s">
        <v>12455</v>
      </c>
      <c r="AV14" t="s">
        <v>12455</v>
      </c>
      <c r="AW14">
        <v>51</v>
      </c>
      <c r="AX14">
        <v>51</v>
      </c>
      <c r="AY14">
        <v>51</v>
      </c>
      <c r="AZ14" t="s">
        <v>1264</v>
      </c>
      <c r="BA14" t="s">
        <v>12455</v>
      </c>
      <c r="BB14">
        <v>23424743</v>
      </c>
      <c r="BC14">
        <v>23424743</v>
      </c>
      <c r="BD14" t="s">
        <v>12254</v>
      </c>
      <c r="BE14" t="s">
        <v>12455</v>
      </c>
      <c r="BG14" t="s">
        <v>12455</v>
      </c>
      <c r="BH14" t="s">
        <v>12455</v>
      </c>
      <c r="BI14" t="s">
        <v>12455</v>
      </c>
      <c r="BJ14" t="s">
        <v>12455</v>
      </c>
      <c r="BK14" t="s">
        <v>12455</v>
      </c>
      <c r="BL14" t="s">
        <v>12455</v>
      </c>
      <c r="BM14" t="s">
        <v>12455</v>
      </c>
      <c r="BN14" t="s">
        <v>12455</v>
      </c>
      <c r="BO14" t="s">
        <v>12455</v>
      </c>
      <c r="BP14" t="s">
        <v>12455</v>
      </c>
      <c r="BQ14" t="s">
        <v>12455</v>
      </c>
      <c r="BR14" t="s">
        <v>12455</v>
      </c>
      <c r="BS14" t="s">
        <v>12455</v>
      </c>
      <c r="BT14" t="s">
        <v>12455</v>
      </c>
      <c r="BU14" t="s">
        <v>12455</v>
      </c>
      <c r="BV14" t="s">
        <v>12455</v>
      </c>
      <c r="BW14" t="s">
        <v>12455</v>
      </c>
      <c r="BX14" t="s">
        <v>12455</v>
      </c>
      <c r="BY14" t="s">
        <v>12455</v>
      </c>
      <c r="BZ14" t="s">
        <v>12455</v>
      </c>
      <c r="CA14" t="s">
        <v>12455</v>
      </c>
      <c r="CB14" t="s">
        <v>12455</v>
      </c>
      <c r="CC14" t="s">
        <v>12455</v>
      </c>
      <c r="CD14" t="s">
        <v>12455</v>
      </c>
      <c r="CE14" t="s">
        <v>12455</v>
      </c>
      <c r="CF14" t="s">
        <v>12455</v>
      </c>
      <c r="CG14" t="s">
        <v>12455</v>
      </c>
      <c r="CH14" t="s">
        <v>12455</v>
      </c>
      <c r="CI14" t="s">
        <v>12455</v>
      </c>
      <c r="CJ14" t="s">
        <v>12455</v>
      </c>
      <c r="CK14" t="s">
        <v>12455</v>
      </c>
      <c r="CL14" t="s">
        <v>12455</v>
      </c>
      <c r="CM14">
        <v>-99</v>
      </c>
      <c r="CN14">
        <v>-99</v>
      </c>
      <c r="CO14" t="s">
        <v>12255</v>
      </c>
      <c r="CP14" t="s">
        <v>12255</v>
      </c>
      <c r="CQ14" t="s">
        <v>12458</v>
      </c>
      <c r="CR14" t="s">
        <v>12281</v>
      </c>
      <c r="CS14">
        <v>7</v>
      </c>
      <c r="CT14">
        <v>7</v>
      </c>
      <c r="CU14">
        <v>4</v>
      </c>
      <c r="CV14">
        <v>-99</v>
      </c>
      <c r="CW14">
        <v>1</v>
      </c>
      <c r="CX14">
        <v>0</v>
      </c>
      <c r="CY14">
        <v>5</v>
      </c>
      <c r="CZ14">
        <v>10</v>
      </c>
      <c r="DA14">
        <v>44.800564000000001</v>
      </c>
      <c r="DB14">
        <v>40.459077000000001</v>
      </c>
      <c r="DC14">
        <v>1159320333</v>
      </c>
      <c r="DD14" t="s">
        <v>12459</v>
      </c>
      <c r="DE14" t="s">
        <v>12460</v>
      </c>
      <c r="DF14" t="s">
        <v>12461</v>
      </c>
      <c r="DG14" t="s">
        <v>12462</v>
      </c>
      <c r="DH14" t="s">
        <v>7</v>
      </c>
      <c r="DI14" t="s">
        <v>7</v>
      </c>
      <c r="DJ14" t="s">
        <v>12463</v>
      </c>
      <c r="DK14" t="s">
        <v>12464</v>
      </c>
      <c r="DL14" t="s">
        <v>12465</v>
      </c>
      <c r="DM14" t="s">
        <v>12466</v>
      </c>
      <c r="DN14" t="s">
        <v>12467</v>
      </c>
      <c r="DO14" t="s">
        <v>12468</v>
      </c>
      <c r="DP14" t="s">
        <v>7</v>
      </c>
      <c r="DQ14" t="s">
        <v>7</v>
      </c>
      <c r="DR14" t="s">
        <v>12469</v>
      </c>
      <c r="DS14" t="s">
        <v>12470</v>
      </c>
      <c r="DT14" t="s">
        <v>12471</v>
      </c>
      <c r="DU14" t="s">
        <v>7</v>
      </c>
      <c r="DV14" t="s">
        <v>12472</v>
      </c>
      <c r="DW14" t="s">
        <v>12473</v>
      </c>
      <c r="DX14" t="s">
        <v>12462</v>
      </c>
      <c r="DY14" t="s">
        <v>12474</v>
      </c>
      <c r="DZ14" t="s">
        <v>12475</v>
      </c>
      <c r="EA14" t="s">
        <v>12476</v>
      </c>
      <c r="EB14" t="s">
        <v>7</v>
      </c>
      <c r="EC14" t="s">
        <v>12477</v>
      </c>
      <c r="ED14" t="s">
        <v>12478</v>
      </c>
      <c r="EE14" t="s">
        <v>12247</v>
      </c>
      <c r="EG14" t="s">
        <v>12247</v>
      </c>
    </row>
    <row r="15" spans="1:253" x14ac:dyDescent="0.25">
      <c r="A15" t="s">
        <v>1200</v>
      </c>
      <c r="B15" t="s">
        <v>12247</v>
      </c>
      <c r="C15">
        <v>3</v>
      </c>
      <c r="D15">
        <v>5</v>
      </c>
      <c r="E15" t="s">
        <v>123</v>
      </c>
      <c r="F15" t="s">
        <v>12583</v>
      </c>
      <c r="G15">
        <v>1</v>
      </c>
      <c r="H15">
        <v>2</v>
      </c>
      <c r="I15" t="s">
        <v>12507</v>
      </c>
      <c r="J15">
        <v>1</v>
      </c>
      <c r="K15" t="s">
        <v>1200</v>
      </c>
      <c r="L15" t="s">
        <v>12584</v>
      </c>
      <c r="M15">
        <v>0</v>
      </c>
      <c r="N15" t="s">
        <v>1200</v>
      </c>
      <c r="O15" t="s">
        <v>12584</v>
      </c>
      <c r="P15">
        <v>0</v>
      </c>
      <c r="Q15" t="s">
        <v>1200</v>
      </c>
      <c r="R15" t="s">
        <v>12584</v>
      </c>
      <c r="S15">
        <v>0</v>
      </c>
      <c r="T15" t="s">
        <v>1200</v>
      </c>
      <c r="U15" t="s">
        <v>12584</v>
      </c>
      <c r="V15" t="s">
        <v>1200</v>
      </c>
      <c r="X15" t="s">
        <v>1200</v>
      </c>
      <c r="Y15" t="s">
        <v>1283</v>
      </c>
      <c r="Z15" t="s">
        <v>1200</v>
      </c>
      <c r="AB15" t="s">
        <v>1200</v>
      </c>
      <c r="AC15" t="s">
        <v>12585</v>
      </c>
      <c r="AE15" t="s">
        <v>1200</v>
      </c>
      <c r="AG15">
        <v>4</v>
      </c>
      <c r="AH15">
        <v>2</v>
      </c>
      <c r="AI15">
        <v>2</v>
      </c>
      <c r="AJ15">
        <v>9</v>
      </c>
      <c r="AK15">
        <v>106314</v>
      </c>
      <c r="AL15">
        <v>9</v>
      </c>
      <c r="AM15">
        <v>2019</v>
      </c>
      <c r="AN15">
        <v>3056</v>
      </c>
      <c r="AO15">
        <v>2017</v>
      </c>
      <c r="AP15" t="s">
        <v>12277</v>
      </c>
      <c r="AQ15" t="s">
        <v>12335</v>
      </c>
      <c r="AR15" t="s">
        <v>12586</v>
      </c>
      <c r="AS15" t="s">
        <v>1283</v>
      </c>
      <c r="AT15" t="s">
        <v>1283</v>
      </c>
      <c r="AU15" t="s">
        <v>12584</v>
      </c>
      <c r="AV15" t="s">
        <v>12584</v>
      </c>
      <c r="AW15">
        <v>533</v>
      </c>
      <c r="AX15">
        <v>533</v>
      </c>
      <c r="AY15">
        <v>533</v>
      </c>
      <c r="AZ15" t="s">
        <v>1283</v>
      </c>
      <c r="BA15" t="s">
        <v>12584</v>
      </c>
      <c r="BB15">
        <v>23424736</v>
      </c>
      <c r="BC15">
        <v>23424736</v>
      </c>
      <c r="BD15" t="s">
        <v>12254</v>
      </c>
      <c r="BE15" t="s">
        <v>12584</v>
      </c>
      <c r="BG15" t="s">
        <v>12584</v>
      </c>
      <c r="BH15" t="s">
        <v>12584</v>
      </c>
      <c r="BI15" t="s">
        <v>12584</v>
      </c>
      <c r="BJ15" t="s">
        <v>12584</v>
      </c>
      <c r="BK15" t="s">
        <v>12584</v>
      </c>
      <c r="BL15" t="s">
        <v>12584</v>
      </c>
      <c r="BM15" t="s">
        <v>12584</v>
      </c>
      <c r="BN15" t="s">
        <v>12584</v>
      </c>
      <c r="BO15" t="s">
        <v>12584</v>
      </c>
      <c r="BP15" t="s">
        <v>12584</v>
      </c>
      <c r="BQ15" t="s">
        <v>12584</v>
      </c>
      <c r="BR15" t="s">
        <v>12584</v>
      </c>
      <c r="BS15" t="s">
        <v>12584</v>
      </c>
      <c r="BT15" t="s">
        <v>12584</v>
      </c>
      <c r="BU15" t="s">
        <v>12584</v>
      </c>
      <c r="BV15" t="s">
        <v>12584</v>
      </c>
      <c r="BW15" t="s">
        <v>12584</v>
      </c>
      <c r="BX15" t="s">
        <v>12584</v>
      </c>
      <c r="BY15" t="s">
        <v>12584</v>
      </c>
      <c r="BZ15" t="s">
        <v>12584</v>
      </c>
      <c r="CA15" t="s">
        <v>12584</v>
      </c>
      <c r="CB15" t="s">
        <v>12584</v>
      </c>
      <c r="CC15" t="s">
        <v>12584</v>
      </c>
      <c r="CD15" t="s">
        <v>12584</v>
      </c>
      <c r="CE15" t="s">
        <v>12584</v>
      </c>
      <c r="CF15" t="s">
        <v>12584</v>
      </c>
      <c r="CG15" t="s">
        <v>12584</v>
      </c>
      <c r="CH15" t="s">
        <v>12584</v>
      </c>
      <c r="CI15" t="s">
        <v>12584</v>
      </c>
      <c r="CJ15" t="s">
        <v>12584</v>
      </c>
      <c r="CK15" t="s">
        <v>12584</v>
      </c>
      <c r="CL15" t="s">
        <v>12584</v>
      </c>
      <c r="CM15">
        <v>-99</v>
      </c>
      <c r="CN15">
        <v>-99</v>
      </c>
      <c r="CO15" t="s">
        <v>12402</v>
      </c>
      <c r="CP15" t="s">
        <v>12403</v>
      </c>
      <c r="CQ15" t="s">
        <v>12404</v>
      </c>
      <c r="CR15" t="s">
        <v>12405</v>
      </c>
      <c r="CS15">
        <v>5</v>
      </c>
      <c r="CT15">
        <v>5</v>
      </c>
      <c r="CU15">
        <v>5</v>
      </c>
      <c r="CV15">
        <v>4</v>
      </c>
      <c r="CW15">
        <v>-99</v>
      </c>
      <c r="CX15">
        <v>0</v>
      </c>
      <c r="CY15">
        <v>5</v>
      </c>
      <c r="CZ15">
        <v>10</v>
      </c>
      <c r="DA15">
        <v>-69.972795000000005</v>
      </c>
      <c r="DB15">
        <v>12.5174</v>
      </c>
      <c r="DC15">
        <v>1159321097</v>
      </c>
      <c r="DD15" t="s">
        <v>12587</v>
      </c>
      <c r="DE15" t="s">
        <v>12588</v>
      </c>
      <c r="DF15" t="s">
        <v>12589</v>
      </c>
      <c r="DG15" t="s">
        <v>1200</v>
      </c>
      <c r="DH15" t="s">
        <v>1200</v>
      </c>
      <c r="DI15" t="s">
        <v>1200</v>
      </c>
      <c r="DJ15" t="s">
        <v>12590</v>
      </c>
      <c r="DK15" t="s">
        <v>1200</v>
      </c>
      <c r="DL15" t="s">
        <v>12591</v>
      </c>
      <c r="DM15" t="s">
        <v>12592</v>
      </c>
      <c r="DN15" t="s">
        <v>12593</v>
      </c>
      <c r="DO15" t="s">
        <v>1200</v>
      </c>
      <c r="DP15" t="s">
        <v>1200</v>
      </c>
      <c r="DQ15" t="s">
        <v>1200</v>
      </c>
      <c r="DR15" t="s">
        <v>12594</v>
      </c>
      <c r="DS15" t="s">
        <v>12595</v>
      </c>
      <c r="DT15" t="s">
        <v>1200</v>
      </c>
      <c r="DU15" t="s">
        <v>1200</v>
      </c>
      <c r="DV15" t="s">
        <v>1200</v>
      </c>
      <c r="DW15" t="s">
        <v>12596</v>
      </c>
      <c r="DX15" t="s">
        <v>1200</v>
      </c>
      <c r="DY15" t="s">
        <v>1200</v>
      </c>
      <c r="DZ15" t="s">
        <v>12596</v>
      </c>
      <c r="EA15" t="s">
        <v>12597</v>
      </c>
      <c r="EB15" t="s">
        <v>1200</v>
      </c>
      <c r="EC15" t="s">
        <v>12598</v>
      </c>
      <c r="ED15" t="s">
        <v>12599</v>
      </c>
      <c r="EE15" t="s">
        <v>12397</v>
      </c>
      <c r="EG15" t="s">
        <v>12397</v>
      </c>
    </row>
    <row r="16" spans="1:253" x14ac:dyDescent="0.25">
      <c r="A16" t="s">
        <v>12603</v>
      </c>
      <c r="B16" t="s">
        <v>12247</v>
      </c>
      <c r="C16">
        <v>6</v>
      </c>
      <c r="D16">
        <v>5</v>
      </c>
      <c r="E16" t="s">
        <v>8</v>
      </c>
      <c r="F16" t="s">
        <v>12600</v>
      </c>
      <c r="G16">
        <v>1</v>
      </c>
      <c r="H16">
        <v>2</v>
      </c>
      <c r="I16" t="s">
        <v>12480</v>
      </c>
      <c r="J16">
        <v>1</v>
      </c>
      <c r="K16" t="s">
        <v>12601</v>
      </c>
      <c r="L16" t="s">
        <v>12602</v>
      </c>
      <c r="M16">
        <v>0</v>
      </c>
      <c r="N16" t="s">
        <v>12601</v>
      </c>
      <c r="O16" t="s">
        <v>12602</v>
      </c>
      <c r="P16">
        <v>0</v>
      </c>
      <c r="Q16" t="s">
        <v>12601</v>
      </c>
      <c r="R16" t="s">
        <v>12602</v>
      </c>
      <c r="S16">
        <v>0</v>
      </c>
      <c r="T16" t="s">
        <v>12601</v>
      </c>
      <c r="U16" t="s">
        <v>12602</v>
      </c>
      <c r="V16" t="s">
        <v>12603</v>
      </c>
      <c r="X16" t="s">
        <v>12604</v>
      </c>
      <c r="Y16" t="s">
        <v>1279</v>
      </c>
      <c r="Z16" t="s">
        <v>12605</v>
      </c>
      <c r="AC16" t="s">
        <v>12606</v>
      </c>
      <c r="AE16" t="s">
        <v>12601</v>
      </c>
      <c r="AG16">
        <v>1</v>
      </c>
      <c r="AH16">
        <v>2</v>
      </c>
      <c r="AI16">
        <v>2</v>
      </c>
      <c r="AJ16">
        <v>7</v>
      </c>
      <c r="AK16">
        <v>0</v>
      </c>
      <c r="AL16">
        <v>1</v>
      </c>
      <c r="AM16">
        <v>2019</v>
      </c>
      <c r="AN16">
        <v>0</v>
      </c>
      <c r="AO16">
        <v>2019</v>
      </c>
      <c r="AP16" t="s">
        <v>12252</v>
      </c>
      <c r="AQ16" t="s">
        <v>12253</v>
      </c>
      <c r="AR16" t="s">
        <v>1276</v>
      </c>
      <c r="AS16">
        <v>-99</v>
      </c>
      <c r="AT16" t="s">
        <v>1279</v>
      </c>
      <c r="AU16">
        <v>-99</v>
      </c>
      <c r="AV16" t="s">
        <v>12607</v>
      </c>
      <c r="AW16">
        <v>36</v>
      </c>
      <c r="AX16">
        <v>36</v>
      </c>
      <c r="AY16">
        <v>-99</v>
      </c>
      <c r="AZ16">
        <v>-99</v>
      </c>
      <c r="BA16">
        <v>-99</v>
      </c>
      <c r="BB16">
        <v>23424749</v>
      </c>
      <c r="BC16">
        <v>23424749</v>
      </c>
      <c r="BD16" t="s">
        <v>12608</v>
      </c>
      <c r="BE16" t="s">
        <v>12607</v>
      </c>
      <c r="BF16">
        <v>1</v>
      </c>
      <c r="BG16" t="s">
        <v>12602</v>
      </c>
      <c r="BH16" t="s">
        <v>12602</v>
      </c>
      <c r="BI16" t="s">
        <v>12602</v>
      </c>
      <c r="BJ16" t="s">
        <v>12602</v>
      </c>
      <c r="BK16" t="s">
        <v>12602</v>
      </c>
      <c r="BL16" t="s">
        <v>12602</v>
      </c>
      <c r="BM16" t="s">
        <v>12602</v>
      </c>
      <c r="BN16" t="s">
        <v>12602</v>
      </c>
      <c r="BO16" t="s">
        <v>12602</v>
      </c>
      <c r="BP16" t="s">
        <v>12602</v>
      </c>
      <c r="BQ16" t="s">
        <v>12602</v>
      </c>
      <c r="BR16" t="s">
        <v>12602</v>
      </c>
      <c r="BS16" t="s">
        <v>12602</v>
      </c>
      <c r="BT16" t="s">
        <v>12602</v>
      </c>
      <c r="BU16" t="s">
        <v>12602</v>
      </c>
      <c r="BV16" t="s">
        <v>12602</v>
      </c>
      <c r="BW16" t="s">
        <v>12602</v>
      </c>
      <c r="BX16" t="s">
        <v>12602</v>
      </c>
      <c r="BY16" t="s">
        <v>12602</v>
      </c>
      <c r="BZ16" t="s">
        <v>12602</v>
      </c>
      <c r="CA16" t="s">
        <v>12602</v>
      </c>
      <c r="CB16" t="s">
        <v>12602</v>
      </c>
      <c r="CC16" t="s">
        <v>12602</v>
      </c>
      <c r="CD16" t="s">
        <v>12602</v>
      </c>
      <c r="CE16" t="s">
        <v>12602</v>
      </c>
      <c r="CF16" t="s">
        <v>12602</v>
      </c>
      <c r="CG16" t="s">
        <v>12602</v>
      </c>
      <c r="CH16" t="s">
        <v>12602</v>
      </c>
      <c r="CI16" t="s">
        <v>12602</v>
      </c>
      <c r="CJ16" t="s">
        <v>12602</v>
      </c>
      <c r="CK16" t="s">
        <v>12602</v>
      </c>
      <c r="CL16" t="s">
        <v>12602</v>
      </c>
      <c r="CM16">
        <v>-99</v>
      </c>
      <c r="CN16">
        <v>-99</v>
      </c>
      <c r="CO16" t="s">
        <v>12537</v>
      </c>
      <c r="CP16" t="s">
        <v>12537</v>
      </c>
      <c r="CQ16" t="s">
        <v>12609</v>
      </c>
      <c r="CR16" t="s">
        <v>12539</v>
      </c>
      <c r="CS16">
        <v>23</v>
      </c>
      <c r="CT16">
        <v>27</v>
      </c>
      <c r="CU16">
        <v>7</v>
      </c>
      <c r="CV16">
        <v>-99</v>
      </c>
      <c r="CW16">
        <v>-99</v>
      </c>
      <c r="CX16">
        <v>0</v>
      </c>
      <c r="CY16">
        <v>4.5</v>
      </c>
      <c r="CZ16">
        <v>9.5</v>
      </c>
      <c r="DA16">
        <v>123.58636799999999</v>
      </c>
      <c r="DB16">
        <v>-12.432570999999999</v>
      </c>
      <c r="DC16">
        <v>1159320353</v>
      </c>
      <c r="DD16" t="s">
        <v>12610</v>
      </c>
      <c r="DE16" t="s">
        <v>12611</v>
      </c>
      <c r="DF16" t="s">
        <v>12612</v>
      </c>
      <c r="DG16" t="s">
        <v>12613</v>
      </c>
      <c r="DH16" t="s">
        <v>12601</v>
      </c>
      <c r="DI16" t="s">
        <v>12614</v>
      </c>
      <c r="DJ16" t="s">
        <v>12615</v>
      </c>
      <c r="DK16" t="s">
        <v>12616</v>
      </c>
      <c r="DL16" t="s">
        <v>12617</v>
      </c>
      <c r="DM16" t="s">
        <v>12618</v>
      </c>
      <c r="DN16" t="s">
        <v>12619</v>
      </c>
      <c r="DO16" t="s">
        <v>12620</v>
      </c>
      <c r="DP16" t="s">
        <v>12621</v>
      </c>
      <c r="DQ16" t="s">
        <v>12622</v>
      </c>
      <c r="DR16" t="s">
        <v>12623</v>
      </c>
      <c r="DS16" t="s">
        <v>12624</v>
      </c>
      <c r="DT16" t="s">
        <v>12625</v>
      </c>
      <c r="DU16" t="s">
        <v>12626</v>
      </c>
      <c r="DV16" t="s">
        <v>12627</v>
      </c>
      <c r="DW16" t="s">
        <v>12628</v>
      </c>
      <c r="DX16" t="s">
        <v>12629</v>
      </c>
      <c r="DY16" t="s">
        <v>12630</v>
      </c>
      <c r="DZ16" t="s">
        <v>12631</v>
      </c>
      <c r="EA16" t="s">
        <v>12632</v>
      </c>
      <c r="EB16" t="s">
        <v>12633</v>
      </c>
      <c r="EC16" t="s">
        <v>12634</v>
      </c>
      <c r="ED16" t="s">
        <v>12635</v>
      </c>
      <c r="EE16" t="s">
        <v>12505</v>
      </c>
      <c r="EF16">
        <v>1</v>
      </c>
      <c r="EG16" t="s">
        <v>12397</v>
      </c>
    </row>
    <row r="17" spans="1:253" x14ac:dyDescent="0.25">
      <c r="A17" t="s">
        <v>8</v>
      </c>
      <c r="B17" t="s">
        <v>12247</v>
      </c>
      <c r="C17">
        <v>0</v>
      </c>
      <c r="D17">
        <v>2</v>
      </c>
      <c r="E17" t="s">
        <v>8</v>
      </c>
      <c r="F17" t="s">
        <v>12600</v>
      </c>
      <c r="G17">
        <v>1</v>
      </c>
      <c r="H17">
        <v>2</v>
      </c>
      <c r="I17" t="s">
        <v>12507</v>
      </c>
      <c r="J17">
        <v>1</v>
      </c>
      <c r="K17" t="s">
        <v>8</v>
      </c>
      <c r="L17" t="s">
        <v>12607</v>
      </c>
      <c r="M17">
        <v>0</v>
      </c>
      <c r="N17" t="s">
        <v>8</v>
      </c>
      <c r="O17" t="s">
        <v>12607</v>
      </c>
      <c r="P17">
        <v>0</v>
      </c>
      <c r="Q17" t="s">
        <v>8</v>
      </c>
      <c r="R17" t="s">
        <v>12607</v>
      </c>
      <c r="S17">
        <v>0</v>
      </c>
      <c r="T17" t="s">
        <v>8</v>
      </c>
      <c r="U17" t="s">
        <v>12607</v>
      </c>
      <c r="V17" t="s">
        <v>8</v>
      </c>
      <c r="X17" t="s">
        <v>12606</v>
      </c>
      <c r="Y17" t="s">
        <v>1279</v>
      </c>
      <c r="Z17" t="s">
        <v>13264</v>
      </c>
      <c r="AB17" t="s">
        <v>8</v>
      </c>
      <c r="AE17" t="s">
        <v>8</v>
      </c>
      <c r="AG17">
        <v>1</v>
      </c>
      <c r="AH17">
        <v>2</v>
      </c>
      <c r="AI17">
        <v>2</v>
      </c>
      <c r="AJ17">
        <v>7</v>
      </c>
      <c r="AK17">
        <v>25364307</v>
      </c>
      <c r="AL17">
        <v>15</v>
      </c>
      <c r="AM17">
        <v>2019</v>
      </c>
      <c r="AN17">
        <v>1396567</v>
      </c>
      <c r="AO17">
        <v>2019</v>
      </c>
      <c r="AP17" t="s">
        <v>12334</v>
      </c>
      <c r="AQ17" t="s">
        <v>12513</v>
      </c>
      <c r="AR17" t="s">
        <v>1273</v>
      </c>
      <c r="AS17" t="s">
        <v>1279</v>
      </c>
      <c r="AT17" t="s">
        <v>1279</v>
      </c>
      <c r="AU17" t="s">
        <v>12607</v>
      </c>
      <c r="AV17" t="s">
        <v>12607</v>
      </c>
      <c r="AW17">
        <v>36</v>
      </c>
      <c r="AX17">
        <v>36</v>
      </c>
      <c r="AY17">
        <v>36</v>
      </c>
      <c r="AZ17" t="s">
        <v>1279</v>
      </c>
      <c r="BA17" t="s">
        <v>12607</v>
      </c>
      <c r="BB17">
        <v>-90</v>
      </c>
      <c r="BC17">
        <v>23424748</v>
      </c>
      <c r="BD17" t="s">
        <v>13265</v>
      </c>
      <c r="BE17" t="s">
        <v>12607</v>
      </c>
      <c r="BG17" t="s">
        <v>12607</v>
      </c>
      <c r="BH17" t="s">
        <v>12607</v>
      </c>
      <c r="BI17" t="s">
        <v>12607</v>
      </c>
      <c r="BJ17" t="s">
        <v>12607</v>
      </c>
      <c r="BK17" t="s">
        <v>12607</v>
      </c>
      <c r="BL17" t="s">
        <v>12607</v>
      </c>
      <c r="BM17" t="s">
        <v>12607</v>
      </c>
      <c r="BN17" t="s">
        <v>12607</v>
      </c>
      <c r="BO17" t="s">
        <v>12607</v>
      </c>
      <c r="BP17" t="s">
        <v>12607</v>
      </c>
      <c r="BQ17" t="s">
        <v>12607</v>
      </c>
      <c r="BR17" t="s">
        <v>12607</v>
      </c>
      <c r="BS17" t="s">
        <v>12607</v>
      </c>
      <c r="BT17" t="s">
        <v>12607</v>
      </c>
      <c r="BU17" t="s">
        <v>12607</v>
      </c>
      <c r="BV17" t="s">
        <v>12607</v>
      </c>
      <c r="BW17" t="s">
        <v>12607</v>
      </c>
      <c r="BX17" t="s">
        <v>12607</v>
      </c>
      <c r="BY17" t="s">
        <v>12607</v>
      </c>
      <c r="BZ17" t="s">
        <v>12607</v>
      </c>
      <c r="CA17" t="s">
        <v>12607</v>
      </c>
      <c r="CB17" t="s">
        <v>12607</v>
      </c>
      <c r="CC17" t="s">
        <v>12607</v>
      </c>
      <c r="CD17" t="s">
        <v>12607</v>
      </c>
      <c r="CE17" t="s">
        <v>12607</v>
      </c>
      <c r="CF17" t="s">
        <v>12607</v>
      </c>
      <c r="CG17" t="s">
        <v>12607</v>
      </c>
      <c r="CH17" t="s">
        <v>12607</v>
      </c>
      <c r="CI17" t="s">
        <v>12607</v>
      </c>
      <c r="CJ17" t="s">
        <v>12607</v>
      </c>
      <c r="CK17" t="s">
        <v>12607</v>
      </c>
      <c r="CL17" t="s">
        <v>12607</v>
      </c>
      <c r="CM17">
        <v>-99</v>
      </c>
      <c r="CN17">
        <v>-99</v>
      </c>
      <c r="CO17" t="s">
        <v>12537</v>
      </c>
      <c r="CP17" t="s">
        <v>12537</v>
      </c>
      <c r="CQ17" t="s">
        <v>12609</v>
      </c>
      <c r="CR17" t="s">
        <v>12539</v>
      </c>
      <c r="CS17">
        <v>9</v>
      </c>
      <c r="CT17">
        <v>9</v>
      </c>
      <c r="CU17">
        <v>4</v>
      </c>
      <c r="CV17">
        <v>-99</v>
      </c>
      <c r="CW17">
        <v>1</v>
      </c>
      <c r="CX17">
        <v>0</v>
      </c>
      <c r="CY17">
        <v>1.7</v>
      </c>
      <c r="CZ17">
        <v>5.7</v>
      </c>
      <c r="DA17">
        <v>134.04972000000001</v>
      </c>
      <c r="DB17">
        <v>-24.129522000000001</v>
      </c>
      <c r="DC17">
        <v>1159320355</v>
      </c>
      <c r="DD17" t="s">
        <v>13266</v>
      </c>
      <c r="DE17" t="s">
        <v>13267</v>
      </c>
      <c r="DF17" t="s">
        <v>13268</v>
      </c>
      <c r="DG17" t="s">
        <v>13269</v>
      </c>
      <c r="DH17" t="s">
        <v>8</v>
      </c>
      <c r="DI17" t="s">
        <v>8</v>
      </c>
      <c r="DJ17" t="s">
        <v>13270</v>
      </c>
      <c r="DK17" t="s">
        <v>13271</v>
      </c>
      <c r="DL17" t="s">
        <v>13272</v>
      </c>
      <c r="DM17" t="s">
        <v>13273</v>
      </c>
      <c r="DN17" t="s">
        <v>13274</v>
      </c>
      <c r="DO17" t="s">
        <v>13275</v>
      </c>
      <c r="DP17" t="s">
        <v>8</v>
      </c>
      <c r="DQ17" t="s">
        <v>8</v>
      </c>
      <c r="DR17" t="s">
        <v>13276</v>
      </c>
      <c r="DS17" t="s">
        <v>13277</v>
      </c>
      <c r="DT17" t="s">
        <v>13278</v>
      </c>
      <c r="DU17" t="s">
        <v>8</v>
      </c>
      <c r="DV17" t="s">
        <v>13279</v>
      </c>
      <c r="DW17" t="s">
        <v>13280</v>
      </c>
      <c r="DX17" t="s">
        <v>13269</v>
      </c>
      <c r="DY17" t="s">
        <v>13281</v>
      </c>
      <c r="DZ17" t="s">
        <v>13282</v>
      </c>
      <c r="EA17" t="s">
        <v>13283</v>
      </c>
      <c r="EB17" t="s">
        <v>13284</v>
      </c>
      <c r="EC17" t="s">
        <v>13285</v>
      </c>
      <c r="ED17" t="s">
        <v>13286</v>
      </c>
      <c r="EE17" t="s">
        <v>12247</v>
      </c>
      <c r="EG17" t="s">
        <v>12247</v>
      </c>
    </row>
    <row r="18" spans="1:253" x14ac:dyDescent="0.25">
      <c r="A18" t="s">
        <v>9</v>
      </c>
      <c r="B18" t="s">
        <v>12247</v>
      </c>
      <c r="C18">
        <v>0</v>
      </c>
      <c r="D18">
        <v>4</v>
      </c>
      <c r="E18" t="s">
        <v>9</v>
      </c>
      <c r="F18" t="s">
        <v>12636</v>
      </c>
      <c r="G18">
        <v>0</v>
      </c>
      <c r="H18">
        <v>2</v>
      </c>
      <c r="I18" t="s">
        <v>12249</v>
      </c>
      <c r="J18">
        <v>1</v>
      </c>
      <c r="K18" t="s">
        <v>9</v>
      </c>
      <c r="L18" t="s">
        <v>12636</v>
      </c>
      <c r="M18">
        <v>0</v>
      </c>
      <c r="N18" t="s">
        <v>9</v>
      </c>
      <c r="O18" t="s">
        <v>12636</v>
      </c>
      <c r="P18">
        <v>0</v>
      </c>
      <c r="Q18" t="s">
        <v>9</v>
      </c>
      <c r="R18" t="s">
        <v>12636</v>
      </c>
      <c r="S18">
        <v>0</v>
      </c>
      <c r="T18" t="s">
        <v>9</v>
      </c>
      <c r="U18" t="s">
        <v>12636</v>
      </c>
      <c r="V18" t="s">
        <v>9</v>
      </c>
      <c r="X18" t="s">
        <v>12637</v>
      </c>
      <c r="Y18" t="s">
        <v>12638</v>
      </c>
      <c r="Z18" t="s">
        <v>12639</v>
      </c>
      <c r="AB18" t="s">
        <v>9</v>
      </c>
      <c r="AE18" t="s">
        <v>9</v>
      </c>
      <c r="AG18">
        <v>3</v>
      </c>
      <c r="AH18">
        <v>1</v>
      </c>
      <c r="AI18">
        <v>3</v>
      </c>
      <c r="AJ18">
        <v>4</v>
      </c>
      <c r="AK18">
        <v>8877067</v>
      </c>
      <c r="AL18">
        <v>13</v>
      </c>
      <c r="AM18">
        <v>2019</v>
      </c>
      <c r="AN18">
        <v>445075</v>
      </c>
      <c r="AO18">
        <v>2019</v>
      </c>
      <c r="AP18" t="s">
        <v>12334</v>
      </c>
      <c r="AQ18" t="s">
        <v>12513</v>
      </c>
      <c r="AR18" t="s">
        <v>1279</v>
      </c>
      <c r="AS18" t="s">
        <v>1276</v>
      </c>
      <c r="AT18" t="s">
        <v>1276</v>
      </c>
      <c r="AU18" t="s">
        <v>12636</v>
      </c>
      <c r="AV18" t="s">
        <v>12636</v>
      </c>
      <c r="AW18">
        <v>40</v>
      </c>
      <c r="AX18">
        <v>40</v>
      </c>
      <c r="AY18">
        <v>40</v>
      </c>
      <c r="AZ18" t="s">
        <v>1276</v>
      </c>
      <c r="BA18" t="s">
        <v>12636</v>
      </c>
      <c r="BB18">
        <v>23424750</v>
      </c>
      <c r="BC18">
        <v>23424750</v>
      </c>
      <c r="BD18" t="s">
        <v>12254</v>
      </c>
      <c r="BE18" t="s">
        <v>12636</v>
      </c>
      <c r="BG18" t="s">
        <v>12636</v>
      </c>
      <c r="BH18" t="s">
        <v>12636</v>
      </c>
      <c r="BI18" t="s">
        <v>12636</v>
      </c>
      <c r="BJ18" t="s">
        <v>12636</v>
      </c>
      <c r="BK18" t="s">
        <v>12636</v>
      </c>
      <c r="BL18" t="s">
        <v>12636</v>
      </c>
      <c r="BM18" t="s">
        <v>12636</v>
      </c>
      <c r="BN18" t="s">
        <v>12636</v>
      </c>
      <c r="BO18" t="s">
        <v>12636</v>
      </c>
      <c r="BP18" t="s">
        <v>12636</v>
      </c>
      <c r="BQ18" t="s">
        <v>12636</v>
      </c>
      <c r="BR18" t="s">
        <v>12636</v>
      </c>
      <c r="BS18" t="s">
        <v>12636</v>
      </c>
      <c r="BT18" t="s">
        <v>12636</v>
      </c>
      <c r="BU18" t="s">
        <v>12636</v>
      </c>
      <c r="BV18" t="s">
        <v>12636</v>
      </c>
      <c r="BW18" t="s">
        <v>12636</v>
      </c>
      <c r="BX18" t="s">
        <v>12636</v>
      </c>
      <c r="BY18" t="s">
        <v>12636</v>
      </c>
      <c r="BZ18" t="s">
        <v>12636</v>
      </c>
      <c r="CA18" t="s">
        <v>12636</v>
      </c>
      <c r="CB18" t="s">
        <v>12636</v>
      </c>
      <c r="CC18" t="s">
        <v>12636</v>
      </c>
      <c r="CD18" t="s">
        <v>12636</v>
      </c>
      <c r="CE18" t="s">
        <v>12636</v>
      </c>
      <c r="CF18" t="s">
        <v>12636</v>
      </c>
      <c r="CG18" t="s">
        <v>12636</v>
      </c>
      <c r="CH18" t="s">
        <v>12636</v>
      </c>
      <c r="CI18" t="s">
        <v>12636</v>
      </c>
      <c r="CJ18" t="s">
        <v>12636</v>
      </c>
      <c r="CK18" t="s">
        <v>12636</v>
      </c>
      <c r="CL18" t="s">
        <v>12636</v>
      </c>
      <c r="CM18">
        <v>-99</v>
      </c>
      <c r="CN18">
        <v>-99</v>
      </c>
      <c r="CO18" t="s">
        <v>12279</v>
      </c>
      <c r="CP18" t="s">
        <v>12279</v>
      </c>
      <c r="CQ18" t="s">
        <v>12640</v>
      </c>
      <c r="CR18" t="s">
        <v>12281</v>
      </c>
      <c r="CS18">
        <v>7</v>
      </c>
      <c r="CT18">
        <v>7</v>
      </c>
      <c r="CU18">
        <v>5</v>
      </c>
      <c r="CV18">
        <v>-99</v>
      </c>
      <c r="CW18">
        <v>1</v>
      </c>
      <c r="CX18">
        <v>0</v>
      </c>
      <c r="CY18">
        <v>3</v>
      </c>
      <c r="CZ18">
        <v>8</v>
      </c>
      <c r="DA18">
        <v>14.130515000000001</v>
      </c>
      <c r="DB18">
        <v>47.518858999999999</v>
      </c>
      <c r="DC18">
        <v>1159320379</v>
      </c>
      <c r="DD18" t="s">
        <v>12641</v>
      </c>
      <c r="DE18" t="s">
        <v>12642</v>
      </c>
      <c r="DF18" t="s">
        <v>12643</v>
      </c>
      <c r="DG18" t="s">
        <v>12644</v>
      </c>
      <c r="DH18" t="s">
        <v>9</v>
      </c>
      <c r="DI18" t="s">
        <v>9</v>
      </c>
      <c r="DJ18" t="s">
        <v>12645</v>
      </c>
      <c r="DK18" t="s">
        <v>12646</v>
      </c>
      <c r="DL18" t="s">
        <v>12647</v>
      </c>
      <c r="DM18" t="s">
        <v>12648</v>
      </c>
      <c r="DN18" t="s">
        <v>12649</v>
      </c>
      <c r="DO18" t="s">
        <v>12650</v>
      </c>
      <c r="DP18" t="s">
        <v>9</v>
      </c>
      <c r="DQ18" t="s">
        <v>9</v>
      </c>
      <c r="DR18" t="s">
        <v>12651</v>
      </c>
      <c r="DS18" t="s">
        <v>12652</v>
      </c>
      <c r="DT18" t="s">
        <v>12653</v>
      </c>
      <c r="DU18" t="s">
        <v>9</v>
      </c>
      <c r="DV18" t="s">
        <v>12654</v>
      </c>
      <c r="DW18" t="s">
        <v>12655</v>
      </c>
      <c r="DX18" t="s">
        <v>12656</v>
      </c>
      <c r="DY18" t="s">
        <v>12657</v>
      </c>
      <c r="DZ18" t="s">
        <v>12658</v>
      </c>
      <c r="EA18" t="s">
        <v>12659</v>
      </c>
      <c r="EB18" t="s">
        <v>12660</v>
      </c>
      <c r="EC18" t="s">
        <v>12661</v>
      </c>
      <c r="ED18" t="s">
        <v>12662</v>
      </c>
      <c r="EE18" t="s">
        <v>12247</v>
      </c>
      <c r="EG18" t="s">
        <v>12247</v>
      </c>
    </row>
    <row r="19" spans="1:253" x14ac:dyDescent="0.25">
      <c r="A19" t="s">
        <v>10</v>
      </c>
      <c r="B19" t="s">
        <v>12247</v>
      </c>
      <c r="C19">
        <v>0</v>
      </c>
      <c r="D19">
        <v>5</v>
      </c>
      <c r="E19" t="s">
        <v>10</v>
      </c>
      <c r="F19" t="s">
        <v>12663</v>
      </c>
      <c r="G19">
        <v>0</v>
      </c>
      <c r="H19">
        <v>2</v>
      </c>
      <c r="I19" t="s">
        <v>12249</v>
      </c>
      <c r="J19">
        <v>1</v>
      </c>
      <c r="K19" t="s">
        <v>10</v>
      </c>
      <c r="L19" t="s">
        <v>12663</v>
      </c>
      <c r="M19">
        <v>0</v>
      </c>
      <c r="N19" t="s">
        <v>10</v>
      </c>
      <c r="O19" t="s">
        <v>12663</v>
      </c>
      <c r="P19">
        <v>0</v>
      </c>
      <c r="Q19" t="s">
        <v>10</v>
      </c>
      <c r="R19" t="s">
        <v>12663</v>
      </c>
      <c r="S19">
        <v>0</v>
      </c>
      <c r="T19" t="s">
        <v>10</v>
      </c>
      <c r="U19" t="s">
        <v>12663</v>
      </c>
      <c r="V19" t="s">
        <v>10</v>
      </c>
      <c r="X19" t="s">
        <v>12664</v>
      </c>
      <c r="Y19" t="s">
        <v>1290</v>
      </c>
      <c r="Z19" t="s">
        <v>12665</v>
      </c>
      <c r="AB19" t="s">
        <v>10</v>
      </c>
      <c r="AE19" t="s">
        <v>10</v>
      </c>
      <c r="AG19">
        <v>1</v>
      </c>
      <c r="AH19">
        <v>6</v>
      </c>
      <c r="AI19">
        <v>5</v>
      </c>
      <c r="AJ19">
        <v>8</v>
      </c>
      <c r="AK19">
        <v>10023318</v>
      </c>
      <c r="AL19">
        <v>14</v>
      </c>
      <c r="AM19">
        <v>2019</v>
      </c>
      <c r="AN19">
        <v>48047</v>
      </c>
      <c r="AO19">
        <v>2019</v>
      </c>
      <c r="AP19" t="s">
        <v>12277</v>
      </c>
      <c r="AQ19" t="s">
        <v>12305</v>
      </c>
      <c r="AR19" t="s">
        <v>12666</v>
      </c>
      <c r="AS19" t="s">
        <v>1290</v>
      </c>
      <c r="AT19" t="s">
        <v>1290</v>
      </c>
      <c r="AU19" t="s">
        <v>12663</v>
      </c>
      <c r="AV19" t="s">
        <v>12663</v>
      </c>
      <c r="AW19">
        <v>31</v>
      </c>
      <c r="AX19">
        <v>31</v>
      </c>
      <c r="AY19">
        <v>31</v>
      </c>
      <c r="AZ19" t="s">
        <v>1290</v>
      </c>
      <c r="BA19" t="s">
        <v>12663</v>
      </c>
      <c r="BB19">
        <v>23424741</v>
      </c>
      <c r="BC19">
        <v>23424741</v>
      </c>
      <c r="BD19" t="s">
        <v>12254</v>
      </c>
      <c r="BE19" t="s">
        <v>12663</v>
      </c>
      <c r="BG19" t="s">
        <v>12663</v>
      </c>
      <c r="BH19" t="s">
        <v>12663</v>
      </c>
      <c r="BI19" t="s">
        <v>12663</v>
      </c>
      <c r="BJ19" t="s">
        <v>12663</v>
      </c>
      <c r="BK19" t="s">
        <v>12663</v>
      </c>
      <c r="BL19" t="s">
        <v>12663</v>
      </c>
      <c r="BM19" t="s">
        <v>12663</v>
      </c>
      <c r="BN19" t="s">
        <v>12663</v>
      </c>
      <c r="BO19" t="s">
        <v>12663</v>
      </c>
      <c r="BP19" t="s">
        <v>12663</v>
      </c>
      <c r="BQ19" t="s">
        <v>12663</v>
      </c>
      <c r="BR19" t="s">
        <v>12663</v>
      </c>
      <c r="BS19" t="s">
        <v>12663</v>
      </c>
      <c r="BT19" t="s">
        <v>12663</v>
      </c>
      <c r="BU19" t="s">
        <v>12663</v>
      </c>
      <c r="BV19" t="s">
        <v>12663</v>
      </c>
      <c r="BW19" t="s">
        <v>12663</v>
      </c>
      <c r="BX19" t="s">
        <v>12663</v>
      </c>
      <c r="BY19" t="s">
        <v>12663</v>
      </c>
      <c r="BZ19" t="s">
        <v>12663</v>
      </c>
      <c r="CA19" t="s">
        <v>12663</v>
      </c>
      <c r="CB19" t="s">
        <v>12663</v>
      </c>
      <c r="CC19" t="s">
        <v>12663</v>
      </c>
      <c r="CD19" t="s">
        <v>12663</v>
      </c>
      <c r="CE19" t="s">
        <v>12663</v>
      </c>
      <c r="CF19" t="s">
        <v>12663</v>
      </c>
      <c r="CG19" t="s">
        <v>12663</v>
      </c>
      <c r="CH19" t="s">
        <v>12663</v>
      </c>
      <c r="CI19" t="s">
        <v>12663</v>
      </c>
      <c r="CJ19" t="s">
        <v>12663</v>
      </c>
      <c r="CK19" t="s">
        <v>12663</v>
      </c>
      <c r="CL19" t="s">
        <v>12663</v>
      </c>
      <c r="CM19">
        <v>-99</v>
      </c>
      <c r="CN19">
        <v>-99</v>
      </c>
      <c r="CO19" t="s">
        <v>12255</v>
      </c>
      <c r="CP19" t="s">
        <v>12255</v>
      </c>
      <c r="CQ19" t="s">
        <v>12458</v>
      </c>
      <c r="CR19" t="s">
        <v>12281</v>
      </c>
      <c r="CS19">
        <v>10</v>
      </c>
      <c r="CT19">
        <v>10</v>
      </c>
      <c r="CU19">
        <v>4</v>
      </c>
      <c r="CV19">
        <v>-99</v>
      </c>
      <c r="CW19">
        <v>1</v>
      </c>
      <c r="CX19">
        <v>0</v>
      </c>
      <c r="CY19">
        <v>4</v>
      </c>
      <c r="CZ19">
        <v>9</v>
      </c>
      <c r="DA19">
        <v>47.210993999999999</v>
      </c>
      <c r="DB19">
        <v>40.402386999999997</v>
      </c>
      <c r="DC19">
        <v>1159320381</v>
      </c>
      <c r="DD19" t="s">
        <v>12667</v>
      </c>
      <c r="DE19" t="s">
        <v>12668</v>
      </c>
      <c r="DF19" t="s">
        <v>12669</v>
      </c>
      <c r="DG19" t="s">
        <v>12670</v>
      </c>
      <c r="DH19" t="s">
        <v>10</v>
      </c>
      <c r="DI19" t="s">
        <v>12671</v>
      </c>
      <c r="DJ19" t="s">
        <v>12672</v>
      </c>
      <c r="DK19" t="s">
        <v>12673</v>
      </c>
      <c r="DL19" t="s">
        <v>12674</v>
      </c>
      <c r="DM19" t="s">
        <v>12675</v>
      </c>
      <c r="DN19" t="s">
        <v>12676</v>
      </c>
      <c r="DO19" t="s">
        <v>12677</v>
      </c>
      <c r="DP19" t="s">
        <v>10</v>
      </c>
      <c r="DQ19" t="s">
        <v>12678</v>
      </c>
      <c r="DR19" t="s">
        <v>12679</v>
      </c>
      <c r="DS19" t="s">
        <v>12680</v>
      </c>
      <c r="DT19" t="s">
        <v>12681</v>
      </c>
      <c r="DU19" t="s">
        <v>12682</v>
      </c>
      <c r="DV19" t="s">
        <v>12683</v>
      </c>
      <c r="DW19" t="s">
        <v>12684</v>
      </c>
      <c r="DX19" t="s">
        <v>12685</v>
      </c>
      <c r="DY19" t="s">
        <v>12686</v>
      </c>
      <c r="DZ19" t="s">
        <v>12684</v>
      </c>
      <c r="EA19" t="s">
        <v>12687</v>
      </c>
      <c r="EB19" t="s">
        <v>10</v>
      </c>
      <c r="EC19" t="s">
        <v>12688</v>
      </c>
      <c r="ED19" t="s">
        <v>12689</v>
      </c>
      <c r="EE19" t="s">
        <v>12247</v>
      </c>
      <c r="EG19" t="s">
        <v>12247</v>
      </c>
    </row>
    <row r="20" spans="1:253" x14ac:dyDescent="0.25">
      <c r="A20" t="s">
        <v>12064</v>
      </c>
      <c r="B20" t="s">
        <v>17202</v>
      </c>
      <c r="C20">
        <v>7</v>
      </c>
      <c r="L20" t="s">
        <v>9416</v>
      </c>
      <c r="FN20" t="s">
        <v>18795</v>
      </c>
      <c r="FO20">
        <v>735</v>
      </c>
      <c r="FQ20" t="s">
        <v>1807</v>
      </c>
      <c r="FR20">
        <v>3</v>
      </c>
      <c r="FS20" t="s">
        <v>18796</v>
      </c>
      <c r="FU20" t="s">
        <v>18797</v>
      </c>
      <c r="FV20" t="s">
        <v>18798</v>
      </c>
      <c r="FX20" t="s">
        <v>18799</v>
      </c>
      <c r="GB20">
        <v>3</v>
      </c>
      <c r="GC20">
        <v>1</v>
      </c>
      <c r="GD20">
        <v>0</v>
      </c>
      <c r="GE20">
        <v>6</v>
      </c>
      <c r="GG20" t="s">
        <v>12401</v>
      </c>
      <c r="GH20">
        <v>0</v>
      </c>
      <c r="GI20">
        <v>-99</v>
      </c>
      <c r="GJ20">
        <v>7</v>
      </c>
      <c r="GK20">
        <v>6</v>
      </c>
      <c r="GL20">
        <v>1</v>
      </c>
      <c r="GM20">
        <v>4</v>
      </c>
      <c r="GN20" t="s">
        <v>18800</v>
      </c>
      <c r="GP20">
        <v>15021776</v>
      </c>
      <c r="GQ20" t="s">
        <v>18801</v>
      </c>
      <c r="GR20" t="s">
        <v>12064</v>
      </c>
      <c r="GS20">
        <v>38.635100000000001</v>
      </c>
      <c r="GT20">
        <v>-28.039400000000001</v>
      </c>
      <c r="GU20" t="s">
        <v>16266</v>
      </c>
      <c r="GV20" t="s">
        <v>9416</v>
      </c>
      <c r="GW20">
        <v>5</v>
      </c>
      <c r="GX20" t="s">
        <v>138</v>
      </c>
      <c r="GY20" t="s">
        <v>12064</v>
      </c>
      <c r="GZ20" t="s">
        <v>18802</v>
      </c>
      <c r="HA20">
        <v>3411865</v>
      </c>
      <c r="HB20" t="s">
        <v>18803</v>
      </c>
      <c r="HC20">
        <v>6133108</v>
      </c>
      <c r="HD20" t="s">
        <v>18804</v>
      </c>
      <c r="HE20">
        <v>1</v>
      </c>
      <c r="HG20" t="s">
        <v>18805</v>
      </c>
      <c r="HJ20">
        <v>1</v>
      </c>
      <c r="HL20" t="s">
        <v>18800</v>
      </c>
      <c r="HN20">
        <v>8</v>
      </c>
      <c r="HO20">
        <v>11</v>
      </c>
      <c r="HP20">
        <v>7.7</v>
      </c>
      <c r="HQ20" t="s">
        <v>18806</v>
      </c>
      <c r="HR20" t="s">
        <v>18807</v>
      </c>
      <c r="HS20" t="s">
        <v>18808</v>
      </c>
      <c r="HT20" t="s">
        <v>18809</v>
      </c>
      <c r="HU20" t="s">
        <v>12064</v>
      </c>
      <c r="HV20" t="s">
        <v>12064</v>
      </c>
      <c r="HW20" t="s">
        <v>18796</v>
      </c>
      <c r="HX20" t="s">
        <v>18810</v>
      </c>
      <c r="HY20" t="s">
        <v>18811</v>
      </c>
      <c r="HZ20" t="s">
        <v>18812</v>
      </c>
      <c r="IA20" t="s">
        <v>12064</v>
      </c>
      <c r="IB20" t="s">
        <v>18813</v>
      </c>
      <c r="IC20" t="s">
        <v>18814</v>
      </c>
      <c r="ID20" t="s">
        <v>18815</v>
      </c>
      <c r="IE20" t="s">
        <v>18809</v>
      </c>
      <c r="IF20" t="s">
        <v>18816</v>
      </c>
      <c r="IG20" t="s">
        <v>18796</v>
      </c>
      <c r="IH20" t="s">
        <v>18817</v>
      </c>
      <c r="II20" t="s">
        <v>18818</v>
      </c>
      <c r="IJ20" t="s">
        <v>18819</v>
      </c>
      <c r="IK20" t="s">
        <v>18796</v>
      </c>
      <c r="IL20" t="s">
        <v>18820</v>
      </c>
      <c r="IM20">
        <v>1159310543</v>
      </c>
      <c r="IN20" t="s">
        <v>18821</v>
      </c>
      <c r="IO20" t="s">
        <v>18822</v>
      </c>
      <c r="IP20" t="s">
        <v>18823</v>
      </c>
      <c r="IQ20" t="s">
        <v>18824</v>
      </c>
      <c r="IR20" t="s">
        <v>18825</v>
      </c>
    </row>
    <row r="21" spans="1:253" x14ac:dyDescent="0.25">
      <c r="A21" t="s">
        <v>17255</v>
      </c>
      <c r="B21" t="s">
        <v>12247</v>
      </c>
      <c r="C21">
        <v>3</v>
      </c>
      <c r="D21">
        <v>4</v>
      </c>
      <c r="E21" t="s">
        <v>11</v>
      </c>
      <c r="F21" t="s">
        <v>17254</v>
      </c>
      <c r="G21">
        <v>0</v>
      </c>
      <c r="H21">
        <v>2</v>
      </c>
      <c r="I21" t="s">
        <v>12249</v>
      </c>
      <c r="J21">
        <v>1</v>
      </c>
      <c r="K21" t="s">
        <v>11</v>
      </c>
      <c r="L21" t="s">
        <v>17254</v>
      </c>
      <c r="M21">
        <v>0</v>
      </c>
      <c r="N21" t="s">
        <v>11</v>
      </c>
      <c r="O21" t="s">
        <v>17254</v>
      </c>
      <c r="P21">
        <v>0</v>
      </c>
      <c r="Q21" t="s">
        <v>11</v>
      </c>
      <c r="R21" t="s">
        <v>17254</v>
      </c>
      <c r="S21">
        <v>0</v>
      </c>
      <c r="T21" t="s">
        <v>17255</v>
      </c>
      <c r="U21" t="s">
        <v>17254</v>
      </c>
      <c r="V21" t="s">
        <v>17255</v>
      </c>
      <c r="X21" t="s">
        <v>17256</v>
      </c>
      <c r="Y21" t="s">
        <v>1341</v>
      </c>
      <c r="Z21" t="s">
        <v>17257</v>
      </c>
      <c r="AB21" t="s">
        <v>17258</v>
      </c>
      <c r="AE21" t="s">
        <v>17258</v>
      </c>
      <c r="AG21">
        <v>1</v>
      </c>
      <c r="AH21">
        <v>1</v>
      </c>
      <c r="AI21">
        <v>2</v>
      </c>
      <c r="AJ21">
        <v>5</v>
      </c>
      <c r="AK21">
        <v>389482</v>
      </c>
      <c r="AL21">
        <v>10</v>
      </c>
      <c r="AM21">
        <v>2019</v>
      </c>
      <c r="AN21">
        <v>13578</v>
      </c>
      <c r="AO21">
        <v>2019</v>
      </c>
      <c r="AP21" t="s">
        <v>12277</v>
      </c>
      <c r="AQ21" t="s">
        <v>12335</v>
      </c>
      <c r="AR21" t="s">
        <v>1306</v>
      </c>
      <c r="AS21" t="s">
        <v>1341</v>
      </c>
      <c r="AT21" t="s">
        <v>1341</v>
      </c>
      <c r="AU21" t="s">
        <v>17254</v>
      </c>
      <c r="AV21" t="s">
        <v>17254</v>
      </c>
      <c r="AW21">
        <v>44</v>
      </c>
      <c r="AX21">
        <v>44</v>
      </c>
      <c r="AY21">
        <v>44</v>
      </c>
      <c r="AZ21" t="s">
        <v>1341</v>
      </c>
      <c r="BA21" t="s">
        <v>17254</v>
      </c>
      <c r="BB21">
        <v>23424758</v>
      </c>
      <c r="BC21">
        <v>23424758</v>
      </c>
      <c r="BD21" t="s">
        <v>12254</v>
      </c>
      <c r="BE21" t="s">
        <v>17254</v>
      </c>
      <c r="BG21" t="s">
        <v>17254</v>
      </c>
      <c r="BH21" t="s">
        <v>17254</v>
      </c>
      <c r="BI21" t="s">
        <v>17254</v>
      </c>
      <c r="BJ21" t="s">
        <v>17254</v>
      </c>
      <c r="BK21" t="s">
        <v>17254</v>
      </c>
      <c r="BL21" t="s">
        <v>17254</v>
      </c>
      <c r="BM21" t="s">
        <v>17254</v>
      </c>
      <c r="BN21" t="s">
        <v>17254</v>
      </c>
      <c r="BO21" t="s">
        <v>17254</v>
      </c>
      <c r="BP21" t="s">
        <v>17254</v>
      </c>
      <c r="BQ21" t="s">
        <v>17254</v>
      </c>
      <c r="BR21" t="s">
        <v>17254</v>
      </c>
      <c r="BS21" t="s">
        <v>17254</v>
      </c>
      <c r="BT21" t="s">
        <v>17254</v>
      </c>
      <c r="BU21" t="s">
        <v>17254</v>
      </c>
      <c r="BV21" t="s">
        <v>17254</v>
      </c>
      <c r="BW21" t="s">
        <v>17254</v>
      </c>
      <c r="BX21" t="s">
        <v>17254</v>
      </c>
      <c r="BY21" t="s">
        <v>17254</v>
      </c>
      <c r="BZ21" t="s">
        <v>17254</v>
      </c>
      <c r="CA21" t="s">
        <v>17254</v>
      </c>
      <c r="CB21" t="s">
        <v>17254</v>
      </c>
      <c r="CC21" t="s">
        <v>17254</v>
      </c>
      <c r="CD21" t="s">
        <v>17254</v>
      </c>
      <c r="CE21" t="s">
        <v>17254</v>
      </c>
      <c r="CF21" t="s">
        <v>17254</v>
      </c>
      <c r="CG21" t="s">
        <v>17254</v>
      </c>
      <c r="CH21" t="s">
        <v>17254</v>
      </c>
      <c r="CI21" t="s">
        <v>17254</v>
      </c>
      <c r="CJ21" t="s">
        <v>17254</v>
      </c>
      <c r="CK21" t="s">
        <v>17254</v>
      </c>
      <c r="CL21" t="s">
        <v>17254</v>
      </c>
      <c r="CM21">
        <v>-99</v>
      </c>
      <c r="CN21">
        <v>-99</v>
      </c>
      <c r="CO21" t="s">
        <v>12402</v>
      </c>
      <c r="CP21" t="s">
        <v>12403</v>
      </c>
      <c r="CQ21" t="s">
        <v>12404</v>
      </c>
      <c r="CR21" t="s">
        <v>12405</v>
      </c>
      <c r="CS21">
        <v>7</v>
      </c>
      <c r="CT21">
        <v>7</v>
      </c>
      <c r="CU21">
        <v>4</v>
      </c>
      <c r="CV21">
        <v>-99</v>
      </c>
      <c r="CW21">
        <v>1</v>
      </c>
      <c r="CX21">
        <v>0</v>
      </c>
      <c r="CY21">
        <v>4</v>
      </c>
      <c r="CZ21">
        <v>9</v>
      </c>
      <c r="DA21">
        <v>-77.146687999999997</v>
      </c>
      <c r="DB21">
        <v>26.401789000000001</v>
      </c>
      <c r="DC21">
        <v>1159320415</v>
      </c>
      <c r="DD21" t="s">
        <v>17259</v>
      </c>
      <c r="DE21" t="s">
        <v>17260</v>
      </c>
      <c r="DF21" t="s">
        <v>17261</v>
      </c>
      <c r="DG21" t="s">
        <v>17255</v>
      </c>
      <c r="DH21" t="s">
        <v>11</v>
      </c>
      <c r="DI21" t="s">
        <v>17255</v>
      </c>
      <c r="DJ21" t="s">
        <v>17262</v>
      </c>
      <c r="DK21" t="s">
        <v>17255</v>
      </c>
      <c r="DL21" t="s">
        <v>17263</v>
      </c>
      <c r="DM21" t="s">
        <v>17264</v>
      </c>
      <c r="DN21" t="s">
        <v>17265</v>
      </c>
      <c r="DO21" t="s">
        <v>17266</v>
      </c>
      <c r="DP21" t="s">
        <v>17267</v>
      </c>
      <c r="DQ21" t="s">
        <v>17255</v>
      </c>
      <c r="DR21" t="s">
        <v>17268</v>
      </c>
      <c r="DS21" t="s">
        <v>17269</v>
      </c>
      <c r="DT21" t="s">
        <v>17270</v>
      </c>
      <c r="DU21" t="s">
        <v>17271</v>
      </c>
      <c r="DV21" t="s">
        <v>17255</v>
      </c>
      <c r="DW21" t="s">
        <v>17272</v>
      </c>
      <c r="DX21" t="s">
        <v>17255</v>
      </c>
      <c r="DY21" t="s">
        <v>17273</v>
      </c>
      <c r="DZ21" t="s">
        <v>17274</v>
      </c>
      <c r="EA21" t="s">
        <v>17275</v>
      </c>
      <c r="EB21" t="s">
        <v>17255</v>
      </c>
      <c r="EC21" t="s">
        <v>17276</v>
      </c>
      <c r="ED21" t="s">
        <v>17277</v>
      </c>
      <c r="EE21" t="s">
        <v>12247</v>
      </c>
      <c r="EG21" t="s">
        <v>12247</v>
      </c>
    </row>
    <row r="22" spans="1:253" x14ac:dyDescent="0.25">
      <c r="A22" t="s">
        <v>12</v>
      </c>
      <c r="B22" t="s">
        <v>12247</v>
      </c>
      <c r="C22">
        <v>5</v>
      </c>
      <c r="D22">
        <v>4</v>
      </c>
      <c r="E22" t="s">
        <v>12</v>
      </c>
      <c r="F22" t="s">
        <v>12690</v>
      </c>
      <c r="G22">
        <v>0</v>
      </c>
      <c r="H22">
        <v>2</v>
      </c>
      <c r="I22" t="s">
        <v>12249</v>
      </c>
      <c r="J22">
        <v>1</v>
      </c>
      <c r="K22" t="s">
        <v>12</v>
      </c>
      <c r="L22" t="s">
        <v>12690</v>
      </c>
      <c r="M22">
        <v>0</v>
      </c>
      <c r="N22" t="s">
        <v>12</v>
      </c>
      <c r="O22" t="s">
        <v>12690</v>
      </c>
      <c r="P22">
        <v>0</v>
      </c>
      <c r="Q22" t="s">
        <v>12</v>
      </c>
      <c r="R22" t="s">
        <v>12690</v>
      </c>
      <c r="S22">
        <v>0</v>
      </c>
      <c r="T22" t="s">
        <v>12</v>
      </c>
      <c r="U22" t="s">
        <v>12690</v>
      </c>
      <c r="V22" t="s">
        <v>12</v>
      </c>
      <c r="X22" t="s">
        <v>12691</v>
      </c>
      <c r="Y22" t="s">
        <v>1313</v>
      </c>
      <c r="Z22" t="s">
        <v>12692</v>
      </c>
      <c r="AB22" t="s">
        <v>12</v>
      </c>
      <c r="AE22" t="s">
        <v>12</v>
      </c>
      <c r="AG22">
        <v>1</v>
      </c>
      <c r="AH22">
        <v>1</v>
      </c>
      <c r="AI22">
        <v>1</v>
      </c>
      <c r="AJ22">
        <v>9</v>
      </c>
      <c r="AK22">
        <v>1641172</v>
      </c>
      <c r="AL22">
        <v>12</v>
      </c>
      <c r="AM22">
        <v>2019</v>
      </c>
      <c r="AN22">
        <v>38574</v>
      </c>
      <c r="AO22">
        <v>2019</v>
      </c>
      <c r="AP22" t="s">
        <v>12277</v>
      </c>
      <c r="AQ22" t="s">
        <v>12335</v>
      </c>
      <c r="AR22" t="s">
        <v>1293</v>
      </c>
      <c r="AS22" t="s">
        <v>1313</v>
      </c>
      <c r="AT22" t="s">
        <v>1313</v>
      </c>
      <c r="AU22" t="s">
        <v>12690</v>
      </c>
      <c r="AV22" t="s">
        <v>12690</v>
      </c>
      <c r="AW22">
        <v>48</v>
      </c>
      <c r="AX22">
        <v>48</v>
      </c>
      <c r="AY22">
        <v>48</v>
      </c>
      <c r="AZ22" t="s">
        <v>1313</v>
      </c>
      <c r="BA22" t="s">
        <v>12690</v>
      </c>
      <c r="BB22">
        <v>23424753</v>
      </c>
      <c r="BC22">
        <v>23424753</v>
      </c>
      <c r="BD22" t="s">
        <v>12254</v>
      </c>
      <c r="BE22" t="s">
        <v>12690</v>
      </c>
      <c r="BG22" t="s">
        <v>12690</v>
      </c>
      <c r="BH22" t="s">
        <v>12690</v>
      </c>
      <c r="BI22" t="s">
        <v>12690</v>
      </c>
      <c r="BJ22" t="s">
        <v>12690</v>
      </c>
      <c r="BK22" t="s">
        <v>12690</v>
      </c>
      <c r="BL22" t="s">
        <v>12690</v>
      </c>
      <c r="BM22" t="s">
        <v>12690</v>
      </c>
      <c r="BN22" t="s">
        <v>12690</v>
      </c>
      <c r="BO22" t="s">
        <v>12690</v>
      </c>
      <c r="BP22" t="s">
        <v>12690</v>
      </c>
      <c r="BQ22" t="s">
        <v>12690</v>
      </c>
      <c r="BR22" t="s">
        <v>12690</v>
      </c>
      <c r="BS22" t="s">
        <v>12690</v>
      </c>
      <c r="BT22" t="s">
        <v>12690</v>
      </c>
      <c r="BU22" t="s">
        <v>12690</v>
      </c>
      <c r="BV22" t="s">
        <v>12690</v>
      </c>
      <c r="BW22" t="s">
        <v>12690</v>
      </c>
      <c r="BX22" t="s">
        <v>12690</v>
      </c>
      <c r="BY22" t="s">
        <v>12690</v>
      </c>
      <c r="BZ22" t="s">
        <v>12690</v>
      </c>
      <c r="CA22" t="s">
        <v>12690</v>
      </c>
      <c r="CB22" t="s">
        <v>12690</v>
      </c>
      <c r="CC22" t="s">
        <v>12690</v>
      </c>
      <c r="CD22" t="s">
        <v>12690</v>
      </c>
      <c r="CE22" t="s">
        <v>12690</v>
      </c>
      <c r="CF22" t="s">
        <v>12690</v>
      </c>
      <c r="CG22" t="s">
        <v>12690</v>
      </c>
      <c r="CH22" t="s">
        <v>12690</v>
      </c>
      <c r="CI22" t="s">
        <v>12690</v>
      </c>
      <c r="CJ22" t="s">
        <v>12690</v>
      </c>
      <c r="CK22" t="s">
        <v>12690</v>
      </c>
      <c r="CL22" t="s">
        <v>12690</v>
      </c>
      <c r="CM22">
        <v>-99</v>
      </c>
      <c r="CN22">
        <v>-99</v>
      </c>
      <c r="CO22" t="s">
        <v>12255</v>
      </c>
      <c r="CP22" t="s">
        <v>12255</v>
      </c>
      <c r="CQ22" t="s">
        <v>12458</v>
      </c>
      <c r="CR22" t="s">
        <v>12308</v>
      </c>
      <c r="CS22">
        <v>7</v>
      </c>
      <c r="CT22">
        <v>7</v>
      </c>
      <c r="CU22">
        <v>5</v>
      </c>
      <c r="CV22">
        <v>2</v>
      </c>
      <c r="CW22">
        <v>1</v>
      </c>
      <c r="CX22">
        <v>0</v>
      </c>
      <c r="CY22">
        <v>4</v>
      </c>
      <c r="CZ22">
        <v>9</v>
      </c>
      <c r="DA22">
        <v>50.554816000000002</v>
      </c>
      <c r="DB22">
        <v>26.055972000000001</v>
      </c>
      <c r="DC22">
        <v>1159320413</v>
      </c>
      <c r="DD22" t="s">
        <v>12693</v>
      </c>
      <c r="DE22" t="s">
        <v>12694</v>
      </c>
      <c r="DF22" t="s">
        <v>12695</v>
      </c>
      <c r="DG22" t="s">
        <v>12</v>
      </c>
      <c r="DH22" t="s">
        <v>12</v>
      </c>
      <c r="DI22" t="s">
        <v>12696</v>
      </c>
      <c r="DJ22" t="s">
        <v>12697</v>
      </c>
      <c r="DK22" t="s">
        <v>12698</v>
      </c>
      <c r="DL22" t="s">
        <v>12699</v>
      </c>
      <c r="DM22" t="s">
        <v>12700</v>
      </c>
      <c r="DN22" t="s">
        <v>12701</v>
      </c>
      <c r="DO22" t="s">
        <v>12702</v>
      </c>
      <c r="DP22" t="s">
        <v>12</v>
      </c>
      <c r="DQ22" t="s">
        <v>12702</v>
      </c>
      <c r="DR22" t="s">
        <v>12703</v>
      </c>
      <c r="DS22" t="s">
        <v>12704</v>
      </c>
      <c r="DT22" t="s">
        <v>12702</v>
      </c>
      <c r="DU22" t="s">
        <v>12705</v>
      </c>
      <c r="DV22" t="s">
        <v>12702</v>
      </c>
      <c r="DW22" t="s">
        <v>12706</v>
      </c>
      <c r="DX22" t="s">
        <v>12</v>
      </c>
      <c r="DY22" t="s">
        <v>12707</v>
      </c>
      <c r="DZ22" t="s">
        <v>12706</v>
      </c>
      <c r="EA22" t="s">
        <v>12697</v>
      </c>
      <c r="EB22" t="s">
        <v>12</v>
      </c>
      <c r="EC22" t="s">
        <v>12708</v>
      </c>
      <c r="ED22" t="s">
        <v>12708</v>
      </c>
      <c r="EE22" t="s">
        <v>12247</v>
      </c>
      <c r="EG22" t="s">
        <v>12247</v>
      </c>
    </row>
    <row r="23" spans="1:253" x14ac:dyDescent="0.25">
      <c r="A23" t="s">
        <v>13291</v>
      </c>
      <c r="B23" t="s">
        <v>12247</v>
      </c>
      <c r="C23">
        <v>0</v>
      </c>
      <c r="D23">
        <v>5</v>
      </c>
      <c r="E23" t="s">
        <v>85</v>
      </c>
      <c r="F23" t="s">
        <v>13287</v>
      </c>
      <c r="G23">
        <v>1</v>
      </c>
      <c r="H23">
        <v>2</v>
      </c>
      <c r="I23" t="s">
        <v>13288</v>
      </c>
      <c r="J23">
        <v>1</v>
      </c>
      <c r="K23" t="s">
        <v>13289</v>
      </c>
      <c r="L23" t="s">
        <v>13290</v>
      </c>
      <c r="M23">
        <v>0</v>
      </c>
      <c r="N23" t="s">
        <v>13289</v>
      </c>
      <c r="O23" t="s">
        <v>13290</v>
      </c>
      <c r="P23">
        <v>0</v>
      </c>
      <c r="Q23" t="s">
        <v>13289</v>
      </c>
      <c r="R23" t="s">
        <v>13290</v>
      </c>
      <c r="S23">
        <v>1</v>
      </c>
      <c r="T23" t="s">
        <v>13292</v>
      </c>
      <c r="U23" t="s">
        <v>13293</v>
      </c>
      <c r="V23" t="s">
        <v>13294</v>
      </c>
      <c r="X23" t="s">
        <v>13295</v>
      </c>
      <c r="Y23" t="s">
        <v>12925</v>
      </c>
      <c r="AC23" t="s">
        <v>141</v>
      </c>
      <c r="AD23" t="s">
        <v>13296</v>
      </c>
      <c r="AE23" t="s">
        <v>13292</v>
      </c>
      <c r="AF23" t="s">
        <v>13289</v>
      </c>
      <c r="AG23">
        <v>6</v>
      </c>
      <c r="AH23">
        <v>1</v>
      </c>
      <c r="AI23">
        <v>6</v>
      </c>
      <c r="AJ23">
        <v>1</v>
      </c>
      <c r="AK23">
        <v>36175</v>
      </c>
      <c r="AL23">
        <v>7</v>
      </c>
      <c r="AM23">
        <v>2009</v>
      </c>
      <c r="AN23">
        <v>596</v>
      </c>
      <c r="AO23">
        <v>2013</v>
      </c>
      <c r="AP23" t="s">
        <v>12334</v>
      </c>
      <c r="AQ23" t="s">
        <v>12305</v>
      </c>
      <c r="AR23">
        <v>-99</v>
      </c>
      <c r="AS23">
        <v>-99</v>
      </c>
      <c r="AT23" t="s">
        <v>1625</v>
      </c>
      <c r="AU23">
        <v>-99</v>
      </c>
      <c r="AV23" t="s">
        <v>13297</v>
      </c>
      <c r="AW23">
        <v>-99</v>
      </c>
      <c r="AX23">
        <v>398</v>
      </c>
      <c r="AY23">
        <v>-99</v>
      </c>
      <c r="AZ23">
        <v>-99</v>
      </c>
      <c r="BA23">
        <v>-99</v>
      </c>
      <c r="BB23">
        <v>-90</v>
      </c>
      <c r="BC23">
        <v>20070177</v>
      </c>
      <c r="BD23" t="s">
        <v>13298</v>
      </c>
      <c r="BE23" t="s">
        <v>13297</v>
      </c>
      <c r="BF23">
        <v>1</v>
      </c>
      <c r="BG23" t="s">
        <v>13293</v>
      </c>
      <c r="BH23" t="s">
        <v>13297</v>
      </c>
      <c r="BI23" t="s">
        <v>13297</v>
      </c>
      <c r="BJ23" t="s">
        <v>13297</v>
      </c>
      <c r="BK23" t="s">
        <v>13297</v>
      </c>
      <c r="BL23" t="s">
        <v>13297</v>
      </c>
      <c r="BM23" t="s">
        <v>13297</v>
      </c>
      <c r="BN23" t="s">
        <v>13297</v>
      </c>
      <c r="BO23" t="s">
        <v>13297</v>
      </c>
      <c r="BP23" t="s">
        <v>13297</v>
      </c>
      <c r="BQ23" t="s">
        <v>13297</v>
      </c>
      <c r="BR23" t="s">
        <v>13297</v>
      </c>
      <c r="BS23" t="s">
        <v>13297</v>
      </c>
      <c r="BT23" t="s">
        <v>13297</v>
      </c>
      <c r="BU23" t="s">
        <v>13297</v>
      </c>
      <c r="BV23" t="s">
        <v>13297</v>
      </c>
      <c r="BW23" t="s">
        <v>13297</v>
      </c>
      <c r="BX23" t="s">
        <v>13297</v>
      </c>
      <c r="BY23" t="s">
        <v>13297</v>
      </c>
      <c r="BZ23" t="s">
        <v>13297</v>
      </c>
      <c r="CA23" t="s">
        <v>13297</v>
      </c>
      <c r="CB23" t="s">
        <v>13297</v>
      </c>
      <c r="CC23" t="s">
        <v>13297</v>
      </c>
      <c r="CD23" t="s">
        <v>13297</v>
      </c>
      <c r="CE23" t="s">
        <v>13297</v>
      </c>
      <c r="CF23" t="s">
        <v>13297</v>
      </c>
      <c r="CG23" t="s">
        <v>13297</v>
      </c>
      <c r="CH23" t="s">
        <v>13297</v>
      </c>
      <c r="CI23" t="s">
        <v>13297</v>
      </c>
      <c r="CJ23" t="s">
        <v>13297</v>
      </c>
      <c r="CK23" t="s">
        <v>13297</v>
      </c>
      <c r="CL23" t="s">
        <v>13297</v>
      </c>
      <c r="CM23">
        <v>-99</v>
      </c>
      <c r="CN23">
        <v>-99</v>
      </c>
      <c r="CO23" t="s">
        <v>12255</v>
      </c>
      <c r="CP23" t="s">
        <v>12255</v>
      </c>
      <c r="CQ23" t="s">
        <v>13299</v>
      </c>
      <c r="CR23" t="s">
        <v>12281</v>
      </c>
      <c r="CS23">
        <v>8</v>
      </c>
      <c r="CT23">
        <v>19</v>
      </c>
      <c r="CU23">
        <v>5</v>
      </c>
      <c r="CV23">
        <v>-99</v>
      </c>
      <c r="CW23">
        <v>-99</v>
      </c>
      <c r="CX23">
        <v>5</v>
      </c>
      <c r="CY23">
        <v>6</v>
      </c>
      <c r="CZ23">
        <v>9.5</v>
      </c>
      <c r="DA23">
        <v>63.383896999999997</v>
      </c>
      <c r="DB23">
        <v>45.978332000000002</v>
      </c>
      <c r="DC23">
        <v>1159320965</v>
      </c>
      <c r="DD23" t="s">
        <v>13300</v>
      </c>
      <c r="DE23" t="s">
        <v>13301</v>
      </c>
      <c r="DF23" t="s">
        <v>13302</v>
      </c>
      <c r="DG23" t="s">
        <v>13291</v>
      </c>
      <c r="DH23" t="s">
        <v>13291</v>
      </c>
      <c r="DI23" t="s">
        <v>13291</v>
      </c>
      <c r="DJ23" t="s">
        <v>13303</v>
      </c>
      <c r="DK23" t="s">
        <v>13304</v>
      </c>
      <c r="DL23" t="s">
        <v>13305</v>
      </c>
      <c r="DM23" t="s">
        <v>13306</v>
      </c>
      <c r="DN23" t="s">
        <v>13307</v>
      </c>
      <c r="DO23" t="s">
        <v>13308</v>
      </c>
      <c r="DP23" t="s">
        <v>13294</v>
      </c>
      <c r="DQ23" t="s">
        <v>13309</v>
      </c>
      <c r="DR23" t="s">
        <v>13310</v>
      </c>
      <c r="DS23" t="s">
        <v>13311</v>
      </c>
      <c r="DT23" t="s">
        <v>13312</v>
      </c>
      <c r="DU23" t="s">
        <v>13308</v>
      </c>
      <c r="DV23" t="s">
        <v>13291</v>
      </c>
      <c r="DW23" t="s">
        <v>13313</v>
      </c>
      <c r="DX23" t="s">
        <v>13308</v>
      </c>
      <c r="DY23" t="s">
        <v>13294</v>
      </c>
      <c r="DZ23" t="s">
        <v>13314</v>
      </c>
      <c r="EA23" t="s">
        <v>13315</v>
      </c>
      <c r="EB23" t="s">
        <v>13291</v>
      </c>
      <c r="EC23" t="s">
        <v>13316</v>
      </c>
      <c r="ED23" t="s">
        <v>13317</v>
      </c>
      <c r="EE23" t="s">
        <v>12505</v>
      </c>
      <c r="EF23">
        <v>1</v>
      </c>
      <c r="EG23" t="s">
        <v>13318</v>
      </c>
      <c r="EH23" t="s">
        <v>13318</v>
      </c>
      <c r="EI23" t="s">
        <v>12505</v>
      </c>
      <c r="EJ23" t="s">
        <v>12505</v>
      </c>
      <c r="EK23" t="s">
        <v>12505</v>
      </c>
      <c r="EL23" t="s">
        <v>12505</v>
      </c>
      <c r="EM23" t="s">
        <v>12505</v>
      </c>
      <c r="EN23" t="s">
        <v>12505</v>
      </c>
      <c r="EO23" t="s">
        <v>12505</v>
      </c>
      <c r="EP23" t="s">
        <v>12505</v>
      </c>
      <c r="EQ23" t="s">
        <v>12505</v>
      </c>
      <c r="ER23" t="s">
        <v>12505</v>
      </c>
      <c r="ES23" t="s">
        <v>12505</v>
      </c>
      <c r="ET23" t="s">
        <v>12505</v>
      </c>
      <c r="EU23" t="s">
        <v>12505</v>
      </c>
      <c r="EV23" t="s">
        <v>12505</v>
      </c>
      <c r="EW23" t="s">
        <v>12505</v>
      </c>
      <c r="EX23" t="s">
        <v>12505</v>
      </c>
      <c r="EY23" t="s">
        <v>12505</v>
      </c>
      <c r="EZ23" t="s">
        <v>12505</v>
      </c>
      <c r="FA23" t="s">
        <v>12505</v>
      </c>
      <c r="FB23" t="s">
        <v>12505</v>
      </c>
      <c r="FC23" t="s">
        <v>12505</v>
      </c>
      <c r="FD23" t="s">
        <v>12505</v>
      </c>
      <c r="FE23" t="s">
        <v>12505</v>
      </c>
      <c r="FF23" t="s">
        <v>12505</v>
      </c>
      <c r="FG23" t="s">
        <v>12505</v>
      </c>
      <c r="FH23" t="s">
        <v>12505</v>
      </c>
      <c r="FI23" t="s">
        <v>12505</v>
      </c>
      <c r="FJ23" t="s">
        <v>12505</v>
      </c>
      <c r="FK23" t="s">
        <v>12505</v>
      </c>
      <c r="FL23" t="s">
        <v>12505</v>
      </c>
    </row>
    <row r="24" spans="1:253" x14ac:dyDescent="0.25">
      <c r="A24" t="s">
        <v>12711</v>
      </c>
      <c r="B24" t="s">
        <v>12247</v>
      </c>
      <c r="C24">
        <v>6</v>
      </c>
      <c r="D24">
        <v>8</v>
      </c>
      <c r="E24" t="s">
        <v>12709</v>
      </c>
      <c r="F24" t="s">
        <v>12710</v>
      </c>
      <c r="G24">
        <v>0</v>
      </c>
      <c r="H24">
        <v>2</v>
      </c>
      <c r="I24" t="s">
        <v>12371</v>
      </c>
      <c r="J24">
        <v>1</v>
      </c>
      <c r="K24" t="s">
        <v>12709</v>
      </c>
      <c r="L24" t="s">
        <v>12710</v>
      </c>
      <c r="M24">
        <v>0</v>
      </c>
      <c r="N24" t="s">
        <v>12709</v>
      </c>
      <c r="O24" t="s">
        <v>12710</v>
      </c>
      <c r="P24">
        <v>0</v>
      </c>
      <c r="Q24" t="s">
        <v>12709</v>
      </c>
      <c r="R24" t="s">
        <v>12710</v>
      </c>
      <c r="S24">
        <v>1</v>
      </c>
      <c r="T24" t="s">
        <v>12712</v>
      </c>
      <c r="U24" t="s">
        <v>12713</v>
      </c>
      <c r="V24" t="s">
        <v>12709</v>
      </c>
      <c r="AC24" t="s">
        <v>12714</v>
      </c>
      <c r="AD24" t="s">
        <v>12715</v>
      </c>
      <c r="AE24" t="s">
        <v>12709</v>
      </c>
      <c r="AG24">
        <v>3</v>
      </c>
      <c r="AH24">
        <v>7</v>
      </c>
      <c r="AI24">
        <v>6</v>
      </c>
      <c r="AJ24">
        <v>-99</v>
      </c>
      <c r="AK24">
        <v>0</v>
      </c>
      <c r="AL24">
        <v>1</v>
      </c>
      <c r="AM24">
        <v>2019</v>
      </c>
      <c r="AN24">
        <v>0</v>
      </c>
      <c r="AO24">
        <v>2019</v>
      </c>
      <c r="AP24" t="s">
        <v>12252</v>
      </c>
      <c r="AQ24" t="s">
        <v>12253</v>
      </c>
      <c r="AR24">
        <v>-99</v>
      </c>
      <c r="AS24">
        <v>-99</v>
      </c>
      <c r="AT24">
        <v>-99</v>
      </c>
      <c r="AU24">
        <v>-99</v>
      </c>
      <c r="AV24">
        <v>-99</v>
      </c>
      <c r="AW24">
        <v>-99</v>
      </c>
      <c r="AX24">
        <v>-99</v>
      </c>
      <c r="AY24">
        <v>-99</v>
      </c>
      <c r="AZ24">
        <v>-99</v>
      </c>
      <c r="BA24">
        <v>-99</v>
      </c>
      <c r="BB24">
        <v>-99</v>
      </c>
      <c r="BC24">
        <v>-99</v>
      </c>
      <c r="BD24" t="s">
        <v>12488</v>
      </c>
      <c r="BE24">
        <v>-99</v>
      </c>
      <c r="BF24">
        <v>1</v>
      </c>
      <c r="BG24" t="s">
        <v>12713</v>
      </c>
      <c r="BH24" t="s">
        <v>12716</v>
      </c>
      <c r="BI24" t="s">
        <v>12717</v>
      </c>
      <c r="BJ24" t="s">
        <v>12717</v>
      </c>
      <c r="BK24" t="s">
        <v>12717</v>
      </c>
      <c r="BL24" t="s">
        <v>12717</v>
      </c>
      <c r="BM24" t="s">
        <v>12717</v>
      </c>
      <c r="BN24" t="s">
        <v>12717</v>
      </c>
      <c r="BO24" t="s">
        <v>12717</v>
      </c>
      <c r="BP24" t="s">
        <v>12717</v>
      </c>
      <c r="BQ24" t="s">
        <v>12717</v>
      </c>
      <c r="BR24" t="s">
        <v>12717</v>
      </c>
      <c r="BS24" t="s">
        <v>12717</v>
      </c>
      <c r="BT24" t="s">
        <v>12717</v>
      </c>
      <c r="BU24" t="s">
        <v>12717</v>
      </c>
      <c r="BV24" t="s">
        <v>12717</v>
      </c>
      <c r="BW24" t="s">
        <v>12717</v>
      </c>
      <c r="BX24" t="s">
        <v>12717</v>
      </c>
      <c r="BY24" t="s">
        <v>12717</v>
      </c>
      <c r="BZ24" t="s">
        <v>12717</v>
      </c>
      <c r="CA24" t="s">
        <v>12717</v>
      </c>
      <c r="CB24" t="s">
        <v>12717</v>
      </c>
      <c r="CC24" t="s">
        <v>12717</v>
      </c>
      <c r="CD24" t="s">
        <v>12717</v>
      </c>
      <c r="CE24" t="s">
        <v>12717</v>
      </c>
      <c r="CF24" t="s">
        <v>12717</v>
      </c>
      <c r="CG24" t="s">
        <v>12717</v>
      </c>
      <c r="CH24" t="s">
        <v>12717</v>
      </c>
      <c r="CI24" t="s">
        <v>12717</v>
      </c>
      <c r="CJ24" t="s">
        <v>12717</v>
      </c>
      <c r="CK24" t="s">
        <v>12717</v>
      </c>
      <c r="CL24" t="s">
        <v>12717</v>
      </c>
      <c r="CM24">
        <v>-99</v>
      </c>
      <c r="CN24">
        <v>-99</v>
      </c>
      <c r="CO24" t="s">
        <v>12402</v>
      </c>
      <c r="CP24" t="s">
        <v>12403</v>
      </c>
      <c r="CQ24" t="s">
        <v>12404</v>
      </c>
      <c r="CR24" t="s">
        <v>12405</v>
      </c>
      <c r="CS24">
        <v>15</v>
      </c>
      <c r="CT24">
        <v>32</v>
      </c>
      <c r="CU24">
        <v>0</v>
      </c>
      <c r="CV24">
        <v>-99</v>
      </c>
      <c r="CW24">
        <v>1</v>
      </c>
      <c r="CX24">
        <v>7</v>
      </c>
      <c r="CY24">
        <v>7</v>
      </c>
      <c r="CZ24">
        <v>11</v>
      </c>
      <c r="DA24">
        <v>-79.845836000000006</v>
      </c>
      <c r="DB24">
        <v>15.791588000000001</v>
      </c>
      <c r="DC24">
        <v>1159320425</v>
      </c>
      <c r="DD24" t="s">
        <v>12718</v>
      </c>
      <c r="DE24" t="s">
        <v>12719</v>
      </c>
      <c r="DF24" t="s">
        <v>12720</v>
      </c>
      <c r="DG24" t="s">
        <v>12721</v>
      </c>
      <c r="DH24" t="s">
        <v>12711</v>
      </c>
      <c r="DI24" t="s">
        <v>12722</v>
      </c>
      <c r="DJ24" t="s">
        <v>12723</v>
      </c>
      <c r="DK24" t="s">
        <v>12724</v>
      </c>
      <c r="DL24" t="s">
        <v>12725</v>
      </c>
      <c r="DM24" t="s">
        <v>12726</v>
      </c>
      <c r="DN24" t="s">
        <v>12727</v>
      </c>
      <c r="DO24" t="s">
        <v>12728</v>
      </c>
      <c r="DP24" t="s">
        <v>12729</v>
      </c>
      <c r="DQ24" t="s">
        <v>12711</v>
      </c>
      <c r="DR24" t="s">
        <v>12730</v>
      </c>
      <c r="DS24" t="s">
        <v>12731</v>
      </c>
      <c r="DT24" t="s">
        <v>12722</v>
      </c>
      <c r="DU24" t="s">
        <v>12722</v>
      </c>
      <c r="DV24" t="s">
        <v>12732</v>
      </c>
      <c r="DW24" t="s">
        <v>12733</v>
      </c>
      <c r="DX24" t="s">
        <v>12722</v>
      </c>
      <c r="DY24" t="s">
        <v>12711</v>
      </c>
      <c r="DZ24" t="s">
        <v>12734</v>
      </c>
      <c r="EA24" t="s">
        <v>12735</v>
      </c>
      <c r="EB24" t="s">
        <v>12711</v>
      </c>
      <c r="EC24" t="s">
        <v>12736</v>
      </c>
      <c r="ED24" t="s">
        <v>12737</v>
      </c>
      <c r="EE24" t="s">
        <v>12505</v>
      </c>
      <c r="EF24">
        <v>1</v>
      </c>
      <c r="EG24" t="s">
        <v>12738</v>
      </c>
      <c r="EH24" t="s">
        <v>12505</v>
      </c>
      <c r="EI24" t="s">
        <v>12505</v>
      </c>
      <c r="EJ24" t="s">
        <v>12505</v>
      </c>
      <c r="EK24" t="s">
        <v>12505</v>
      </c>
      <c r="EL24" t="s">
        <v>12505</v>
      </c>
      <c r="EM24" t="s">
        <v>12505</v>
      </c>
      <c r="EN24" t="s">
        <v>12505</v>
      </c>
      <c r="EO24" t="s">
        <v>12505</v>
      </c>
      <c r="EP24" t="s">
        <v>12505</v>
      </c>
      <c r="EQ24" t="s">
        <v>12505</v>
      </c>
      <c r="ER24" t="s">
        <v>12505</v>
      </c>
      <c r="ES24" t="s">
        <v>12505</v>
      </c>
      <c r="ET24" t="s">
        <v>12505</v>
      </c>
      <c r="EU24" t="s">
        <v>12505</v>
      </c>
      <c r="EV24" t="s">
        <v>12505</v>
      </c>
      <c r="EW24" t="s">
        <v>12505</v>
      </c>
      <c r="EX24" t="s">
        <v>12505</v>
      </c>
      <c r="EY24" t="s">
        <v>12505</v>
      </c>
      <c r="EZ24" t="s">
        <v>12505</v>
      </c>
      <c r="FA24" t="s">
        <v>12505</v>
      </c>
      <c r="FB24" t="s">
        <v>12505</v>
      </c>
      <c r="FC24" t="s">
        <v>12505</v>
      </c>
      <c r="FD24" t="s">
        <v>12505</v>
      </c>
      <c r="FE24" t="s">
        <v>12505</v>
      </c>
      <c r="FF24" t="s">
        <v>12505</v>
      </c>
      <c r="FG24" t="s">
        <v>12505</v>
      </c>
      <c r="FH24" t="s">
        <v>12505</v>
      </c>
      <c r="FI24" t="s">
        <v>12505</v>
      </c>
      <c r="FJ24" t="s">
        <v>12505</v>
      </c>
      <c r="FK24" t="s">
        <v>12505</v>
      </c>
      <c r="FL24" t="s">
        <v>12505</v>
      </c>
    </row>
    <row r="25" spans="1:253" x14ac:dyDescent="0.25">
      <c r="A25" t="s">
        <v>18388</v>
      </c>
      <c r="B25" t="s">
        <v>17202</v>
      </c>
      <c r="C25">
        <v>3</v>
      </c>
      <c r="L25" t="s">
        <v>4602</v>
      </c>
      <c r="FN25" t="s">
        <v>18569</v>
      </c>
      <c r="FO25">
        <v>5808</v>
      </c>
      <c r="FQ25" t="s">
        <v>1448</v>
      </c>
      <c r="FR25">
        <v>6</v>
      </c>
      <c r="FU25" t="s">
        <v>18528</v>
      </c>
      <c r="FV25" t="s">
        <v>18529</v>
      </c>
      <c r="FX25" t="s">
        <v>18570</v>
      </c>
      <c r="GA25" t="s">
        <v>18571</v>
      </c>
      <c r="GB25">
        <v>1</v>
      </c>
      <c r="GC25">
        <v>1</v>
      </c>
      <c r="GD25">
        <v>20</v>
      </c>
      <c r="GE25">
        <v>3</v>
      </c>
      <c r="GG25" t="s">
        <v>1794</v>
      </c>
      <c r="GH25">
        <v>0</v>
      </c>
      <c r="GI25">
        <v>-99</v>
      </c>
      <c r="GJ25">
        <v>3</v>
      </c>
      <c r="GK25">
        <v>8</v>
      </c>
      <c r="GL25">
        <v>5</v>
      </c>
      <c r="GM25">
        <v>5</v>
      </c>
      <c r="GN25" t="s">
        <v>18572</v>
      </c>
      <c r="GP25">
        <v>12602088</v>
      </c>
      <c r="GQ25" t="s">
        <v>18573</v>
      </c>
      <c r="GR25" t="s">
        <v>18571</v>
      </c>
      <c r="GS25">
        <v>39.616199999999999</v>
      </c>
      <c r="GT25">
        <v>2.9915600000000002</v>
      </c>
      <c r="GU25" t="s">
        <v>16983</v>
      </c>
      <c r="GV25" t="s">
        <v>4602</v>
      </c>
      <c r="GW25">
        <v>3</v>
      </c>
      <c r="GX25" t="s">
        <v>161</v>
      </c>
      <c r="HA25">
        <v>6424360</v>
      </c>
      <c r="HB25" t="s">
        <v>4542</v>
      </c>
      <c r="HC25">
        <v>-372237</v>
      </c>
      <c r="HD25" t="s">
        <v>18574</v>
      </c>
      <c r="HE25">
        <v>2</v>
      </c>
      <c r="HG25" t="s">
        <v>18570</v>
      </c>
      <c r="HJ25">
        <v>1</v>
      </c>
      <c r="HM25" t="s">
        <v>18572</v>
      </c>
      <c r="HN25">
        <v>7.7</v>
      </c>
      <c r="HO25">
        <v>11</v>
      </c>
      <c r="HP25">
        <v>7.7</v>
      </c>
      <c r="HQ25" t="s">
        <v>18575</v>
      </c>
      <c r="HR25" t="s">
        <v>18576</v>
      </c>
      <c r="HS25" t="s">
        <v>18577</v>
      </c>
      <c r="HT25" t="s">
        <v>18578</v>
      </c>
      <c r="HU25" t="s">
        <v>18579</v>
      </c>
      <c r="HV25" t="s">
        <v>18571</v>
      </c>
      <c r="HW25" t="s">
        <v>18580</v>
      </c>
      <c r="HX25" t="s">
        <v>18581</v>
      </c>
      <c r="HY25" t="s">
        <v>18582</v>
      </c>
      <c r="HZ25" t="s">
        <v>18583</v>
      </c>
      <c r="IA25" t="s">
        <v>18584</v>
      </c>
      <c r="IB25" t="s">
        <v>18585</v>
      </c>
      <c r="IC25" t="s">
        <v>18586</v>
      </c>
      <c r="ID25" t="s">
        <v>18587</v>
      </c>
      <c r="IE25" t="s">
        <v>18588</v>
      </c>
      <c r="IF25" t="s">
        <v>18589</v>
      </c>
      <c r="IG25" t="s">
        <v>18590</v>
      </c>
      <c r="IH25" t="s">
        <v>18591</v>
      </c>
      <c r="II25" t="s">
        <v>18592</v>
      </c>
      <c r="IJ25" t="s">
        <v>18593</v>
      </c>
      <c r="IK25" t="s">
        <v>18594</v>
      </c>
      <c r="IL25" t="s">
        <v>18595</v>
      </c>
      <c r="IM25">
        <v>1159308465</v>
      </c>
      <c r="IN25" t="s">
        <v>18596</v>
      </c>
      <c r="IO25" t="s">
        <v>18597</v>
      </c>
      <c r="IP25" t="s">
        <v>18598</v>
      </c>
      <c r="IQ25" t="s">
        <v>18599</v>
      </c>
      <c r="IR25" t="s">
        <v>18600</v>
      </c>
      <c r="IS25" t="s">
        <v>18570</v>
      </c>
    </row>
    <row r="26" spans="1:253" x14ac:dyDescent="0.25">
      <c r="A26" t="s">
        <v>13</v>
      </c>
      <c r="B26" t="s">
        <v>12247</v>
      </c>
      <c r="C26">
        <v>0</v>
      </c>
      <c r="D26">
        <v>3</v>
      </c>
      <c r="E26" t="s">
        <v>13</v>
      </c>
      <c r="F26" t="s">
        <v>12739</v>
      </c>
      <c r="G26">
        <v>0</v>
      </c>
      <c r="H26">
        <v>2</v>
      </c>
      <c r="I26" t="s">
        <v>12249</v>
      </c>
      <c r="J26">
        <v>1</v>
      </c>
      <c r="K26" t="s">
        <v>13</v>
      </c>
      <c r="L26" t="s">
        <v>12739</v>
      </c>
      <c r="M26">
        <v>0</v>
      </c>
      <c r="N26" t="s">
        <v>13</v>
      </c>
      <c r="O26" t="s">
        <v>12739</v>
      </c>
      <c r="P26">
        <v>0</v>
      </c>
      <c r="Q26" t="s">
        <v>13</v>
      </c>
      <c r="R26" t="s">
        <v>12739</v>
      </c>
      <c r="S26">
        <v>0</v>
      </c>
      <c r="T26" t="s">
        <v>13</v>
      </c>
      <c r="U26" t="s">
        <v>12739</v>
      </c>
      <c r="V26" t="s">
        <v>13</v>
      </c>
      <c r="X26" t="s">
        <v>12740</v>
      </c>
      <c r="Y26" t="s">
        <v>1299</v>
      </c>
      <c r="Z26" t="s">
        <v>12741</v>
      </c>
      <c r="AB26" t="s">
        <v>13</v>
      </c>
      <c r="AE26" t="s">
        <v>13</v>
      </c>
      <c r="AG26">
        <v>3</v>
      </c>
      <c r="AH26">
        <v>4</v>
      </c>
      <c r="AI26">
        <v>7</v>
      </c>
      <c r="AJ26">
        <v>7</v>
      </c>
      <c r="AK26">
        <v>163046161</v>
      </c>
      <c r="AL26">
        <v>17</v>
      </c>
      <c r="AM26">
        <v>2019</v>
      </c>
      <c r="AN26">
        <v>302571</v>
      </c>
      <c r="AO26">
        <v>2019</v>
      </c>
      <c r="AP26" t="s">
        <v>12252</v>
      </c>
      <c r="AQ26" t="s">
        <v>12253</v>
      </c>
      <c r="AR26" t="s">
        <v>1309</v>
      </c>
      <c r="AS26" t="s">
        <v>1299</v>
      </c>
      <c r="AT26" t="s">
        <v>1299</v>
      </c>
      <c r="AU26" t="s">
        <v>12739</v>
      </c>
      <c r="AV26" t="s">
        <v>12739</v>
      </c>
      <c r="AW26">
        <v>50</v>
      </c>
      <c r="AX26">
        <v>50</v>
      </c>
      <c r="AY26">
        <v>50</v>
      </c>
      <c r="AZ26" t="s">
        <v>1299</v>
      </c>
      <c r="BA26" t="s">
        <v>12739</v>
      </c>
      <c r="BB26">
        <v>23424759</v>
      </c>
      <c r="BC26">
        <v>23424759</v>
      </c>
      <c r="BD26" t="s">
        <v>12254</v>
      </c>
      <c r="BE26" t="s">
        <v>12739</v>
      </c>
      <c r="BG26" t="s">
        <v>12739</v>
      </c>
      <c r="BH26" t="s">
        <v>12739</v>
      </c>
      <c r="BI26" t="s">
        <v>12739</v>
      </c>
      <c r="BJ26" t="s">
        <v>12739</v>
      </c>
      <c r="BK26" t="s">
        <v>12739</v>
      </c>
      <c r="BL26" t="s">
        <v>12739</v>
      </c>
      <c r="BM26" t="s">
        <v>12739</v>
      </c>
      <c r="BN26" t="s">
        <v>12739</v>
      </c>
      <c r="BO26" t="s">
        <v>12739</v>
      </c>
      <c r="BP26" t="s">
        <v>12739</v>
      </c>
      <c r="BQ26" t="s">
        <v>12739</v>
      </c>
      <c r="BR26" t="s">
        <v>12739</v>
      </c>
      <c r="BS26" t="s">
        <v>12739</v>
      </c>
      <c r="BT26" t="s">
        <v>12739</v>
      </c>
      <c r="BU26" t="s">
        <v>12739</v>
      </c>
      <c r="BV26" t="s">
        <v>12739</v>
      </c>
      <c r="BW26" t="s">
        <v>12739</v>
      </c>
      <c r="BX26" t="s">
        <v>12739</v>
      </c>
      <c r="BY26" t="s">
        <v>12739</v>
      </c>
      <c r="BZ26" t="s">
        <v>12739</v>
      </c>
      <c r="CA26" t="s">
        <v>12739</v>
      </c>
      <c r="CB26" t="s">
        <v>12739</v>
      </c>
      <c r="CC26" t="s">
        <v>12739</v>
      </c>
      <c r="CD26" t="s">
        <v>12739</v>
      </c>
      <c r="CE26" t="s">
        <v>12739</v>
      </c>
      <c r="CF26" t="s">
        <v>12739</v>
      </c>
      <c r="CG26" t="s">
        <v>12739</v>
      </c>
      <c r="CH26" t="s">
        <v>12739</v>
      </c>
      <c r="CI26" t="s">
        <v>12739</v>
      </c>
      <c r="CJ26" t="s">
        <v>12739</v>
      </c>
      <c r="CK26" t="s">
        <v>12739</v>
      </c>
      <c r="CL26" t="s">
        <v>12739</v>
      </c>
      <c r="CM26">
        <v>-99</v>
      </c>
      <c r="CN26">
        <v>-99</v>
      </c>
      <c r="CO26" t="s">
        <v>12255</v>
      </c>
      <c r="CP26" t="s">
        <v>12255</v>
      </c>
      <c r="CQ26" t="s">
        <v>12256</v>
      </c>
      <c r="CR26" t="s">
        <v>12257</v>
      </c>
      <c r="CS26">
        <v>10</v>
      </c>
      <c r="CT26">
        <v>10</v>
      </c>
      <c r="CU26">
        <v>5</v>
      </c>
      <c r="CV26">
        <v>-99</v>
      </c>
      <c r="CW26">
        <v>1</v>
      </c>
      <c r="CX26">
        <v>0</v>
      </c>
      <c r="CY26">
        <v>3</v>
      </c>
      <c r="CZ26">
        <v>8</v>
      </c>
      <c r="DA26">
        <v>89.684962999999996</v>
      </c>
      <c r="DB26">
        <v>24.214956000000001</v>
      </c>
      <c r="DC26">
        <v>1159320407</v>
      </c>
      <c r="DD26" t="s">
        <v>12742</v>
      </c>
      <c r="DE26" t="s">
        <v>12743</v>
      </c>
      <c r="DF26" t="s">
        <v>12744</v>
      </c>
      <c r="DG26" t="s">
        <v>12745</v>
      </c>
      <c r="DH26" t="s">
        <v>13</v>
      </c>
      <c r="DI26" t="s">
        <v>12746</v>
      </c>
      <c r="DJ26" t="s">
        <v>12747</v>
      </c>
      <c r="DK26" t="s">
        <v>13</v>
      </c>
      <c r="DL26" t="s">
        <v>12748</v>
      </c>
      <c r="DM26" t="s">
        <v>12749</v>
      </c>
      <c r="DN26" t="s">
        <v>12750</v>
      </c>
      <c r="DO26" t="s">
        <v>12751</v>
      </c>
      <c r="DP26" t="s">
        <v>13</v>
      </c>
      <c r="DQ26" t="s">
        <v>13</v>
      </c>
      <c r="DR26" t="s">
        <v>12752</v>
      </c>
      <c r="DS26" t="s">
        <v>12753</v>
      </c>
      <c r="DT26" t="s">
        <v>13</v>
      </c>
      <c r="DU26" t="s">
        <v>12754</v>
      </c>
      <c r="DV26" t="s">
        <v>13</v>
      </c>
      <c r="DW26" t="s">
        <v>12755</v>
      </c>
      <c r="DX26" t="s">
        <v>13</v>
      </c>
      <c r="DY26" t="s">
        <v>12756</v>
      </c>
      <c r="DZ26" t="s">
        <v>12755</v>
      </c>
      <c r="EA26" t="s">
        <v>12757</v>
      </c>
      <c r="EB26" t="s">
        <v>13</v>
      </c>
      <c r="EC26" t="s">
        <v>12758</v>
      </c>
      <c r="ED26" t="s">
        <v>12759</v>
      </c>
      <c r="EE26" t="s">
        <v>12247</v>
      </c>
      <c r="EG26" t="s">
        <v>12247</v>
      </c>
    </row>
    <row r="27" spans="1:253" x14ac:dyDescent="0.25">
      <c r="A27" t="s">
        <v>14</v>
      </c>
      <c r="B27" t="s">
        <v>12247</v>
      </c>
      <c r="C27">
        <v>3</v>
      </c>
      <c r="D27">
        <v>5</v>
      </c>
      <c r="E27" t="s">
        <v>14</v>
      </c>
      <c r="F27" t="s">
        <v>12760</v>
      </c>
      <c r="G27">
        <v>0</v>
      </c>
      <c r="H27">
        <v>2</v>
      </c>
      <c r="I27" t="s">
        <v>12249</v>
      </c>
      <c r="J27">
        <v>1</v>
      </c>
      <c r="K27" t="s">
        <v>14</v>
      </c>
      <c r="L27" t="s">
        <v>12760</v>
      </c>
      <c r="M27">
        <v>0</v>
      </c>
      <c r="N27" t="s">
        <v>14</v>
      </c>
      <c r="O27" t="s">
        <v>12760</v>
      </c>
      <c r="P27">
        <v>0</v>
      </c>
      <c r="Q27" t="s">
        <v>14</v>
      </c>
      <c r="R27" t="s">
        <v>12760</v>
      </c>
      <c r="S27">
        <v>0</v>
      </c>
      <c r="T27" t="s">
        <v>14</v>
      </c>
      <c r="U27" t="s">
        <v>12760</v>
      </c>
      <c r="V27" t="s">
        <v>14</v>
      </c>
      <c r="X27" t="s">
        <v>12761</v>
      </c>
      <c r="Y27" t="s">
        <v>1296</v>
      </c>
      <c r="Z27" t="s">
        <v>14</v>
      </c>
      <c r="AB27" t="s">
        <v>14</v>
      </c>
      <c r="AE27" t="s">
        <v>14</v>
      </c>
      <c r="AG27">
        <v>4</v>
      </c>
      <c r="AH27">
        <v>1</v>
      </c>
      <c r="AI27">
        <v>5</v>
      </c>
      <c r="AJ27">
        <v>3</v>
      </c>
      <c r="AK27">
        <v>287025</v>
      </c>
      <c r="AL27">
        <v>10</v>
      </c>
      <c r="AM27">
        <v>2019</v>
      </c>
      <c r="AN27">
        <v>5209</v>
      </c>
      <c r="AO27">
        <v>2019</v>
      </c>
      <c r="AP27" t="s">
        <v>12277</v>
      </c>
      <c r="AQ27" t="s">
        <v>12335</v>
      </c>
      <c r="AR27" t="s">
        <v>1296</v>
      </c>
      <c r="AS27" t="s">
        <v>1296</v>
      </c>
      <c r="AT27" t="s">
        <v>1296</v>
      </c>
      <c r="AU27" t="s">
        <v>12760</v>
      </c>
      <c r="AV27" t="s">
        <v>12760</v>
      </c>
      <c r="AW27">
        <v>52</v>
      </c>
      <c r="AX27">
        <v>52</v>
      </c>
      <c r="AY27">
        <v>52</v>
      </c>
      <c r="AZ27" t="s">
        <v>1296</v>
      </c>
      <c r="BA27" t="s">
        <v>12760</v>
      </c>
      <c r="BB27">
        <v>23424754</v>
      </c>
      <c r="BC27">
        <v>23424754</v>
      </c>
      <c r="BD27" t="s">
        <v>12254</v>
      </c>
      <c r="BE27" t="s">
        <v>12760</v>
      </c>
      <c r="BG27" t="s">
        <v>12760</v>
      </c>
      <c r="BH27" t="s">
        <v>12760</v>
      </c>
      <c r="BI27" t="s">
        <v>12760</v>
      </c>
      <c r="BJ27" t="s">
        <v>12760</v>
      </c>
      <c r="BK27" t="s">
        <v>12760</v>
      </c>
      <c r="BL27" t="s">
        <v>12760</v>
      </c>
      <c r="BM27" t="s">
        <v>12760</v>
      </c>
      <c r="BN27" t="s">
        <v>12760</v>
      </c>
      <c r="BO27" t="s">
        <v>12760</v>
      </c>
      <c r="BP27" t="s">
        <v>12760</v>
      </c>
      <c r="BQ27" t="s">
        <v>12760</v>
      </c>
      <c r="BR27" t="s">
        <v>12760</v>
      </c>
      <c r="BS27" t="s">
        <v>12760</v>
      </c>
      <c r="BT27" t="s">
        <v>12760</v>
      </c>
      <c r="BU27" t="s">
        <v>12760</v>
      </c>
      <c r="BV27" t="s">
        <v>12760</v>
      </c>
      <c r="BW27" t="s">
        <v>12760</v>
      </c>
      <c r="BX27" t="s">
        <v>12760</v>
      </c>
      <c r="BY27" t="s">
        <v>12760</v>
      </c>
      <c r="BZ27" t="s">
        <v>12762</v>
      </c>
      <c r="CA27" t="s">
        <v>12760</v>
      </c>
      <c r="CB27" t="s">
        <v>12760</v>
      </c>
      <c r="CC27" t="s">
        <v>12760</v>
      </c>
      <c r="CD27" t="s">
        <v>12760</v>
      </c>
      <c r="CE27" t="s">
        <v>12760</v>
      </c>
      <c r="CF27" t="s">
        <v>12760</v>
      </c>
      <c r="CG27" t="s">
        <v>12760</v>
      </c>
      <c r="CH27" t="s">
        <v>12760</v>
      </c>
      <c r="CI27" t="s">
        <v>12760</v>
      </c>
      <c r="CJ27" t="s">
        <v>12760</v>
      </c>
      <c r="CK27" t="s">
        <v>12760</v>
      </c>
      <c r="CL27" t="s">
        <v>12760</v>
      </c>
      <c r="CM27">
        <v>-99</v>
      </c>
      <c r="CN27">
        <v>-99</v>
      </c>
      <c r="CO27" t="s">
        <v>12402</v>
      </c>
      <c r="CP27" t="s">
        <v>12403</v>
      </c>
      <c r="CQ27" t="s">
        <v>12404</v>
      </c>
      <c r="CR27" t="s">
        <v>12405</v>
      </c>
      <c r="CS27">
        <v>8</v>
      </c>
      <c r="CT27">
        <v>8</v>
      </c>
      <c r="CU27">
        <v>5</v>
      </c>
      <c r="CV27">
        <v>3</v>
      </c>
      <c r="CW27">
        <v>1</v>
      </c>
      <c r="CX27">
        <v>0</v>
      </c>
      <c r="CY27">
        <v>4.5</v>
      </c>
      <c r="CZ27">
        <v>9.5</v>
      </c>
      <c r="DA27">
        <v>-59.568966000000003</v>
      </c>
      <c r="DB27">
        <v>13.163709000000001</v>
      </c>
      <c r="DC27">
        <v>1159320449</v>
      </c>
      <c r="DD27" t="s">
        <v>12763</v>
      </c>
      <c r="DE27" t="s">
        <v>12764</v>
      </c>
      <c r="DF27" t="s">
        <v>12765</v>
      </c>
      <c r="DG27" t="s">
        <v>14</v>
      </c>
      <c r="DH27" t="s">
        <v>14</v>
      </c>
      <c r="DI27" t="s">
        <v>14</v>
      </c>
      <c r="DJ27" t="s">
        <v>12764</v>
      </c>
      <c r="DK27" t="s">
        <v>12766</v>
      </c>
      <c r="DL27" t="s">
        <v>12767</v>
      </c>
      <c r="DM27" t="s">
        <v>12768</v>
      </c>
      <c r="DN27" t="s">
        <v>12769</v>
      </c>
      <c r="DO27" t="s">
        <v>14</v>
      </c>
      <c r="DP27" t="s">
        <v>14</v>
      </c>
      <c r="DQ27" t="s">
        <v>14</v>
      </c>
      <c r="DR27" t="s">
        <v>12770</v>
      </c>
      <c r="DS27" t="s">
        <v>12771</v>
      </c>
      <c r="DT27" t="s">
        <v>14</v>
      </c>
      <c r="DU27" t="s">
        <v>14</v>
      </c>
      <c r="DV27" t="s">
        <v>14</v>
      </c>
      <c r="DW27" t="s">
        <v>12772</v>
      </c>
      <c r="DX27" t="s">
        <v>14</v>
      </c>
      <c r="DY27" t="s">
        <v>14</v>
      </c>
      <c r="DZ27" t="s">
        <v>12772</v>
      </c>
      <c r="EA27" t="s">
        <v>12773</v>
      </c>
      <c r="EB27" t="s">
        <v>14</v>
      </c>
      <c r="EC27" t="s">
        <v>12774</v>
      </c>
      <c r="ED27" t="s">
        <v>12775</v>
      </c>
      <c r="EE27" t="s">
        <v>12247</v>
      </c>
      <c r="EG27" t="s">
        <v>12247</v>
      </c>
    </row>
    <row r="28" spans="1:253" x14ac:dyDescent="0.25">
      <c r="A28" t="s">
        <v>15</v>
      </c>
      <c r="B28" t="s">
        <v>12247</v>
      </c>
      <c r="C28">
        <v>0</v>
      </c>
      <c r="D28">
        <v>4</v>
      </c>
      <c r="E28" t="s">
        <v>15</v>
      </c>
      <c r="F28" t="s">
        <v>12776</v>
      </c>
      <c r="G28">
        <v>0</v>
      </c>
      <c r="H28">
        <v>2</v>
      </c>
      <c r="I28" t="s">
        <v>12249</v>
      </c>
      <c r="J28">
        <v>1</v>
      </c>
      <c r="K28" t="s">
        <v>15</v>
      </c>
      <c r="L28" t="s">
        <v>12776</v>
      </c>
      <c r="M28">
        <v>0</v>
      </c>
      <c r="N28" t="s">
        <v>15</v>
      </c>
      <c r="O28" t="s">
        <v>12776</v>
      </c>
      <c r="P28">
        <v>0</v>
      </c>
      <c r="Q28" t="s">
        <v>15</v>
      </c>
      <c r="R28" t="s">
        <v>12776</v>
      </c>
      <c r="S28">
        <v>0</v>
      </c>
      <c r="T28" t="s">
        <v>15</v>
      </c>
      <c r="U28" t="s">
        <v>12776</v>
      </c>
      <c r="V28" t="s">
        <v>15</v>
      </c>
      <c r="X28" t="s">
        <v>12777</v>
      </c>
      <c r="Y28" t="s">
        <v>1350</v>
      </c>
      <c r="Z28" t="s">
        <v>12778</v>
      </c>
      <c r="AB28" t="s">
        <v>15</v>
      </c>
      <c r="AE28" t="s">
        <v>15</v>
      </c>
      <c r="AG28">
        <v>1</v>
      </c>
      <c r="AH28">
        <v>1</v>
      </c>
      <c r="AI28">
        <v>5</v>
      </c>
      <c r="AJ28">
        <v>11</v>
      </c>
      <c r="AK28">
        <v>9466856</v>
      </c>
      <c r="AL28">
        <v>13</v>
      </c>
      <c r="AM28">
        <v>2019</v>
      </c>
      <c r="AN28">
        <v>63080</v>
      </c>
      <c r="AO28">
        <v>2019</v>
      </c>
      <c r="AP28" t="s">
        <v>12277</v>
      </c>
      <c r="AQ28" t="s">
        <v>12305</v>
      </c>
      <c r="AR28" t="s">
        <v>1332</v>
      </c>
      <c r="AS28" t="s">
        <v>1350</v>
      </c>
      <c r="AT28" t="s">
        <v>1350</v>
      </c>
      <c r="AU28" t="s">
        <v>12776</v>
      </c>
      <c r="AV28" t="s">
        <v>12776</v>
      </c>
      <c r="AW28">
        <v>112</v>
      </c>
      <c r="AX28">
        <v>112</v>
      </c>
      <c r="AY28">
        <v>112</v>
      </c>
      <c r="AZ28" t="s">
        <v>1350</v>
      </c>
      <c r="BA28" t="s">
        <v>12776</v>
      </c>
      <c r="BB28">
        <v>23424765</v>
      </c>
      <c r="BC28">
        <v>23424765</v>
      </c>
      <c r="BD28" t="s">
        <v>12254</v>
      </c>
      <c r="BE28" t="s">
        <v>12776</v>
      </c>
      <c r="BG28" t="s">
        <v>12776</v>
      </c>
      <c r="BH28" t="s">
        <v>12776</v>
      </c>
      <c r="BI28" t="s">
        <v>12776</v>
      </c>
      <c r="BJ28" t="s">
        <v>12776</v>
      </c>
      <c r="BK28" t="s">
        <v>12776</v>
      </c>
      <c r="BL28" t="s">
        <v>12776</v>
      </c>
      <c r="BM28" t="s">
        <v>12776</v>
      </c>
      <c r="BN28" t="s">
        <v>12776</v>
      </c>
      <c r="BO28" t="s">
        <v>12776</v>
      </c>
      <c r="BP28" t="s">
        <v>12776</v>
      </c>
      <c r="BQ28" t="s">
        <v>12776</v>
      </c>
      <c r="BR28" t="s">
        <v>12776</v>
      </c>
      <c r="BS28" t="s">
        <v>12776</v>
      </c>
      <c r="BT28" t="s">
        <v>12776</v>
      </c>
      <c r="BU28" t="s">
        <v>12776</v>
      </c>
      <c r="BV28" t="s">
        <v>12776</v>
      </c>
      <c r="BW28" t="s">
        <v>12776</v>
      </c>
      <c r="BX28" t="s">
        <v>12776</v>
      </c>
      <c r="BY28" t="s">
        <v>12776</v>
      </c>
      <c r="BZ28" t="s">
        <v>12776</v>
      </c>
      <c r="CA28" t="s">
        <v>12776</v>
      </c>
      <c r="CB28" t="s">
        <v>12776</v>
      </c>
      <c r="CC28" t="s">
        <v>12776</v>
      </c>
      <c r="CD28" t="s">
        <v>12776</v>
      </c>
      <c r="CE28" t="s">
        <v>12776</v>
      </c>
      <c r="CF28" t="s">
        <v>12776</v>
      </c>
      <c r="CG28" t="s">
        <v>12776</v>
      </c>
      <c r="CH28" t="s">
        <v>12776</v>
      </c>
      <c r="CI28" t="s">
        <v>12776</v>
      </c>
      <c r="CJ28" t="s">
        <v>12776</v>
      </c>
      <c r="CK28" t="s">
        <v>12776</v>
      </c>
      <c r="CL28" t="s">
        <v>12776</v>
      </c>
      <c r="CM28">
        <v>-99</v>
      </c>
      <c r="CN28">
        <v>-99</v>
      </c>
      <c r="CO28" t="s">
        <v>12279</v>
      </c>
      <c r="CP28" t="s">
        <v>12279</v>
      </c>
      <c r="CQ28" t="s">
        <v>12779</v>
      </c>
      <c r="CR28" t="s">
        <v>12281</v>
      </c>
      <c r="CS28">
        <v>7</v>
      </c>
      <c r="CT28">
        <v>7</v>
      </c>
      <c r="CU28">
        <v>5</v>
      </c>
      <c r="CV28">
        <v>-99</v>
      </c>
      <c r="CW28">
        <v>1</v>
      </c>
      <c r="CX28">
        <v>0</v>
      </c>
      <c r="CY28">
        <v>3</v>
      </c>
      <c r="CZ28">
        <v>8</v>
      </c>
      <c r="DA28">
        <v>28.417701000000001</v>
      </c>
      <c r="DB28">
        <v>53.821888000000001</v>
      </c>
      <c r="DC28">
        <v>1159320427</v>
      </c>
      <c r="DD28" t="s">
        <v>12780</v>
      </c>
      <c r="DE28" t="s">
        <v>12781</v>
      </c>
      <c r="DF28" t="s">
        <v>12782</v>
      </c>
      <c r="DG28" t="s">
        <v>15</v>
      </c>
      <c r="DH28" t="s">
        <v>15</v>
      </c>
      <c r="DI28" t="s">
        <v>12783</v>
      </c>
      <c r="DJ28" t="s">
        <v>12784</v>
      </c>
      <c r="DK28" t="s">
        <v>12785</v>
      </c>
      <c r="DL28" t="s">
        <v>12786</v>
      </c>
      <c r="DM28" t="s">
        <v>12787</v>
      </c>
      <c r="DN28" t="s">
        <v>12788</v>
      </c>
      <c r="DO28" t="s">
        <v>12789</v>
      </c>
      <c r="DP28" t="s">
        <v>15</v>
      </c>
      <c r="DQ28" t="s">
        <v>12790</v>
      </c>
      <c r="DR28" t="s">
        <v>12791</v>
      </c>
      <c r="DS28" t="s">
        <v>12792</v>
      </c>
      <c r="DT28" t="s">
        <v>12793</v>
      </c>
      <c r="DU28" t="s">
        <v>12794</v>
      </c>
      <c r="DV28" t="s">
        <v>12795</v>
      </c>
      <c r="DW28" t="s">
        <v>12796</v>
      </c>
      <c r="DX28" t="s">
        <v>15</v>
      </c>
      <c r="DY28" t="s">
        <v>12797</v>
      </c>
      <c r="DZ28" t="s">
        <v>12798</v>
      </c>
      <c r="EA28" t="s">
        <v>12799</v>
      </c>
      <c r="EB28" t="s">
        <v>15</v>
      </c>
      <c r="EC28" t="s">
        <v>12800</v>
      </c>
      <c r="ED28" t="s">
        <v>12801</v>
      </c>
      <c r="EE28" t="s">
        <v>12247</v>
      </c>
      <c r="EG28" t="s">
        <v>12247</v>
      </c>
    </row>
    <row r="29" spans="1:253" x14ac:dyDescent="0.25">
      <c r="A29" t="s">
        <v>16</v>
      </c>
      <c r="B29" t="s">
        <v>12247</v>
      </c>
      <c r="C29">
        <v>0</v>
      </c>
      <c r="D29">
        <v>2</v>
      </c>
      <c r="E29" t="s">
        <v>16</v>
      </c>
      <c r="F29" t="s">
        <v>12802</v>
      </c>
      <c r="G29">
        <v>0</v>
      </c>
      <c r="H29">
        <v>2</v>
      </c>
      <c r="I29" t="s">
        <v>12249</v>
      </c>
      <c r="J29">
        <v>1</v>
      </c>
      <c r="K29" t="s">
        <v>16</v>
      </c>
      <c r="L29" t="s">
        <v>12802</v>
      </c>
      <c r="M29">
        <v>0</v>
      </c>
      <c r="N29" t="s">
        <v>16</v>
      </c>
      <c r="O29" t="s">
        <v>12802</v>
      </c>
      <c r="P29">
        <v>0</v>
      </c>
      <c r="Q29" t="s">
        <v>16</v>
      </c>
      <c r="R29" t="s">
        <v>12802</v>
      </c>
      <c r="S29">
        <v>0</v>
      </c>
      <c r="T29" t="s">
        <v>16</v>
      </c>
      <c r="U29" t="s">
        <v>12802</v>
      </c>
      <c r="V29" t="s">
        <v>16</v>
      </c>
      <c r="X29" t="s">
        <v>12803</v>
      </c>
      <c r="Y29" t="s">
        <v>12804</v>
      </c>
      <c r="Z29" t="s">
        <v>12805</v>
      </c>
      <c r="AB29" t="s">
        <v>16</v>
      </c>
      <c r="AE29" t="s">
        <v>16</v>
      </c>
      <c r="AG29">
        <v>3</v>
      </c>
      <c r="AH29">
        <v>2</v>
      </c>
      <c r="AI29">
        <v>1</v>
      </c>
      <c r="AJ29">
        <v>8</v>
      </c>
      <c r="AK29">
        <v>11484055</v>
      </c>
      <c r="AL29">
        <v>14</v>
      </c>
      <c r="AM29">
        <v>2019</v>
      </c>
      <c r="AN29">
        <v>533097</v>
      </c>
      <c r="AO29">
        <v>2019</v>
      </c>
      <c r="AP29" t="s">
        <v>12334</v>
      </c>
      <c r="AQ29" t="s">
        <v>12513</v>
      </c>
      <c r="AR29" t="s">
        <v>1302</v>
      </c>
      <c r="AS29" t="s">
        <v>1302</v>
      </c>
      <c r="AT29" t="s">
        <v>1302</v>
      </c>
      <c r="AU29" t="s">
        <v>12802</v>
      </c>
      <c r="AV29" t="s">
        <v>12802</v>
      </c>
      <c r="AW29">
        <v>56</v>
      </c>
      <c r="AX29">
        <v>56</v>
      </c>
      <c r="AY29">
        <v>56</v>
      </c>
      <c r="AZ29" t="s">
        <v>1302</v>
      </c>
      <c r="BA29" t="s">
        <v>12802</v>
      </c>
      <c r="BB29">
        <v>23424757</v>
      </c>
      <c r="BC29">
        <v>23424757</v>
      </c>
      <c r="BD29" t="s">
        <v>12254</v>
      </c>
      <c r="BE29" t="s">
        <v>12802</v>
      </c>
      <c r="BG29" t="s">
        <v>12802</v>
      </c>
      <c r="BH29" t="s">
        <v>12802</v>
      </c>
      <c r="BI29" t="s">
        <v>12802</v>
      </c>
      <c r="BJ29" t="s">
        <v>12802</v>
      </c>
      <c r="BK29" t="s">
        <v>12802</v>
      </c>
      <c r="BL29" t="s">
        <v>12802</v>
      </c>
      <c r="BM29" t="s">
        <v>12802</v>
      </c>
      <c r="BN29" t="s">
        <v>12802</v>
      </c>
      <c r="BO29" t="s">
        <v>12802</v>
      </c>
      <c r="BP29" t="s">
        <v>12802</v>
      </c>
      <c r="BQ29" t="s">
        <v>12802</v>
      </c>
      <c r="BR29" t="s">
        <v>12802</v>
      </c>
      <c r="BS29" t="s">
        <v>12802</v>
      </c>
      <c r="BT29" t="s">
        <v>12802</v>
      </c>
      <c r="BU29" t="s">
        <v>12802</v>
      </c>
      <c r="BV29" t="s">
        <v>12802</v>
      </c>
      <c r="BW29" t="s">
        <v>12802</v>
      </c>
      <c r="BX29" t="s">
        <v>12802</v>
      </c>
      <c r="BY29" t="s">
        <v>12802</v>
      </c>
      <c r="BZ29" t="s">
        <v>12802</v>
      </c>
      <c r="CA29" t="s">
        <v>12802</v>
      </c>
      <c r="CB29" t="s">
        <v>12802</v>
      </c>
      <c r="CC29" t="s">
        <v>12802</v>
      </c>
      <c r="CD29" t="s">
        <v>12802</v>
      </c>
      <c r="CE29" t="s">
        <v>12802</v>
      </c>
      <c r="CF29" t="s">
        <v>12802</v>
      </c>
      <c r="CG29" t="s">
        <v>12802</v>
      </c>
      <c r="CH29" t="s">
        <v>12802</v>
      </c>
      <c r="CI29" t="s">
        <v>12802</v>
      </c>
      <c r="CJ29" t="s">
        <v>12802</v>
      </c>
      <c r="CK29" t="s">
        <v>12802</v>
      </c>
      <c r="CL29" t="s">
        <v>12802</v>
      </c>
      <c r="CM29">
        <v>-99</v>
      </c>
      <c r="CN29">
        <v>-99</v>
      </c>
      <c r="CO29" t="s">
        <v>12279</v>
      </c>
      <c r="CP29" t="s">
        <v>12279</v>
      </c>
      <c r="CQ29" t="s">
        <v>12640</v>
      </c>
      <c r="CR29" t="s">
        <v>12281</v>
      </c>
      <c r="CS29">
        <v>7</v>
      </c>
      <c r="CT29">
        <v>7</v>
      </c>
      <c r="CU29">
        <v>5</v>
      </c>
      <c r="CV29">
        <v>-99</v>
      </c>
      <c r="CW29">
        <v>1</v>
      </c>
      <c r="CX29">
        <v>0</v>
      </c>
      <c r="CY29">
        <v>4</v>
      </c>
      <c r="CZ29">
        <v>9</v>
      </c>
      <c r="DA29">
        <v>4.8004480000000003</v>
      </c>
      <c r="DB29">
        <v>50.785392000000002</v>
      </c>
      <c r="DC29">
        <v>1159320389</v>
      </c>
      <c r="DD29" t="s">
        <v>12806</v>
      </c>
      <c r="DE29" t="s">
        <v>12807</v>
      </c>
      <c r="DF29" t="s">
        <v>12808</v>
      </c>
      <c r="DG29" t="s">
        <v>12809</v>
      </c>
      <c r="DH29" t="s">
        <v>16</v>
      </c>
      <c r="DI29" t="s">
        <v>12810</v>
      </c>
      <c r="DJ29" t="s">
        <v>12811</v>
      </c>
      <c r="DK29" t="s">
        <v>12812</v>
      </c>
      <c r="DL29" t="s">
        <v>12813</v>
      </c>
      <c r="DM29" t="s">
        <v>12814</v>
      </c>
      <c r="DN29" t="s">
        <v>12815</v>
      </c>
      <c r="DO29" t="s">
        <v>16</v>
      </c>
      <c r="DP29" t="s">
        <v>12816</v>
      </c>
      <c r="DQ29" t="s">
        <v>12817</v>
      </c>
      <c r="DR29" t="s">
        <v>12818</v>
      </c>
      <c r="DS29" t="s">
        <v>12819</v>
      </c>
      <c r="DT29" t="s">
        <v>12820</v>
      </c>
      <c r="DU29" t="s">
        <v>12816</v>
      </c>
      <c r="DV29" t="s">
        <v>12810</v>
      </c>
      <c r="DW29" t="s">
        <v>12821</v>
      </c>
      <c r="DX29" t="s">
        <v>12809</v>
      </c>
      <c r="DY29" t="s">
        <v>12822</v>
      </c>
      <c r="DZ29" t="s">
        <v>12823</v>
      </c>
      <c r="EA29" t="s">
        <v>12824</v>
      </c>
      <c r="EB29" t="s">
        <v>12825</v>
      </c>
      <c r="EC29" t="s">
        <v>12826</v>
      </c>
      <c r="ED29" t="s">
        <v>12827</v>
      </c>
      <c r="EE29" t="s">
        <v>12247</v>
      </c>
      <c r="EG29" t="s">
        <v>12247</v>
      </c>
    </row>
    <row r="30" spans="1:253" x14ac:dyDescent="0.25">
      <c r="A30" t="s">
        <v>17</v>
      </c>
      <c r="B30" t="s">
        <v>12247</v>
      </c>
      <c r="C30">
        <v>0</v>
      </c>
      <c r="D30">
        <v>6</v>
      </c>
      <c r="E30" t="s">
        <v>17</v>
      </c>
      <c r="F30" t="s">
        <v>12828</v>
      </c>
      <c r="G30">
        <v>0</v>
      </c>
      <c r="H30">
        <v>2</v>
      </c>
      <c r="I30" t="s">
        <v>12249</v>
      </c>
      <c r="J30">
        <v>1</v>
      </c>
      <c r="K30" t="s">
        <v>17</v>
      </c>
      <c r="L30" t="s">
        <v>12828</v>
      </c>
      <c r="M30">
        <v>0</v>
      </c>
      <c r="N30" t="s">
        <v>17</v>
      </c>
      <c r="O30" t="s">
        <v>12828</v>
      </c>
      <c r="P30">
        <v>0</v>
      </c>
      <c r="Q30" t="s">
        <v>17</v>
      </c>
      <c r="R30" t="s">
        <v>12828</v>
      </c>
      <c r="S30">
        <v>0</v>
      </c>
      <c r="T30" t="s">
        <v>17</v>
      </c>
      <c r="U30" t="s">
        <v>12828</v>
      </c>
      <c r="V30" t="s">
        <v>17</v>
      </c>
      <c r="X30" t="s">
        <v>17</v>
      </c>
      <c r="Y30" t="s">
        <v>1353</v>
      </c>
      <c r="Z30" t="s">
        <v>17</v>
      </c>
      <c r="AB30" t="s">
        <v>17</v>
      </c>
      <c r="AE30" t="s">
        <v>17</v>
      </c>
      <c r="AG30">
        <v>1</v>
      </c>
      <c r="AH30">
        <v>4</v>
      </c>
      <c r="AI30">
        <v>5</v>
      </c>
      <c r="AJ30">
        <v>7</v>
      </c>
      <c r="AK30">
        <v>390353</v>
      </c>
      <c r="AL30">
        <v>10</v>
      </c>
      <c r="AM30">
        <v>2019</v>
      </c>
      <c r="AN30">
        <v>1879</v>
      </c>
      <c r="AO30">
        <v>2019</v>
      </c>
      <c r="AP30" t="s">
        <v>12277</v>
      </c>
      <c r="AQ30" t="s">
        <v>12278</v>
      </c>
      <c r="AR30" t="s">
        <v>1313</v>
      </c>
      <c r="AS30" t="s">
        <v>1353</v>
      </c>
      <c r="AT30" t="s">
        <v>1353</v>
      </c>
      <c r="AU30" t="s">
        <v>12828</v>
      </c>
      <c r="AV30" t="s">
        <v>12828</v>
      </c>
      <c r="AW30">
        <v>84</v>
      </c>
      <c r="AX30">
        <v>84</v>
      </c>
      <c r="AY30">
        <v>84</v>
      </c>
      <c r="AZ30" t="s">
        <v>1353</v>
      </c>
      <c r="BA30" t="s">
        <v>12828</v>
      </c>
      <c r="BB30">
        <v>23424760</v>
      </c>
      <c r="BC30">
        <v>23424760</v>
      </c>
      <c r="BD30" t="s">
        <v>12254</v>
      </c>
      <c r="BE30" t="s">
        <v>12828</v>
      </c>
      <c r="BG30" t="s">
        <v>12828</v>
      </c>
      <c r="BH30" t="s">
        <v>12828</v>
      </c>
      <c r="BI30" t="s">
        <v>12828</v>
      </c>
      <c r="BJ30" t="s">
        <v>12828</v>
      </c>
      <c r="BK30" t="s">
        <v>12828</v>
      </c>
      <c r="BL30" t="s">
        <v>12828</v>
      </c>
      <c r="BM30" t="s">
        <v>12828</v>
      </c>
      <c r="BN30" t="s">
        <v>12828</v>
      </c>
      <c r="BO30" t="s">
        <v>12828</v>
      </c>
      <c r="BP30" t="s">
        <v>12828</v>
      </c>
      <c r="BQ30" t="s">
        <v>12828</v>
      </c>
      <c r="BR30" t="s">
        <v>12828</v>
      </c>
      <c r="BS30" t="s">
        <v>12828</v>
      </c>
      <c r="BT30" t="s">
        <v>12828</v>
      </c>
      <c r="BU30" t="s">
        <v>12828</v>
      </c>
      <c r="BV30" t="s">
        <v>12828</v>
      </c>
      <c r="BW30" t="s">
        <v>12828</v>
      </c>
      <c r="BX30" t="s">
        <v>12828</v>
      </c>
      <c r="BY30" t="s">
        <v>12828</v>
      </c>
      <c r="BZ30" t="s">
        <v>12828</v>
      </c>
      <c r="CA30" t="s">
        <v>12828</v>
      </c>
      <c r="CB30" t="s">
        <v>12828</v>
      </c>
      <c r="CC30" t="s">
        <v>12828</v>
      </c>
      <c r="CD30" t="s">
        <v>12828</v>
      </c>
      <c r="CE30" t="s">
        <v>12828</v>
      </c>
      <c r="CF30" t="s">
        <v>12828</v>
      </c>
      <c r="CG30" t="s">
        <v>12828</v>
      </c>
      <c r="CH30" t="s">
        <v>12828</v>
      </c>
      <c r="CI30" t="s">
        <v>12828</v>
      </c>
      <c r="CJ30" t="s">
        <v>12828</v>
      </c>
      <c r="CK30" t="s">
        <v>12828</v>
      </c>
      <c r="CL30" t="s">
        <v>12828</v>
      </c>
      <c r="CM30">
        <v>-99</v>
      </c>
      <c r="CN30">
        <v>-99</v>
      </c>
      <c r="CO30" t="s">
        <v>12402</v>
      </c>
      <c r="CP30" t="s">
        <v>12403</v>
      </c>
      <c r="CQ30" t="s">
        <v>12829</v>
      </c>
      <c r="CR30" t="s">
        <v>12405</v>
      </c>
      <c r="CS30">
        <v>6</v>
      </c>
      <c r="CT30">
        <v>6</v>
      </c>
      <c r="CU30">
        <v>6</v>
      </c>
      <c r="CV30">
        <v>-99</v>
      </c>
      <c r="CW30">
        <v>1</v>
      </c>
      <c r="CX30">
        <v>0</v>
      </c>
      <c r="CY30">
        <v>5</v>
      </c>
      <c r="CZ30">
        <v>10</v>
      </c>
      <c r="DA30">
        <v>-88.712962000000005</v>
      </c>
      <c r="DB30">
        <v>17.202068000000001</v>
      </c>
      <c r="DC30">
        <v>1159320431</v>
      </c>
      <c r="DD30" t="s">
        <v>12830</v>
      </c>
      <c r="DE30" t="s">
        <v>12831</v>
      </c>
      <c r="DF30" t="s">
        <v>12832</v>
      </c>
      <c r="DG30" t="s">
        <v>17</v>
      </c>
      <c r="DH30" t="s">
        <v>17</v>
      </c>
      <c r="DI30" t="s">
        <v>12833</v>
      </c>
      <c r="DJ30" t="s">
        <v>12834</v>
      </c>
      <c r="DK30" t="s">
        <v>17</v>
      </c>
      <c r="DL30" t="s">
        <v>12835</v>
      </c>
      <c r="DM30" t="s">
        <v>12836</v>
      </c>
      <c r="DN30" t="s">
        <v>12837</v>
      </c>
      <c r="DO30" t="s">
        <v>17</v>
      </c>
      <c r="DP30" t="s">
        <v>17</v>
      </c>
      <c r="DQ30" t="s">
        <v>17</v>
      </c>
      <c r="DR30" t="s">
        <v>12838</v>
      </c>
      <c r="DS30" t="s">
        <v>12839</v>
      </c>
      <c r="DT30" t="s">
        <v>17</v>
      </c>
      <c r="DU30" t="s">
        <v>17</v>
      </c>
      <c r="DV30" t="s">
        <v>17</v>
      </c>
      <c r="DW30" t="s">
        <v>12840</v>
      </c>
      <c r="DX30" t="s">
        <v>17</v>
      </c>
      <c r="DY30" t="s">
        <v>17</v>
      </c>
      <c r="DZ30" t="s">
        <v>12841</v>
      </c>
      <c r="EA30" t="s">
        <v>12842</v>
      </c>
      <c r="EB30" t="s">
        <v>17</v>
      </c>
      <c r="EC30" t="s">
        <v>12843</v>
      </c>
      <c r="ED30" t="s">
        <v>12844</v>
      </c>
      <c r="EE30" t="s">
        <v>12247</v>
      </c>
      <c r="EG30" t="s">
        <v>12247</v>
      </c>
    </row>
    <row r="31" spans="1:253" x14ac:dyDescent="0.25">
      <c r="A31" t="s">
        <v>18</v>
      </c>
      <c r="B31" t="s">
        <v>12247</v>
      </c>
      <c r="C31">
        <v>0</v>
      </c>
      <c r="D31">
        <v>5</v>
      </c>
      <c r="E31" t="s">
        <v>18</v>
      </c>
      <c r="F31" t="s">
        <v>12845</v>
      </c>
      <c r="G31">
        <v>0</v>
      </c>
      <c r="H31">
        <v>2</v>
      </c>
      <c r="I31" t="s">
        <v>12249</v>
      </c>
      <c r="J31">
        <v>1</v>
      </c>
      <c r="K31" t="s">
        <v>18</v>
      </c>
      <c r="L31" t="s">
        <v>12845</v>
      </c>
      <c r="M31">
        <v>0</v>
      </c>
      <c r="N31" t="s">
        <v>18</v>
      </c>
      <c r="O31" t="s">
        <v>12845</v>
      </c>
      <c r="P31">
        <v>0</v>
      </c>
      <c r="Q31" t="s">
        <v>18</v>
      </c>
      <c r="R31" t="s">
        <v>12845</v>
      </c>
      <c r="S31">
        <v>0</v>
      </c>
      <c r="T31" t="s">
        <v>18</v>
      </c>
      <c r="U31" t="s">
        <v>12845</v>
      </c>
      <c r="V31" t="s">
        <v>18</v>
      </c>
      <c r="X31" t="s">
        <v>18</v>
      </c>
      <c r="Y31" t="s">
        <v>1320</v>
      </c>
      <c r="Z31" t="s">
        <v>12846</v>
      </c>
      <c r="AB31" t="s">
        <v>18</v>
      </c>
      <c r="AE31" t="s">
        <v>18</v>
      </c>
      <c r="AG31">
        <v>1</v>
      </c>
      <c r="AH31">
        <v>2</v>
      </c>
      <c r="AI31">
        <v>2</v>
      </c>
      <c r="AJ31">
        <v>12</v>
      </c>
      <c r="AK31">
        <v>11801151</v>
      </c>
      <c r="AL31">
        <v>14</v>
      </c>
      <c r="AM31">
        <v>2019</v>
      </c>
      <c r="AN31">
        <v>14390</v>
      </c>
      <c r="AO31">
        <v>2019</v>
      </c>
      <c r="AP31" t="s">
        <v>12252</v>
      </c>
      <c r="AQ31" t="s">
        <v>12253</v>
      </c>
      <c r="AR31" t="s">
        <v>1329</v>
      </c>
      <c r="AS31" t="s">
        <v>1320</v>
      </c>
      <c r="AT31" t="s">
        <v>1320</v>
      </c>
      <c r="AU31" t="s">
        <v>12845</v>
      </c>
      <c r="AV31" t="s">
        <v>12845</v>
      </c>
      <c r="AW31">
        <v>204</v>
      </c>
      <c r="AX31">
        <v>204</v>
      </c>
      <c r="AY31">
        <v>204</v>
      </c>
      <c r="AZ31" t="s">
        <v>1320</v>
      </c>
      <c r="BA31" t="s">
        <v>12845</v>
      </c>
      <c r="BB31">
        <v>23424764</v>
      </c>
      <c r="BC31">
        <v>23424764</v>
      </c>
      <c r="BD31" t="s">
        <v>12254</v>
      </c>
      <c r="BE31" t="s">
        <v>12845</v>
      </c>
      <c r="BG31" t="s">
        <v>12845</v>
      </c>
      <c r="BH31" t="s">
        <v>12845</v>
      </c>
      <c r="BI31" t="s">
        <v>12845</v>
      </c>
      <c r="BJ31" t="s">
        <v>12845</v>
      </c>
      <c r="BK31" t="s">
        <v>12845</v>
      </c>
      <c r="BL31" t="s">
        <v>12845</v>
      </c>
      <c r="BM31" t="s">
        <v>12845</v>
      </c>
      <c r="BN31" t="s">
        <v>12845</v>
      </c>
      <c r="BO31" t="s">
        <v>12845</v>
      </c>
      <c r="BP31" t="s">
        <v>12845</v>
      </c>
      <c r="BQ31" t="s">
        <v>12845</v>
      </c>
      <c r="BR31" t="s">
        <v>12845</v>
      </c>
      <c r="BS31" t="s">
        <v>12845</v>
      </c>
      <c r="BT31" t="s">
        <v>12845</v>
      </c>
      <c r="BU31" t="s">
        <v>12845</v>
      </c>
      <c r="BV31" t="s">
        <v>12845</v>
      </c>
      <c r="BW31" t="s">
        <v>12845</v>
      </c>
      <c r="BX31" t="s">
        <v>12845</v>
      </c>
      <c r="BY31" t="s">
        <v>12845</v>
      </c>
      <c r="BZ31" t="s">
        <v>12845</v>
      </c>
      <c r="CA31" t="s">
        <v>12845</v>
      </c>
      <c r="CB31" t="s">
        <v>12845</v>
      </c>
      <c r="CC31" t="s">
        <v>12845</v>
      </c>
      <c r="CD31" t="s">
        <v>12845</v>
      </c>
      <c r="CE31" t="s">
        <v>12845</v>
      </c>
      <c r="CF31" t="s">
        <v>12845</v>
      </c>
      <c r="CG31" t="s">
        <v>12845</v>
      </c>
      <c r="CH31" t="s">
        <v>12845</v>
      </c>
      <c r="CI31" t="s">
        <v>12845</v>
      </c>
      <c r="CJ31" t="s">
        <v>12845</v>
      </c>
      <c r="CK31" t="s">
        <v>12845</v>
      </c>
      <c r="CL31" t="s">
        <v>12845</v>
      </c>
      <c r="CM31">
        <v>-99</v>
      </c>
      <c r="CN31">
        <v>-99</v>
      </c>
      <c r="CO31" t="s">
        <v>12306</v>
      </c>
      <c r="CP31" t="s">
        <v>12306</v>
      </c>
      <c r="CQ31" t="s">
        <v>12847</v>
      </c>
      <c r="CR31" t="s">
        <v>12357</v>
      </c>
      <c r="CS31">
        <v>5</v>
      </c>
      <c r="CT31">
        <v>5</v>
      </c>
      <c r="CU31">
        <v>5</v>
      </c>
      <c r="CV31">
        <v>-99</v>
      </c>
      <c r="CW31">
        <v>1</v>
      </c>
      <c r="CX31">
        <v>0</v>
      </c>
      <c r="CY31">
        <v>4</v>
      </c>
      <c r="CZ31">
        <v>9</v>
      </c>
      <c r="DA31">
        <v>2.3520180000000002</v>
      </c>
      <c r="DB31">
        <v>10.324775000000001</v>
      </c>
      <c r="DC31">
        <v>1159320399</v>
      </c>
      <c r="DD31" t="s">
        <v>12848</v>
      </c>
      <c r="DE31" t="s">
        <v>12849</v>
      </c>
      <c r="DF31" t="s">
        <v>12850</v>
      </c>
      <c r="DG31" t="s">
        <v>18</v>
      </c>
      <c r="DH31" t="s">
        <v>18</v>
      </c>
      <c r="DI31" t="s">
        <v>12851</v>
      </c>
      <c r="DJ31" t="s">
        <v>12852</v>
      </c>
      <c r="DK31" t="s">
        <v>12853</v>
      </c>
      <c r="DL31" t="s">
        <v>12854</v>
      </c>
      <c r="DM31" t="s">
        <v>12855</v>
      </c>
      <c r="DN31" t="s">
        <v>12856</v>
      </c>
      <c r="DO31" t="s">
        <v>18</v>
      </c>
      <c r="DP31" t="s">
        <v>18</v>
      </c>
      <c r="DQ31" t="s">
        <v>18</v>
      </c>
      <c r="DR31" t="s">
        <v>12857</v>
      </c>
      <c r="DS31" t="s">
        <v>12858</v>
      </c>
      <c r="DT31" t="s">
        <v>18</v>
      </c>
      <c r="DU31" t="s">
        <v>18</v>
      </c>
      <c r="DV31" t="s">
        <v>12859</v>
      </c>
      <c r="DW31" t="s">
        <v>12860</v>
      </c>
      <c r="DX31" t="s">
        <v>18</v>
      </c>
      <c r="DY31" t="s">
        <v>18</v>
      </c>
      <c r="DZ31" t="s">
        <v>12861</v>
      </c>
      <c r="EA31" t="s">
        <v>12862</v>
      </c>
      <c r="EB31" t="s">
        <v>12853</v>
      </c>
      <c r="EC31" t="s">
        <v>12863</v>
      </c>
      <c r="ED31" t="s">
        <v>12864</v>
      </c>
      <c r="EE31" t="s">
        <v>12247</v>
      </c>
      <c r="EG31" t="s">
        <v>12247</v>
      </c>
    </row>
    <row r="32" spans="1:253" x14ac:dyDescent="0.25">
      <c r="A32" t="s">
        <v>1201</v>
      </c>
      <c r="B32" t="s">
        <v>12247</v>
      </c>
      <c r="C32">
        <v>5</v>
      </c>
      <c r="D32">
        <v>6</v>
      </c>
      <c r="E32" t="s">
        <v>182</v>
      </c>
      <c r="F32" t="s">
        <v>12479</v>
      </c>
      <c r="G32">
        <v>1</v>
      </c>
      <c r="H32">
        <v>2</v>
      </c>
      <c r="I32" t="s">
        <v>12480</v>
      </c>
      <c r="J32">
        <v>1</v>
      </c>
      <c r="K32" t="s">
        <v>1201</v>
      </c>
      <c r="L32" t="s">
        <v>13319</v>
      </c>
      <c r="M32">
        <v>0</v>
      </c>
      <c r="N32" t="s">
        <v>1201</v>
      </c>
      <c r="O32" t="s">
        <v>13319</v>
      </c>
      <c r="P32">
        <v>0</v>
      </c>
      <c r="Q32" t="s">
        <v>1201</v>
      </c>
      <c r="R32" t="s">
        <v>13319</v>
      </c>
      <c r="S32">
        <v>0</v>
      </c>
      <c r="T32" t="s">
        <v>1201</v>
      </c>
      <c r="U32" t="s">
        <v>13319</v>
      </c>
      <c r="V32" t="s">
        <v>1201</v>
      </c>
      <c r="X32" t="s">
        <v>13320</v>
      </c>
      <c r="Y32" t="s">
        <v>1326</v>
      </c>
      <c r="Z32" t="s">
        <v>13321</v>
      </c>
      <c r="AB32" t="s">
        <v>1201</v>
      </c>
      <c r="AC32" t="s">
        <v>12486</v>
      </c>
      <c r="AE32" t="s">
        <v>1201</v>
      </c>
      <c r="AG32">
        <v>6</v>
      </c>
      <c r="AH32">
        <v>6</v>
      </c>
      <c r="AI32">
        <v>6</v>
      </c>
      <c r="AJ32">
        <v>3</v>
      </c>
      <c r="AK32">
        <v>63918</v>
      </c>
      <c r="AL32">
        <v>8</v>
      </c>
      <c r="AM32">
        <v>2019</v>
      </c>
      <c r="AN32">
        <v>7484</v>
      </c>
      <c r="AO32">
        <v>2019</v>
      </c>
      <c r="AP32" t="s">
        <v>12334</v>
      </c>
      <c r="AQ32" t="s">
        <v>12335</v>
      </c>
      <c r="AR32" t="s">
        <v>1299</v>
      </c>
      <c r="AS32" t="s">
        <v>1326</v>
      </c>
      <c r="AT32" t="s">
        <v>1326</v>
      </c>
      <c r="AU32" t="s">
        <v>13319</v>
      </c>
      <c r="AV32" t="s">
        <v>13319</v>
      </c>
      <c r="AW32">
        <v>60</v>
      </c>
      <c r="AX32">
        <v>60</v>
      </c>
      <c r="AY32">
        <v>60</v>
      </c>
      <c r="AZ32" t="s">
        <v>1326</v>
      </c>
      <c r="BA32" t="s">
        <v>13319</v>
      </c>
      <c r="BB32">
        <v>23424756</v>
      </c>
      <c r="BC32">
        <v>23424756</v>
      </c>
      <c r="BD32" t="s">
        <v>12254</v>
      </c>
      <c r="BE32" t="s">
        <v>13319</v>
      </c>
      <c r="BG32" t="s">
        <v>13319</v>
      </c>
      <c r="BH32" t="s">
        <v>13319</v>
      </c>
      <c r="BI32" t="s">
        <v>13319</v>
      </c>
      <c r="BJ32" t="s">
        <v>13319</v>
      </c>
      <c r="BK32" t="s">
        <v>13319</v>
      </c>
      <c r="BL32" t="s">
        <v>13319</v>
      </c>
      <c r="BM32" t="s">
        <v>13319</v>
      </c>
      <c r="BN32" t="s">
        <v>13319</v>
      </c>
      <c r="BO32" t="s">
        <v>13319</v>
      </c>
      <c r="BP32" t="s">
        <v>13319</v>
      </c>
      <c r="BQ32" t="s">
        <v>13319</v>
      </c>
      <c r="BR32" t="s">
        <v>13319</v>
      </c>
      <c r="BS32" t="s">
        <v>13319</v>
      </c>
      <c r="BT32" t="s">
        <v>13319</v>
      </c>
      <c r="BU32" t="s">
        <v>13319</v>
      </c>
      <c r="BV32" t="s">
        <v>13319</v>
      </c>
      <c r="BW32" t="s">
        <v>13319</v>
      </c>
      <c r="BX32" t="s">
        <v>13319</v>
      </c>
      <c r="BY32" t="s">
        <v>13319</v>
      </c>
      <c r="BZ32" t="s">
        <v>13319</v>
      </c>
      <c r="CA32" t="s">
        <v>13319</v>
      </c>
      <c r="CB32" t="s">
        <v>13319</v>
      </c>
      <c r="CC32" t="s">
        <v>13319</v>
      </c>
      <c r="CD32" t="s">
        <v>13319</v>
      </c>
      <c r="CE32" t="s">
        <v>13319</v>
      </c>
      <c r="CF32" t="s">
        <v>13319</v>
      </c>
      <c r="CG32" t="s">
        <v>13319</v>
      </c>
      <c r="CH32" t="s">
        <v>13319</v>
      </c>
      <c r="CI32" t="s">
        <v>13319</v>
      </c>
      <c r="CJ32" t="s">
        <v>13319</v>
      </c>
      <c r="CK32" t="s">
        <v>13319</v>
      </c>
      <c r="CL32" t="s">
        <v>13319</v>
      </c>
      <c r="CM32">
        <v>-99</v>
      </c>
      <c r="CN32">
        <v>-99</v>
      </c>
      <c r="CO32" t="s">
        <v>12402</v>
      </c>
      <c r="CP32" t="s">
        <v>12403</v>
      </c>
      <c r="CQ32" t="s">
        <v>13178</v>
      </c>
      <c r="CR32" t="s">
        <v>12402</v>
      </c>
      <c r="CS32">
        <v>7</v>
      </c>
      <c r="CT32">
        <v>7</v>
      </c>
      <c r="CU32">
        <v>5</v>
      </c>
      <c r="CV32">
        <v>4</v>
      </c>
      <c r="CW32">
        <v>-99</v>
      </c>
      <c r="CX32">
        <v>0</v>
      </c>
      <c r="CY32">
        <v>4</v>
      </c>
      <c r="CZ32">
        <v>9</v>
      </c>
      <c r="DA32">
        <v>-64.763572999999994</v>
      </c>
      <c r="DB32">
        <v>32.296591999999997</v>
      </c>
      <c r="DC32">
        <v>1159320705</v>
      </c>
      <c r="DD32" t="s">
        <v>13322</v>
      </c>
      <c r="DE32" t="s">
        <v>13323</v>
      </c>
      <c r="DF32" t="s">
        <v>13324</v>
      </c>
      <c r="DG32" t="s">
        <v>1201</v>
      </c>
      <c r="DH32" t="s">
        <v>1201</v>
      </c>
      <c r="DI32" t="s">
        <v>13325</v>
      </c>
      <c r="DJ32" t="s">
        <v>13323</v>
      </c>
      <c r="DK32" t="s">
        <v>13326</v>
      </c>
      <c r="DL32" t="s">
        <v>13327</v>
      </c>
      <c r="DM32" t="s">
        <v>13328</v>
      </c>
      <c r="DN32" t="s">
        <v>13329</v>
      </c>
      <c r="DO32" t="s">
        <v>1201</v>
      </c>
      <c r="DP32" t="s">
        <v>1201</v>
      </c>
      <c r="DQ32" t="s">
        <v>1201</v>
      </c>
      <c r="DR32" t="s">
        <v>13330</v>
      </c>
      <c r="DS32" t="s">
        <v>13331</v>
      </c>
      <c r="DT32" t="s">
        <v>1201</v>
      </c>
      <c r="DU32" t="s">
        <v>13332</v>
      </c>
      <c r="DV32" t="s">
        <v>13325</v>
      </c>
      <c r="DW32" t="s">
        <v>13333</v>
      </c>
      <c r="DX32" t="s">
        <v>1201</v>
      </c>
      <c r="DY32" t="s">
        <v>1201</v>
      </c>
      <c r="DZ32" t="s">
        <v>13334</v>
      </c>
      <c r="EA32" t="s">
        <v>13323</v>
      </c>
      <c r="EB32" t="s">
        <v>1201</v>
      </c>
      <c r="EC32" t="s">
        <v>13335</v>
      </c>
      <c r="ED32" t="s">
        <v>13336</v>
      </c>
      <c r="EE32" t="s">
        <v>12397</v>
      </c>
      <c r="EG32" t="s">
        <v>12397</v>
      </c>
    </row>
    <row r="33" spans="1:252" x14ac:dyDescent="0.25">
      <c r="A33" t="s">
        <v>19</v>
      </c>
      <c r="B33" t="s">
        <v>12247</v>
      </c>
      <c r="C33">
        <v>0</v>
      </c>
      <c r="D33">
        <v>5</v>
      </c>
      <c r="E33" t="s">
        <v>19</v>
      </c>
      <c r="F33" t="s">
        <v>12865</v>
      </c>
      <c r="G33">
        <v>0</v>
      </c>
      <c r="H33">
        <v>2</v>
      </c>
      <c r="I33" t="s">
        <v>12249</v>
      </c>
      <c r="J33">
        <v>1</v>
      </c>
      <c r="K33" t="s">
        <v>19</v>
      </c>
      <c r="L33" t="s">
        <v>12865</v>
      </c>
      <c r="M33">
        <v>0</v>
      </c>
      <c r="N33" t="s">
        <v>19</v>
      </c>
      <c r="O33" t="s">
        <v>12865</v>
      </c>
      <c r="P33">
        <v>0</v>
      </c>
      <c r="Q33" t="s">
        <v>19</v>
      </c>
      <c r="R33" t="s">
        <v>12865</v>
      </c>
      <c r="S33">
        <v>0</v>
      </c>
      <c r="T33" t="s">
        <v>19</v>
      </c>
      <c r="U33" t="s">
        <v>12865</v>
      </c>
      <c r="V33" t="s">
        <v>19</v>
      </c>
      <c r="X33" t="s">
        <v>19</v>
      </c>
      <c r="Y33" t="s">
        <v>1344</v>
      </c>
      <c r="Z33" t="s">
        <v>12866</v>
      </c>
      <c r="AB33" t="s">
        <v>19</v>
      </c>
      <c r="AE33" t="s">
        <v>19</v>
      </c>
      <c r="AG33">
        <v>5</v>
      </c>
      <c r="AH33">
        <v>6</v>
      </c>
      <c r="AI33">
        <v>1</v>
      </c>
      <c r="AJ33">
        <v>8</v>
      </c>
      <c r="AK33">
        <v>763092</v>
      </c>
      <c r="AL33">
        <v>11</v>
      </c>
      <c r="AM33">
        <v>2019</v>
      </c>
      <c r="AN33">
        <v>2530</v>
      </c>
      <c r="AO33">
        <v>2019</v>
      </c>
      <c r="AP33" t="s">
        <v>12252</v>
      </c>
      <c r="AQ33" t="s">
        <v>12278</v>
      </c>
      <c r="AR33" t="s">
        <v>1344</v>
      </c>
      <c r="AS33" t="s">
        <v>1344</v>
      </c>
      <c r="AT33" t="s">
        <v>1344</v>
      </c>
      <c r="AU33" t="s">
        <v>12865</v>
      </c>
      <c r="AV33" t="s">
        <v>12865</v>
      </c>
      <c r="AW33">
        <v>64</v>
      </c>
      <c r="AX33">
        <v>64</v>
      </c>
      <c r="AY33">
        <v>64</v>
      </c>
      <c r="AZ33" t="s">
        <v>1344</v>
      </c>
      <c r="BA33" t="s">
        <v>12865</v>
      </c>
      <c r="BB33">
        <v>23424770</v>
      </c>
      <c r="BC33">
        <v>23424770</v>
      </c>
      <c r="BD33" t="s">
        <v>12254</v>
      </c>
      <c r="BE33" t="s">
        <v>12865</v>
      </c>
      <c r="BG33" t="s">
        <v>12865</v>
      </c>
      <c r="BH33" t="s">
        <v>12865</v>
      </c>
      <c r="BI33" t="s">
        <v>12865</v>
      </c>
      <c r="BJ33" t="s">
        <v>12865</v>
      </c>
      <c r="BK33" t="s">
        <v>12865</v>
      </c>
      <c r="BL33" t="s">
        <v>12865</v>
      </c>
      <c r="BM33" t="s">
        <v>12865</v>
      </c>
      <c r="BN33" t="s">
        <v>12865</v>
      </c>
      <c r="BO33" t="s">
        <v>12865</v>
      </c>
      <c r="BP33" t="s">
        <v>12865</v>
      </c>
      <c r="BQ33" t="s">
        <v>12865</v>
      </c>
      <c r="BR33" t="s">
        <v>12865</v>
      </c>
      <c r="BS33" t="s">
        <v>12865</v>
      </c>
      <c r="BT33" t="s">
        <v>12865</v>
      </c>
      <c r="BU33" t="s">
        <v>12865</v>
      </c>
      <c r="BV33" t="s">
        <v>12865</v>
      </c>
      <c r="BW33" t="s">
        <v>12865</v>
      </c>
      <c r="BX33" t="s">
        <v>12865</v>
      </c>
      <c r="BY33" t="s">
        <v>12865</v>
      </c>
      <c r="BZ33" t="s">
        <v>12865</v>
      </c>
      <c r="CA33" t="s">
        <v>12865</v>
      </c>
      <c r="CB33" t="s">
        <v>12865</v>
      </c>
      <c r="CC33" t="s">
        <v>12865</v>
      </c>
      <c r="CD33" t="s">
        <v>12865</v>
      </c>
      <c r="CE33" t="s">
        <v>12865</v>
      </c>
      <c r="CF33" t="s">
        <v>12865</v>
      </c>
      <c r="CG33" t="s">
        <v>12865</v>
      </c>
      <c r="CH33" t="s">
        <v>12865</v>
      </c>
      <c r="CI33" t="s">
        <v>12865</v>
      </c>
      <c r="CJ33" t="s">
        <v>12865</v>
      </c>
      <c r="CK33" t="s">
        <v>12865</v>
      </c>
      <c r="CL33" t="s">
        <v>12865</v>
      </c>
      <c r="CM33">
        <v>-99</v>
      </c>
      <c r="CN33">
        <v>-99</v>
      </c>
      <c r="CO33" t="s">
        <v>12255</v>
      </c>
      <c r="CP33" t="s">
        <v>12255</v>
      </c>
      <c r="CQ33" t="s">
        <v>12256</v>
      </c>
      <c r="CR33" t="s">
        <v>12257</v>
      </c>
      <c r="CS33">
        <v>6</v>
      </c>
      <c r="CT33">
        <v>6</v>
      </c>
      <c r="CU33">
        <v>6</v>
      </c>
      <c r="CV33">
        <v>-99</v>
      </c>
      <c r="CW33">
        <v>1</v>
      </c>
      <c r="CX33">
        <v>0</v>
      </c>
      <c r="CY33">
        <v>4</v>
      </c>
      <c r="CZ33">
        <v>9</v>
      </c>
      <c r="DA33">
        <v>90.040294000000003</v>
      </c>
      <c r="DB33">
        <v>27.536684999999999</v>
      </c>
      <c r="DC33">
        <v>1159320453</v>
      </c>
      <c r="DD33" t="s">
        <v>12867</v>
      </c>
      <c r="DE33" t="s">
        <v>12868</v>
      </c>
      <c r="DF33" t="s">
        <v>12869</v>
      </c>
      <c r="DG33" t="s">
        <v>19</v>
      </c>
      <c r="DH33" t="s">
        <v>19</v>
      </c>
      <c r="DI33" t="s">
        <v>12870</v>
      </c>
      <c r="DJ33" t="s">
        <v>12868</v>
      </c>
      <c r="DK33" t="s">
        <v>12871</v>
      </c>
      <c r="DL33" t="s">
        <v>12872</v>
      </c>
      <c r="DM33" t="s">
        <v>12873</v>
      </c>
      <c r="DN33" t="s">
        <v>12874</v>
      </c>
      <c r="DO33" t="s">
        <v>12875</v>
      </c>
      <c r="DP33" t="s">
        <v>19</v>
      </c>
      <c r="DQ33" t="s">
        <v>19</v>
      </c>
      <c r="DR33" t="s">
        <v>12876</v>
      </c>
      <c r="DS33" t="s">
        <v>12877</v>
      </c>
      <c r="DT33" t="s">
        <v>19</v>
      </c>
      <c r="DU33" t="s">
        <v>19</v>
      </c>
      <c r="DV33" t="s">
        <v>12878</v>
      </c>
      <c r="DW33" t="s">
        <v>12879</v>
      </c>
      <c r="DX33" t="s">
        <v>19</v>
      </c>
      <c r="DY33" t="s">
        <v>19</v>
      </c>
      <c r="DZ33" t="s">
        <v>12879</v>
      </c>
      <c r="EA33" t="s">
        <v>12880</v>
      </c>
      <c r="EB33" t="s">
        <v>19</v>
      </c>
      <c r="EC33" t="s">
        <v>12881</v>
      </c>
      <c r="ED33" t="s">
        <v>12881</v>
      </c>
      <c r="EE33" t="s">
        <v>12247</v>
      </c>
      <c r="EG33" t="s">
        <v>12247</v>
      </c>
    </row>
    <row r="34" spans="1:252" x14ac:dyDescent="0.25">
      <c r="A34" t="s">
        <v>12882</v>
      </c>
      <c r="B34" t="s">
        <v>12247</v>
      </c>
      <c r="C34">
        <v>0</v>
      </c>
      <c r="D34">
        <v>8</v>
      </c>
      <c r="E34" t="s">
        <v>12882</v>
      </c>
      <c r="F34" t="s">
        <v>12883</v>
      </c>
      <c r="G34">
        <v>0</v>
      </c>
      <c r="H34">
        <v>2</v>
      </c>
      <c r="I34" t="s">
        <v>12371</v>
      </c>
      <c r="K34" t="s">
        <v>12882</v>
      </c>
      <c r="L34" t="s">
        <v>12883</v>
      </c>
      <c r="M34">
        <v>0</v>
      </c>
      <c r="N34" t="s">
        <v>12882</v>
      </c>
      <c r="O34" t="s">
        <v>12883</v>
      </c>
      <c r="P34">
        <v>0</v>
      </c>
      <c r="Q34" t="s">
        <v>12882</v>
      </c>
      <c r="R34" t="s">
        <v>12883</v>
      </c>
      <c r="S34">
        <v>1</v>
      </c>
      <c r="T34" t="s">
        <v>12882</v>
      </c>
      <c r="U34" t="s">
        <v>12884</v>
      </c>
      <c r="V34" t="s">
        <v>12882</v>
      </c>
      <c r="X34" t="s">
        <v>12885</v>
      </c>
      <c r="AD34" t="s">
        <v>12886</v>
      </c>
      <c r="AE34" t="s">
        <v>12882</v>
      </c>
      <c r="AG34">
        <v>1</v>
      </c>
      <c r="AH34">
        <v>1</v>
      </c>
      <c r="AI34">
        <v>2</v>
      </c>
      <c r="AJ34">
        <v>5</v>
      </c>
      <c r="AK34">
        <v>0</v>
      </c>
      <c r="AL34">
        <v>1</v>
      </c>
      <c r="AM34">
        <v>2019</v>
      </c>
      <c r="AN34">
        <v>0</v>
      </c>
      <c r="AO34">
        <v>2019</v>
      </c>
      <c r="AP34" t="s">
        <v>12252</v>
      </c>
      <c r="AQ34" t="s">
        <v>12253</v>
      </c>
      <c r="AR34">
        <v>-99</v>
      </c>
      <c r="AS34">
        <v>-99</v>
      </c>
      <c r="AT34">
        <v>-99</v>
      </c>
      <c r="AU34">
        <v>-99</v>
      </c>
      <c r="AV34">
        <v>-99</v>
      </c>
      <c r="AW34">
        <v>-99</v>
      </c>
      <c r="AX34">
        <v>-99</v>
      </c>
      <c r="AY34">
        <v>-99</v>
      </c>
      <c r="AZ34">
        <v>-99</v>
      </c>
      <c r="BA34">
        <v>-99</v>
      </c>
      <c r="BB34">
        <v>-99</v>
      </c>
      <c r="BC34">
        <v>-99</v>
      </c>
      <c r="BD34" t="s">
        <v>12488</v>
      </c>
      <c r="BE34">
        <v>-99</v>
      </c>
      <c r="BG34">
        <v>-99</v>
      </c>
      <c r="BH34" t="s">
        <v>12883</v>
      </c>
      <c r="BI34" t="s">
        <v>12883</v>
      </c>
      <c r="BJ34" t="s">
        <v>12883</v>
      </c>
      <c r="BK34" t="s">
        <v>12883</v>
      </c>
      <c r="BL34" t="s">
        <v>12883</v>
      </c>
      <c r="BM34" t="s">
        <v>12883</v>
      </c>
      <c r="BN34" t="s">
        <v>12883</v>
      </c>
      <c r="BO34" t="s">
        <v>12883</v>
      </c>
      <c r="BP34" t="s">
        <v>12883</v>
      </c>
      <c r="BQ34" t="s">
        <v>12883</v>
      </c>
      <c r="BR34" t="s">
        <v>12883</v>
      </c>
      <c r="BS34" t="s">
        <v>12883</v>
      </c>
      <c r="BT34" t="s">
        <v>12883</v>
      </c>
      <c r="BU34" t="s">
        <v>12883</v>
      </c>
      <c r="BV34" t="s">
        <v>12883</v>
      </c>
      <c r="BW34" t="s">
        <v>12883</v>
      </c>
      <c r="BX34" t="s">
        <v>12883</v>
      </c>
      <c r="BY34" t="s">
        <v>12883</v>
      </c>
      <c r="BZ34" t="s">
        <v>12883</v>
      </c>
      <c r="CA34" t="s">
        <v>12883</v>
      </c>
      <c r="CB34" t="s">
        <v>12883</v>
      </c>
      <c r="CC34" t="s">
        <v>12883</v>
      </c>
      <c r="CD34" t="s">
        <v>12883</v>
      </c>
      <c r="CE34" t="s">
        <v>12883</v>
      </c>
      <c r="CF34" t="s">
        <v>12883</v>
      </c>
      <c r="CG34" t="s">
        <v>12883</v>
      </c>
      <c r="CH34" t="s">
        <v>12883</v>
      </c>
      <c r="CI34" t="s">
        <v>12883</v>
      </c>
      <c r="CJ34" t="s">
        <v>12883</v>
      </c>
      <c r="CK34" t="s">
        <v>12883</v>
      </c>
      <c r="CL34" t="s">
        <v>12883</v>
      </c>
      <c r="CM34">
        <v>-99</v>
      </c>
      <c r="CN34">
        <v>-99</v>
      </c>
      <c r="CO34" t="s">
        <v>12306</v>
      </c>
      <c r="CP34" t="s">
        <v>12306</v>
      </c>
      <c r="CQ34" t="s">
        <v>12307</v>
      </c>
      <c r="CR34" t="s">
        <v>12308</v>
      </c>
      <c r="CS34">
        <v>9</v>
      </c>
      <c r="CT34">
        <v>9</v>
      </c>
      <c r="CU34">
        <v>8</v>
      </c>
      <c r="CV34">
        <v>-99</v>
      </c>
      <c r="CW34">
        <v>-99</v>
      </c>
      <c r="CX34">
        <v>7</v>
      </c>
      <c r="CY34">
        <v>7</v>
      </c>
      <c r="CZ34">
        <v>9</v>
      </c>
      <c r="DA34">
        <v>33.673428000000001</v>
      </c>
      <c r="DB34">
        <v>21.860441999999999</v>
      </c>
      <c r="DC34">
        <v>1729635091</v>
      </c>
      <c r="DD34" t="s">
        <v>12887</v>
      </c>
      <c r="DE34" t="s">
        <v>12888</v>
      </c>
      <c r="DF34" t="s">
        <v>12889</v>
      </c>
      <c r="DG34" t="s">
        <v>12882</v>
      </c>
      <c r="DH34" t="s">
        <v>12882</v>
      </c>
      <c r="DI34" t="s">
        <v>12882</v>
      </c>
      <c r="DJ34" t="s">
        <v>12890</v>
      </c>
      <c r="DK34" t="s">
        <v>12882</v>
      </c>
      <c r="DL34" t="s">
        <v>12891</v>
      </c>
      <c r="DM34" t="s">
        <v>12892</v>
      </c>
      <c r="DN34" t="s">
        <v>12893</v>
      </c>
      <c r="DO34" t="s">
        <v>12882</v>
      </c>
      <c r="DP34" t="s">
        <v>12882</v>
      </c>
      <c r="DQ34" t="s">
        <v>12882</v>
      </c>
      <c r="DR34" t="s">
        <v>12894</v>
      </c>
      <c r="DS34" t="s">
        <v>12895</v>
      </c>
      <c r="DT34" t="s">
        <v>12882</v>
      </c>
      <c r="DU34" t="s">
        <v>12882</v>
      </c>
      <c r="DV34" t="s">
        <v>12882</v>
      </c>
      <c r="DW34" t="s">
        <v>12896</v>
      </c>
      <c r="DX34" t="s">
        <v>12882</v>
      </c>
      <c r="DY34" t="s">
        <v>12882</v>
      </c>
      <c r="DZ34" t="s">
        <v>12897</v>
      </c>
      <c r="EA34" t="s">
        <v>12898</v>
      </c>
      <c r="EB34" t="s">
        <v>12882</v>
      </c>
      <c r="EC34" t="s">
        <v>12899</v>
      </c>
      <c r="ED34" t="s">
        <v>12900</v>
      </c>
      <c r="EE34" t="s">
        <v>12505</v>
      </c>
      <c r="EG34" t="s">
        <v>12505</v>
      </c>
    </row>
    <row r="35" spans="1:252" x14ac:dyDescent="0.25">
      <c r="A35" t="s">
        <v>20</v>
      </c>
      <c r="B35" t="s">
        <v>12247</v>
      </c>
      <c r="C35">
        <v>0</v>
      </c>
      <c r="D35">
        <v>3</v>
      </c>
      <c r="E35" t="s">
        <v>20</v>
      </c>
      <c r="F35" t="s">
        <v>12901</v>
      </c>
      <c r="G35">
        <v>0</v>
      </c>
      <c r="H35">
        <v>2</v>
      </c>
      <c r="I35" t="s">
        <v>12249</v>
      </c>
      <c r="J35">
        <v>1</v>
      </c>
      <c r="K35" t="s">
        <v>20</v>
      </c>
      <c r="L35" t="s">
        <v>12901</v>
      </c>
      <c r="M35">
        <v>0</v>
      </c>
      <c r="N35" t="s">
        <v>20</v>
      </c>
      <c r="O35" t="s">
        <v>12901</v>
      </c>
      <c r="P35">
        <v>0</v>
      </c>
      <c r="Q35" t="s">
        <v>20</v>
      </c>
      <c r="R35" t="s">
        <v>12901</v>
      </c>
      <c r="S35">
        <v>0</v>
      </c>
      <c r="T35" t="s">
        <v>20</v>
      </c>
      <c r="U35" t="s">
        <v>12901</v>
      </c>
      <c r="V35" t="s">
        <v>20</v>
      </c>
      <c r="X35" t="s">
        <v>20</v>
      </c>
      <c r="Y35" t="s">
        <v>1332</v>
      </c>
      <c r="Z35" t="s">
        <v>12902</v>
      </c>
      <c r="AB35" t="s">
        <v>20</v>
      </c>
      <c r="AE35" t="s">
        <v>20</v>
      </c>
      <c r="AG35">
        <v>1</v>
      </c>
      <c r="AH35">
        <v>5</v>
      </c>
      <c r="AI35">
        <v>2</v>
      </c>
      <c r="AJ35">
        <v>3</v>
      </c>
      <c r="AK35">
        <v>11513100</v>
      </c>
      <c r="AL35">
        <v>14</v>
      </c>
      <c r="AM35">
        <v>2019</v>
      </c>
      <c r="AN35">
        <v>40895</v>
      </c>
      <c r="AO35">
        <v>2019</v>
      </c>
      <c r="AP35" t="s">
        <v>12435</v>
      </c>
      <c r="AQ35" t="s">
        <v>12278</v>
      </c>
      <c r="AR35" t="s">
        <v>1323</v>
      </c>
      <c r="AS35" t="s">
        <v>1332</v>
      </c>
      <c r="AT35" t="s">
        <v>1332</v>
      </c>
      <c r="AU35" t="s">
        <v>12901</v>
      </c>
      <c r="AV35" t="s">
        <v>12901</v>
      </c>
      <c r="AW35">
        <v>68</v>
      </c>
      <c r="AX35">
        <v>68</v>
      </c>
      <c r="AY35">
        <v>68</v>
      </c>
      <c r="AZ35" t="s">
        <v>1332</v>
      </c>
      <c r="BA35" t="s">
        <v>12901</v>
      </c>
      <c r="BB35">
        <v>23424762</v>
      </c>
      <c r="BC35">
        <v>23424762</v>
      </c>
      <c r="BD35" t="s">
        <v>12254</v>
      </c>
      <c r="BE35" t="s">
        <v>12901</v>
      </c>
      <c r="BG35" t="s">
        <v>12901</v>
      </c>
      <c r="BH35" t="s">
        <v>12901</v>
      </c>
      <c r="BI35" t="s">
        <v>12901</v>
      </c>
      <c r="BJ35" t="s">
        <v>12901</v>
      </c>
      <c r="BK35" t="s">
        <v>12901</v>
      </c>
      <c r="BL35" t="s">
        <v>12901</v>
      </c>
      <c r="BM35" t="s">
        <v>12901</v>
      </c>
      <c r="BN35" t="s">
        <v>12901</v>
      </c>
      <c r="BO35" t="s">
        <v>12901</v>
      </c>
      <c r="BP35" t="s">
        <v>12901</v>
      </c>
      <c r="BQ35" t="s">
        <v>12901</v>
      </c>
      <c r="BR35" t="s">
        <v>12901</v>
      </c>
      <c r="BS35" t="s">
        <v>12901</v>
      </c>
      <c r="BT35" t="s">
        <v>12901</v>
      </c>
      <c r="BU35" t="s">
        <v>12901</v>
      </c>
      <c r="BV35" t="s">
        <v>12901</v>
      </c>
      <c r="BW35" t="s">
        <v>12901</v>
      </c>
      <c r="BX35" t="s">
        <v>12901</v>
      </c>
      <c r="BY35" t="s">
        <v>12901</v>
      </c>
      <c r="BZ35" t="s">
        <v>12901</v>
      </c>
      <c r="CA35" t="s">
        <v>12901</v>
      </c>
      <c r="CB35" t="s">
        <v>12901</v>
      </c>
      <c r="CC35" t="s">
        <v>12901</v>
      </c>
      <c r="CD35" t="s">
        <v>12901</v>
      </c>
      <c r="CE35" t="s">
        <v>12901</v>
      </c>
      <c r="CF35" t="s">
        <v>12901</v>
      </c>
      <c r="CG35" t="s">
        <v>12901</v>
      </c>
      <c r="CH35" t="s">
        <v>12901</v>
      </c>
      <c r="CI35" t="s">
        <v>12901</v>
      </c>
      <c r="CJ35" t="s">
        <v>12901</v>
      </c>
      <c r="CK35" t="s">
        <v>12901</v>
      </c>
      <c r="CL35" t="s">
        <v>12901</v>
      </c>
      <c r="CM35">
        <v>-99</v>
      </c>
      <c r="CN35">
        <v>-99</v>
      </c>
      <c r="CO35" t="s">
        <v>12436</v>
      </c>
      <c r="CP35" t="s">
        <v>12403</v>
      </c>
      <c r="CQ35" t="s">
        <v>12436</v>
      </c>
      <c r="CR35" t="s">
        <v>12405</v>
      </c>
      <c r="CS35">
        <v>7</v>
      </c>
      <c r="CT35">
        <v>7</v>
      </c>
      <c r="CU35">
        <v>7</v>
      </c>
      <c r="CV35">
        <v>-99</v>
      </c>
      <c r="CW35">
        <v>1</v>
      </c>
      <c r="CX35">
        <v>0</v>
      </c>
      <c r="CY35">
        <v>3</v>
      </c>
      <c r="CZ35">
        <v>7.5</v>
      </c>
      <c r="DA35">
        <v>-64.593433000000005</v>
      </c>
      <c r="DB35">
        <v>-16.666015000000002</v>
      </c>
      <c r="DC35">
        <v>1159320439</v>
      </c>
      <c r="DD35" t="s">
        <v>12903</v>
      </c>
      <c r="DE35" t="s">
        <v>12904</v>
      </c>
      <c r="DF35" t="s">
        <v>12905</v>
      </c>
      <c r="DG35" t="s">
        <v>12906</v>
      </c>
      <c r="DH35" t="s">
        <v>20</v>
      </c>
      <c r="DI35" t="s">
        <v>20</v>
      </c>
      <c r="DJ35" t="s">
        <v>12907</v>
      </c>
      <c r="DK35" t="s">
        <v>12908</v>
      </c>
      <c r="DL35" t="s">
        <v>12909</v>
      </c>
      <c r="DM35" t="s">
        <v>12910</v>
      </c>
      <c r="DN35" t="s">
        <v>12911</v>
      </c>
      <c r="DO35" t="s">
        <v>12912</v>
      </c>
      <c r="DP35" t="s">
        <v>20</v>
      </c>
      <c r="DQ35" t="s">
        <v>20</v>
      </c>
      <c r="DR35" t="s">
        <v>12913</v>
      </c>
      <c r="DS35" t="s">
        <v>12914</v>
      </c>
      <c r="DT35" t="s">
        <v>20</v>
      </c>
      <c r="DU35" t="s">
        <v>12915</v>
      </c>
      <c r="DV35" t="s">
        <v>12912</v>
      </c>
      <c r="DW35" t="s">
        <v>12916</v>
      </c>
      <c r="DX35" t="s">
        <v>20</v>
      </c>
      <c r="DY35" t="s">
        <v>12917</v>
      </c>
      <c r="DZ35" t="s">
        <v>12918</v>
      </c>
      <c r="EA35" t="s">
        <v>12919</v>
      </c>
      <c r="EB35" t="s">
        <v>20</v>
      </c>
      <c r="EC35" t="s">
        <v>12920</v>
      </c>
      <c r="ED35" t="s">
        <v>12921</v>
      </c>
      <c r="EE35" t="s">
        <v>12247</v>
      </c>
      <c r="EG35" t="s">
        <v>12247</v>
      </c>
    </row>
    <row r="36" spans="1:252" x14ac:dyDescent="0.25">
      <c r="A36" t="s">
        <v>1202</v>
      </c>
      <c r="B36" t="s">
        <v>17202</v>
      </c>
      <c r="C36">
        <v>10</v>
      </c>
      <c r="L36" t="s">
        <v>8865</v>
      </c>
      <c r="FN36" t="s">
        <v>18735</v>
      </c>
      <c r="FO36">
        <v>5149</v>
      </c>
      <c r="FP36" t="s">
        <v>18736</v>
      </c>
      <c r="FQ36" t="s">
        <v>1748</v>
      </c>
      <c r="FR36">
        <v>3</v>
      </c>
      <c r="FU36" t="s">
        <v>18737</v>
      </c>
      <c r="FV36" t="s">
        <v>18738</v>
      </c>
      <c r="FX36" t="s">
        <v>18739</v>
      </c>
      <c r="GB36">
        <v>0</v>
      </c>
      <c r="GC36">
        <v>0</v>
      </c>
      <c r="GD36">
        <v>0</v>
      </c>
      <c r="GE36">
        <v>10</v>
      </c>
      <c r="GH36">
        <v>0</v>
      </c>
      <c r="GI36">
        <v>-99</v>
      </c>
      <c r="GJ36">
        <v>20</v>
      </c>
      <c r="GK36">
        <v>7</v>
      </c>
      <c r="GL36">
        <v>2</v>
      </c>
      <c r="GM36">
        <v>9</v>
      </c>
      <c r="GP36">
        <v>24549811</v>
      </c>
      <c r="GQ36" t="s">
        <v>18740</v>
      </c>
      <c r="GR36" t="s">
        <v>1202</v>
      </c>
      <c r="GS36">
        <v>12.231400000000001</v>
      </c>
      <c r="GT36">
        <v>-68.302899999999994</v>
      </c>
      <c r="GU36" t="s">
        <v>12583</v>
      </c>
      <c r="GV36" t="s">
        <v>8865</v>
      </c>
      <c r="GW36">
        <v>6</v>
      </c>
      <c r="GX36" t="s">
        <v>18741</v>
      </c>
      <c r="GZ36" t="s">
        <v>17558</v>
      </c>
      <c r="HA36">
        <v>7609816</v>
      </c>
      <c r="HB36" t="s">
        <v>1202</v>
      </c>
      <c r="HC36">
        <v>0</v>
      </c>
      <c r="HE36">
        <v>1</v>
      </c>
      <c r="HG36" t="s">
        <v>18742</v>
      </c>
      <c r="HJ36">
        <v>0</v>
      </c>
      <c r="HN36">
        <v>11</v>
      </c>
      <c r="HO36">
        <v>11</v>
      </c>
      <c r="HP36">
        <v>8</v>
      </c>
      <c r="HQ36" t="s">
        <v>18743</v>
      </c>
      <c r="HR36" t="s">
        <v>18744</v>
      </c>
      <c r="HS36" t="s">
        <v>18745</v>
      </c>
      <c r="HT36" t="s">
        <v>1202</v>
      </c>
      <c r="HU36" t="s">
        <v>1202</v>
      </c>
      <c r="HV36" t="s">
        <v>1202</v>
      </c>
      <c r="HW36" t="s">
        <v>1202</v>
      </c>
      <c r="HX36" t="s">
        <v>18746</v>
      </c>
      <c r="HY36" t="s">
        <v>18747</v>
      </c>
      <c r="HZ36" t="s">
        <v>1202</v>
      </c>
      <c r="IA36" t="s">
        <v>1202</v>
      </c>
      <c r="IB36" t="s">
        <v>1202</v>
      </c>
      <c r="IC36" t="s">
        <v>18748</v>
      </c>
      <c r="ID36" t="s">
        <v>18749</v>
      </c>
      <c r="IE36" t="s">
        <v>1202</v>
      </c>
      <c r="IF36" t="s">
        <v>1202</v>
      </c>
      <c r="IG36" t="s">
        <v>1202</v>
      </c>
      <c r="IH36" t="s">
        <v>18750</v>
      </c>
      <c r="II36" t="s">
        <v>1202</v>
      </c>
      <c r="IJ36" t="s">
        <v>1202</v>
      </c>
      <c r="IK36" t="s">
        <v>1202</v>
      </c>
      <c r="IL36" t="s">
        <v>18751</v>
      </c>
      <c r="IM36">
        <v>1159315527</v>
      </c>
      <c r="IN36" t="s">
        <v>18752</v>
      </c>
      <c r="IO36" t="s">
        <v>18753</v>
      </c>
      <c r="IP36" t="s">
        <v>18754</v>
      </c>
      <c r="IQ36" t="s">
        <v>18755</v>
      </c>
      <c r="IR36" t="s">
        <v>18756</v>
      </c>
    </row>
    <row r="37" spans="1:252" x14ac:dyDescent="0.25">
      <c r="A37" t="s">
        <v>21</v>
      </c>
      <c r="B37" t="s">
        <v>12247</v>
      </c>
      <c r="C37">
        <v>0</v>
      </c>
      <c r="D37">
        <v>5</v>
      </c>
      <c r="E37" t="s">
        <v>21</v>
      </c>
      <c r="F37" t="s">
        <v>12922</v>
      </c>
      <c r="G37">
        <v>0</v>
      </c>
      <c r="H37">
        <v>2</v>
      </c>
      <c r="I37" t="s">
        <v>12249</v>
      </c>
      <c r="J37">
        <v>1</v>
      </c>
      <c r="K37" t="s">
        <v>21</v>
      </c>
      <c r="L37" t="s">
        <v>12922</v>
      </c>
      <c r="M37">
        <v>0</v>
      </c>
      <c r="N37" t="s">
        <v>21</v>
      </c>
      <c r="O37" t="s">
        <v>12922</v>
      </c>
      <c r="P37">
        <v>0</v>
      </c>
      <c r="Q37" t="s">
        <v>21</v>
      </c>
      <c r="R37" t="s">
        <v>12922</v>
      </c>
      <c r="S37">
        <v>0</v>
      </c>
      <c r="T37" t="s">
        <v>21</v>
      </c>
      <c r="U37" t="s">
        <v>12922</v>
      </c>
      <c r="V37" t="s">
        <v>21</v>
      </c>
      <c r="X37" t="s">
        <v>12923</v>
      </c>
      <c r="Y37" t="s">
        <v>12924</v>
      </c>
      <c r="Z37" t="s">
        <v>21</v>
      </c>
      <c r="AB37" t="s">
        <v>21</v>
      </c>
      <c r="AE37" t="s">
        <v>21</v>
      </c>
      <c r="AG37">
        <v>1</v>
      </c>
      <c r="AH37">
        <v>1</v>
      </c>
      <c r="AI37">
        <v>1</v>
      </c>
      <c r="AJ37">
        <v>2</v>
      </c>
      <c r="AK37">
        <v>3301000</v>
      </c>
      <c r="AL37">
        <v>12</v>
      </c>
      <c r="AM37">
        <v>2019</v>
      </c>
      <c r="AN37">
        <v>20164</v>
      </c>
      <c r="AO37">
        <v>2019</v>
      </c>
      <c r="AP37" t="s">
        <v>12277</v>
      </c>
      <c r="AQ37" t="s">
        <v>12305</v>
      </c>
      <c r="AR37" t="s">
        <v>12925</v>
      </c>
      <c r="AS37" t="s">
        <v>1293</v>
      </c>
      <c r="AT37" t="s">
        <v>1293</v>
      </c>
      <c r="AU37" t="s">
        <v>12922</v>
      </c>
      <c r="AV37" t="s">
        <v>12922</v>
      </c>
      <c r="AW37">
        <v>70</v>
      </c>
      <c r="AX37">
        <v>70</v>
      </c>
      <c r="AY37">
        <v>70</v>
      </c>
      <c r="AZ37" t="s">
        <v>1293</v>
      </c>
      <c r="BA37" t="s">
        <v>12922</v>
      </c>
      <c r="BB37">
        <v>23424761</v>
      </c>
      <c r="BC37">
        <v>23424761</v>
      </c>
      <c r="BD37" t="s">
        <v>12254</v>
      </c>
      <c r="BE37" t="s">
        <v>12922</v>
      </c>
      <c r="BG37" t="s">
        <v>12922</v>
      </c>
      <c r="BH37" t="s">
        <v>12922</v>
      </c>
      <c r="BI37" t="s">
        <v>12922</v>
      </c>
      <c r="BJ37" t="s">
        <v>12922</v>
      </c>
      <c r="BK37" t="s">
        <v>12922</v>
      </c>
      <c r="BL37" t="s">
        <v>12922</v>
      </c>
      <c r="BM37" t="s">
        <v>12922</v>
      </c>
      <c r="BN37" t="s">
        <v>12922</v>
      </c>
      <c r="BO37" t="s">
        <v>12922</v>
      </c>
      <c r="BP37" t="s">
        <v>12922</v>
      </c>
      <c r="BQ37" t="s">
        <v>12922</v>
      </c>
      <c r="BR37" t="s">
        <v>12922</v>
      </c>
      <c r="BS37" t="s">
        <v>12922</v>
      </c>
      <c r="BT37" t="s">
        <v>12922</v>
      </c>
      <c r="BU37" t="s">
        <v>12922</v>
      </c>
      <c r="BV37" t="s">
        <v>12922</v>
      </c>
      <c r="BW37" t="s">
        <v>12922</v>
      </c>
      <c r="BX37" t="s">
        <v>12922</v>
      </c>
      <c r="BY37" t="s">
        <v>12922</v>
      </c>
      <c r="BZ37" t="s">
        <v>12922</v>
      </c>
      <c r="CA37" t="s">
        <v>12922</v>
      </c>
      <c r="CB37" t="s">
        <v>12922</v>
      </c>
      <c r="CC37" t="s">
        <v>12922</v>
      </c>
      <c r="CD37" t="s">
        <v>12922</v>
      </c>
      <c r="CE37" t="s">
        <v>12922</v>
      </c>
      <c r="CF37" t="s">
        <v>12922</v>
      </c>
      <c r="CG37" t="s">
        <v>12922</v>
      </c>
      <c r="CH37" t="s">
        <v>12922</v>
      </c>
      <c r="CI37" t="s">
        <v>12922</v>
      </c>
      <c r="CJ37" t="s">
        <v>12922</v>
      </c>
      <c r="CK37" t="s">
        <v>12922</v>
      </c>
      <c r="CL37" t="s">
        <v>12922</v>
      </c>
      <c r="CM37">
        <v>-99</v>
      </c>
      <c r="CN37">
        <v>-99</v>
      </c>
      <c r="CO37" t="s">
        <v>12279</v>
      </c>
      <c r="CP37" t="s">
        <v>12279</v>
      </c>
      <c r="CQ37" t="s">
        <v>12280</v>
      </c>
      <c r="CR37" t="s">
        <v>12281</v>
      </c>
      <c r="CS37">
        <v>16</v>
      </c>
      <c r="CT37">
        <v>22</v>
      </c>
      <c r="CU37">
        <v>4</v>
      </c>
      <c r="CV37">
        <v>-99</v>
      </c>
      <c r="CW37">
        <v>1</v>
      </c>
      <c r="CX37">
        <v>0</v>
      </c>
      <c r="CY37">
        <v>4.5</v>
      </c>
      <c r="CZ37">
        <v>6.8</v>
      </c>
      <c r="DA37">
        <v>18.06841</v>
      </c>
      <c r="DB37">
        <v>44.091051</v>
      </c>
      <c r="DC37">
        <v>1159320417</v>
      </c>
      <c r="DD37" t="s">
        <v>12926</v>
      </c>
      <c r="DE37" t="s">
        <v>12927</v>
      </c>
      <c r="DF37" t="s">
        <v>12928</v>
      </c>
      <c r="DG37" t="s">
        <v>12929</v>
      </c>
      <c r="DH37" t="s">
        <v>21</v>
      </c>
      <c r="DI37" t="s">
        <v>12930</v>
      </c>
      <c r="DJ37" t="s">
        <v>12931</v>
      </c>
      <c r="DK37" t="s">
        <v>12932</v>
      </c>
      <c r="DL37" t="s">
        <v>12933</v>
      </c>
      <c r="DM37" t="s">
        <v>12934</v>
      </c>
      <c r="DN37" t="s">
        <v>12935</v>
      </c>
      <c r="DO37" t="s">
        <v>12936</v>
      </c>
      <c r="DP37" t="s">
        <v>12937</v>
      </c>
      <c r="DQ37" t="s">
        <v>12938</v>
      </c>
      <c r="DR37" t="s">
        <v>12939</v>
      </c>
      <c r="DS37" t="s">
        <v>12940</v>
      </c>
      <c r="DT37" t="s">
        <v>12941</v>
      </c>
      <c r="DU37" t="s">
        <v>12942</v>
      </c>
      <c r="DV37" t="s">
        <v>12943</v>
      </c>
      <c r="DW37" t="s">
        <v>12944</v>
      </c>
      <c r="DX37" t="s">
        <v>12945</v>
      </c>
      <c r="DY37" t="s">
        <v>12946</v>
      </c>
      <c r="DZ37" t="s">
        <v>12947</v>
      </c>
      <c r="EA37" t="s">
        <v>12948</v>
      </c>
      <c r="EB37" t="s">
        <v>12949</v>
      </c>
      <c r="EC37" t="s">
        <v>12950</v>
      </c>
      <c r="ED37" t="s">
        <v>12951</v>
      </c>
      <c r="EE37" t="s">
        <v>12247</v>
      </c>
      <c r="EG37" t="s">
        <v>12247</v>
      </c>
    </row>
    <row r="38" spans="1:252" x14ac:dyDescent="0.25">
      <c r="A38" t="s">
        <v>22</v>
      </c>
      <c r="B38" t="s">
        <v>12247</v>
      </c>
      <c r="C38">
        <v>0</v>
      </c>
      <c r="D38">
        <v>4</v>
      </c>
      <c r="E38" t="s">
        <v>22</v>
      </c>
      <c r="F38" t="s">
        <v>12952</v>
      </c>
      <c r="G38">
        <v>0</v>
      </c>
      <c r="H38">
        <v>2</v>
      </c>
      <c r="I38" t="s">
        <v>12249</v>
      </c>
      <c r="J38">
        <v>1</v>
      </c>
      <c r="K38" t="s">
        <v>22</v>
      </c>
      <c r="L38" t="s">
        <v>12952</v>
      </c>
      <c r="M38">
        <v>0</v>
      </c>
      <c r="N38" t="s">
        <v>22</v>
      </c>
      <c r="O38" t="s">
        <v>12952</v>
      </c>
      <c r="P38">
        <v>0</v>
      </c>
      <c r="Q38" t="s">
        <v>22</v>
      </c>
      <c r="R38" t="s">
        <v>12952</v>
      </c>
      <c r="S38">
        <v>0</v>
      </c>
      <c r="T38" t="s">
        <v>22</v>
      </c>
      <c r="U38" t="s">
        <v>12952</v>
      </c>
      <c r="V38" t="s">
        <v>22</v>
      </c>
      <c r="X38" t="s">
        <v>12953</v>
      </c>
      <c r="Y38" t="s">
        <v>1347</v>
      </c>
      <c r="Z38" t="s">
        <v>12954</v>
      </c>
      <c r="AB38" t="s">
        <v>22</v>
      </c>
      <c r="AE38" t="s">
        <v>22</v>
      </c>
      <c r="AG38">
        <v>6</v>
      </c>
      <c r="AH38">
        <v>5</v>
      </c>
      <c r="AI38">
        <v>7</v>
      </c>
      <c r="AJ38">
        <v>3</v>
      </c>
      <c r="AK38">
        <v>2303697</v>
      </c>
      <c r="AL38">
        <v>12</v>
      </c>
      <c r="AM38">
        <v>2019</v>
      </c>
      <c r="AN38">
        <v>18340</v>
      </c>
      <c r="AO38">
        <v>2019</v>
      </c>
      <c r="AP38" t="s">
        <v>12277</v>
      </c>
      <c r="AQ38" t="s">
        <v>12305</v>
      </c>
      <c r="AR38" t="s">
        <v>12955</v>
      </c>
      <c r="AS38" t="s">
        <v>1347</v>
      </c>
      <c r="AT38" t="s">
        <v>1347</v>
      </c>
      <c r="AU38" t="s">
        <v>12952</v>
      </c>
      <c r="AV38" t="s">
        <v>12952</v>
      </c>
      <c r="AW38">
        <v>72</v>
      </c>
      <c r="AX38">
        <v>72</v>
      </c>
      <c r="AY38">
        <v>72</v>
      </c>
      <c r="AZ38" t="s">
        <v>1347</v>
      </c>
      <c r="BA38" t="s">
        <v>12952</v>
      </c>
      <c r="BB38">
        <v>23424755</v>
      </c>
      <c r="BC38">
        <v>23424755</v>
      </c>
      <c r="BD38" t="s">
        <v>12254</v>
      </c>
      <c r="BE38" t="s">
        <v>12952</v>
      </c>
      <c r="BG38" t="s">
        <v>12952</v>
      </c>
      <c r="BH38" t="s">
        <v>12952</v>
      </c>
      <c r="BI38" t="s">
        <v>12952</v>
      </c>
      <c r="BJ38" t="s">
        <v>12952</v>
      </c>
      <c r="BK38" t="s">
        <v>12952</v>
      </c>
      <c r="BL38" t="s">
        <v>12952</v>
      </c>
      <c r="BM38" t="s">
        <v>12952</v>
      </c>
      <c r="BN38" t="s">
        <v>12952</v>
      </c>
      <c r="BO38" t="s">
        <v>12952</v>
      </c>
      <c r="BP38" t="s">
        <v>12952</v>
      </c>
      <c r="BQ38" t="s">
        <v>12952</v>
      </c>
      <c r="BR38" t="s">
        <v>12952</v>
      </c>
      <c r="BS38" t="s">
        <v>12952</v>
      </c>
      <c r="BT38" t="s">
        <v>12952</v>
      </c>
      <c r="BU38" t="s">
        <v>12952</v>
      </c>
      <c r="BV38" t="s">
        <v>12952</v>
      </c>
      <c r="BW38" t="s">
        <v>12952</v>
      </c>
      <c r="BX38" t="s">
        <v>12952</v>
      </c>
      <c r="BY38" t="s">
        <v>12952</v>
      </c>
      <c r="BZ38" t="s">
        <v>12952</v>
      </c>
      <c r="CA38" t="s">
        <v>12952</v>
      </c>
      <c r="CB38" t="s">
        <v>12952</v>
      </c>
      <c r="CC38" t="s">
        <v>12952</v>
      </c>
      <c r="CD38" t="s">
        <v>12952</v>
      </c>
      <c r="CE38" t="s">
        <v>12952</v>
      </c>
      <c r="CF38" t="s">
        <v>12952</v>
      </c>
      <c r="CG38" t="s">
        <v>12952</v>
      </c>
      <c r="CH38" t="s">
        <v>12952</v>
      </c>
      <c r="CI38" t="s">
        <v>12952</v>
      </c>
      <c r="CJ38" t="s">
        <v>12952</v>
      </c>
      <c r="CK38" t="s">
        <v>12952</v>
      </c>
      <c r="CL38" t="s">
        <v>12952</v>
      </c>
      <c r="CM38">
        <v>-99</v>
      </c>
      <c r="CN38">
        <v>-99</v>
      </c>
      <c r="CO38" t="s">
        <v>12306</v>
      </c>
      <c r="CP38" t="s">
        <v>12306</v>
      </c>
      <c r="CQ38" t="s">
        <v>12956</v>
      </c>
      <c r="CR38" t="s">
        <v>12357</v>
      </c>
      <c r="CS38">
        <v>8</v>
      </c>
      <c r="CT38">
        <v>8</v>
      </c>
      <c r="CU38">
        <v>4</v>
      </c>
      <c r="CV38">
        <v>-99</v>
      </c>
      <c r="CW38">
        <v>1</v>
      </c>
      <c r="CX38">
        <v>0</v>
      </c>
      <c r="CY38">
        <v>4</v>
      </c>
      <c r="CZ38">
        <v>9</v>
      </c>
      <c r="DA38">
        <v>24.179216</v>
      </c>
      <c r="DB38">
        <v>-22.102633999999998</v>
      </c>
      <c r="DC38">
        <v>1159320461</v>
      </c>
      <c r="DD38" t="s">
        <v>12957</v>
      </c>
      <c r="DE38" t="s">
        <v>12958</v>
      </c>
      <c r="DF38" t="s">
        <v>12959</v>
      </c>
      <c r="DG38" t="s">
        <v>22</v>
      </c>
      <c r="DH38" t="s">
        <v>22</v>
      </c>
      <c r="DI38" t="s">
        <v>12960</v>
      </c>
      <c r="DJ38" t="s">
        <v>12958</v>
      </c>
      <c r="DK38" t="s">
        <v>22</v>
      </c>
      <c r="DL38" t="s">
        <v>12961</v>
      </c>
      <c r="DM38" t="s">
        <v>12962</v>
      </c>
      <c r="DN38" t="s">
        <v>12963</v>
      </c>
      <c r="DO38" t="s">
        <v>22</v>
      </c>
      <c r="DP38" t="s">
        <v>22</v>
      </c>
      <c r="DQ38" t="s">
        <v>22</v>
      </c>
      <c r="DR38" t="s">
        <v>12964</v>
      </c>
      <c r="DS38" t="s">
        <v>12965</v>
      </c>
      <c r="DT38" t="s">
        <v>22</v>
      </c>
      <c r="DU38" t="s">
        <v>22</v>
      </c>
      <c r="DV38" t="s">
        <v>12960</v>
      </c>
      <c r="DW38" t="s">
        <v>12966</v>
      </c>
      <c r="DX38" t="s">
        <v>22</v>
      </c>
      <c r="DY38" t="s">
        <v>12967</v>
      </c>
      <c r="DZ38" t="s">
        <v>12966</v>
      </c>
      <c r="EA38" t="s">
        <v>12968</v>
      </c>
      <c r="EB38" t="s">
        <v>22</v>
      </c>
      <c r="EC38" t="s">
        <v>12969</v>
      </c>
      <c r="ED38" t="s">
        <v>12970</v>
      </c>
      <c r="EE38" t="s">
        <v>12247</v>
      </c>
      <c r="EG38" t="s">
        <v>12247</v>
      </c>
    </row>
    <row r="39" spans="1:252" x14ac:dyDescent="0.25">
      <c r="A39" t="s">
        <v>13433</v>
      </c>
      <c r="B39" t="s">
        <v>12247</v>
      </c>
      <c r="C39">
        <v>5</v>
      </c>
      <c r="D39">
        <v>5</v>
      </c>
      <c r="E39" t="s">
        <v>182</v>
      </c>
      <c r="F39" t="s">
        <v>12479</v>
      </c>
      <c r="G39">
        <v>1</v>
      </c>
      <c r="H39">
        <v>2</v>
      </c>
      <c r="I39" t="s">
        <v>12714</v>
      </c>
      <c r="J39">
        <v>1</v>
      </c>
      <c r="K39" t="s">
        <v>1203</v>
      </c>
      <c r="L39" t="s">
        <v>13432</v>
      </c>
      <c r="M39">
        <v>0</v>
      </c>
      <c r="N39" t="s">
        <v>1203</v>
      </c>
      <c r="O39" t="s">
        <v>13432</v>
      </c>
      <c r="P39">
        <v>0</v>
      </c>
      <c r="Q39" t="s">
        <v>1203</v>
      </c>
      <c r="R39" t="s">
        <v>13432</v>
      </c>
      <c r="S39">
        <v>1</v>
      </c>
      <c r="T39" t="s">
        <v>1203</v>
      </c>
      <c r="U39" t="s">
        <v>13434</v>
      </c>
      <c r="V39" t="s">
        <v>13433</v>
      </c>
      <c r="X39" t="s">
        <v>13435</v>
      </c>
      <c r="Y39" t="s">
        <v>2152</v>
      </c>
      <c r="AC39" t="s">
        <v>12486</v>
      </c>
      <c r="AD39" t="s">
        <v>13436</v>
      </c>
      <c r="AE39" t="s">
        <v>1203</v>
      </c>
      <c r="AG39">
        <v>6</v>
      </c>
      <c r="AH39">
        <v>6</v>
      </c>
      <c r="AI39">
        <v>6</v>
      </c>
      <c r="AJ39">
        <v>3</v>
      </c>
      <c r="AK39">
        <v>3000</v>
      </c>
      <c r="AL39">
        <v>4</v>
      </c>
      <c r="AM39">
        <v>2018</v>
      </c>
      <c r="AN39">
        <v>120</v>
      </c>
      <c r="AO39">
        <v>2013</v>
      </c>
      <c r="AP39" t="s">
        <v>12334</v>
      </c>
      <c r="AQ39" t="s">
        <v>12335</v>
      </c>
      <c r="AR39" t="s">
        <v>2152</v>
      </c>
      <c r="AS39" t="s">
        <v>2152</v>
      </c>
      <c r="AT39" t="s">
        <v>2152</v>
      </c>
      <c r="AU39" t="s">
        <v>13432</v>
      </c>
      <c r="AV39" t="s">
        <v>13432</v>
      </c>
      <c r="AW39">
        <v>86</v>
      </c>
      <c r="AX39">
        <v>86</v>
      </c>
      <c r="AY39">
        <v>-99</v>
      </c>
      <c r="AZ39">
        <v>-99</v>
      </c>
      <c r="BA39">
        <v>-99</v>
      </c>
      <c r="BB39">
        <v>23424849</v>
      </c>
      <c r="BC39">
        <v>23424849</v>
      </c>
      <c r="BD39" t="s">
        <v>12254</v>
      </c>
      <c r="BE39" t="s">
        <v>13434</v>
      </c>
      <c r="BG39" t="s">
        <v>13434</v>
      </c>
      <c r="BH39" t="s">
        <v>13432</v>
      </c>
      <c r="BI39" t="s">
        <v>13432</v>
      </c>
      <c r="BJ39" t="s">
        <v>13432</v>
      </c>
      <c r="BK39" t="s">
        <v>13432</v>
      </c>
      <c r="BL39" t="s">
        <v>13432</v>
      </c>
      <c r="BM39" t="s">
        <v>13432</v>
      </c>
      <c r="BN39" t="s">
        <v>13432</v>
      </c>
      <c r="BO39" t="s">
        <v>13432</v>
      </c>
      <c r="BP39" t="s">
        <v>13432</v>
      </c>
      <c r="BQ39" t="s">
        <v>13432</v>
      </c>
      <c r="BR39" t="s">
        <v>13432</v>
      </c>
      <c r="BS39" t="s">
        <v>13432</v>
      </c>
      <c r="BT39" t="s">
        <v>13432</v>
      </c>
      <c r="BU39" t="s">
        <v>13432</v>
      </c>
      <c r="BV39" t="s">
        <v>13432</v>
      </c>
      <c r="BW39" t="s">
        <v>13432</v>
      </c>
      <c r="BX39" t="s">
        <v>13432</v>
      </c>
      <c r="BY39" t="s">
        <v>13432</v>
      </c>
      <c r="BZ39" t="s">
        <v>13432</v>
      </c>
      <c r="CA39" t="s">
        <v>13432</v>
      </c>
      <c r="CB39" t="s">
        <v>13432</v>
      </c>
      <c r="CC39" t="s">
        <v>13432</v>
      </c>
      <c r="CD39" t="s">
        <v>13432</v>
      </c>
      <c r="CE39" t="s">
        <v>13432</v>
      </c>
      <c r="CF39" t="s">
        <v>13432</v>
      </c>
      <c r="CG39" t="s">
        <v>13432</v>
      </c>
      <c r="CH39" t="s">
        <v>13432</v>
      </c>
      <c r="CI39" t="s">
        <v>13432</v>
      </c>
      <c r="CJ39" t="s">
        <v>13432</v>
      </c>
      <c r="CK39" t="s">
        <v>13432</v>
      </c>
      <c r="CL39" t="s">
        <v>13432</v>
      </c>
      <c r="CM39">
        <v>-99</v>
      </c>
      <c r="CN39">
        <v>-99</v>
      </c>
      <c r="CO39" t="s">
        <v>13437</v>
      </c>
      <c r="CP39" t="s">
        <v>12306</v>
      </c>
      <c r="CQ39" t="s">
        <v>13437</v>
      </c>
      <c r="CR39" t="s">
        <v>12357</v>
      </c>
      <c r="CS39">
        <v>21</v>
      </c>
      <c r="CT39">
        <v>30</v>
      </c>
      <c r="CU39">
        <v>6</v>
      </c>
      <c r="CV39">
        <v>5</v>
      </c>
      <c r="CW39">
        <v>-99</v>
      </c>
      <c r="CX39">
        <v>0</v>
      </c>
      <c r="CY39">
        <v>5</v>
      </c>
      <c r="CZ39">
        <v>9.5</v>
      </c>
      <c r="DA39">
        <v>71.348348999999999</v>
      </c>
      <c r="DB39">
        <v>-6.1908260000000004</v>
      </c>
      <c r="DC39">
        <v>1159320723</v>
      </c>
      <c r="DD39" t="s">
        <v>13438</v>
      </c>
      <c r="DE39" t="s">
        <v>13439</v>
      </c>
      <c r="DF39" t="s">
        <v>13440</v>
      </c>
      <c r="DG39" t="s">
        <v>13441</v>
      </c>
      <c r="DH39" t="s">
        <v>1203</v>
      </c>
      <c r="DI39" t="s">
        <v>13442</v>
      </c>
      <c r="DJ39" t="s">
        <v>13443</v>
      </c>
      <c r="DK39" t="s">
        <v>13444</v>
      </c>
      <c r="DL39" t="s">
        <v>13445</v>
      </c>
      <c r="DM39" t="s">
        <v>13446</v>
      </c>
      <c r="DN39" t="s">
        <v>13447</v>
      </c>
      <c r="DO39" t="s">
        <v>13448</v>
      </c>
      <c r="DP39" t="s">
        <v>13449</v>
      </c>
      <c r="DQ39" t="s">
        <v>13450</v>
      </c>
      <c r="DR39" t="s">
        <v>13451</v>
      </c>
      <c r="DS39" t="s">
        <v>13452</v>
      </c>
      <c r="DT39" t="s">
        <v>13453</v>
      </c>
      <c r="DU39" t="s">
        <v>13454</v>
      </c>
      <c r="DV39" t="s">
        <v>13455</v>
      </c>
      <c r="DW39" t="s">
        <v>13456</v>
      </c>
      <c r="DX39" t="s">
        <v>13457</v>
      </c>
      <c r="DY39" t="s">
        <v>13458</v>
      </c>
      <c r="DZ39" t="s">
        <v>13459</v>
      </c>
      <c r="EA39" t="s">
        <v>13460</v>
      </c>
      <c r="EB39" t="s">
        <v>13461</v>
      </c>
      <c r="EC39" t="s">
        <v>13462</v>
      </c>
      <c r="ED39" t="s">
        <v>13463</v>
      </c>
      <c r="EE39" t="s">
        <v>12397</v>
      </c>
      <c r="EG39" t="s">
        <v>12397</v>
      </c>
    </row>
    <row r="40" spans="1:252" x14ac:dyDescent="0.25">
      <c r="A40" t="s">
        <v>23</v>
      </c>
      <c r="B40" t="s">
        <v>12247</v>
      </c>
      <c r="C40">
        <v>0</v>
      </c>
      <c r="D40">
        <v>2</v>
      </c>
      <c r="E40" t="s">
        <v>23</v>
      </c>
      <c r="F40" t="s">
        <v>12971</v>
      </c>
      <c r="G40">
        <v>0</v>
      </c>
      <c r="H40">
        <v>2</v>
      </c>
      <c r="I40" t="s">
        <v>12249</v>
      </c>
      <c r="J40">
        <v>1</v>
      </c>
      <c r="K40" t="s">
        <v>23</v>
      </c>
      <c r="L40" t="s">
        <v>12971</v>
      </c>
      <c r="M40">
        <v>0</v>
      </c>
      <c r="N40" t="s">
        <v>23</v>
      </c>
      <c r="O40" t="s">
        <v>12971</v>
      </c>
      <c r="P40">
        <v>0</v>
      </c>
      <c r="Q40" t="s">
        <v>23</v>
      </c>
      <c r="R40" t="s">
        <v>12971</v>
      </c>
      <c r="S40">
        <v>0</v>
      </c>
      <c r="T40" t="s">
        <v>23</v>
      </c>
      <c r="U40" t="s">
        <v>12971</v>
      </c>
      <c r="V40" t="s">
        <v>23</v>
      </c>
      <c r="X40" t="s">
        <v>23</v>
      </c>
      <c r="Y40" t="s">
        <v>1338</v>
      </c>
      <c r="Z40" t="s">
        <v>12972</v>
      </c>
      <c r="AB40" t="s">
        <v>23</v>
      </c>
      <c r="AE40" t="s">
        <v>23</v>
      </c>
      <c r="AG40">
        <v>5</v>
      </c>
      <c r="AH40">
        <v>6</v>
      </c>
      <c r="AI40">
        <v>5</v>
      </c>
      <c r="AJ40">
        <v>7</v>
      </c>
      <c r="AK40">
        <v>211049527</v>
      </c>
      <c r="AL40">
        <v>17</v>
      </c>
      <c r="AM40">
        <v>2019</v>
      </c>
      <c r="AN40">
        <v>1839758</v>
      </c>
      <c r="AO40">
        <v>2019</v>
      </c>
      <c r="AP40" t="s">
        <v>12973</v>
      </c>
      <c r="AQ40" t="s">
        <v>12305</v>
      </c>
      <c r="AR40" t="s">
        <v>1338</v>
      </c>
      <c r="AS40" t="s">
        <v>1338</v>
      </c>
      <c r="AT40" t="s">
        <v>1338</v>
      </c>
      <c r="AU40" t="s">
        <v>12971</v>
      </c>
      <c r="AV40" t="s">
        <v>12971</v>
      </c>
      <c r="AW40">
        <v>76</v>
      </c>
      <c r="AX40">
        <v>76</v>
      </c>
      <c r="AY40">
        <v>76</v>
      </c>
      <c r="AZ40" t="s">
        <v>1338</v>
      </c>
      <c r="BA40" t="s">
        <v>12971</v>
      </c>
      <c r="BB40">
        <v>23424768</v>
      </c>
      <c r="BC40">
        <v>23424768</v>
      </c>
      <c r="BD40" t="s">
        <v>12254</v>
      </c>
      <c r="BE40" t="s">
        <v>12971</v>
      </c>
      <c r="BG40" t="s">
        <v>12971</v>
      </c>
      <c r="BH40" t="s">
        <v>12971</v>
      </c>
      <c r="BI40" t="s">
        <v>12971</v>
      </c>
      <c r="BJ40" t="s">
        <v>12971</v>
      </c>
      <c r="BK40" t="s">
        <v>12971</v>
      </c>
      <c r="BL40" t="s">
        <v>12971</v>
      </c>
      <c r="BM40" t="s">
        <v>12971</v>
      </c>
      <c r="BN40" t="s">
        <v>12971</v>
      </c>
      <c r="BO40" t="s">
        <v>12971</v>
      </c>
      <c r="BP40" t="s">
        <v>12971</v>
      </c>
      <c r="BQ40" t="s">
        <v>12971</v>
      </c>
      <c r="BR40" t="s">
        <v>12971</v>
      </c>
      <c r="BS40" t="s">
        <v>12971</v>
      </c>
      <c r="BT40" t="s">
        <v>12971</v>
      </c>
      <c r="BU40" t="s">
        <v>12971</v>
      </c>
      <c r="BV40" t="s">
        <v>12971</v>
      </c>
      <c r="BW40" t="s">
        <v>12971</v>
      </c>
      <c r="BX40" t="s">
        <v>12971</v>
      </c>
      <c r="BY40" t="s">
        <v>12971</v>
      </c>
      <c r="BZ40" t="s">
        <v>12971</v>
      </c>
      <c r="CA40" t="s">
        <v>12971</v>
      </c>
      <c r="CB40" t="s">
        <v>12971</v>
      </c>
      <c r="CC40" t="s">
        <v>12971</v>
      </c>
      <c r="CD40" t="s">
        <v>12971</v>
      </c>
      <c r="CE40" t="s">
        <v>12971</v>
      </c>
      <c r="CF40" t="s">
        <v>12971</v>
      </c>
      <c r="CG40" t="s">
        <v>12971</v>
      </c>
      <c r="CH40" t="s">
        <v>12971</v>
      </c>
      <c r="CI40" t="s">
        <v>12971</v>
      </c>
      <c r="CJ40" t="s">
        <v>12971</v>
      </c>
      <c r="CK40" t="s">
        <v>12971</v>
      </c>
      <c r="CL40" t="s">
        <v>12971</v>
      </c>
      <c r="CM40">
        <v>-99</v>
      </c>
      <c r="CN40">
        <v>-99</v>
      </c>
      <c r="CO40" t="s">
        <v>12436</v>
      </c>
      <c r="CP40" t="s">
        <v>12403</v>
      </c>
      <c r="CQ40" t="s">
        <v>12436</v>
      </c>
      <c r="CR40" t="s">
        <v>12405</v>
      </c>
      <c r="CS40">
        <v>6</v>
      </c>
      <c r="CT40">
        <v>6</v>
      </c>
      <c r="CU40">
        <v>6</v>
      </c>
      <c r="CV40">
        <v>-99</v>
      </c>
      <c r="CW40">
        <v>1</v>
      </c>
      <c r="CX40">
        <v>0</v>
      </c>
      <c r="CY40">
        <v>1.7</v>
      </c>
      <c r="CZ40">
        <v>5.7</v>
      </c>
      <c r="DA40">
        <v>-49.559449999999998</v>
      </c>
      <c r="DB40">
        <v>-12.098687</v>
      </c>
      <c r="DC40">
        <v>1159320441</v>
      </c>
      <c r="DD40" t="s">
        <v>12974</v>
      </c>
      <c r="DE40" t="s">
        <v>12975</v>
      </c>
      <c r="DF40" t="s">
        <v>12976</v>
      </c>
      <c r="DG40" t="s">
        <v>12977</v>
      </c>
      <c r="DH40" t="s">
        <v>23</v>
      </c>
      <c r="DI40" t="s">
        <v>12978</v>
      </c>
      <c r="DJ40" t="s">
        <v>12979</v>
      </c>
      <c r="DK40" t="s">
        <v>12980</v>
      </c>
      <c r="DL40" t="s">
        <v>12981</v>
      </c>
      <c r="DM40" t="s">
        <v>12982</v>
      </c>
      <c r="DN40" t="s">
        <v>12983</v>
      </c>
      <c r="DO40" t="s">
        <v>12984</v>
      </c>
      <c r="DP40" t="s">
        <v>12978</v>
      </c>
      <c r="DQ40" t="s">
        <v>12985</v>
      </c>
      <c r="DR40" t="s">
        <v>12986</v>
      </c>
      <c r="DS40" t="s">
        <v>12987</v>
      </c>
      <c r="DT40" t="s">
        <v>12988</v>
      </c>
      <c r="DU40" t="s">
        <v>12989</v>
      </c>
      <c r="DV40" t="s">
        <v>12978</v>
      </c>
      <c r="DW40" t="s">
        <v>12990</v>
      </c>
      <c r="DX40" t="s">
        <v>12977</v>
      </c>
      <c r="DY40" t="s">
        <v>12991</v>
      </c>
      <c r="DZ40" t="s">
        <v>12992</v>
      </c>
      <c r="EA40" t="s">
        <v>12993</v>
      </c>
      <c r="EB40" t="s">
        <v>12978</v>
      </c>
      <c r="EC40" t="s">
        <v>12994</v>
      </c>
      <c r="ED40" t="s">
        <v>12994</v>
      </c>
      <c r="EE40" t="s">
        <v>12247</v>
      </c>
      <c r="EG40" t="s">
        <v>12247</v>
      </c>
    </row>
    <row r="41" spans="1:252" x14ac:dyDescent="0.25">
      <c r="A41" t="s">
        <v>12997</v>
      </c>
      <c r="B41" t="s">
        <v>12247</v>
      </c>
      <c r="C41">
        <v>0</v>
      </c>
      <c r="D41">
        <v>9</v>
      </c>
      <c r="E41" t="s">
        <v>12995</v>
      </c>
      <c r="F41" t="s">
        <v>12996</v>
      </c>
      <c r="G41">
        <v>0</v>
      </c>
      <c r="H41">
        <v>2</v>
      </c>
      <c r="I41" t="s">
        <v>12371</v>
      </c>
      <c r="K41" t="s">
        <v>12995</v>
      </c>
      <c r="L41" t="s">
        <v>12996</v>
      </c>
      <c r="M41">
        <v>0</v>
      </c>
      <c r="N41" t="s">
        <v>12995</v>
      </c>
      <c r="O41" t="s">
        <v>12996</v>
      </c>
      <c r="P41">
        <v>0</v>
      </c>
      <c r="Q41" t="s">
        <v>12995</v>
      </c>
      <c r="R41" t="s">
        <v>12996</v>
      </c>
      <c r="S41">
        <v>1</v>
      </c>
      <c r="T41" t="s">
        <v>12995</v>
      </c>
      <c r="U41" t="s">
        <v>12998</v>
      </c>
      <c r="V41" t="s">
        <v>12995</v>
      </c>
      <c r="AD41" t="s">
        <v>12999</v>
      </c>
      <c r="AE41" t="s">
        <v>13000</v>
      </c>
      <c r="AG41">
        <v>1</v>
      </c>
      <c r="AH41">
        <v>5</v>
      </c>
      <c r="AI41">
        <v>2</v>
      </c>
      <c r="AJ41">
        <v>3</v>
      </c>
      <c r="AK41">
        <v>0</v>
      </c>
      <c r="AL41">
        <v>1</v>
      </c>
      <c r="AM41">
        <v>2019</v>
      </c>
      <c r="AN41">
        <v>0</v>
      </c>
      <c r="AO41">
        <v>2019</v>
      </c>
      <c r="AP41" t="s">
        <v>12973</v>
      </c>
      <c r="AQ41" t="s">
        <v>12305</v>
      </c>
      <c r="AR41">
        <v>-99</v>
      </c>
      <c r="AS41">
        <v>-99</v>
      </c>
      <c r="AT41" t="s">
        <v>1338</v>
      </c>
      <c r="AU41">
        <v>-99</v>
      </c>
      <c r="AV41" t="s">
        <v>12971</v>
      </c>
      <c r="AW41">
        <v>-99</v>
      </c>
      <c r="AX41">
        <v>76</v>
      </c>
      <c r="AY41">
        <v>-99</v>
      </c>
      <c r="AZ41">
        <v>-99</v>
      </c>
      <c r="BA41">
        <v>-99</v>
      </c>
      <c r="BB41">
        <v>-99</v>
      </c>
      <c r="BC41">
        <v>-99</v>
      </c>
      <c r="BD41" t="s">
        <v>12488</v>
      </c>
      <c r="BE41">
        <v>-99</v>
      </c>
      <c r="BG41">
        <v>-99</v>
      </c>
      <c r="BH41" t="s">
        <v>12996</v>
      </c>
      <c r="BI41" t="s">
        <v>12996</v>
      </c>
      <c r="BJ41" t="s">
        <v>12996</v>
      </c>
      <c r="BK41" t="s">
        <v>12996</v>
      </c>
      <c r="BL41" t="s">
        <v>12996</v>
      </c>
      <c r="BM41" t="s">
        <v>12996</v>
      </c>
      <c r="BN41" t="s">
        <v>12996</v>
      </c>
      <c r="BO41" t="s">
        <v>12996</v>
      </c>
      <c r="BP41" t="s">
        <v>12996</v>
      </c>
      <c r="BQ41" t="s">
        <v>12996</v>
      </c>
      <c r="BR41" t="s">
        <v>12996</v>
      </c>
      <c r="BS41" t="s">
        <v>12971</v>
      </c>
      <c r="BT41" t="s">
        <v>12996</v>
      </c>
      <c r="BU41" t="s">
        <v>12996</v>
      </c>
      <c r="BV41" t="s">
        <v>12996</v>
      </c>
      <c r="BW41" t="s">
        <v>12996</v>
      </c>
      <c r="BX41" t="s">
        <v>12996</v>
      </c>
      <c r="BY41" t="s">
        <v>12996</v>
      </c>
      <c r="BZ41" t="s">
        <v>12996</v>
      </c>
      <c r="CA41" t="s">
        <v>12996</v>
      </c>
      <c r="CB41" t="s">
        <v>12996</v>
      </c>
      <c r="CC41" t="s">
        <v>12996</v>
      </c>
      <c r="CD41" t="s">
        <v>12996</v>
      </c>
      <c r="CE41" t="s">
        <v>12996</v>
      </c>
      <c r="CF41" t="s">
        <v>12996</v>
      </c>
      <c r="CG41" t="s">
        <v>12996</v>
      </c>
      <c r="CH41" t="s">
        <v>12996</v>
      </c>
      <c r="CI41" t="s">
        <v>12996</v>
      </c>
      <c r="CJ41" t="s">
        <v>12996</v>
      </c>
      <c r="CK41" t="s">
        <v>12996</v>
      </c>
      <c r="CL41" t="s">
        <v>12996</v>
      </c>
      <c r="CM41">
        <v>-99</v>
      </c>
      <c r="CN41">
        <v>-99</v>
      </c>
      <c r="CO41" t="s">
        <v>12436</v>
      </c>
      <c r="CP41" t="s">
        <v>12403</v>
      </c>
      <c r="CQ41" t="s">
        <v>12436</v>
      </c>
      <c r="CR41" t="s">
        <v>12405</v>
      </c>
      <c r="CS41">
        <v>12</v>
      </c>
      <c r="CT41">
        <v>16</v>
      </c>
      <c r="CU41">
        <v>0</v>
      </c>
      <c r="CV41">
        <v>-99</v>
      </c>
      <c r="CW41">
        <v>-99</v>
      </c>
      <c r="CX41">
        <v>7</v>
      </c>
      <c r="CY41">
        <v>7.7</v>
      </c>
      <c r="CZ41">
        <v>9</v>
      </c>
      <c r="DA41">
        <v>-57.623041999999998</v>
      </c>
      <c r="DB41">
        <v>-30.187555</v>
      </c>
      <c r="DC41">
        <v>1729632181</v>
      </c>
      <c r="DD41" t="s">
        <v>13001</v>
      </c>
      <c r="DE41" t="s">
        <v>13002</v>
      </c>
      <c r="DF41" t="s">
        <v>13003</v>
      </c>
      <c r="DG41" t="s">
        <v>13004</v>
      </c>
      <c r="DH41" t="s">
        <v>12995</v>
      </c>
      <c r="DI41" t="s">
        <v>13004</v>
      </c>
      <c r="DJ41" t="s">
        <v>13005</v>
      </c>
      <c r="DK41" t="s">
        <v>13006</v>
      </c>
      <c r="DL41" t="s">
        <v>13007</v>
      </c>
      <c r="DM41" t="s">
        <v>13008</v>
      </c>
      <c r="DN41" t="s">
        <v>13009</v>
      </c>
      <c r="DO41" t="s">
        <v>13010</v>
      </c>
      <c r="DP41" t="s">
        <v>12995</v>
      </c>
      <c r="DQ41" t="s">
        <v>13011</v>
      </c>
      <c r="DR41" t="s">
        <v>13012</v>
      </c>
      <c r="DS41" t="s">
        <v>13013</v>
      </c>
      <c r="DT41" t="s">
        <v>12995</v>
      </c>
      <c r="DU41" t="s">
        <v>13004</v>
      </c>
      <c r="DV41" t="s">
        <v>13006</v>
      </c>
      <c r="DW41" t="s">
        <v>13014</v>
      </c>
      <c r="DX41" t="s">
        <v>13015</v>
      </c>
      <c r="DY41" t="s">
        <v>13016</v>
      </c>
      <c r="DZ41" t="s">
        <v>13017</v>
      </c>
      <c r="EA41" t="s">
        <v>13018</v>
      </c>
      <c r="EB41" t="s">
        <v>13019</v>
      </c>
      <c r="EC41" t="s">
        <v>13020</v>
      </c>
      <c r="ED41" t="s">
        <v>13021</v>
      </c>
      <c r="EE41" t="s">
        <v>12505</v>
      </c>
      <c r="EG41" t="s">
        <v>12505</v>
      </c>
    </row>
    <row r="42" spans="1:252" x14ac:dyDescent="0.25">
      <c r="A42" t="s">
        <v>1237</v>
      </c>
      <c r="B42" t="s">
        <v>12247</v>
      </c>
      <c r="C42">
        <v>3</v>
      </c>
      <c r="D42">
        <v>6</v>
      </c>
      <c r="E42" t="s">
        <v>182</v>
      </c>
      <c r="F42" t="s">
        <v>12479</v>
      </c>
      <c r="G42">
        <v>1</v>
      </c>
      <c r="H42">
        <v>2</v>
      </c>
      <c r="I42" t="s">
        <v>12480</v>
      </c>
      <c r="J42">
        <v>1</v>
      </c>
      <c r="K42" t="s">
        <v>1237</v>
      </c>
      <c r="L42" t="s">
        <v>13464</v>
      </c>
      <c r="M42">
        <v>0</v>
      </c>
      <c r="N42" t="s">
        <v>1237</v>
      </c>
      <c r="O42" t="s">
        <v>13464</v>
      </c>
      <c r="P42">
        <v>0</v>
      </c>
      <c r="Q42" t="s">
        <v>1237</v>
      </c>
      <c r="R42" t="s">
        <v>13464</v>
      </c>
      <c r="S42">
        <v>0</v>
      </c>
      <c r="T42" t="s">
        <v>1237</v>
      </c>
      <c r="U42" t="s">
        <v>13464</v>
      </c>
      <c r="V42" t="s">
        <v>13465</v>
      </c>
      <c r="X42" t="s">
        <v>13466</v>
      </c>
      <c r="Y42" t="s">
        <v>1966</v>
      </c>
      <c r="Z42" t="s">
        <v>1237</v>
      </c>
      <c r="AB42" t="s">
        <v>1237</v>
      </c>
      <c r="AC42" t="s">
        <v>12486</v>
      </c>
      <c r="AE42" t="s">
        <v>1237</v>
      </c>
      <c r="AG42">
        <v>6</v>
      </c>
      <c r="AH42">
        <v>6</v>
      </c>
      <c r="AI42">
        <v>6</v>
      </c>
      <c r="AJ42">
        <v>3</v>
      </c>
      <c r="AK42">
        <v>30030</v>
      </c>
      <c r="AL42">
        <v>7</v>
      </c>
      <c r="AM42">
        <v>2019</v>
      </c>
      <c r="AN42">
        <v>500</v>
      </c>
      <c r="AO42">
        <v>2017</v>
      </c>
      <c r="AP42" t="s">
        <v>12334</v>
      </c>
      <c r="AQ42" t="s">
        <v>12513</v>
      </c>
      <c r="AR42" t="s">
        <v>1969</v>
      </c>
      <c r="AS42" t="s">
        <v>1966</v>
      </c>
      <c r="AT42" t="s">
        <v>1966</v>
      </c>
      <c r="AU42" t="s">
        <v>13464</v>
      </c>
      <c r="AV42" t="s">
        <v>13464</v>
      </c>
      <c r="AW42">
        <v>92</v>
      </c>
      <c r="AX42">
        <v>92</v>
      </c>
      <c r="AY42">
        <v>92</v>
      </c>
      <c r="AZ42">
        <v>-99</v>
      </c>
      <c r="BA42">
        <v>-99</v>
      </c>
      <c r="BB42">
        <v>23424983</v>
      </c>
      <c r="BC42">
        <v>23424983</v>
      </c>
      <c r="BD42" t="s">
        <v>12254</v>
      </c>
      <c r="BE42" t="s">
        <v>13464</v>
      </c>
      <c r="BG42" t="s">
        <v>13464</v>
      </c>
      <c r="BH42" t="s">
        <v>13464</v>
      </c>
      <c r="BI42" t="s">
        <v>13464</v>
      </c>
      <c r="BJ42" t="s">
        <v>13464</v>
      </c>
      <c r="BK42" t="s">
        <v>13464</v>
      </c>
      <c r="BL42" t="s">
        <v>13464</v>
      </c>
      <c r="BM42" t="s">
        <v>13464</v>
      </c>
      <c r="BN42" t="s">
        <v>13464</v>
      </c>
      <c r="BO42" t="s">
        <v>13464</v>
      </c>
      <c r="BP42" t="s">
        <v>13464</v>
      </c>
      <c r="BQ42" t="s">
        <v>13464</v>
      </c>
      <c r="BR42" t="s">
        <v>13464</v>
      </c>
      <c r="BS42" t="s">
        <v>13464</v>
      </c>
      <c r="BT42" t="s">
        <v>13464</v>
      </c>
      <c r="BU42" t="s">
        <v>13464</v>
      </c>
      <c r="BV42" t="s">
        <v>13464</v>
      </c>
      <c r="BW42" t="s">
        <v>13464</v>
      </c>
      <c r="BX42" t="s">
        <v>13464</v>
      </c>
      <c r="BY42" t="s">
        <v>13464</v>
      </c>
      <c r="BZ42" t="s">
        <v>13464</v>
      </c>
      <c r="CA42" t="s">
        <v>13464</v>
      </c>
      <c r="CB42" t="s">
        <v>13464</v>
      </c>
      <c r="CC42" t="s">
        <v>13464</v>
      </c>
      <c r="CD42" t="s">
        <v>13464</v>
      </c>
      <c r="CE42" t="s">
        <v>13464</v>
      </c>
      <c r="CF42" t="s">
        <v>13464</v>
      </c>
      <c r="CG42" t="s">
        <v>13464</v>
      </c>
      <c r="CH42" t="s">
        <v>13464</v>
      </c>
      <c r="CI42" t="s">
        <v>13464</v>
      </c>
      <c r="CJ42" t="s">
        <v>13464</v>
      </c>
      <c r="CK42" t="s">
        <v>13464</v>
      </c>
      <c r="CL42" t="s">
        <v>13464</v>
      </c>
      <c r="CM42">
        <v>-99</v>
      </c>
      <c r="CN42">
        <v>-99</v>
      </c>
      <c r="CO42" t="s">
        <v>12402</v>
      </c>
      <c r="CP42" t="s">
        <v>12403</v>
      </c>
      <c r="CQ42" t="s">
        <v>12404</v>
      </c>
      <c r="CR42" t="s">
        <v>12405</v>
      </c>
      <c r="CS42">
        <v>18</v>
      </c>
      <c r="CT42">
        <v>22</v>
      </c>
      <c r="CU42">
        <v>10</v>
      </c>
      <c r="CV42">
        <v>3</v>
      </c>
      <c r="CW42">
        <v>-99</v>
      </c>
      <c r="CX42">
        <v>0</v>
      </c>
      <c r="CY42">
        <v>5</v>
      </c>
      <c r="CZ42">
        <v>9.5</v>
      </c>
      <c r="DA42">
        <v>-64.636610000000005</v>
      </c>
      <c r="DB42">
        <v>18.426606</v>
      </c>
      <c r="DC42">
        <v>1159320739</v>
      </c>
      <c r="DD42" t="s">
        <v>13467</v>
      </c>
      <c r="DE42" t="s">
        <v>13468</v>
      </c>
      <c r="DF42" t="s">
        <v>13469</v>
      </c>
      <c r="DG42" t="s">
        <v>13470</v>
      </c>
      <c r="DH42" t="s">
        <v>1237</v>
      </c>
      <c r="DI42" t="s">
        <v>13471</v>
      </c>
      <c r="DJ42" t="s">
        <v>13472</v>
      </c>
      <c r="DK42" t="s">
        <v>13473</v>
      </c>
      <c r="DL42" t="s">
        <v>13474</v>
      </c>
      <c r="DM42" t="s">
        <v>13475</v>
      </c>
      <c r="DN42" t="s">
        <v>13476</v>
      </c>
      <c r="DO42" t="s">
        <v>13477</v>
      </c>
      <c r="DP42" t="s">
        <v>13478</v>
      </c>
      <c r="DQ42" t="s">
        <v>13479</v>
      </c>
      <c r="DR42" t="s">
        <v>13480</v>
      </c>
      <c r="DS42" t="s">
        <v>13481</v>
      </c>
      <c r="DT42" t="s">
        <v>13482</v>
      </c>
      <c r="DU42" t="s">
        <v>13483</v>
      </c>
      <c r="DV42" t="s">
        <v>13484</v>
      </c>
      <c r="DW42" t="s">
        <v>13485</v>
      </c>
      <c r="DX42" t="s">
        <v>13486</v>
      </c>
      <c r="DY42" t="s">
        <v>13487</v>
      </c>
      <c r="DZ42" t="s">
        <v>13488</v>
      </c>
      <c r="EA42" t="s">
        <v>13489</v>
      </c>
      <c r="EB42" t="s">
        <v>13490</v>
      </c>
      <c r="EC42" t="s">
        <v>13491</v>
      </c>
      <c r="ED42" t="s">
        <v>13492</v>
      </c>
      <c r="EE42" t="s">
        <v>12397</v>
      </c>
      <c r="EG42" t="s">
        <v>12397</v>
      </c>
    </row>
    <row r="43" spans="1:252" x14ac:dyDescent="0.25">
      <c r="A43" t="s">
        <v>24</v>
      </c>
      <c r="B43" t="s">
        <v>12247</v>
      </c>
      <c r="C43">
        <v>0</v>
      </c>
      <c r="D43">
        <v>6</v>
      </c>
      <c r="E43" t="s">
        <v>24</v>
      </c>
      <c r="F43" t="s">
        <v>13022</v>
      </c>
      <c r="G43">
        <v>0</v>
      </c>
      <c r="H43">
        <v>2</v>
      </c>
      <c r="I43" t="s">
        <v>12249</v>
      </c>
      <c r="J43">
        <v>1</v>
      </c>
      <c r="K43" t="s">
        <v>24</v>
      </c>
      <c r="L43" t="s">
        <v>13022</v>
      </c>
      <c r="M43">
        <v>0</v>
      </c>
      <c r="N43" t="s">
        <v>24</v>
      </c>
      <c r="O43" t="s">
        <v>13022</v>
      </c>
      <c r="P43">
        <v>0</v>
      </c>
      <c r="Q43" t="s">
        <v>24</v>
      </c>
      <c r="R43" t="s">
        <v>13022</v>
      </c>
      <c r="S43">
        <v>0</v>
      </c>
      <c r="T43" t="s">
        <v>13023</v>
      </c>
      <c r="U43" t="s">
        <v>13022</v>
      </c>
      <c r="V43" t="s">
        <v>24</v>
      </c>
      <c r="X43" t="s">
        <v>24</v>
      </c>
      <c r="Y43" t="s">
        <v>1329</v>
      </c>
      <c r="Z43" t="s">
        <v>13024</v>
      </c>
      <c r="AB43" t="s">
        <v>24</v>
      </c>
      <c r="AE43" t="s">
        <v>24</v>
      </c>
      <c r="AG43">
        <v>4</v>
      </c>
      <c r="AH43">
        <v>6</v>
      </c>
      <c r="AI43">
        <v>6</v>
      </c>
      <c r="AJ43">
        <v>12</v>
      </c>
      <c r="AK43">
        <v>433285</v>
      </c>
      <c r="AL43">
        <v>10</v>
      </c>
      <c r="AM43">
        <v>2019</v>
      </c>
      <c r="AN43">
        <v>13469</v>
      </c>
      <c r="AO43">
        <v>2019</v>
      </c>
      <c r="AP43" t="s">
        <v>12277</v>
      </c>
      <c r="AQ43" t="s">
        <v>12335</v>
      </c>
      <c r="AR43" t="s">
        <v>13025</v>
      </c>
      <c r="AS43" t="s">
        <v>1329</v>
      </c>
      <c r="AT43" t="s">
        <v>1329</v>
      </c>
      <c r="AU43" t="s">
        <v>13022</v>
      </c>
      <c r="AV43" t="s">
        <v>13022</v>
      </c>
      <c r="AW43">
        <v>96</v>
      </c>
      <c r="AX43">
        <v>96</v>
      </c>
      <c r="AY43">
        <v>96</v>
      </c>
      <c r="AZ43" t="s">
        <v>1329</v>
      </c>
      <c r="BA43" t="s">
        <v>13022</v>
      </c>
      <c r="BB43">
        <v>23424773</v>
      </c>
      <c r="BC43">
        <v>23424773</v>
      </c>
      <c r="BD43" t="s">
        <v>12254</v>
      </c>
      <c r="BE43" t="s">
        <v>13022</v>
      </c>
      <c r="BG43" t="s">
        <v>13022</v>
      </c>
      <c r="BH43" t="s">
        <v>13022</v>
      </c>
      <c r="BI43" t="s">
        <v>13022</v>
      </c>
      <c r="BJ43" t="s">
        <v>13022</v>
      </c>
      <c r="BK43" t="s">
        <v>13022</v>
      </c>
      <c r="BL43" t="s">
        <v>13022</v>
      </c>
      <c r="BM43" t="s">
        <v>13022</v>
      </c>
      <c r="BN43" t="s">
        <v>13022</v>
      </c>
      <c r="BO43" t="s">
        <v>13022</v>
      </c>
      <c r="BP43" t="s">
        <v>13022</v>
      </c>
      <c r="BQ43" t="s">
        <v>13022</v>
      </c>
      <c r="BR43" t="s">
        <v>13022</v>
      </c>
      <c r="BS43" t="s">
        <v>13022</v>
      </c>
      <c r="BT43" t="s">
        <v>13022</v>
      </c>
      <c r="BU43" t="s">
        <v>13022</v>
      </c>
      <c r="BV43" t="s">
        <v>13022</v>
      </c>
      <c r="BW43" t="s">
        <v>13022</v>
      </c>
      <c r="BX43" t="s">
        <v>13022</v>
      </c>
      <c r="BY43" t="s">
        <v>13022</v>
      </c>
      <c r="BZ43" t="s">
        <v>13022</v>
      </c>
      <c r="CA43" t="s">
        <v>13022</v>
      </c>
      <c r="CB43" t="s">
        <v>13022</v>
      </c>
      <c r="CC43" t="s">
        <v>13022</v>
      </c>
      <c r="CD43" t="s">
        <v>13022</v>
      </c>
      <c r="CE43" t="s">
        <v>13022</v>
      </c>
      <c r="CF43" t="s">
        <v>13022</v>
      </c>
      <c r="CG43" t="s">
        <v>13022</v>
      </c>
      <c r="CH43" t="s">
        <v>13022</v>
      </c>
      <c r="CI43" t="s">
        <v>13022</v>
      </c>
      <c r="CJ43" t="s">
        <v>13022</v>
      </c>
      <c r="CK43" t="s">
        <v>13022</v>
      </c>
      <c r="CL43" t="s">
        <v>13022</v>
      </c>
      <c r="CM43">
        <v>-99</v>
      </c>
      <c r="CN43">
        <v>-99</v>
      </c>
      <c r="CO43" t="s">
        <v>12255</v>
      </c>
      <c r="CP43" t="s">
        <v>12255</v>
      </c>
      <c r="CQ43" t="s">
        <v>13026</v>
      </c>
      <c r="CR43" t="s">
        <v>12539</v>
      </c>
      <c r="CS43">
        <v>6</v>
      </c>
      <c r="CT43">
        <v>17</v>
      </c>
      <c r="CU43">
        <v>6</v>
      </c>
      <c r="CV43">
        <v>2</v>
      </c>
      <c r="CW43">
        <v>1</v>
      </c>
      <c r="CX43">
        <v>0</v>
      </c>
      <c r="CY43">
        <v>4</v>
      </c>
      <c r="CZ43">
        <v>9</v>
      </c>
      <c r="DA43">
        <v>114.55194299999999</v>
      </c>
      <c r="DB43">
        <v>4.4482980000000003</v>
      </c>
      <c r="DC43">
        <v>1159320451</v>
      </c>
      <c r="DD43" t="s">
        <v>13027</v>
      </c>
      <c r="DE43" t="s">
        <v>13028</v>
      </c>
      <c r="DF43" t="s">
        <v>13029</v>
      </c>
      <c r="DG43" t="s">
        <v>24</v>
      </c>
      <c r="DH43" t="s">
        <v>24</v>
      </c>
      <c r="DI43" t="s">
        <v>13030</v>
      </c>
      <c r="DJ43" t="s">
        <v>13031</v>
      </c>
      <c r="DK43" t="s">
        <v>24</v>
      </c>
      <c r="DL43" t="s">
        <v>13032</v>
      </c>
      <c r="DM43" t="s">
        <v>13033</v>
      </c>
      <c r="DN43" t="s">
        <v>13034</v>
      </c>
      <c r="DO43" t="s">
        <v>24</v>
      </c>
      <c r="DP43" t="s">
        <v>13023</v>
      </c>
      <c r="DQ43" t="s">
        <v>24</v>
      </c>
      <c r="DR43" t="s">
        <v>13035</v>
      </c>
      <c r="DS43" t="s">
        <v>13036</v>
      </c>
      <c r="DT43" t="s">
        <v>24</v>
      </c>
      <c r="DU43" t="s">
        <v>24</v>
      </c>
      <c r="DV43" t="s">
        <v>24</v>
      </c>
      <c r="DW43" t="s">
        <v>13037</v>
      </c>
      <c r="DX43" t="s">
        <v>24</v>
      </c>
      <c r="DY43" t="s">
        <v>24</v>
      </c>
      <c r="DZ43" t="s">
        <v>13037</v>
      </c>
      <c r="EA43" t="s">
        <v>13038</v>
      </c>
      <c r="EB43" t="s">
        <v>24</v>
      </c>
      <c r="EC43" t="s">
        <v>13039</v>
      </c>
      <c r="ED43" t="s">
        <v>13040</v>
      </c>
      <c r="EE43" t="s">
        <v>12247</v>
      </c>
      <c r="EG43" t="s">
        <v>12247</v>
      </c>
    </row>
    <row r="44" spans="1:252" x14ac:dyDescent="0.25">
      <c r="A44" t="s">
        <v>25</v>
      </c>
      <c r="B44" t="s">
        <v>12247</v>
      </c>
      <c r="C44">
        <v>0</v>
      </c>
      <c r="D44">
        <v>4</v>
      </c>
      <c r="E44" t="s">
        <v>25</v>
      </c>
      <c r="F44" t="s">
        <v>13041</v>
      </c>
      <c r="G44">
        <v>0</v>
      </c>
      <c r="H44">
        <v>2</v>
      </c>
      <c r="I44" t="s">
        <v>12249</v>
      </c>
      <c r="J44">
        <v>1</v>
      </c>
      <c r="K44" t="s">
        <v>25</v>
      </c>
      <c r="L44" t="s">
        <v>13041</v>
      </c>
      <c r="M44">
        <v>0</v>
      </c>
      <c r="N44" t="s">
        <v>25</v>
      </c>
      <c r="O44" t="s">
        <v>13041</v>
      </c>
      <c r="P44">
        <v>0</v>
      </c>
      <c r="Q44" t="s">
        <v>25</v>
      </c>
      <c r="R44" t="s">
        <v>13041</v>
      </c>
      <c r="S44">
        <v>0</v>
      </c>
      <c r="T44" t="s">
        <v>25</v>
      </c>
      <c r="U44" t="s">
        <v>13041</v>
      </c>
      <c r="V44" t="s">
        <v>25</v>
      </c>
      <c r="X44" t="s">
        <v>13042</v>
      </c>
      <c r="Y44" t="s">
        <v>1309</v>
      </c>
      <c r="Z44" t="s">
        <v>13043</v>
      </c>
      <c r="AB44" t="s">
        <v>25</v>
      </c>
      <c r="AE44" t="s">
        <v>25</v>
      </c>
      <c r="AG44">
        <v>4</v>
      </c>
      <c r="AH44">
        <v>5</v>
      </c>
      <c r="AI44">
        <v>1</v>
      </c>
      <c r="AJ44">
        <v>8</v>
      </c>
      <c r="AK44">
        <v>6975761</v>
      </c>
      <c r="AL44">
        <v>13</v>
      </c>
      <c r="AM44">
        <v>2019</v>
      </c>
      <c r="AN44">
        <v>68558</v>
      </c>
      <c r="AO44">
        <v>2019</v>
      </c>
      <c r="AP44" t="s">
        <v>12334</v>
      </c>
      <c r="AQ44" t="s">
        <v>12305</v>
      </c>
      <c r="AR44" t="s">
        <v>13044</v>
      </c>
      <c r="AS44" t="s">
        <v>1309</v>
      </c>
      <c r="AT44" t="s">
        <v>1309</v>
      </c>
      <c r="AU44" t="s">
        <v>13041</v>
      </c>
      <c r="AV44" t="s">
        <v>13041</v>
      </c>
      <c r="AW44">
        <v>100</v>
      </c>
      <c r="AX44">
        <v>100</v>
      </c>
      <c r="AY44">
        <v>100</v>
      </c>
      <c r="AZ44" t="s">
        <v>1309</v>
      </c>
      <c r="BA44" t="s">
        <v>13041</v>
      </c>
      <c r="BB44">
        <v>23424771</v>
      </c>
      <c r="BC44">
        <v>23424771</v>
      </c>
      <c r="BD44" t="s">
        <v>12254</v>
      </c>
      <c r="BE44" t="s">
        <v>13041</v>
      </c>
      <c r="BG44" t="s">
        <v>13041</v>
      </c>
      <c r="BH44" t="s">
        <v>13041</v>
      </c>
      <c r="BI44" t="s">
        <v>13041</v>
      </c>
      <c r="BJ44" t="s">
        <v>13041</v>
      </c>
      <c r="BK44" t="s">
        <v>13041</v>
      </c>
      <c r="BL44" t="s">
        <v>13041</v>
      </c>
      <c r="BM44" t="s">
        <v>13041</v>
      </c>
      <c r="BN44" t="s">
        <v>13041</v>
      </c>
      <c r="BO44" t="s">
        <v>13041</v>
      </c>
      <c r="BP44" t="s">
        <v>13041</v>
      </c>
      <c r="BQ44" t="s">
        <v>13041</v>
      </c>
      <c r="BR44" t="s">
        <v>13041</v>
      </c>
      <c r="BS44" t="s">
        <v>13041</v>
      </c>
      <c r="BT44" t="s">
        <v>13041</v>
      </c>
      <c r="BU44" t="s">
        <v>13041</v>
      </c>
      <c r="BV44" t="s">
        <v>13041</v>
      </c>
      <c r="BW44" t="s">
        <v>13041</v>
      </c>
      <c r="BX44" t="s">
        <v>13041</v>
      </c>
      <c r="BY44" t="s">
        <v>13041</v>
      </c>
      <c r="BZ44" t="s">
        <v>13041</v>
      </c>
      <c r="CA44" t="s">
        <v>13041</v>
      </c>
      <c r="CB44" t="s">
        <v>13041</v>
      </c>
      <c r="CC44" t="s">
        <v>13041</v>
      </c>
      <c r="CD44" t="s">
        <v>13041</v>
      </c>
      <c r="CE44" t="s">
        <v>13041</v>
      </c>
      <c r="CF44" t="s">
        <v>13041</v>
      </c>
      <c r="CG44" t="s">
        <v>13041</v>
      </c>
      <c r="CH44" t="s">
        <v>13041</v>
      </c>
      <c r="CI44" t="s">
        <v>13041</v>
      </c>
      <c r="CJ44" t="s">
        <v>13041</v>
      </c>
      <c r="CK44" t="s">
        <v>13041</v>
      </c>
      <c r="CL44" t="s">
        <v>13041</v>
      </c>
      <c r="CM44">
        <v>-99</v>
      </c>
      <c r="CN44">
        <v>-99</v>
      </c>
      <c r="CO44" t="s">
        <v>12279</v>
      </c>
      <c r="CP44" t="s">
        <v>12279</v>
      </c>
      <c r="CQ44" t="s">
        <v>12779</v>
      </c>
      <c r="CR44" t="s">
        <v>12281</v>
      </c>
      <c r="CS44">
        <v>8</v>
      </c>
      <c r="CT44">
        <v>8</v>
      </c>
      <c r="CU44">
        <v>5</v>
      </c>
      <c r="CV44">
        <v>-99</v>
      </c>
      <c r="CW44">
        <v>1</v>
      </c>
      <c r="CX44">
        <v>0</v>
      </c>
      <c r="CY44">
        <v>4</v>
      </c>
      <c r="CZ44">
        <v>9</v>
      </c>
      <c r="DA44">
        <v>25.15709</v>
      </c>
      <c r="DB44">
        <v>42.508785000000003</v>
      </c>
      <c r="DC44">
        <v>1159320409</v>
      </c>
      <c r="DD44" t="s">
        <v>13045</v>
      </c>
      <c r="DE44" t="s">
        <v>13046</v>
      </c>
      <c r="DF44" t="s">
        <v>13047</v>
      </c>
      <c r="DG44" t="s">
        <v>13048</v>
      </c>
      <c r="DH44" t="s">
        <v>25</v>
      </c>
      <c r="DI44" t="s">
        <v>25</v>
      </c>
      <c r="DJ44" t="s">
        <v>13049</v>
      </c>
      <c r="DK44" t="s">
        <v>13050</v>
      </c>
      <c r="DL44" t="s">
        <v>13051</v>
      </c>
      <c r="DM44" t="s">
        <v>13052</v>
      </c>
      <c r="DN44" t="s">
        <v>13053</v>
      </c>
      <c r="DO44" t="s">
        <v>13054</v>
      </c>
      <c r="DP44" t="s">
        <v>25</v>
      </c>
      <c r="DQ44" t="s">
        <v>25</v>
      </c>
      <c r="DR44" t="s">
        <v>13055</v>
      </c>
      <c r="DS44" t="s">
        <v>13056</v>
      </c>
      <c r="DT44" t="s">
        <v>13057</v>
      </c>
      <c r="DU44" t="s">
        <v>13058</v>
      </c>
      <c r="DV44" t="s">
        <v>13054</v>
      </c>
      <c r="DW44" t="s">
        <v>13059</v>
      </c>
      <c r="DX44" t="s">
        <v>13048</v>
      </c>
      <c r="DY44" t="s">
        <v>13060</v>
      </c>
      <c r="DZ44" t="s">
        <v>13061</v>
      </c>
      <c r="EA44" t="s">
        <v>13062</v>
      </c>
      <c r="EB44" t="s">
        <v>25</v>
      </c>
      <c r="EC44" t="s">
        <v>13063</v>
      </c>
      <c r="ED44" t="s">
        <v>13064</v>
      </c>
      <c r="EE44" t="s">
        <v>12247</v>
      </c>
      <c r="EG44" t="s">
        <v>12247</v>
      </c>
    </row>
    <row r="45" spans="1:252" x14ac:dyDescent="0.25">
      <c r="A45" t="s">
        <v>26</v>
      </c>
      <c r="B45" t="s">
        <v>12247</v>
      </c>
      <c r="C45">
        <v>0</v>
      </c>
      <c r="D45">
        <v>3</v>
      </c>
      <c r="E45" t="s">
        <v>26</v>
      </c>
      <c r="F45" t="s">
        <v>13065</v>
      </c>
      <c r="G45">
        <v>0</v>
      </c>
      <c r="H45">
        <v>2</v>
      </c>
      <c r="I45" t="s">
        <v>12249</v>
      </c>
      <c r="J45">
        <v>1</v>
      </c>
      <c r="K45" t="s">
        <v>26</v>
      </c>
      <c r="L45" t="s">
        <v>13065</v>
      </c>
      <c r="M45">
        <v>0</v>
      </c>
      <c r="N45" t="s">
        <v>26</v>
      </c>
      <c r="O45" t="s">
        <v>13065</v>
      </c>
      <c r="P45">
        <v>0</v>
      </c>
      <c r="Q45" t="s">
        <v>26</v>
      </c>
      <c r="R45" t="s">
        <v>13065</v>
      </c>
      <c r="S45">
        <v>0</v>
      </c>
      <c r="T45" t="s">
        <v>26</v>
      </c>
      <c r="U45" t="s">
        <v>13065</v>
      </c>
      <c r="V45" t="s">
        <v>26</v>
      </c>
      <c r="X45" t="s">
        <v>13066</v>
      </c>
      <c r="Y45" t="s">
        <v>1306</v>
      </c>
      <c r="Z45" t="s">
        <v>26</v>
      </c>
      <c r="AB45" t="s">
        <v>26</v>
      </c>
      <c r="AE45" t="s">
        <v>26</v>
      </c>
      <c r="AG45">
        <v>2</v>
      </c>
      <c r="AH45">
        <v>1</v>
      </c>
      <c r="AI45">
        <v>5</v>
      </c>
      <c r="AJ45">
        <v>11</v>
      </c>
      <c r="AK45">
        <v>20321378</v>
      </c>
      <c r="AL45">
        <v>15</v>
      </c>
      <c r="AM45">
        <v>2019</v>
      </c>
      <c r="AN45">
        <v>15990</v>
      </c>
      <c r="AO45">
        <v>2019</v>
      </c>
      <c r="AP45" t="s">
        <v>12252</v>
      </c>
      <c r="AQ45" t="s">
        <v>12253</v>
      </c>
      <c r="AR45" t="s">
        <v>13067</v>
      </c>
      <c r="AS45" t="s">
        <v>1306</v>
      </c>
      <c r="AT45" t="s">
        <v>1306</v>
      </c>
      <c r="AU45" t="s">
        <v>13065</v>
      </c>
      <c r="AV45" t="s">
        <v>13065</v>
      </c>
      <c r="AW45">
        <v>854</v>
      </c>
      <c r="AX45">
        <v>854</v>
      </c>
      <c r="AY45">
        <v>854</v>
      </c>
      <c r="AZ45" t="s">
        <v>1306</v>
      </c>
      <c r="BA45" t="s">
        <v>13065</v>
      </c>
      <c r="BB45">
        <v>23424978</v>
      </c>
      <c r="BC45">
        <v>23424978</v>
      </c>
      <c r="BD45" t="s">
        <v>12254</v>
      </c>
      <c r="BE45" t="s">
        <v>13065</v>
      </c>
      <c r="BG45" t="s">
        <v>13065</v>
      </c>
      <c r="BH45" t="s">
        <v>13065</v>
      </c>
      <c r="BI45" t="s">
        <v>13065</v>
      </c>
      <c r="BJ45" t="s">
        <v>13065</v>
      </c>
      <c r="BK45" t="s">
        <v>13065</v>
      </c>
      <c r="BL45" t="s">
        <v>13065</v>
      </c>
      <c r="BM45" t="s">
        <v>13065</v>
      </c>
      <c r="BN45" t="s">
        <v>13065</v>
      </c>
      <c r="BO45" t="s">
        <v>13065</v>
      </c>
      <c r="BP45" t="s">
        <v>13065</v>
      </c>
      <c r="BQ45" t="s">
        <v>13065</v>
      </c>
      <c r="BR45" t="s">
        <v>13065</v>
      </c>
      <c r="BS45" t="s">
        <v>13065</v>
      </c>
      <c r="BT45" t="s">
        <v>13065</v>
      </c>
      <c r="BU45" t="s">
        <v>13065</v>
      </c>
      <c r="BV45" t="s">
        <v>13065</v>
      </c>
      <c r="BW45" t="s">
        <v>13065</v>
      </c>
      <c r="BX45" t="s">
        <v>13065</v>
      </c>
      <c r="BY45" t="s">
        <v>13065</v>
      </c>
      <c r="BZ45" t="s">
        <v>13065</v>
      </c>
      <c r="CA45" t="s">
        <v>13065</v>
      </c>
      <c r="CB45" t="s">
        <v>13065</v>
      </c>
      <c r="CC45" t="s">
        <v>13065</v>
      </c>
      <c r="CD45" t="s">
        <v>13065</v>
      </c>
      <c r="CE45" t="s">
        <v>13065</v>
      </c>
      <c r="CF45" t="s">
        <v>13065</v>
      </c>
      <c r="CG45" t="s">
        <v>13065</v>
      </c>
      <c r="CH45" t="s">
        <v>13065</v>
      </c>
      <c r="CI45" t="s">
        <v>13065</v>
      </c>
      <c r="CJ45" t="s">
        <v>13065</v>
      </c>
      <c r="CK45" t="s">
        <v>13065</v>
      </c>
      <c r="CL45" t="s">
        <v>13065</v>
      </c>
      <c r="CM45">
        <v>-99</v>
      </c>
      <c r="CN45">
        <v>-99</v>
      </c>
      <c r="CO45" t="s">
        <v>12306</v>
      </c>
      <c r="CP45" t="s">
        <v>12306</v>
      </c>
      <c r="CQ45" t="s">
        <v>12847</v>
      </c>
      <c r="CR45" t="s">
        <v>12357</v>
      </c>
      <c r="CS45">
        <v>12</v>
      </c>
      <c r="CT45">
        <v>12</v>
      </c>
      <c r="CU45">
        <v>4</v>
      </c>
      <c r="CV45">
        <v>-99</v>
      </c>
      <c r="CW45">
        <v>1</v>
      </c>
      <c r="CX45">
        <v>0</v>
      </c>
      <c r="CY45">
        <v>3</v>
      </c>
      <c r="CZ45">
        <v>8</v>
      </c>
      <c r="DA45">
        <v>-1.36388</v>
      </c>
      <c r="DB45">
        <v>12.673048</v>
      </c>
      <c r="DC45">
        <v>1159320405</v>
      </c>
      <c r="DD45" t="s">
        <v>13068</v>
      </c>
      <c r="DE45" t="s">
        <v>13069</v>
      </c>
      <c r="DF45" t="s">
        <v>13070</v>
      </c>
      <c r="DG45" t="s">
        <v>26</v>
      </c>
      <c r="DH45" t="s">
        <v>26</v>
      </c>
      <c r="DI45" t="s">
        <v>26</v>
      </c>
      <c r="DJ45" t="s">
        <v>13071</v>
      </c>
      <c r="DK45" t="s">
        <v>26</v>
      </c>
      <c r="DL45" t="s">
        <v>13072</v>
      </c>
      <c r="DM45" t="s">
        <v>13073</v>
      </c>
      <c r="DN45" t="s">
        <v>13074</v>
      </c>
      <c r="DO45" t="s">
        <v>26</v>
      </c>
      <c r="DP45" t="s">
        <v>26</v>
      </c>
      <c r="DQ45" t="s">
        <v>26</v>
      </c>
      <c r="DR45" t="s">
        <v>13075</v>
      </c>
      <c r="DS45" t="s">
        <v>13076</v>
      </c>
      <c r="DT45" t="s">
        <v>26</v>
      </c>
      <c r="DU45" t="s">
        <v>26</v>
      </c>
      <c r="DV45" t="s">
        <v>26</v>
      </c>
      <c r="DW45" t="s">
        <v>13077</v>
      </c>
      <c r="DX45" t="s">
        <v>26</v>
      </c>
      <c r="DY45" t="s">
        <v>26</v>
      </c>
      <c r="DZ45" t="s">
        <v>13078</v>
      </c>
      <c r="EA45" t="s">
        <v>13079</v>
      </c>
      <c r="EB45" t="s">
        <v>26</v>
      </c>
      <c r="EC45" t="s">
        <v>13080</v>
      </c>
      <c r="ED45" t="s">
        <v>13081</v>
      </c>
      <c r="EE45" t="s">
        <v>12247</v>
      </c>
      <c r="EG45" t="s">
        <v>12247</v>
      </c>
    </row>
    <row r="46" spans="1:252" x14ac:dyDescent="0.25">
      <c r="A46" t="s">
        <v>27</v>
      </c>
      <c r="B46" t="s">
        <v>12247</v>
      </c>
      <c r="C46">
        <v>0</v>
      </c>
      <c r="D46">
        <v>6</v>
      </c>
      <c r="E46" t="s">
        <v>27</v>
      </c>
      <c r="F46" t="s">
        <v>13082</v>
      </c>
      <c r="G46">
        <v>0</v>
      </c>
      <c r="H46">
        <v>2</v>
      </c>
      <c r="I46" t="s">
        <v>12249</v>
      </c>
      <c r="J46">
        <v>1</v>
      </c>
      <c r="K46" t="s">
        <v>27</v>
      </c>
      <c r="L46" t="s">
        <v>13082</v>
      </c>
      <c r="M46">
        <v>0</v>
      </c>
      <c r="N46" t="s">
        <v>27</v>
      </c>
      <c r="O46" t="s">
        <v>13082</v>
      </c>
      <c r="P46">
        <v>0</v>
      </c>
      <c r="Q46" t="s">
        <v>27</v>
      </c>
      <c r="R46" t="s">
        <v>13082</v>
      </c>
      <c r="S46">
        <v>0</v>
      </c>
      <c r="T46" t="s">
        <v>27</v>
      </c>
      <c r="U46" t="s">
        <v>13082</v>
      </c>
      <c r="V46" t="s">
        <v>27</v>
      </c>
      <c r="X46" t="s">
        <v>13083</v>
      </c>
      <c r="Y46" t="s">
        <v>1316</v>
      </c>
      <c r="Z46" t="s">
        <v>13084</v>
      </c>
      <c r="AB46" t="s">
        <v>27</v>
      </c>
      <c r="AE46" t="s">
        <v>27</v>
      </c>
      <c r="AG46">
        <v>2</v>
      </c>
      <c r="AH46">
        <v>2</v>
      </c>
      <c r="AI46">
        <v>5</v>
      </c>
      <c r="AJ46">
        <v>8</v>
      </c>
      <c r="AK46">
        <v>11530580</v>
      </c>
      <c r="AL46">
        <v>14</v>
      </c>
      <c r="AM46">
        <v>2019</v>
      </c>
      <c r="AN46">
        <v>3012</v>
      </c>
      <c r="AO46">
        <v>2019</v>
      </c>
      <c r="AP46" t="s">
        <v>12252</v>
      </c>
      <c r="AQ46" t="s">
        <v>12253</v>
      </c>
      <c r="AR46" t="s">
        <v>1350</v>
      </c>
      <c r="AS46" t="s">
        <v>1316</v>
      </c>
      <c r="AT46" t="s">
        <v>1316</v>
      </c>
      <c r="AU46" t="s">
        <v>13082</v>
      </c>
      <c r="AV46" t="s">
        <v>13082</v>
      </c>
      <c r="AW46">
        <v>108</v>
      </c>
      <c r="AX46">
        <v>108</v>
      </c>
      <c r="AY46">
        <v>108</v>
      </c>
      <c r="AZ46" t="s">
        <v>1316</v>
      </c>
      <c r="BA46" t="s">
        <v>13082</v>
      </c>
      <c r="BB46">
        <v>23424774</v>
      </c>
      <c r="BC46">
        <v>23424774</v>
      </c>
      <c r="BD46" t="s">
        <v>12254</v>
      </c>
      <c r="BE46" t="s">
        <v>13082</v>
      </c>
      <c r="BG46" t="s">
        <v>13082</v>
      </c>
      <c r="BH46" t="s">
        <v>13082</v>
      </c>
      <c r="BI46" t="s">
        <v>13082</v>
      </c>
      <c r="BJ46" t="s">
        <v>13082</v>
      </c>
      <c r="BK46" t="s">
        <v>13082</v>
      </c>
      <c r="BL46" t="s">
        <v>13082</v>
      </c>
      <c r="BM46" t="s">
        <v>13082</v>
      </c>
      <c r="BN46" t="s">
        <v>13082</v>
      </c>
      <c r="BO46" t="s">
        <v>13082</v>
      </c>
      <c r="BP46" t="s">
        <v>13082</v>
      </c>
      <c r="BQ46" t="s">
        <v>13082</v>
      </c>
      <c r="BR46" t="s">
        <v>13082</v>
      </c>
      <c r="BS46" t="s">
        <v>13082</v>
      </c>
      <c r="BT46" t="s">
        <v>13082</v>
      </c>
      <c r="BU46" t="s">
        <v>13082</v>
      </c>
      <c r="BV46" t="s">
        <v>13082</v>
      </c>
      <c r="BW46" t="s">
        <v>13082</v>
      </c>
      <c r="BX46" t="s">
        <v>13082</v>
      </c>
      <c r="BY46" t="s">
        <v>13082</v>
      </c>
      <c r="BZ46" t="s">
        <v>13082</v>
      </c>
      <c r="CA46" t="s">
        <v>13082</v>
      </c>
      <c r="CB46" t="s">
        <v>13082</v>
      </c>
      <c r="CC46" t="s">
        <v>13082</v>
      </c>
      <c r="CD46" t="s">
        <v>13082</v>
      </c>
      <c r="CE46" t="s">
        <v>13082</v>
      </c>
      <c r="CF46" t="s">
        <v>13082</v>
      </c>
      <c r="CG46" t="s">
        <v>13082</v>
      </c>
      <c r="CH46" t="s">
        <v>13082</v>
      </c>
      <c r="CI46" t="s">
        <v>13082</v>
      </c>
      <c r="CJ46" t="s">
        <v>13082</v>
      </c>
      <c r="CK46" t="s">
        <v>13082</v>
      </c>
      <c r="CL46" t="s">
        <v>13082</v>
      </c>
      <c r="CM46">
        <v>-99</v>
      </c>
      <c r="CN46">
        <v>-99</v>
      </c>
      <c r="CO46" t="s">
        <v>12306</v>
      </c>
      <c r="CP46" t="s">
        <v>12306</v>
      </c>
      <c r="CQ46" t="s">
        <v>13085</v>
      </c>
      <c r="CR46" t="s">
        <v>12357</v>
      </c>
      <c r="CS46">
        <v>7</v>
      </c>
      <c r="CT46">
        <v>7</v>
      </c>
      <c r="CU46">
        <v>4</v>
      </c>
      <c r="CV46">
        <v>-99</v>
      </c>
      <c r="CW46">
        <v>1</v>
      </c>
      <c r="CX46">
        <v>0</v>
      </c>
      <c r="CY46">
        <v>4</v>
      </c>
      <c r="CZ46">
        <v>9</v>
      </c>
      <c r="DA46">
        <v>29.917086000000001</v>
      </c>
      <c r="DB46">
        <v>-3.3328359999999999</v>
      </c>
      <c r="DC46">
        <v>1159320387</v>
      </c>
      <c r="DD46" t="s">
        <v>13086</v>
      </c>
      <c r="DE46" t="s">
        <v>13087</v>
      </c>
      <c r="DF46" t="s">
        <v>13088</v>
      </c>
      <c r="DG46" t="s">
        <v>27</v>
      </c>
      <c r="DH46" t="s">
        <v>27</v>
      </c>
      <c r="DI46" t="s">
        <v>27</v>
      </c>
      <c r="DJ46" t="s">
        <v>13089</v>
      </c>
      <c r="DK46" t="s">
        <v>27</v>
      </c>
      <c r="DL46" t="s">
        <v>13090</v>
      </c>
      <c r="DM46" t="s">
        <v>13091</v>
      </c>
      <c r="DN46" t="s">
        <v>13092</v>
      </c>
      <c r="DO46" t="s">
        <v>27</v>
      </c>
      <c r="DP46" t="s">
        <v>27</v>
      </c>
      <c r="DQ46" t="s">
        <v>27</v>
      </c>
      <c r="DR46" t="s">
        <v>13093</v>
      </c>
      <c r="DS46" t="s">
        <v>13094</v>
      </c>
      <c r="DT46" t="s">
        <v>27</v>
      </c>
      <c r="DU46" t="s">
        <v>27</v>
      </c>
      <c r="DV46" t="s">
        <v>27</v>
      </c>
      <c r="DW46" t="s">
        <v>13095</v>
      </c>
      <c r="DX46" t="s">
        <v>27</v>
      </c>
      <c r="DY46" t="s">
        <v>27</v>
      </c>
      <c r="DZ46" t="s">
        <v>13096</v>
      </c>
      <c r="EA46" t="s">
        <v>13097</v>
      </c>
      <c r="EB46" t="s">
        <v>27</v>
      </c>
      <c r="EC46" t="s">
        <v>13098</v>
      </c>
      <c r="ED46" t="s">
        <v>13099</v>
      </c>
      <c r="EE46" t="s">
        <v>12247</v>
      </c>
      <c r="EG46" t="s">
        <v>12247</v>
      </c>
    </row>
    <row r="47" spans="1:252" x14ac:dyDescent="0.25">
      <c r="A47" t="s">
        <v>18853</v>
      </c>
      <c r="B47" t="s">
        <v>12247</v>
      </c>
      <c r="C47">
        <v>0</v>
      </c>
      <c r="D47">
        <v>3</v>
      </c>
      <c r="E47" t="s">
        <v>14855</v>
      </c>
      <c r="F47" t="s">
        <v>14856</v>
      </c>
      <c r="G47">
        <v>0</v>
      </c>
      <c r="H47">
        <v>2</v>
      </c>
      <c r="I47" t="s">
        <v>12249</v>
      </c>
      <c r="J47">
        <v>1</v>
      </c>
      <c r="K47" t="s">
        <v>14855</v>
      </c>
      <c r="L47" t="s">
        <v>14856</v>
      </c>
      <c r="M47">
        <v>0</v>
      </c>
      <c r="N47" t="s">
        <v>14855</v>
      </c>
      <c r="O47" t="s">
        <v>14856</v>
      </c>
      <c r="P47">
        <v>0</v>
      </c>
      <c r="Q47" t="s">
        <v>14855</v>
      </c>
      <c r="R47" t="s">
        <v>14856</v>
      </c>
      <c r="S47">
        <v>0</v>
      </c>
      <c r="T47" t="s">
        <v>14857</v>
      </c>
      <c r="U47" t="s">
        <v>14856</v>
      </c>
      <c r="V47" t="s">
        <v>14857</v>
      </c>
      <c r="X47" t="s">
        <v>14858</v>
      </c>
      <c r="Y47" t="s">
        <v>1375</v>
      </c>
      <c r="Z47" t="s">
        <v>14859</v>
      </c>
      <c r="AA47" t="s">
        <v>14860</v>
      </c>
      <c r="AB47" t="s">
        <v>14861</v>
      </c>
      <c r="AE47" t="s">
        <v>14857</v>
      </c>
      <c r="AG47">
        <v>4</v>
      </c>
      <c r="AH47">
        <v>6</v>
      </c>
      <c r="AI47">
        <v>3</v>
      </c>
      <c r="AJ47">
        <v>3</v>
      </c>
      <c r="AK47">
        <v>25716544</v>
      </c>
      <c r="AL47">
        <v>15</v>
      </c>
      <c r="AM47">
        <v>2019</v>
      </c>
      <c r="AN47">
        <v>58539</v>
      </c>
      <c r="AO47">
        <v>2019</v>
      </c>
      <c r="AP47" t="s">
        <v>12277</v>
      </c>
      <c r="AQ47" t="s">
        <v>12278</v>
      </c>
      <c r="AR47" t="s">
        <v>14862</v>
      </c>
      <c r="AS47" t="s">
        <v>1375</v>
      </c>
      <c r="AT47" t="s">
        <v>1375</v>
      </c>
      <c r="AU47" t="s">
        <v>14856</v>
      </c>
      <c r="AV47" t="s">
        <v>14856</v>
      </c>
      <c r="AW47">
        <v>384</v>
      </c>
      <c r="AX47">
        <v>384</v>
      </c>
      <c r="AY47">
        <v>384</v>
      </c>
      <c r="AZ47" t="s">
        <v>1375</v>
      </c>
      <c r="BA47" t="s">
        <v>14856</v>
      </c>
      <c r="BB47">
        <v>23424854</v>
      </c>
      <c r="BC47">
        <v>23424854</v>
      </c>
      <c r="BD47" t="s">
        <v>12254</v>
      </c>
      <c r="BE47" t="s">
        <v>14856</v>
      </c>
      <c r="BG47" t="s">
        <v>14856</v>
      </c>
      <c r="BH47" t="s">
        <v>14856</v>
      </c>
      <c r="BI47" t="s">
        <v>14856</v>
      </c>
      <c r="BJ47" t="s">
        <v>14856</v>
      </c>
      <c r="BK47" t="s">
        <v>14856</v>
      </c>
      <c r="BL47" t="s">
        <v>14856</v>
      </c>
      <c r="BM47" t="s">
        <v>14856</v>
      </c>
      <c r="BN47" t="s">
        <v>14856</v>
      </c>
      <c r="BO47" t="s">
        <v>14856</v>
      </c>
      <c r="BP47" t="s">
        <v>14856</v>
      </c>
      <c r="BQ47" t="s">
        <v>14856</v>
      </c>
      <c r="BR47" t="s">
        <v>14856</v>
      </c>
      <c r="BS47" t="s">
        <v>14856</v>
      </c>
      <c r="BT47" t="s">
        <v>14856</v>
      </c>
      <c r="BU47" t="s">
        <v>14856</v>
      </c>
      <c r="BV47" t="s">
        <v>14856</v>
      </c>
      <c r="BW47" t="s">
        <v>14856</v>
      </c>
      <c r="BX47" t="s">
        <v>14856</v>
      </c>
      <c r="BY47" t="s">
        <v>14856</v>
      </c>
      <c r="BZ47" t="s">
        <v>14856</v>
      </c>
      <c r="CA47" t="s">
        <v>14856</v>
      </c>
      <c r="CB47" t="s">
        <v>14856</v>
      </c>
      <c r="CC47" t="s">
        <v>14856</v>
      </c>
      <c r="CD47" t="s">
        <v>14856</v>
      </c>
      <c r="CE47" t="s">
        <v>14856</v>
      </c>
      <c r="CF47" t="s">
        <v>14856</v>
      </c>
      <c r="CG47" t="s">
        <v>14856</v>
      </c>
      <c r="CH47" t="s">
        <v>14856</v>
      </c>
      <c r="CI47" t="s">
        <v>14856</v>
      </c>
      <c r="CJ47" t="s">
        <v>14856</v>
      </c>
      <c r="CK47" t="s">
        <v>14856</v>
      </c>
      <c r="CL47" t="s">
        <v>14856</v>
      </c>
      <c r="CM47">
        <v>-99</v>
      </c>
      <c r="CN47">
        <v>-99</v>
      </c>
      <c r="CO47" t="s">
        <v>12306</v>
      </c>
      <c r="CP47" t="s">
        <v>12306</v>
      </c>
      <c r="CQ47" t="s">
        <v>12847</v>
      </c>
      <c r="CR47" t="s">
        <v>12357</v>
      </c>
      <c r="CS47">
        <v>13</v>
      </c>
      <c r="CT47">
        <v>13</v>
      </c>
      <c r="CU47">
        <v>4</v>
      </c>
      <c r="CV47">
        <v>-99</v>
      </c>
      <c r="CW47">
        <v>1</v>
      </c>
      <c r="CX47">
        <v>0</v>
      </c>
      <c r="CY47">
        <v>2.5</v>
      </c>
      <c r="CZ47">
        <v>8</v>
      </c>
      <c r="DA47">
        <v>-5.5686179999999998</v>
      </c>
      <c r="DB47">
        <v>7.49139</v>
      </c>
      <c r="DC47">
        <v>1159320507</v>
      </c>
      <c r="DD47" t="s">
        <v>14863</v>
      </c>
      <c r="DE47" t="s">
        <v>14864</v>
      </c>
      <c r="DF47" t="s">
        <v>14865</v>
      </c>
      <c r="DG47" t="s">
        <v>14866</v>
      </c>
      <c r="DH47" t="s">
        <v>14855</v>
      </c>
      <c r="DI47" t="s">
        <v>14867</v>
      </c>
      <c r="DJ47" t="s">
        <v>14868</v>
      </c>
      <c r="DK47" t="s">
        <v>14857</v>
      </c>
      <c r="DL47" t="s">
        <v>14869</v>
      </c>
      <c r="DM47" t="s">
        <v>14870</v>
      </c>
      <c r="DN47" t="s">
        <v>14871</v>
      </c>
      <c r="DO47" t="s">
        <v>14872</v>
      </c>
      <c r="DP47" t="s">
        <v>14873</v>
      </c>
      <c r="DQ47" t="s">
        <v>14874</v>
      </c>
      <c r="DR47" t="s">
        <v>14875</v>
      </c>
      <c r="DS47" t="s">
        <v>14876</v>
      </c>
      <c r="DT47" t="s">
        <v>14877</v>
      </c>
      <c r="DU47" t="s">
        <v>14878</v>
      </c>
      <c r="DV47" t="s">
        <v>14879</v>
      </c>
      <c r="DW47" t="s">
        <v>14880</v>
      </c>
      <c r="DX47" t="s">
        <v>14881</v>
      </c>
      <c r="DY47" t="s">
        <v>14882</v>
      </c>
      <c r="DZ47" t="s">
        <v>14883</v>
      </c>
      <c r="EA47" t="s">
        <v>14884</v>
      </c>
      <c r="EB47" t="s">
        <v>14885</v>
      </c>
      <c r="EC47" t="s">
        <v>14886</v>
      </c>
      <c r="ED47" t="s">
        <v>14887</v>
      </c>
      <c r="EE47" t="s">
        <v>12247</v>
      </c>
      <c r="EG47" t="s">
        <v>12247</v>
      </c>
    </row>
    <row r="48" spans="1:252" x14ac:dyDescent="0.25">
      <c r="A48" t="s">
        <v>28</v>
      </c>
      <c r="B48" t="s">
        <v>12247</v>
      </c>
      <c r="C48">
        <v>3</v>
      </c>
      <c r="D48">
        <v>4</v>
      </c>
      <c r="E48" t="s">
        <v>28</v>
      </c>
      <c r="F48" t="s">
        <v>13100</v>
      </c>
      <c r="G48">
        <v>0</v>
      </c>
      <c r="H48">
        <v>2</v>
      </c>
      <c r="I48" t="s">
        <v>12249</v>
      </c>
      <c r="J48">
        <v>1</v>
      </c>
      <c r="K48" t="s">
        <v>28</v>
      </c>
      <c r="L48" t="s">
        <v>13100</v>
      </c>
      <c r="M48">
        <v>0</v>
      </c>
      <c r="N48" t="s">
        <v>28</v>
      </c>
      <c r="O48" t="s">
        <v>13100</v>
      </c>
      <c r="P48">
        <v>0</v>
      </c>
      <c r="Q48" t="s">
        <v>28</v>
      </c>
      <c r="R48" t="s">
        <v>13100</v>
      </c>
      <c r="S48">
        <v>0</v>
      </c>
      <c r="T48" t="s">
        <v>13101</v>
      </c>
      <c r="U48" t="s">
        <v>13100</v>
      </c>
      <c r="V48" t="s">
        <v>28</v>
      </c>
      <c r="X48" t="s">
        <v>13102</v>
      </c>
      <c r="Y48" t="s">
        <v>1399</v>
      </c>
      <c r="Z48" t="s">
        <v>13101</v>
      </c>
      <c r="AB48" t="s">
        <v>28</v>
      </c>
      <c r="AE48" t="s">
        <v>28</v>
      </c>
      <c r="AG48">
        <v>1</v>
      </c>
      <c r="AH48">
        <v>1</v>
      </c>
      <c r="AI48">
        <v>4</v>
      </c>
      <c r="AJ48">
        <v>11</v>
      </c>
      <c r="AK48">
        <v>549935</v>
      </c>
      <c r="AL48">
        <v>11</v>
      </c>
      <c r="AM48">
        <v>2019</v>
      </c>
      <c r="AN48">
        <v>1981</v>
      </c>
      <c r="AO48">
        <v>2019</v>
      </c>
      <c r="AP48" t="s">
        <v>12277</v>
      </c>
      <c r="AQ48" t="s">
        <v>12278</v>
      </c>
      <c r="AR48" t="s">
        <v>1399</v>
      </c>
      <c r="AS48" t="s">
        <v>1399</v>
      </c>
      <c r="AT48" t="s">
        <v>1399</v>
      </c>
      <c r="AU48" t="s">
        <v>13100</v>
      </c>
      <c r="AV48" t="s">
        <v>13100</v>
      </c>
      <c r="AW48">
        <v>132</v>
      </c>
      <c r="AX48">
        <v>132</v>
      </c>
      <c r="AY48">
        <v>132</v>
      </c>
      <c r="AZ48" t="s">
        <v>1399</v>
      </c>
      <c r="BA48" t="s">
        <v>13100</v>
      </c>
      <c r="BB48">
        <v>23424794</v>
      </c>
      <c r="BC48">
        <v>23424794</v>
      </c>
      <c r="BD48" t="s">
        <v>12254</v>
      </c>
      <c r="BE48" t="s">
        <v>13100</v>
      </c>
      <c r="BG48" t="s">
        <v>13100</v>
      </c>
      <c r="BH48" t="s">
        <v>13100</v>
      </c>
      <c r="BI48" t="s">
        <v>13100</v>
      </c>
      <c r="BJ48" t="s">
        <v>13100</v>
      </c>
      <c r="BK48" t="s">
        <v>13100</v>
      </c>
      <c r="BL48" t="s">
        <v>13100</v>
      </c>
      <c r="BM48" t="s">
        <v>13100</v>
      </c>
      <c r="BN48" t="s">
        <v>13100</v>
      </c>
      <c r="BO48" t="s">
        <v>13100</v>
      </c>
      <c r="BP48" t="s">
        <v>13100</v>
      </c>
      <c r="BQ48" t="s">
        <v>13100</v>
      </c>
      <c r="BR48" t="s">
        <v>13100</v>
      </c>
      <c r="BS48" t="s">
        <v>13100</v>
      </c>
      <c r="BT48" t="s">
        <v>13100</v>
      </c>
      <c r="BU48" t="s">
        <v>13100</v>
      </c>
      <c r="BV48" t="s">
        <v>13100</v>
      </c>
      <c r="BW48" t="s">
        <v>13100</v>
      </c>
      <c r="BX48" t="s">
        <v>13100</v>
      </c>
      <c r="BY48" t="s">
        <v>13100</v>
      </c>
      <c r="BZ48" t="s">
        <v>13100</v>
      </c>
      <c r="CA48" t="s">
        <v>13100</v>
      </c>
      <c r="CB48" t="s">
        <v>13100</v>
      </c>
      <c r="CC48" t="s">
        <v>13100</v>
      </c>
      <c r="CD48" t="s">
        <v>13100</v>
      </c>
      <c r="CE48" t="s">
        <v>13100</v>
      </c>
      <c r="CF48" t="s">
        <v>13100</v>
      </c>
      <c r="CG48" t="s">
        <v>13100</v>
      </c>
      <c r="CH48" t="s">
        <v>13100</v>
      </c>
      <c r="CI48" t="s">
        <v>13100</v>
      </c>
      <c r="CJ48" t="s">
        <v>13100</v>
      </c>
      <c r="CK48" t="s">
        <v>13100</v>
      </c>
      <c r="CL48" t="s">
        <v>13100</v>
      </c>
      <c r="CM48">
        <v>-99</v>
      </c>
      <c r="CN48">
        <v>-99</v>
      </c>
      <c r="CO48" t="s">
        <v>12306</v>
      </c>
      <c r="CP48" t="s">
        <v>12306</v>
      </c>
      <c r="CQ48" t="s">
        <v>12847</v>
      </c>
      <c r="CR48" t="s">
        <v>12357</v>
      </c>
      <c r="CS48">
        <v>10</v>
      </c>
      <c r="CT48">
        <v>22</v>
      </c>
      <c r="CU48">
        <v>5</v>
      </c>
      <c r="CV48">
        <v>-99</v>
      </c>
      <c r="CW48">
        <v>1</v>
      </c>
      <c r="CX48">
        <v>0</v>
      </c>
      <c r="CY48">
        <v>4</v>
      </c>
      <c r="CZ48">
        <v>9</v>
      </c>
      <c r="DA48">
        <v>-23.639434000000001</v>
      </c>
      <c r="DB48">
        <v>15.074761000000001</v>
      </c>
      <c r="DC48">
        <v>1159320523</v>
      </c>
      <c r="DD48" t="s">
        <v>13103</v>
      </c>
      <c r="DE48" t="s">
        <v>13104</v>
      </c>
      <c r="DF48" t="s">
        <v>13105</v>
      </c>
      <c r="DG48" t="s">
        <v>13106</v>
      </c>
      <c r="DH48" t="s">
        <v>13107</v>
      </c>
      <c r="DI48" t="s">
        <v>28</v>
      </c>
      <c r="DJ48" t="s">
        <v>13108</v>
      </c>
      <c r="DK48" t="s">
        <v>13109</v>
      </c>
      <c r="DL48" t="s">
        <v>13110</v>
      </c>
      <c r="DM48" t="s">
        <v>13111</v>
      </c>
      <c r="DN48" t="s">
        <v>13112</v>
      </c>
      <c r="DO48" t="s">
        <v>13113</v>
      </c>
      <c r="DP48" t="s">
        <v>13114</v>
      </c>
      <c r="DQ48" t="s">
        <v>13115</v>
      </c>
      <c r="DR48" t="s">
        <v>13116</v>
      </c>
      <c r="DS48" t="s">
        <v>13117</v>
      </c>
      <c r="DT48" t="s">
        <v>13118</v>
      </c>
      <c r="DU48" t="s">
        <v>13119</v>
      </c>
      <c r="DV48" t="s">
        <v>28</v>
      </c>
      <c r="DW48" t="s">
        <v>13120</v>
      </c>
      <c r="DX48" t="s">
        <v>13106</v>
      </c>
      <c r="DY48" t="s">
        <v>13121</v>
      </c>
      <c r="DZ48" t="s">
        <v>13120</v>
      </c>
      <c r="EA48" t="s">
        <v>13122</v>
      </c>
      <c r="EB48" t="s">
        <v>28</v>
      </c>
      <c r="EC48" t="s">
        <v>13123</v>
      </c>
      <c r="ED48" t="s">
        <v>13124</v>
      </c>
      <c r="EE48" t="s">
        <v>12247</v>
      </c>
      <c r="EG48" t="s">
        <v>12247</v>
      </c>
    </row>
    <row r="49" spans="1:253" x14ac:dyDescent="0.25">
      <c r="A49" t="s">
        <v>29</v>
      </c>
      <c r="B49" t="s">
        <v>12247</v>
      </c>
      <c r="C49">
        <v>0</v>
      </c>
      <c r="D49">
        <v>3</v>
      </c>
      <c r="E49" t="s">
        <v>29</v>
      </c>
      <c r="F49" t="s">
        <v>13125</v>
      </c>
      <c r="G49">
        <v>0</v>
      </c>
      <c r="H49">
        <v>2</v>
      </c>
      <c r="I49" t="s">
        <v>12249</v>
      </c>
      <c r="J49">
        <v>1</v>
      </c>
      <c r="K49" t="s">
        <v>29</v>
      </c>
      <c r="L49" t="s">
        <v>13125</v>
      </c>
      <c r="M49">
        <v>0</v>
      </c>
      <c r="N49" t="s">
        <v>29</v>
      </c>
      <c r="O49" t="s">
        <v>13125</v>
      </c>
      <c r="P49">
        <v>0</v>
      </c>
      <c r="Q49" t="s">
        <v>29</v>
      </c>
      <c r="R49" t="s">
        <v>13125</v>
      </c>
      <c r="S49">
        <v>0</v>
      </c>
      <c r="T49" t="s">
        <v>29</v>
      </c>
      <c r="U49" t="s">
        <v>13125</v>
      </c>
      <c r="V49" t="s">
        <v>29</v>
      </c>
      <c r="X49" t="s">
        <v>13126</v>
      </c>
      <c r="Y49" t="s">
        <v>1600</v>
      </c>
      <c r="Z49" t="s">
        <v>13127</v>
      </c>
      <c r="AB49" t="s">
        <v>29</v>
      </c>
      <c r="AE49" t="s">
        <v>29</v>
      </c>
      <c r="AG49">
        <v>6</v>
      </c>
      <c r="AH49">
        <v>3</v>
      </c>
      <c r="AI49">
        <v>6</v>
      </c>
      <c r="AJ49">
        <v>5</v>
      </c>
      <c r="AK49">
        <v>16486542</v>
      </c>
      <c r="AL49">
        <v>14</v>
      </c>
      <c r="AM49">
        <v>2019</v>
      </c>
      <c r="AN49">
        <v>27089</v>
      </c>
      <c r="AO49">
        <v>2019</v>
      </c>
      <c r="AP49" t="s">
        <v>12252</v>
      </c>
      <c r="AQ49" t="s">
        <v>12253</v>
      </c>
      <c r="AR49" t="s">
        <v>13128</v>
      </c>
      <c r="AS49" t="s">
        <v>1600</v>
      </c>
      <c r="AT49" t="s">
        <v>1600</v>
      </c>
      <c r="AU49" t="s">
        <v>13125</v>
      </c>
      <c r="AV49" t="s">
        <v>13125</v>
      </c>
      <c r="AW49">
        <v>116</v>
      </c>
      <c r="AX49">
        <v>116</v>
      </c>
      <c r="AY49">
        <v>116</v>
      </c>
      <c r="AZ49" t="s">
        <v>1600</v>
      </c>
      <c r="BA49" t="s">
        <v>13125</v>
      </c>
      <c r="BB49">
        <v>23424776</v>
      </c>
      <c r="BC49">
        <v>23424776</v>
      </c>
      <c r="BD49" t="s">
        <v>12254</v>
      </c>
      <c r="BE49" t="s">
        <v>13125</v>
      </c>
      <c r="BG49" t="s">
        <v>13125</v>
      </c>
      <c r="BH49" t="s">
        <v>13125</v>
      </c>
      <c r="BI49" t="s">
        <v>13125</v>
      </c>
      <c r="BJ49" t="s">
        <v>13125</v>
      </c>
      <c r="BK49" t="s">
        <v>13125</v>
      </c>
      <c r="BL49" t="s">
        <v>13125</v>
      </c>
      <c r="BM49" t="s">
        <v>13125</v>
      </c>
      <c r="BN49" t="s">
        <v>13125</v>
      </c>
      <c r="BO49" t="s">
        <v>13125</v>
      </c>
      <c r="BP49" t="s">
        <v>13125</v>
      </c>
      <c r="BQ49" t="s">
        <v>13125</v>
      </c>
      <c r="BR49" t="s">
        <v>13125</v>
      </c>
      <c r="BS49" t="s">
        <v>13125</v>
      </c>
      <c r="BT49" t="s">
        <v>13125</v>
      </c>
      <c r="BU49" t="s">
        <v>13125</v>
      </c>
      <c r="BV49" t="s">
        <v>13125</v>
      </c>
      <c r="BW49" t="s">
        <v>13125</v>
      </c>
      <c r="BX49" t="s">
        <v>13125</v>
      </c>
      <c r="BY49" t="s">
        <v>13125</v>
      </c>
      <c r="BZ49" t="s">
        <v>13125</v>
      </c>
      <c r="CA49" t="s">
        <v>13125</v>
      </c>
      <c r="CB49" t="s">
        <v>13125</v>
      </c>
      <c r="CC49" t="s">
        <v>13125</v>
      </c>
      <c r="CD49" t="s">
        <v>13125</v>
      </c>
      <c r="CE49" t="s">
        <v>13125</v>
      </c>
      <c r="CF49" t="s">
        <v>13125</v>
      </c>
      <c r="CG49" t="s">
        <v>13125</v>
      </c>
      <c r="CH49" t="s">
        <v>13125</v>
      </c>
      <c r="CI49" t="s">
        <v>13125</v>
      </c>
      <c r="CJ49" t="s">
        <v>13125</v>
      </c>
      <c r="CK49" t="s">
        <v>13125</v>
      </c>
      <c r="CL49" t="s">
        <v>13125</v>
      </c>
      <c r="CM49">
        <v>-99</v>
      </c>
      <c r="CN49">
        <v>-99</v>
      </c>
      <c r="CO49" t="s">
        <v>12255</v>
      </c>
      <c r="CP49" t="s">
        <v>12255</v>
      </c>
      <c r="CQ49" t="s">
        <v>13026</v>
      </c>
      <c r="CR49" t="s">
        <v>12539</v>
      </c>
      <c r="CS49">
        <v>8</v>
      </c>
      <c r="CT49">
        <v>8</v>
      </c>
      <c r="CU49">
        <v>5</v>
      </c>
      <c r="CV49">
        <v>-99</v>
      </c>
      <c r="CW49">
        <v>1</v>
      </c>
      <c r="CX49">
        <v>0</v>
      </c>
      <c r="CY49">
        <v>3</v>
      </c>
      <c r="CZ49">
        <v>8</v>
      </c>
      <c r="DA49">
        <v>104.50487</v>
      </c>
      <c r="DB49">
        <v>12.647584</v>
      </c>
      <c r="DC49">
        <v>1159320979</v>
      </c>
      <c r="DD49" t="s">
        <v>13129</v>
      </c>
      <c r="DE49" t="s">
        <v>13130</v>
      </c>
      <c r="DF49" t="s">
        <v>13131</v>
      </c>
      <c r="DG49" t="s">
        <v>13132</v>
      </c>
      <c r="DH49" t="s">
        <v>29</v>
      </c>
      <c r="DI49" t="s">
        <v>13133</v>
      </c>
      <c r="DJ49" t="s">
        <v>13134</v>
      </c>
      <c r="DK49" t="s">
        <v>13135</v>
      </c>
      <c r="DL49" t="s">
        <v>13136</v>
      </c>
      <c r="DM49" t="s">
        <v>13137</v>
      </c>
      <c r="DN49" t="s">
        <v>13138</v>
      </c>
      <c r="DO49" t="s">
        <v>13139</v>
      </c>
      <c r="DP49" t="s">
        <v>13140</v>
      </c>
      <c r="DQ49" t="s">
        <v>13141</v>
      </c>
      <c r="DR49" t="s">
        <v>13142</v>
      </c>
      <c r="DS49" t="s">
        <v>13143</v>
      </c>
      <c r="DT49" t="s">
        <v>13144</v>
      </c>
      <c r="DU49" t="s">
        <v>13145</v>
      </c>
      <c r="DV49" t="s">
        <v>13146</v>
      </c>
      <c r="DW49" t="s">
        <v>13147</v>
      </c>
      <c r="DX49" t="s">
        <v>13148</v>
      </c>
      <c r="DY49" t="s">
        <v>13149</v>
      </c>
      <c r="DZ49" t="s">
        <v>13147</v>
      </c>
      <c r="EA49" t="s">
        <v>13150</v>
      </c>
      <c r="EB49" t="s">
        <v>13151</v>
      </c>
      <c r="EC49" t="s">
        <v>13152</v>
      </c>
      <c r="ED49" t="s">
        <v>13152</v>
      </c>
      <c r="EE49" t="s">
        <v>12247</v>
      </c>
      <c r="EG49" t="s">
        <v>12247</v>
      </c>
    </row>
    <row r="50" spans="1:253" x14ac:dyDescent="0.25">
      <c r="A50" t="s">
        <v>30</v>
      </c>
      <c r="B50" t="s">
        <v>12247</v>
      </c>
      <c r="C50">
        <v>0</v>
      </c>
      <c r="D50">
        <v>3</v>
      </c>
      <c r="E50" t="s">
        <v>30</v>
      </c>
      <c r="F50" t="s">
        <v>13153</v>
      </c>
      <c r="G50">
        <v>0</v>
      </c>
      <c r="H50">
        <v>2</v>
      </c>
      <c r="I50" t="s">
        <v>12249</v>
      </c>
      <c r="J50">
        <v>1</v>
      </c>
      <c r="K50" t="s">
        <v>30</v>
      </c>
      <c r="L50" t="s">
        <v>13153</v>
      </c>
      <c r="M50">
        <v>0</v>
      </c>
      <c r="N50" t="s">
        <v>30</v>
      </c>
      <c r="O50" t="s">
        <v>13153</v>
      </c>
      <c r="P50">
        <v>0</v>
      </c>
      <c r="Q50" t="s">
        <v>30</v>
      </c>
      <c r="R50" t="s">
        <v>13153</v>
      </c>
      <c r="S50">
        <v>0</v>
      </c>
      <c r="T50" t="s">
        <v>30</v>
      </c>
      <c r="U50" t="s">
        <v>13153</v>
      </c>
      <c r="V50" t="s">
        <v>30</v>
      </c>
      <c r="X50" t="s">
        <v>13154</v>
      </c>
      <c r="Y50" t="s">
        <v>1384</v>
      </c>
      <c r="Z50" t="s">
        <v>13155</v>
      </c>
      <c r="AB50" t="s">
        <v>30</v>
      </c>
      <c r="AE50" t="s">
        <v>30</v>
      </c>
      <c r="AG50">
        <v>1</v>
      </c>
      <c r="AH50">
        <v>4</v>
      </c>
      <c r="AI50">
        <v>1</v>
      </c>
      <c r="AJ50">
        <v>3</v>
      </c>
      <c r="AK50">
        <v>25876380</v>
      </c>
      <c r="AL50">
        <v>15</v>
      </c>
      <c r="AM50">
        <v>2019</v>
      </c>
      <c r="AN50">
        <v>39007</v>
      </c>
      <c r="AO50">
        <v>2019</v>
      </c>
      <c r="AP50" t="s">
        <v>12277</v>
      </c>
      <c r="AQ50" t="s">
        <v>12278</v>
      </c>
      <c r="AR50" t="s">
        <v>1384</v>
      </c>
      <c r="AS50" t="s">
        <v>1384</v>
      </c>
      <c r="AT50" t="s">
        <v>1384</v>
      </c>
      <c r="AU50" t="s">
        <v>13153</v>
      </c>
      <c r="AV50" t="s">
        <v>13153</v>
      </c>
      <c r="AW50">
        <v>120</v>
      </c>
      <c r="AX50">
        <v>120</v>
      </c>
      <c r="AY50">
        <v>120</v>
      </c>
      <c r="AZ50" t="s">
        <v>1384</v>
      </c>
      <c r="BA50" t="s">
        <v>13153</v>
      </c>
      <c r="BB50">
        <v>23424785</v>
      </c>
      <c r="BC50">
        <v>23424785</v>
      </c>
      <c r="BD50" t="s">
        <v>12254</v>
      </c>
      <c r="BE50" t="s">
        <v>13153</v>
      </c>
      <c r="BG50" t="s">
        <v>13153</v>
      </c>
      <c r="BH50" t="s">
        <v>13153</v>
      </c>
      <c r="BI50" t="s">
        <v>13153</v>
      </c>
      <c r="BJ50" t="s">
        <v>13153</v>
      </c>
      <c r="BK50" t="s">
        <v>13153</v>
      </c>
      <c r="BL50" t="s">
        <v>13153</v>
      </c>
      <c r="BM50" t="s">
        <v>13153</v>
      </c>
      <c r="BN50" t="s">
        <v>13153</v>
      </c>
      <c r="BO50" t="s">
        <v>13153</v>
      </c>
      <c r="BP50" t="s">
        <v>13153</v>
      </c>
      <c r="BQ50" t="s">
        <v>13153</v>
      </c>
      <c r="BR50" t="s">
        <v>13153</v>
      </c>
      <c r="BS50" t="s">
        <v>13153</v>
      </c>
      <c r="BT50" t="s">
        <v>13153</v>
      </c>
      <c r="BU50" t="s">
        <v>13153</v>
      </c>
      <c r="BV50" t="s">
        <v>13153</v>
      </c>
      <c r="BW50" t="s">
        <v>13153</v>
      </c>
      <c r="BX50" t="s">
        <v>13153</v>
      </c>
      <c r="BY50" t="s">
        <v>13153</v>
      </c>
      <c r="BZ50" t="s">
        <v>13153</v>
      </c>
      <c r="CA50" t="s">
        <v>13153</v>
      </c>
      <c r="CB50" t="s">
        <v>13153</v>
      </c>
      <c r="CC50" t="s">
        <v>13153</v>
      </c>
      <c r="CD50" t="s">
        <v>13153</v>
      </c>
      <c r="CE50" t="s">
        <v>13153</v>
      </c>
      <c r="CF50" t="s">
        <v>13153</v>
      </c>
      <c r="CG50" t="s">
        <v>13153</v>
      </c>
      <c r="CH50" t="s">
        <v>13153</v>
      </c>
      <c r="CI50" t="s">
        <v>13153</v>
      </c>
      <c r="CJ50" t="s">
        <v>13153</v>
      </c>
      <c r="CK50" t="s">
        <v>13153</v>
      </c>
      <c r="CL50" t="s">
        <v>13153</v>
      </c>
      <c r="CM50">
        <v>-99</v>
      </c>
      <c r="CN50">
        <v>-99</v>
      </c>
      <c r="CO50" t="s">
        <v>12306</v>
      </c>
      <c r="CP50" t="s">
        <v>12306</v>
      </c>
      <c r="CQ50" t="s">
        <v>12356</v>
      </c>
      <c r="CR50" t="s">
        <v>12357</v>
      </c>
      <c r="CS50">
        <v>8</v>
      </c>
      <c r="CT50">
        <v>8</v>
      </c>
      <c r="CU50">
        <v>4</v>
      </c>
      <c r="CV50">
        <v>-99</v>
      </c>
      <c r="CW50">
        <v>1</v>
      </c>
      <c r="CX50">
        <v>0</v>
      </c>
      <c r="CY50">
        <v>3</v>
      </c>
      <c r="CZ50">
        <v>8</v>
      </c>
      <c r="DA50">
        <v>12.473488</v>
      </c>
      <c r="DB50">
        <v>4.5850410000000004</v>
      </c>
      <c r="DC50">
        <v>1159320509</v>
      </c>
      <c r="DD50" t="s">
        <v>13156</v>
      </c>
      <c r="DE50" t="s">
        <v>13157</v>
      </c>
      <c r="DF50" t="s">
        <v>13158</v>
      </c>
      <c r="DG50" t="s">
        <v>13159</v>
      </c>
      <c r="DH50" t="s">
        <v>30</v>
      </c>
      <c r="DI50" t="s">
        <v>13160</v>
      </c>
      <c r="DJ50" t="s">
        <v>13161</v>
      </c>
      <c r="DK50" t="s">
        <v>13162</v>
      </c>
      <c r="DL50" t="s">
        <v>13163</v>
      </c>
      <c r="DM50" t="s">
        <v>13164</v>
      </c>
      <c r="DN50" t="s">
        <v>13165</v>
      </c>
      <c r="DO50" t="s">
        <v>13159</v>
      </c>
      <c r="DP50" t="s">
        <v>13159</v>
      </c>
      <c r="DQ50" t="s">
        <v>13166</v>
      </c>
      <c r="DR50" t="s">
        <v>13167</v>
      </c>
      <c r="DS50" t="s">
        <v>13168</v>
      </c>
      <c r="DT50" t="s">
        <v>13169</v>
      </c>
      <c r="DU50" t="s">
        <v>13159</v>
      </c>
      <c r="DV50" t="s">
        <v>13170</v>
      </c>
      <c r="DW50" t="s">
        <v>13171</v>
      </c>
      <c r="DX50" t="s">
        <v>13159</v>
      </c>
      <c r="DY50" t="s">
        <v>13159</v>
      </c>
      <c r="DZ50" t="s">
        <v>13171</v>
      </c>
      <c r="EA50" t="s">
        <v>13172</v>
      </c>
      <c r="EB50" t="s">
        <v>30</v>
      </c>
      <c r="EC50" t="s">
        <v>13173</v>
      </c>
      <c r="ED50" t="s">
        <v>13174</v>
      </c>
      <c r="EE50" t="s">
        <v>12247</v>
      </c>
      <c r="EG50" t="s">
        <v>12247</v>
      </c>
    </row>
    <row r="51" spans="1:253" x14ac:dyDescent="0.25">
      <c r="A51" t="s">
        <v>31</v>
      </c>
      <c r="B51" t="s">
        <v>12247</v>
      </c>
      <c r="C51">
        <v>0</v>
      </c>
      <c r="D51">
        <v>2</v>
      </c>
      <c r="E51" t="s">
        <v>31</v>
      </c>
      <c r="F51" t="s">
        <v>13175</v>
      </c>
      <c r="G51">
        <v>0</v>
      </c>
      <c r="H51">
        <v>2</v>
      </c>
      <c r="I51" t="s">
        <v>12249</v>
      </c>
      <c r="J51">
        <v>1</v>
      </c>
      <c r="K51" t="s">
        <v>31</v>
      </c>
      <c r="L51" t="s">
        <v>13175</v>
      </c>
      <c r="M51">
        <v>0</v>
      </c>
      <c r="N51" t="s">
        <v>31</v>
      </c>
      <c r="O51" t="s">
        <v>13175</v>
      </c>
      <c r="P51">
        <v>0</v>
      </c>
      <c r="Q51" t="s">
        <v>31</v>
      </c>
      <c r="R51" t="s">
        <v>13175</v>
      </c>
      <c r="S51">
        <v>0</v>
      </c>
      <c r="T51" t="s">
        <v>31</v>
      </c>
      <c r="U51" t="s">
        <v>13175</v>
      </c>
      <c r="V51" t="s">
        <v>31</v>
      </c>
      <c r="X51" t="s">
        <v>13176</v>
      </c>
      <c r="Y51" t="s">
        <v>1356</v>
      </c>
      <c r="Z51" t="s">
        <v>31</v>
      </c>
      <c r="AB51" t="s">
        <v>31</v>
      </c>
      <c r="AE51" t="s">
        <v>31</v>
      </c>
      <c r="AG51">
        <v>6</v>
      </c>
      <c r="AH51">
        <v>6</v>
      </c>
      <c r="AI51">
        <v>2</v>
      </c>
      <c r="AJ51">
        <v>2</v>
      </c>
      <c r="AK51">
        <v>37589262</v>
      </c>
      <c r="AL51">
        <v>15</v>
      </c>
      <c r="AM51">
        <v>2019</v>
      </c>
      <c r="AN51">
        <v>1736425</v>
      </c>
      <c r="AO51">
        <v>2019</v>
      </c>
      <c r="AP51" t="s">
        <v>13177</v>
      </c>
      <c r="AQ51" t="s">
        <v>12513</v>
      </c>
      <c r="AR51" t="s">
        <v>1356</v>
      </c>
      <c r="AS51" t="s">
        <v>1356</v>
      </c>
      <c r="AT51" t="s">
        <v>1356</v>
      </c>
      <c r="AU51" t="s">
        <v>13175</v>
      </c>
      <c r="AV51" t="s">
        <v>13175</v>
      </c>
      <c r="AW51">
        <v>124</v>
      </c>
      <c r="AX51">
        <v>124</v>
      </c>
      <c r="AY51">
        <v>124</v>
      </c>
      <c r="AZ51" t="s">
        <v>1356</v>
      </c>
      <c r="BA51" t="s">
        <v>13175</v>
      </c>
      <c r="BB51">
        <v>23424775</v>
      </c>
      <c r="BC51">
        <v>23424775</v>
      </c>
      <c r="BD51" t="s">
        <v>12254</v>
      </c>
      <c r="BE51" t="s">
        <v>13175</v>
      </c>
      <c r="BG51" t="s">
        <v>13175</v>
      </c>
      <c r="BH51" t="s">
        <v>13175</v>
      </c>
      <c r="BI51" t="s">
        <v>13175</v>
      </c>
      <c r="BJ51" t="s">
        <v>13175</v>
      </c>
      <c r="BK51" t="s">
        <v>13175</v>
      </c>
      <c r="BL51" t="s">
        <v>13175</v>
      </c>
      <c r="BM51" t="s">
        <v>13175</v>
      </c>
      <c r="BN51" t="s">
        <v>13175</v>
      </c>
      <c r="BO51" t="s">
        <v>13175</v>
      </c>
      <c r="BP51" t="s">
        <v>13175</v>
      </c>
      <c r="BQ51" t="s">
        <v>13175</v>
      </c>
      <c r="BR51" t="s">
        <v>13175</v>
      </c>
      <c r="BS51" t="s">
        <v>13175</v>
      </c>
      <c r="BT51" t="s">
        <v>13175</v>
      </c>
      <c r="BU51" t="s">
        <v>13175</v>
      </c>
      <c r="BV51" t="s">
        <v>13175</v>
      </c>
      <c r="BW51" t="s">
        <v>13175</v>
      </c>
      <c r="BX51" t="s">
        <v>13175</v>
      </c>
      <c r="BY51" t="s">
        <v>13175</v>
      </c>
      <c r="BZ51" t="s">
        <v>13175</v>
      </c>
      <c r="CA51" t="s">
        <v>13175</v>
      </c>
      <c r="CB51" t="s">
        <v>13175</v>
      </c>
      <c r="CC51" t="s">
        <v>13175</v>
      </c>
      <c r="CD51" t="s">
        <v>13175</v>
      </c>
      <c r="CE51" t="s">
        <v>13175</v>
      </c>
      <c r="CF51" t="s">
        <v>13175</v>
      </c>
      <c r="CG51" t="s">
        <v>13175</v>
      </c>
      <c r="CH51" t="s">
        <v>13175</v>
      </c>
      <c r="CI51" t="s">
        <v>13175</v>
      </c>
      <c r="CJ51" t="s">
        <v>13175</v>
      </c>
      <c r="CK51" t="s">
        <v>13175</v>
      </c>
      <c r="CL51" t="s">
        <v>13175</v>
      </c>
      <c r="CM51">
        <v>-99</v>
      </c>
      <c r="CN51">
        <v>-99</v>
      </c>
      <c r="CO51" t="s">
        <v>12402</v>
      </c>
      <c r="CP51" t="s">
        <v>12403</v>
      </c>
      <c r="CQ51" t="s">
        <v>13178</v>
      </c>
      <c r="CR51" t="s">
        <v>12402</v>
      </c>
      <c r="CS51">
        <v>6</v>
      </c>
      <c r="CT51">
        <v>6</v>
      </c>
      <c r="CU51">
        <v>4</v>
      </c>
      <c r="CV51">
        <v>-99</v>
      </c>
      <c r="CW51">
        <v>1</v>
      </c>
      <c r="CX51">
        <v>0</v>
      </c>
      <c r="CY51">
        <v>1.7</v>
      </c>
      <c r="CZ51">
        <v>5.7</v>
      </c>
      <c r="DA51">
        <v>-101.91070000000001</v>
      </c>
      <c r="DB51">
        <v>60.324286999999998</v>
      </c>
      <c r="DC51">
        <v>1159320467</v>
      </c>
      <c r="DD51" t="s">
        <v>13179</v>
      </c>
      <c r="DE51" t="s">
        <v>13180</v>
      </c>
      <c r="DF51" t="s">
        <v>13181</v>
      </c>
      <c r="DG51" t="s">
        <v>13182</v>
      </c>
      <c r="DH51" t="s">
        <v>31</v>
      </c>
      <c r="DI51" t="s">
        <v>13183</v>
      </c>
      <c r="DJ51" t="s">
        <v>13184</v>
      </c>
      <c r="DK51" t="s">
        <v>31</v>
      </c>
      <c r="DL51" t="s">
        <v>13185</v>
      </c>
      <c r="DM51" t="s">
        <v>13186</v>
      </c>
      <c r="DN51" t="s">
        <v>13187</v>
      </c>
      <c r="DO51" t="s">
        <v>13182</v>
      </c>
      <c r="DP51" t="s">
        <v>13182</v>
      </c>
      <c r="DQ51" t="s">
        <v>31</v>
      </c>
      <c r="DR51" t="s">
        <v>13188</v>
      </c>
      <c r="DS51" t="s">
        <v>13189</v>
      </c>
      <c r="DT51" t="s">
        <v>31</v>
      </c>
      <c r="DU51" t="s">
        <v>13182</v>
      </c>
      <c r="DV51" t="s">
        <v>13183</v>
      </c>
      <c r="DW51" t="s">
        <v>13190</v>
      </c>
      <c r="DX51" t="s">
        <v>13182</v>
      </c>
      <c r="DY51" t="s">
        <v>13182</v>
      </c>
      <c r="DZ51" t="s">
        <v>13190</v>
      </c>
      <c r="EA51" t="s">
        <v>13191</v>
      </c>
      <c r="EB51" t="s">
        <v>31</v>
      </c>
      <c r="EC51" t="s">
        <v>13192</v>
      </c>
      <c r="ED51" t="s">
        <v>13192</v>
      </c>
      <c r="EE51" t="s">
        <v>12247</v>
      </c>
      <c r="EG51" t="s">
        <v>12247</v>
      </c>
    </row>
    <row r="52" spans="1:253" x14ac:dyDescent="0.25">
      <c r="A52" t="s">
        <v>2023</v>
      </c>
      <c r="B52" t="s">
        <v>17202</v>
      </c>
      <c r="C52">
        <v>10</v>
      </c>
      <c r="L52" t="s">
        <v>4525</v>
      </c>
      <c r="FN52" t="s">
        <v>18527</v>
      </c>
      <c r="FO52">
        <v>5842</v>
      </c>
      <c r="FQ52" t="s">
        <v>1448</v>
      </c>
      <c r="FR52">
        <v>3</v>
      </c>
      <c r="FU52" t="s">
        <v>18528</v>
      </c>
      <c r="FV52" t="s">
        <v>18529</v>
      </c>
      <c r="FX52" t="s">
        <v>18530</v>
      </c>
      <c r="GA52" t="s">
        <v>18531</v>
      </c>
      <c r="GB52">
        <v>0</v>
      </c>
      <c r="GC52">
        <v>0</v>
      </c>
      <c r="GD52">
        <v>0</v>
      </c>
      <c r="GE52">
        <v>10</v>
      </c>
      <c r="GH52">
        <v>0</v>
      </c>
      <c r="GI52">
        <v>-99</v>
      </c>
      <c r="GJ52">
        <v>20</v>
      </c>
      <c r="GK52">
        <v>22</v>
      </c>
      <c r="GL52">
        <v>5</v>
      </c>
      <c r="GM52">
        <v>5</v>
      </c>
      <c r="GP52">
        <v>12602109</v>
      </c>
      <c r="GR52" t="s">
        <v>4630</v>
      </c>
      <c r="GS52">
        <v>28.256599999999999</v>
      </c>
      <c r="GT52">
        <v>-16.6144</v>
      </c>
      <c r="GU52" t="s">
        <v>16983</v>
      </c>
      <c r="GV52" t="s">
        <v>4525</v>
      </c>
      <c r="GW52">
        <v>5</v>
      </c>
      <c r="GX52" t="s">
        <v>161</v>
      </c>
      <c r="HA52">
        <v>2511173</v>
      </c>
      <c r="HB52" t="s">
        <v>18532</v>
      </c>
      <c r="HC52">
        <v>-401687</v>
      </c>
      <c r="HD52" t="s">
        <v>18533</v>
      </c>
      <c r="HE52">
        <v>2</v>
      </c>
      <c r="HG52" t="s">
        <v>18534</v>
      </c>
      <c r="HJ52">
        <v>2</v>
      </c>
      <c r="HM52" t="s">
        <v>18535</v>
      </c>
      <c r="HN52">
        <v>7.7</v>
      </c>
      <c r="HO52">
        <v>11</v>
      </c>
      <c r="HP52">
        <v>7.7</v>
      </c>
      <c r="HQ52" t="s">
        <v>18536</v>
      </c>
      <c r="HR52" t="s">
        <v>18537</v>
      </c>
      <c r="HS52" t="s">
        <v>18538</v>
      </c>
      <c r="HT52" t="s">
        <v>4630</v>
      </c>
      <c r="HU52" t="s">
        <v>4630</v>
      </c>
      <c r="HV52" t="s">
        <v>4630</v>
      </c>
      <c r="HW52" t="s">
        <v>18539</v>
      </c>
      <c r="HX52" t="s">
        <v>18540</v>
      </c>
      <c r="HY52" t="s">
        <v>18541</v>
      </c>
      <c r="HZ52" t="s">
        <v>4630</v>
      </c>
      <c r="IA52" t="s">
        <v>4630</v>
      </c>
      <c r="IB52" t="s">
        <v>4630</v>
      </c>
      <c r="IC52" t="s">
        <v>18542</v>
      </c>
      <c r="ID52" t="s">
        <v>18543</v>
      </c>
      <c r="IE52" t="s">
        <v>4630</v>
      </c>
      <c r="IF52" t="s">
        <v>4630</v>
      </c>
      <c r="IG52" t="s">
        <v>4630</v>
      </c>
      <c r="IH52" t="s">
        <v>18544</v>
      </c>
      <c r="II52" t="s">
        <v>4630</v>
      </c>
      <c r="IJ52" t="s">
        <v>18545</v>
      </c>
      <c r="IK52" t="s">
        <v>4630</v>
      </c>
      <c r="IL52" t="s">
        <v>18546</v>
      </c>
      <c r="IM52">
        <v>1159315577</v>
      </c>
      <c r="IN52" t="s">
        <v>18547</v>
      </c>
      <c r="IO52" t="s">
        <v>18544</v>
      </c>
      <c r="IP52" t="s">
        <v>18548</v>
      </c>
      <c r="IQ52" t="s">
        <v>18549</v>
      </c>
      <c r="IR52" t="s">
        <v>18550</v>
      </c>
      <c r="IS52" t="s">
        <v>18530</v>
      </c>
    </row>
    <row r="53" spans="1:253" x14ac:dyDescent="0.25">
      <c r="A53" t="s">
        <v>1204</v>
      </c>
      <c r="B53" t="s">
        <v>12247</v>
      </c>
      <c r="C53">
        <v>3</v>
      </c>
      <c r="D53">
        <v>5</v>
      </c>
      <c r="E53" t="s">
        <v>182</v>
      </c>
      <c r="F53" t="s">
        <v>12479</v>
      </c>
      <c r="G53">
        <v>1</v>
      </c>
      <c r="H53">
        <v>2</v>
      </c>
      <c r="I53" t="s">
        <v>12480</v>
      </c>
      <c r="J53">
        <v>1</v>
      </c>
      <c r="K53" t="s">
        <v>1204</v>
      </c>
      <c r="L53" t="s">
        <v>13617</v>
      </c>
      <c r="M53">
        <v>0</v>
      </c>
      <c r="N53" t="s">
        <v>1204</v>
      </c>
      <c r="O53" t="s">
        <v>13617</v>
      </c>
      <c r="P53">
        <v>0</v>
      </c>
      <c r="Q53" t="s">
        <v>1204</v>
      </c>
      <c r="R53" t="s">
        <v>13617</v>
      </c>
      <c r="S53">
        <v>0</v>
      </c>
      <c r="T53" t="s">
        <v>1204</v>
      </c>
      <c r="U53" t="s">
        <v>13617</v>
      </c>
      <c r="V53" t="s">
        <v>1204</v>
      </c>
      <c r="X53" t="s">
        <v>13618</v>
      </c>
      <c r="Y53" t="s">
        <v>1622</v>
      </c>
      <c r="Z53" t="s">
        <v>1204</v>
      </c>
      <c r="AB53" t="s">
        <v>1204</v>
      </c>
      <c r="AC53" t="s">
        <v>12486</v>
      </c>
      <c r="AE53" t="s">
        <v>1204</v>
      </c>
      <c r="AG53">
        <v>6</v>
      </c>
      <c r="AH53">
        <v>6</v>
      </c>
      <c r="AI53">
        <v>6</v>
      </c>
      <c r="AJ53">
        <v>3</v>
      </c>
      <c r="AK53">
        <v>64948</v>
      </c>
      <c r="AL53">
        <v>8</v>
      </c>
      <c r="AM53">
        <v>2019</v>
      </c>
      <c r="AN53">
        <v>5517</v>
      </c>
      <c r="AO53">
        <v>2018</v>
      </c>
      <c r="AP53" t="s">
        <v>12435</v>
      </c>
      <c r="AQ53" t="s">
        <v>12335</v>
      </c>
      <c r="AR53" t="s">
        <v>13619</v>
      </c>
      <c r="AS53" t="s">
        <v>1622</v>
      </c>
      <c r="AT53" t="s">
        <v>1622</v>
      </c>
      <c r="AU53" t="s">
        <v>13617</v>
      </c>
      <c r="AV53" t="s">
        <v>13617</v>
      </c>
      <c r="AW53">
        <v>136</v>
      </c>
      <c r="AX53">
        <v>136</v>
      </c>
      <c r="AY53">
        <v>136</v>
      </c>
      <c r="AZ53" t="s">
        <v>1622</v>
      </c>
      <c r="BA53" t="s">
        <v>13617</v>
      </c>
      <c r="BB53">
        <v>23424783</v>
      </c>
      <c r="BC53">
        <v>23424783</v>
      </c>
      <c r="BD53" t="s">
        <v>12254</v>
      </c>
      <c r="BE53" t="s">
        <v>13617</v>
      </c>
      <c r="BG53" t="s">
        <v>13617</v>
      </c>
      <c r="BH53" t="s">
        <v>13617</v>
      </c>
      <c r="BI53" t="s">
        <v>13617</v>
      </c>
      <c r="BJ53" t="s">
        <v>13617</v>
      </c>
      <c r="BK53" t="s">
        <v>13617</v>
      </c>
      <c r="BL53" t="s">
        <v>13617</v>
      </c>
      <c r="BM53" t="s">
        <v>13617</v>
      </c>
      <c r="BN53" t="s">
        <v>13617</v>
      </c>
      <c r="BO53" t="s">
        <v>13617</v>
      </c>
      <c r="BP53" t="s">
        <v>13617</v>
      </c>
      <c r="BQ53" t="s">
        <v>13617</v>
      </c>
      <c r="BR53" t="s">
        <v>13617</v>
      </c>
      <c r="BS53" t="s">
        <v>13617</v>
      </c>
      <c r="BT53" t="s">
        <v>13617</v>
      </c>
      <c r="BU53" t="s">
        <v>13617</v>
      </c>
      <c r="BV53" t="s">
        <v>13617</v>
      </c>
      <c r="BW53" t="s">
        <v>13617</v>
      </c>
      <c r="BX53" t="s">
        <v>13617</v>
      </c>
      <c r="BY53" t="s">
        <v>13617</v>
      </c>
      <c r="BZ53" t="s">
        <v>13617</v>
      </c>
      <c r="CA53" t="s">
        <v>13617</v>
      </c>
      <c r="CB53" t="s">
        <v>13617</v>
      </c>
      <c r="CC53" t="s">
        <v>13617</v>
      </c>
      <c r="CD53" t="s">
        <v>13617</v>
      </c>
      <c r="CE53" t="s">
        <v>13617</v>
      </c>
      <c r="CF53" t="s">
        <v>13617</v>
      </c>
      <c r="CG53" t="s">
        <v>13617</v>
      </c>
      <c r="CH53" t="s">
        <v>13617</v>
      </c>
      <c r="CI53" t="s">
        <v>13617</v>
      </c>
      <c r="CJ53" t="s">
        <v>13617</v>
      </c>
      <c r="CK53" t="s">
        <v>13617</v>
      </c>
      <c r="CL53" t="s">
        <v>13617</v>
      </c>
      <c r="CM53">
        <v>-99</v>
      </c>
      <c r="CN53">
        <v>-99</v>
      </c>
      <c r="CO53" t="s">
        <v>12402</v>
      </c>
      <c r="CP53" t="s">
        <v>12403</v>
      </c>
      <c r="CQ53" t="s">
        <v>12404</v>
      </c>
      <c r="CR53" t="s">
        <v>12405</v>
      </c>
      <c r="CS53">
        <v>10</v>
      </c>
      <c r="CT53">
        <v>14</v>
      </c>
      <c r="CU53">
        <v>8</v>
      </c>
      <c r="CV53">
        <v>2</v>
      </c>
      <c r="CW53">
        <v>-99</v>
      </c>
      <c r="CX53">
        <v>0</v>
      </c>
      <c r="CY53">
        <v>5</v>
      </c>
      <c r="CZ53">
        <v>9.5</v>
      </c>
      <c r="DA53">
        <v>-81.240549999999999</v>
      </c>
      <c r="DB53">
        <v>19.319862000000001</v>
      </c>
      <c r="DC53">
        <v>1159320707</v>
      </c>
      <c r="DD53" t="s">
        <v>13620</v>
      </c>
      <c r="DE53" t="s">
        <v>13621</v>
      </c>
      <c r="DF53" t="s">
        <v>13622</v>
      </c>
      <c r="DG53" t="s">
        <v>1204</v>
      </c>
      <c r="DH53" t="s">
        <v>1204</v>
      </c>
      <c r="DI53" t="s">
        <v>13623</v>
      </c>
      <c r="DJ53" t="s">
        <v>13624</v>
      </c>
      <c r="DK53" t="s">
        <v>13625</v>
      </c>
      <c r="DL53" t="s">
        <v>13626</v>
      </c>
      <c r="DM53" t="s">
        <v>13627</v>
      </c>
      <c r="DN53" t="s">
        <v>13628</v>
      </c>
      <c r="DO53" t="s">
        <v>13629</v>
      </c>
      <c r="DP53" t="s">
        <v>13630</v>
      </c>
      <c r="DQ53" t="s">
        <v>13631</v>
      </c>
      <c r="DR53" t="s">
        <v>13632</v>
      </c>
      <c r="DS53" t="s">
        <v>13633</v>
      </c>
      <c r="DT53" t="s">
        <v>13634</v>
      </c>
      <c r="DU53" t="s">
        <v>13635</v>
      </c>
      <c r="DV53" t="s">
        <v>13636</v>
      </c>
      <c r="DW53" t="s">
        <v>13637</v>
      </c>
      <c r="DX53" t="s">
        <v>13638</v>
      </c>
      <c r="DY53" t="s">
        <v>13639</v>
      </c>
      <c r="DZ53" t="s">
        <v>13640</v>
      </c>
      <c r="EA53" t="s">
        <v>13641</v>
      </c>
      <c r="EB53" t="s">
        <v>13642</v>
      </c>
      <c r="EC53" t="s">
        <v>13643</v>
      </c>
      <c r="ED53" t="s">
        <v>13644</v>
      </c>
      <c r="EE53" t="s">
        <v>12397</v>
      </c>
      <c r="EG53" t="s">
        <v>12397</v>
      </c>
    </row>
    <row r="54" spans="1:253" x14ac:dyDescent="0.25">
      <c r="A54" t="s">
        <v>197</v>
      </c>
      <c r="B54" t="s">
        <v>12247</v>
      </c>
      <c r="C54">
        <v>0</v>
      </c>
      <c r="D54">
        <v>4</v>
      </c>
      <c r="E54" t="s">
        <v>197</v>
      </c>
      <c r="F54" t="s">
        <v>13193</v>
      </c>
      <c r="G54">
        <v>0</v>
      </c>
      <c r="H54">
        <v>2</v>
      </c>
      <c r="I54" t="s">
        <v>12249</v>
      </c>
      <c r="J54">
        <v>1</v>
      </c>
      <c r="K54" t="s">
        <v>197</v>
      </c>
      <c r="L54" t="s">
        <v>13193</v>
      </c>
      <c r="M54">
        <v>0</v>
      </c>
      <c r="N54" t="s">
        <v>197</v>
      </c>
      <c r="O54" t="s">
        <v>13193</v>
      </c>
      <c r="P54">
        <v>0</v>
      </c>
      <c r="Q54" t="s">
        <v>197</v>
      </c>
      <c r="R54" t="s">
        <v>13193</v>
      </c>
      <c r="S54">
        <v>0</v>
      </c>
      <c r="T54" t="s">
        <v>197</v>
      </c>
      <c r="U54" t="s">
        <v>13193</v>
      </c>
      <c r="V54" t="s">
        <v>13194</v>
      </c>
      <c r="X54" t="s">
        <v>13195</v>
      </c>
      <c r="Y54" t="s">
        <v>1365</v>
      </c>
      <c r="Z54" t="s">
        <v>197</v>
      </c>
      <c r="AB54" t="s">
        <v>197</v>
      </c>
      <c r="AE54" t="s">
        <v>197</v>
      </c>
      <c r="AG54">
        <v>5</v>
      </c>
      <c r="AH54">
        <v>6</v>
      </c>
      <c r="AI54">
        <v>6</v>
      </c>
      <c r="AJ54">
        <v>9</v>
      </c>
      <c r="AK54">
        <v>4745185</v>
      </c>
      <c r="AL54">
        <v>12</v>
      </c>
      <c r="AM54">
        <v>2019</v>
      </c>
      <c r="AN54">
        <v>2220</v>
      </c>
      <c r="AO54">
        <v>2019</v>
      </c>
      <c r="AP54" t="s">
        <v>12252</v>
      </c>
      <c r="AQ54" t="s">
        <v>12253</v>
      </c>
      <c r="AR54" t="s">
        <v>13196</v>
      </c>
      <c r="AS54" t="s">
        <v>1365</v>
      </c>
      <c r="AT54" t="s">
        <v>1365</v>
      </c>
      <c r="AU54" t="s">
        <v>13193</v>
      </c>
      <c r="AV54" t="s">
        <v>13193</v>
      </c>
      <c r="AW54">
        <v>140</v>
      </c>
      <c r="AX54">
        <v>140</v>
      </c>
      <c r="AY54">
        <v>140</v>
      </c>
      <c r="AZ54" t="s">
        <v>1365</v>
      </c>
      <c r="BA54" t="s">
        <v>13193</v>
      </c>
      <c r="BB54">
        <v>23424792</v>
      </c>
      <c r="BC54">
        <v>23424792</v>
      </c>
      <c r="BD54" t="s">
        <v>12254</v>
      </c>
      <c r="BE54" t="s">
        <v>13193</v>
      </c>
      <c r="BG54" t="s">
        <v>13193</v>
      </c>
      <c r="BH54" t="s">
        <v>13193</v>
      </c>
      <c r="BI54" t="s">
        <v>13193</v>
      </c>
      <c r="BJ54" t="s">
        <v>13193</v>
      </c>
      <c r="BK54" t="s">
        <v>13193</v>
      </c>
      <c r="BL54" t="s">
        <v>13193</v>
      </c>
      <c r="BM54" t="s">
        <v>13193</v>
      </c>
      <c r="BN54" t="s">
        <v>13193</v>
      </c>
      <c r="BO54" t="s">
        <v>13193</v>
      </c>
      <c r="BP54" t="s">
        <v>13193</v>
      </c>
      <c r="BQ54" t="s">
        <v>13193</v>
      </c>
      <c r="BR54" t="s">
        <v>13193</v>
      </c>
      <c r="BS54" t="s">
        <v>13193</v>
      </c>
      <c r="BT54" t="s">
        <v>13193</v>
      </c>
      <c r="BU54" t="s">
        <v>13193</v>
      </c>
      <c r="BV54" t="s">
        <v>13193</v>
      </c>
      <c r="BW54" t="s">
        <v>13193</v>
      </c>
      <c r="BX54" t="s">
        <v>13193</v>
      </c>
      <c r="BY54" t="s">
        <v>13193</v>
      </c>
      <c r="BZ54" t="s">
        <v>13193</v>
      </c>
      <c r="CA54" t="s">
        <v>13193</v>
      </c>
      <c r="CB54" t="s">
        <v>13193</v>
      </c>
      <c r="CC54" t="s">
        <v>13193</v>
      </c>
      <c r="CD54" t="s">
        <v>13193</v>
      </c>
      <c r="CE54" t="s">
        <v>13193</v>
      </c>
      <c r="CF54" t="s">
        <v>13193</v>
      </c>
      <c r="CG54" t="s">
        <v>13193</v>
      </c>
      <c r="CH54" t="s">
        <v>13193</v>
      </c>
      <c r="CI54" t="s">
        <v>13193</v>
      </c>
      <c r="CJ54" t="s">
        <v>13193</v>
      </c>
      <c r="CK54" t="s">
        <v>13193</v>
      </c>
      <c r="CL54" t="s">
        <v>13193</v>
      </c>
      <c r="CM54">
        <v>-99</v>
      </c>
      <c r="CN54">
        <v>-99</v>
      </c>
      <c r="CO54" t="s">
        <v>12306</v>
      </c>
      <c r="CP54" t="s">
        <v>12306</v>
      </c>
      <c r="CQ54" t="s">
        <v>12356</v>
      </c>
      <c r="CR54" t="s">
        <v>12357</v>
      </c>
      <c r="CS54">
        <v>20</v>
      </c>
      <c r="CT54">
        <v>24</v>
      </c>
      <c r="CU54">
        <v>6</v>
      </c>
      <c r="CV54">
        <v>-99</v>
      </c>
      <c r="CW54">
        <v>1</v>
      </c>
      <c r="CX54">
        <v>0</v>
      </c>
      <c r="CY54">
        <v>4</v>
      </c>
      <c r="CZ54">
        <v>9</v>
      </c>
      <c r="DA54">
        <v>20.906897000000001</v>
      </c>
      <c r="DB54">
        <v>6.989681</v>
      </c>
      <c r="DC54">
        <v>1159320463</v>
      </c>
      <c r="DD54" t="s">
        <v>13197</v>
      </c>
      <c r="DE54" t="s">
        <v>13198</v>
      </c>
      <c r="DF54" t="s">
        <v>13199</v>
      </c>
      <c r="DG54" t="s">
        <v>13200</v>
      </c>
      <c r="DH54" t="s">
        <v>197</v>
      </c>
      <c r="DI54" t="s">
        <v>13201</v>
      </c>
      <c r="DJ54" t="s">
        <v>13202</v>
      </c>
      <c r="DK54" t="s">
        <v>13203</v>
      </c>
      <c r="DL54" t="s">
        <v>13204</v>
      </c>
      <c r="DM54" t="s">
        <v>13205</v>
      </c>
      <c r="DN54" t="s">
        <v>13206</v>
      </c>
      <c r="DO54" t="s">
        <v>13207</v>
      </c>
      <c r="DP54" t="s">
        <v>13208</v>
      </c>
      <c r="DQ54" t="s">
        <v>13209</v>
      </c>
      <c r="DR54" t="s">
        <v>13210</v>
      </c>
      <c r="DS54" t="s">
        <v>13211</v>
      </c>
      <c r="DT54" t="s">
        <v>13212</v>
      </c>
      <c r="DU54" t="s">
        <v>13213</v>
      </c>
      <c r="DV54" t="s">
        <v>13214</v>
      </c>
      <c r="DW54" t="s">
        <v>13215</v>
      </c>
      <c r="DX54" t="s">
        <v>13216</v>
      </c>
      <c r="DY54" t="s">
        <v>13217</v>
      </c>
      <c r="DZ54" t="s">
        <v>13218</v>
      </c>
      <c r="EA54" t="s">
        <v>13219</v>
      </c>
      <c r="EB54" t="s">
        <v>13220</v>
      </c>
      <c r="EC54" t="s">
        <v>13221</v>
      </c>
      <c r="ED54" t="s">
        <v>13222</v>
      </c>
      <c r="EE54" t="s">
        <v>12247</v>
      </c>
      <c r="EG54" t="s">
        <v>12247</v>
      </c>
    </row>
    <row r="55" spans="1:253" x14ac:dyDescent="0.25">
      <c r="A55" t="s">
        <v>4535</v>
      </c>
      <c r="B55" t="s">
        <v>17202</v>
      </c>
      <c r="C55">
        <v>3</v>
      </c>
      <c r="L55" t="s">
        <v>4534</v>
      </c>
      <c r="FN55" t="s">
        <v>18508</v>
      </c>
      <c r="FO55">
        <v>5815</v>
      </c>
      <c r="FQ55" t="s">
        <v>1448</v>
      </c>
      <c r="FR55">
        <v>5</v>
      </c>
      <c r="FU55" t="s">
        <v>18509</v>
      </c>
      <c r="FV55" t="s">
        <v>18510</v>
      </c>
      <c r="FX55" t="s">
        <v>18511</v>
      </c>
      <c r="GA55" t="s">
        <v>4535</v>
      </c>
      <c r="GB55">
        <v>23</v>
      </c>
      <c r="GC55">
        <v>1</v>
      </c>
      <c r="GD55">
        <v>20</v>
      </c>
      <c r="GE55">
        <v>3</v>
      </c>
      <c r="GG55" t="s">
        <v>1442</v>
      </c>
      <c r="GH55">
        <v>0</v>
      </c>
      <c r="GI55">
        <v>9</v>
      </c>
      <c r="GJ55">
        <v>9</v>
      </c>
      <c r="GK55">
        <v>5</v>
      </c>
      <c r="GL55">
        <v>5</v>
      </c>
      <c r="GM55">
        <v>5</v>
      </c>
      <c r="GN55" t="s">
        <v>18512</v>
      </c>
      <c r="GO55" t="s">
        <v>18513</v>
      </c>
      <c r="GP55">
        <v>55862983</v>
      </c>
      <c r="GQ55" t="s">
        <v>18514</v>
      </c>
      <c r="GR55" t="s">
        <v>4535</v>
      </c>
      <c r="GS55">
        <v>35.880299999999998</v>
      </c>
      <c r="GT55">
        <v>-5.3410000000000002</v>
      </c>
      <c r="GU55" t="s">
        <v>16983</v>
      </c>
      <c r="GV55" t="s">
        <v>4534</v>
      </c>
      <c r="GW55">
        <v>5</v>
      </c>
      <c r="GX55" t="s">
        <v>161</v>
      </c>
      <c r="HA55">
        <v>8335119</v>
      </c>
      <c r="HB55" t="s">
        <v>4535</v>
      </c>
      <c r="HC55">
        <v>-99</v>
      </c>
      <c r="HE55">
        <v>2</v>
      </c>
      <c r="HG55" t="s">
        <v>18511</v>
      </c>
      <c r="HJ55">
        <v>1</v>
      </c>
      <c r="HN55">
        <v>7.7</v>
      </c>
      <c r="HO55">
        <v>11</v>
      </c>
      <c r="HP55">
        <v>7.7</v>
      </c>
      <c r="HQ55" t="s">
        <v>18515</v>
      </c>
      <c r="HR55" t="s">
        <v>18516</v>
      </c>
      <c r="HS55" t="s">
        <v>18517</v>
      </c>
      <c r="HT55" t="s">
        <v>4535</v>
      </c>
      <c r="HU55" t="s">
        <v>4535</v>
      </c>
      <c r="HV55" t="s">
        <v>4535</v>
      </c>
      <c r="HW55" t="s">
        <v>4535</v>
      </c>
      <c r="HX55" t="s">
        <v>18518</v>
      </c>
      <c r="HY55" t="s">
        <v>18519</v>
      </c>
      <c r="HZ55" t="s">
        <v>4535</v>
      </c>
      <c r="IA55" t="s">
        <v>4535</v>
      </c>
      <c r="IB55" t="s">
        <v>4535</v>
      </c>
      <c r="IC55" t="s">
        <v>18520</v>
      </c>
      <c r="ID55" t="s">
        <v>18521</v>
      </c>
      <c r="IE55" t="s">
        <v>4535</v>
      </c>
      <c r="IF55" t="s">
        <v>4535</v>
      </c>
      <c r="IG55" t="s">
        <v>4535</v>
      </c>
      <c r="IH55" t="s">
        <v>18522</v>
      </c>
      <c r="II55" t="s">
        <v>4535</v>
      </c>
      <c r="IJ55" t="s">
        <v>4535</v>
      </c>
      <c r="IK55" t="s">
        <v>4535</v>
      </c>
      <c r="IL55" t="s">
        <v>18523</v>
      </c>
      <c r="IM55">
        <v>1159310507</v>
      </c>
      <c r="IN55" t="s">
        <v>18524</v>
      </c>
      <c r="IO55" t="s">
        <v>18522</v>
      </c>
      <c r="IP55" t="s">
        <v>18525</v>
      </c>
      <c r="IQ55" t="s">
        <v>18525</v>
      </c>
      <c r="IR55" t="s">
        <v>18526</v>
      </c>
      <c r="IS55" t="s">
        <v>18511</v>
      </c>
    </row>
    <row r="56" spans="1:253" x14ac:dyDescent="0.25">
      <c r="A56" t="s">
        <v>32</v>
      </c>
      <c r="B56" t="s">
        <v>12247</v>
      </c>
      <c r="C56">
        <v>0</v>
      </c>
      <c r="D56">
        <v>3</v>
      </c>
      <c r="E56" t="s">
        <v>32</v>
      </c>
      <c r="F56" t="s">
        <v>13223</v>
      </c>
      <c r="G56">
        <v>0</v>
      </c>
      <c r="H56">
        <v>2</v>
      </c>
      <c r="I56" t="s">
        <v>12249</v>
      </c>
      <c r="J56">
        <v>1</v>
      </c>
      <c r="K56" t="s">
        <v>32</v>
      </c>
      <c r="L56" t="s">
        <v>13223</v>
      </c>
      <c r="M56">
        <v>0</v>
      </c>
      <c r="N56" t="s">
        <v>32</v>
      </c>
      <c r="O56" t="s">
        <v>13223</v>
      </c>
      <c r="P56">
        <v>0</v>
      </c>
      <c r="Q56" t="s">
        <v>32</v>
      </c>
      <c r="R56" t="s">
        <v>13223</v>
      </c>
      <c r="S56">
        <v>0</v>
      </c>
      <c r="T56" t="s">
        <v>32</v>
      </c>
      <c r="U56" t="s">
        <v>13223</v>
      </c>
      <c r="V56" t="s">
        <v>32</v>
      </c>
      <c r="X56" t="s">
        <v>32</v>
      </c>
      <c r="Y56" t="s">
        <v>1896</v>
      </c>
      <c r="Z56" t="s">
        <v>13224</v>
      </c>
      <c r="AB56" t="s">
        <v>32</v>
      </c>
      <c r="AE56" t="s">
        <v>32</v>
      </c>
      <c r="AG56">
        <v>6</v>
      </c>
      <c r="AH56">
        <v>1</v>
      </c>
      <c r="AI56">
        <v>8</v>
      </c>
      <c r="AJ56">
        <v>6</v>
      </c>
      <c r="AK56">
        <v>15946876</v>
      </c>
      <c r="AL56">
        <v>14</v>
      </c>
      <c r="AM56">
        <v>2019</v>
      </c>
      <c r="AN56">
        <v>11314</v>
      </c>
      <c r="AO56">
        <v>2019</v>
      </c>
      <c r="AP56" t="s">
        <v>12252</v>
      </c>
      <c r="AQ56" t="s">
        <v>12253</v>
      </c>
      <c r="AR56" t="s">
        <v>1362</v>
      </c>
      <c r="AS56" t="s">
        <v>1896</v>
      </c>
      <c r="AT56" t="s">
        <v>1896</v>
      </c>
      <c r="AU56" t="s">
        <v>13223</v>
      </c>
      <c r="AV56" t="s">
        <v>13223</v>
      </c>
      <c r="AW56">
        <v>148</v>
      </c>
      <c r="AX56">
        <v>148</v>
      </c>
      <c r="AY56">
        <v>148</v>
      </c>
      <c r="AZ56" t="s">
        <v>1896</v>
      </c>
      <c r="BA56" t="s">
        <v>13223</v>
      </c>
      <c r="BB56">
        <v>23424777</v>
      </c>
      <c r="BC56">
        <v>23424777</v>
      </c>
      <c r="BD56" t="s">
        <v>12254</v>
      </c>
      <c r="BE56" t="s">
        <v>13223</v>
      </c>
      <c r="BG56" t="s">
        <v>13223</v>
      </c>
      <c r="BH56" t="s">
        <v>13223</v>
      </c>
      <c r="BI56" t="s">
        <v>13223</v>
      </c>
      <c r="BJ56" t="s">
        <v>13223</v>
      </c>
      <c r="BK56" t="s">
        <v>13223</v>
      </c>
      <c r="BL56" t="s">
        <v>13223</v>
      </c>
      <c r="BM56" t="s">
        <v>13223</v>
      </c>
      <c r="BN56" t="s">
        <v>13223</v>
      </c>
      <c r="BO56" t="s">
        <v>13223</v>
      </c>
      <c r="BP56" t="s">
        <v>13223</v>
      </c>
      <c r="BQ56" t="s">
        <v>13223</v>
      </c>
      <c r="BR56" t="s">
        <v>13223</v>
      </c>
      <c r="BS56" t="s">
        <v>13223</v>
      </c>
      <c r="BT56" t="s">
        <v>13223</v>
      </c>
      <c r="BU56" t="s">
        <v>13223</v>
      </c>
      <c r="BV56" t="s">
        <v>13223</v>
      </c>
      <c r="BW56" t="s">
        <v>13223</v>
      </c>
      <c r="BX56" t="s">
        <v>13223</v>
      </c>
      <c r="BY56" t="s">
        <v>13223</v>
      </c>
      <c r="BZ56" t="s">
        <v>13223</v>
      </c>
      <c r="CA56" t="s">
        <v>13223</v>
      </c>
      <c r="CB56" t="s">
        <v>13223</v>
      </c>
      <c r="CC56" t="s">
        <v>13223</v>
      </c>
      <c r="CD56" t="s">
        <v>13223</v>
      </c>
      <c r="CE56" t="s">
        <v>13223</v>
      </c>
      <c r="CF56" t="s">
        <v>13223</v>
      </c>
      <c r="CG56" t="s">
        <v>13223</v>
      </c>
      <c r="CH56" t="s">
        <v>13223</v>
      </c>
      <c r="CI56" t="s">
        <v>13223</v>
      </c>
      <c r="CJ56" t="s">
        <v>13223</v>
      </c>
      <c r="CK56" t="s">
        <v>13223</v>
      </c>
      <c r="CL56" t="s">
        <v>13223</v>
      </c>
      <c r="CM56">
        <v>-99</v>
      </c>
      <c r="CN56">
        <v>-99</v>
      </c>
      <c r="CO56" t="s">
        <v>12306</v>
      </c>
      <c r="CP56" t="s">
        <v>12306</v>
      </c>
      <c r="CQ56" t="s">
        <v>12356</v>
      </c>
      <c r="CR56" t="s">
        <v>12357</v>
      </c>
      <c r="CS56">
        <v>4</v>
      </c>
      <c r="CT56">
        <v>4</v>
      </c>
      <c r="CU56">
        <v>4</v>
      </c>
      <c r="CV56">
        <v>-99</v>
      </c>
      <c r="CW56">
        <v>1</v>
      </c>
      <c r="CX56">
        <v>0</v>
      </c>
      <c r="CY56">
        <v>3</v>
      </c>
      <c r="CZ56">
        <v>8</v>
      </c>
      <c r="DA56">
        <v>18.645040999999999</v>
      </c>
      <c r="DB56">
        <v>15.142958999999999</v>
      </c>
      <c r="DC56">
        <v>1159321301</v>
      </c>
      <c r="DD56" t="s">
        <v>13225</v>
      </c>
      <c r="DE56" t="s">
        <v>13226</v>
      </c>
      <c r="DF56" t="s">
        <v>13227</v>
      </c>
      <c r="DG56" t="s">
        <v>13228</v>
      </c>
      <c r="DH56" t="s">
        <v>32</v>
      </c>
      <c r="DI56" t="s">
        <v>32</v>
      </c>
      <c r="DJ56" t="s">
        <v>13229</v>
      </c>
      <c r="DK56" t="s">
        <v>13230</v>
      </c>
      <c r="DL56" t="s">
        <v>13231</v>
      </c>
      <c r="DM56" t="s">
        <v>13232</v>
      </c>
      <c r="DN56" t="s">
        <v>13233</v>
      </c>
      <c r="DO56" t="s">
        <v>13234</v>
      </c>
      <c r="DP56" t="s">
        <v>32</v>
      </c>
      <c r="DQ56" t="s">
        <v>13235</v>
      </c>
      <c r="DR56" t="s">
        <v>13236</v>
      </c>
      <c r="DS56" t="s">
        <v>13237</v>
      </c>
      <c r="DT56" t="s">
        <v>13238</v>
      </c>
      <c r="DU56" t="s">
        <v>13239</v>
      </c>
      <c r="DV56" t="s">
        <v>13240</v>
      </c>
      <c r="DW56" t="s">
        <v>13241</v>
      </c>
      <c r="DX56" t="s">
        <v>13230</v>
      </c>
      <c r="DY56" t="s">
        <v>13242</v>
      </c>
      <c r="DZ56" t="s">
        <v>13241</v>
      </c>
      <c r="EA56" t="s">
        <v>13243</v>
      </c>
      <c r="EB56" t="s">
        <v>13230</v>
      </c>
      <c r="EC56" t="s">
        <v>13244</v>
      </c>
      <c r="ED56" t="s">
        <v>13245</v>
      </c>
      <c r="EE56" t="s">
        <v>12247</v>
      </c>
      <c r="EG56" t="s">
        <v>12247</v>
      </c>
    </row>
    <row r="57" spans="1:253" x14ac:dyDescent="0.25">
      <c r="A57" t="s">
        <v>33</v>
      </c>
      <c r="B57" t="s">
        <v>12247</v>
      </c>
      <c r="C57">
        <v>0</v>
      </c>
      <c r="D57">
        <v>2</v>
      </c>
      <c r="E57" t="s">
        <v>33</v>
      </c>
      <c r="F57" t="s">
        <v>13246</v>
      </c>
      <c r="G57">
        <v>0</v>
      </c>
      <c r="H57">
        <v>2</v>
      </c>
      <c r="I57" t="s">
        <v>12249</v>
      </c>
      <c r="J57">
        <v>1</v>
      </c>
      <c r="K57" t="s">
        <v>33</v>
      </c>
      <c r="L57" t="s">
        <v>13246</v>
      </c>
      <c r="M57">
        <v>0</v>
      </c>
      <c r="N57" t="s">
        <v>33</v>
      </c>
      <c r="O57" t="s">
        <v>13246</v>
      </c>
      <c r="P57">
        <v>0</v>
      </c>
      <c r="Q57" t="s">
        <v>33</v>
      </c>
      <c r="R57" t="s">
        <v>13246</v>
      </c>
      <c r="S57">
        <v>0</v>
      </c>
      <c r="T57" t="s">
        <v>33</v>
      </c>
      <c r="U57" t="s">
        <v>13246</v>
      </c>
      <c r="V57" t="s">
        <v>33</v>
      </c>
      <c r="X57" t="s">
        <v>33</v>
      </c>
      <c r="Y57" t="s">
        <v>1381</v>
      </c>
      <c r="Z57" t="s">
        <v>13247</v>
      </c>
      <c r="AB57" t="s">
        <v>33</v>
      </c>
      <c r="AE57" t="s">
        <v>33</v>
      </c>
      <c r="AG57">
        <v>5</v>
      </c>
      <c r="AH57">
        <v>1</v>
      </c>
      <c r="AI57">
        <v>5</v>
      </c>
      <c r="AJ57">
        <v>9</v>
      </c>
      <c r="AK57">
        <v>18952038</v>
      </c>
      <c r="AL57">
        <v>14</v>
      </c>
      <c r="AM57">
        <v>2019</v>
      </c>
      <c r="AN57">
        <v>282318</v>
      </c>
      <c r="AO57">
        <v>2019</v>
      </c>
      <c r="AP57" t="s">
        <v>12435</v>
      </c>
      <c r="AQ57" t="s">
        <v>12305</v>
      </c>
      <c r="AR57" t="s">
        <v>1375</v>
      </c>
      <c r="AS57" t="s">
        <v>1381</v>
      </c>
      <c r="AT57" t="s">
        <v>1381</v>
      </c>
      <c r="AU57" t="s">
        <v>13246</v>
      </c>
      <c r="AV57" t="s">
        <v>13246</v>
      </c>
      <c r="AW57">
        <v>152</v>
      </c>
      <c r="AX57">
        <v>152</v>
      </c>
      <c r="AY57">
        <v>152</v>
      </c>
      <c r="AZ57" t="s">
        <v>1381</v>
      </c>
      <c r="BA57" t="s">
        <v>13246</v>
      </c>
      <c r="BB57">
        <v>23424782</v>
      </c>
      <c r="BC57">
        <v>23424782</v>
      </c>
      <c r="BD57" t="s">
        <v>12254</v>
      </c>
      <c r="BE57" t="s">
        <v>13246</v>
      </c>
      <c r="BG57" t="s">
        <v>13246</v>
      </c>
      <c r="BH57" t="s">
        <v>13246</v>
      </c>
      <c r="BI57" t="s">
        <v>13246</v>
      </c>
      <c r="BJ57" t="s">
        <v>13246</v>
      </c>
      <c r="BK57" t="s">
        <v>13246</v>
      </c>
      <c r="BL57" t="s">
        <v>13246</v>
      </c>
      <c r="BM57" t="s">
        <v>13246</v>
      </c>
      <c r="BN57" t="s">
        <v>13246</v>
      </c>
      <c r="BO57" t="s">
        <v>13246</v>
      </c>
      <c r="BP57" t="s">
        <v>13246</v>
      </c>
      <c r="BQ57" t="s">
        <v>13246</v>
      </c>
      <c r="BR57" t="s">
        <v>13246</v>
      </c>
      <c r="BS57" t="s">
        <v>13246</v>
      </c>
      <c r="BT57" t="s">
        <v>13246</v>
      </c>
      <c r="BU57" t="s">
        <v>13246</v>
      </c>
      <c r="BV57" t="s">
        <v>13246</v>
      </c>
      <c r="BW57" t="s">
        <v>13246</v>
      </c>
      <c r="BX57" t="s">
        <v>13246</v>
      </c>
      <c r="BY57" t="s">
        <v>13246</v>
      </c>
      <c r="BZ57" t="s">
        <v>13246</v>
      </c>
      <c r="CA57" t="s">
        <v>13246</v>
      </c>
      <c r="CB57" t="s">
        <v>13246</v>
      </c>
      <c r="CC57" t="s">
        <v>13246</v>
      </c>
      <c r="CD57" t="s">
        <v>13246</v>
      </c>
      <c r="CE57" t="s">
        <v>13246</v>
      </c>
      <c r="CF57" t="s">
        <v>13246</v>
      </c>
      <c r="CG57" t="s">
        <v>13246</v>
      </c>
      <c r="CH57" t="s">
        <v>13246</v>
      </c>
      <c r="CI57" t="s">
        <v>13246</v>
      </c>
      <c r="CJ57" t="s">
        <v>13246</v>
      </c>
      <c r="CK57" t="s">
        <v>13246</v>
      </c>
      <c r="CL57" t="s">
        <v>13246</v>
      </c>
      <c r="CM57">
        <v>-99</v>
      </c>
      <c r="CN57">
        <v>-99</v>
      </c>
      <c r="CO57" t="s">
        <v>12436</v>
      </c>
      <c r="CP57" t="s">
        <v>12403</v>
      </c>
      <c r="CQ57" t="s">
        <v>12436</v>
      </c>
      <c r="CR57" t="s">
        <v>12405</v>
      </c>
      <c r="CS57">
        <v>5</v>
      </c>
      <c r="CT57">
        <v>5</v>
      </c>
      <c r="CU57">
        <v>5</v>
      </c>
      <c r="CV57">
        <v>-99</v>
      </c>
      <c r="CW57">
        <v>1</v>
      </c>
      <c r="CX57">
        <v>0</v>
      </c>
      <c r="CY57">
        <v>1.7</v>
      </c>
      <c r="CZ57">
        <v>6.7</v>
      </c>
      <c r="DA57">
        <v>-72.318871000000001</v>
      </c>
      <c r="DB57">
        <v>-38.151770999999997</v>
      </c>
      <c r="DC57">
        <v>1159320493</v>
      </c>
      <c r="DD57" t="s">
        <v>13248</v>
      </c>
      <c r="DE57" t="s">
        <v>13249</v>
      </c>
      <c r="DF57" t="s">
        <v>13250</v>
      </c>
      <c r="DG57" t="s">
        <v>33</v>
      </c>
      <c r="DH57" t="s">
        <v>33</v>
      </c>
      <c r="DI57" t="s">
        <v>33</v>
      </c>
      <c r="DJ57" t="s">
        <v>13251</v>
      </c>
      <c r="DK57" t="s">
        <v>13252</v>
      </c>
      <c r="DL57" t="s">
        <v>13253</v>
      </c>
      <c r="DM57" t="s">
        <v>13254</v>
      </c>
      <c r="DN57" t="s">
        <v>13255</v>
      </c>
      <c r="DO57" t="s">
        <v>33</v>
      </c>
      <c r="DP57" t="s">
        <v>13252</v>
      </c>
      <c r="DQ57" t="s">
        <v>13256</v>
      </c>
      <c r="DR57" t="s">
        <v>13257</v>
      </c>
      <c r="DS57" t="s">
        <v>13258</v>
      </c>
      <c r="DT57" t="s">
        <v>13252</v>
      </c>
      <c r="DU57" t="s">
        <v>33</v>
      </c>
      <c r="DV57" t="s">
        <v>33</v>
      </c>
      <c r="DW57" t="s">
        <v>13259</v>
      </c>
      <c r="DX57" t="s">
        <v>33</v>
      </c>
      <c r="DY57" t="s">
        <v>13260</v>
      </c>
      <c r="DZ57" t="s">
        <v>13261</v>
      </c>
      <c r="EA57" t="s">
        <v>13262</v>
      </c>
      <c r="EB57" t="s">
        <v>33</v>
      </c>
      <c r="EC57" t="s">
        <v>13263</v>
      </c>
      <c r="ED57" t="s">
        <v>13263</v>
      </c>
      <c r="EE57" t="s">
        <v>12247</v>
      </c>
      <c r="EG57" t="s">
        <v>12247</v>
      </c>
    </row>
    <row r="58" spans="1:253" x14ac:dyDescent="0.25">
      <c r="A58" t="s">
        <v>1205</v>
      </c>
      <c r="B58" t="s">
        <v>12247</v>
      </c>
      <c r="C58">
        <v>0</v>
      </c>
      <c r="D58">
        <v>2</v>
      </c>
      <c r="E58" t="s">
        <v>1205</v>
      </c>
      <c r="F58" t="s">
        <v>13645</v>
      </c>
      <c r="G58">
        <v>1</v>
      </c>
      <c r="H58">
        <v>2</v>
      </c>
      <c r="I58" t="s">
        <v>12507</v>
      </c>
      <c r="J58">
        <v>1</v>
      </c>
      <c r="K58" t="s">
        <v>1205</v>
      </c>
      <c r="L58" t="s">
        <v>13646</v>
      </c>
      <c r="M58">
        <v>0</v>
      </c>
      <c r="N58" t="s">
        <v>1205</v>
      </c>
      <c r="O58" t="s">
        <v>13646</v>
      </c>
      <c r="P58">
        <v>0</v>
      </c>
      <c r="Q58" t="s">
        <v>1205</v>
      </c>
      <c r="R58" t="s">
        <v>13646</v>
      </c>
      <c r="S58">
        <v>0</v>
      </c>
      <c r="T58" t="s">
        <v>1205</v>
      </c>
      <c r="U58" t="s">
        <v>13646</v>
      </c>
      <c r="V58" t="s">
        <v>1205</v>
      </c>
      <c r="X58" t="s">
        <v>1205</v>
      </c>
      <c r="Y58" t="s">
        <v>1387</v>
      </c>
      <c r="Z58" t="s">
        <v>13647</v>
      </c>
      <c r="AB58" t="s">
        <v>1205</v>
      </c>
      <c r="AE58" t="s">
        <v>1205</v>
      </c>
      <c r="AG58">
        <v>4</v>
      </c>
      <c r="AH58">
        <v>4</v>
      </c>
      <c r="AI58">
        <v>4</v>
      </c>
      <c r="AJ58">
        <v>3</v>
      </c>
      <c r="AK58">
        <v>1397715000</v>
      </c>
      <c r="AL58">
        <v>18</v>
      </c>
      <c r="AM58">
        <v>2019</v>
      </c>
      <c r="AN58">
        <v>14342903</v>
      </c>
      <c r="AO58">
        <v>2019</v>
      </c>
      <c r="AP58" t="s">
        <v>12973</v>
      </c>
      <c r="AQ58" t="s">
        <v>12305</v>
      </c>
      <c r="AR58" t="s">
        <v>1371</v>
      </c>
      <c r="AS58" t="s">
        <v>1387</v>
      </c>
      <c r="AT58" t="s">
        <v>1387</v>
      </c>
      <c r="AU58" t="s">
        <v>13646</v>
      </c>
      <c r="AV58" t="s">
        <v>13646</v>
      </c>
      <c r="AW58">
        <v>156</v>
      </c>
      <c r="AX58">
        <v>156</v>
      </c>
      <c r="AY58">
        <v>156</v>
      </c>
      <c r="AZ58" t="s">
        <v>1387</v>
      </c>
      <c r="BA58" t="s">
        <v>13646</v>
      </c>
      <c r="BB58">
        <v>23424781</v>
      </c>
      <c r="BC58">
        <v>23424781</v>
      </c>
      <c r="BD58" t="s">
        <v>12254</v>
      </c>
      <c r="BE58" t="s">
        <v>13646</v>
      </c>
      <c r="BG58" t="s">
        <v>13646</v>
      </c>
      <c r="BH58" t="s">
        <v>13646</v>
      </c>
      <c r="BI58" t="s">
        <v>13646</v>
      </c>
      <c r="BJ58" t="s">
        <v>13646</v>
      </c>
      <c r="BK58" t="s">
        <v>13646</v>
      </c>
      <c r="BL58" t="s">
        <v>13646</v>
      </c>
      <c r="BM58" t="s">
        <v>13648</v>
      </c>
      <c r="BN58" t="s">
        <v>13646</v>
      </c>
      <c r="BO58" t="s">
        <v>13646</v>
      </c>
      <c r="BP58" t="s">
        <v>13646</v>
      </c>
      <c r="BQ58" t="s">
        <v>13646</v>
      </c>
      <c r="BR58" t="s">
        <v>13646</v>
      </c>
      <c r="BS58" t="s">
        <v>13646</v>
      </c>
      <c r="BT58" t="s">
        <v>13646</v>
      </c>
      <c r="BU58" t="s">
        <v>13646</v>
      </c>
      <c r="BV58" t="s">
        <v>13646</v>
      </c>
      <c r="BW58" t="s">
        <v>13646</v>
      </c>
      <c r="BX58" t="s">
        <v>13646</v>
      </c>
      <c r="BY58" t="s">
        <v>13646</v>
      </c>
      <c r="BZ58" t="s">
        <v>13646</v>
      </c>
      <c r="CA58" t="s">
        <v>13646</v>
      </c>
      <c r="CB58" t="s">
        <v>13646</v>
      </c>
      <c r="CC58" t="s">
        <v>13646</v>
      </c>
      <c r="CD58" t="s">
        <v>13646</v>
      </c>
      <c r="CE58" t="s">
        <v>13646</v>
      </c>
      <c r="CF58" t="s">
        <v>13646</v>
      </c>
      <c r="CG58" t="s">
        <v>13646</v>
      </c>
      <c r="CH58" t="s">
        <v>13646</v>
      </c>
      <c r="CI58" t="s">
        <v>13646</v>
      </c>
      <c r="CJ58" t="s">
        <v>13646</v>
      </c>
      <c r="CK58" t="s">
        <v>13646</v>
      </c>
      <c r="CL58" t="s">
        <v>13646</v>
      </c>
      <c r="CM58">
        <v>-99</v>
      </c>
      <c r="CN58">
        <v>-99</v>
      </c>
      <c r="CO58" t="s">
        <v>12255</v>
      </c>
      <c r="CP58" t="s">
        <v>12255</v>
      </c>
      <c r="CQ58" t="s">
        <v>13649</v>
      </c>
      <c r="CR58" t="s">
        <v>12539</v>
      </c>
      <c r="CS58">
        <v>5</v>
      </c>
      <c r="CT58">
        <v>5</v>
      </c>
      <c r="CU58">
        <v>5</v>
      </c>
      <c r="CV58">
        <v>-99</v>
      </c>
      <c r="CW58">
        <v>1</v>
      </c>
      <c r="CX58">
        <v>0</v>
      </c>
      <c r="CY58">
        <v>1.7</v>
      </c>
      <c r="CZ58">
        <v>5.7</v>
      </c>
      <c r="DA58">
        <v>106.337289</v>
      </c>
      <c r="DB58">
        <v>32.498178000000003</v>
      </c>
      <c r="DC58">
        <v>1159320471</v>
      </c>
      <c r="DD58" t="s">
        <v>13650</v>
      </c>
      <c r="DE58" t="s">
        <v>13651</v>
      </c>
      <c r="DF58" t="s">
        <v>13652</v>
      </c>
      <c r="DG58" t="s">
        <v>13653</v>
      </c>
      <c r="DH58" t="s">
        <v>13647</v>
      </c>
      <c r="DI58" t="s">
        <v>1205</v>
      </c>
      <c r="DJ58" t="s">
        <v>13654</v>
      </c>
      <c r="DK58" t="s">
        <v>13655</v>
      </c>
      <c r="DL58" t="s">
        <v>13656</v>
      </c>
      <c r="DM58" t="s">
        <v>13657</v>
      </c>
      <c r="DN58" t="s">
        <v>13658</v>
      </c>
      <c r="DO58" t="s">
        <v>13659</v>
      </c>
      <c r="DP58" t="s">
        <v>13660</v>
      </c>
      <c r="DQ58" t="s">
        <v>13661</v>
      </c>
      <c r="DR58" t="s">
        <v>13662</v>
      </c>
      <c r="DS58" t="s">
        <v>13663</v>
      </c>
      <c r="DT58" t="s">
        <v>13664</v>
      </c>
      <c r="DU58" t="s">
        <v>13665</v>
      </c>
      <c r="DV58" t="s">
        <v>1205</v>
      </c>
      <c r="DW58" t="s">
        <v>13666</v>
      </c>
      <c r="DX58" t="s">
        <v>13667</v>
      </c>
      <c r="DY58" t="s">
        <v>13668</v>
      </c>
      <c r="DZ58" t="s">
        <v>13669</v>
      </c>
      <c r="EA58" t="s">
        <v>13670</v>
      </c>
      <c r="EB58" t="s">
        <v>13671</v>
      </c>
      <c r="EC58" t="s">
        <v>13672</v>
      </c>
      <c r="ED58" t="s">
        <v>13673</v>
      </c>
      <c r="EE58" t="s">
        <v>12247</v>
      </c>
      <c r="EG58" t="s">
        <v>12247</v>
      </c>
      <c r="EM58" t="s">
        <v>12505</v>
      </c>
    </row>
    <row r="59" spans="1:253" x14ac:dyDescent="0.25">
      <c r="A59" t="s">
        <v>1205</v>
      </c>
      <c r="B59" t="s">
        <v>12247</v>
      </c>
      <c r="C59">
        <v>0</v>
      </c>
      <c r="D59">
        <v>2</v>
      </c>
      <c r="E59" t="s">
        <v>1205</v>
      </c>
      <c r="F59" t="s">
        <v>13645</v>
      </c>
      <c r="G59">
        <v>1</v>
      </c>
      <c r="H59">
        <v>2</v>
      </c>
      <c r="I59" t="s">
        <v>12507</v>
      </c>
      <c r="J59">
        <v>1</v>
      </c>
      <c r="K59" t="s">
        <v>1205</v>
      </c>
      <c r="L59" t="s">
        <v>13646</v>
      </c>
      <c r="M59">
        <v>0</v>
      </c>
      <c r="N59" t="s">
        <v>1205</v>
      </c>
      <c r="O59" t="s">
        <v>13646</v>
      </c>
      <c r="P59">
        <v>0</v>
      </c>
      <c r="Q59" t="s">
        <v>1205</v>
      </c>
      <c r="R59" t="s">
        <v>13646</v>
      </c>
      <c r="S59">
        <v>0</v>
      </c>
      <c r="T59" t="s">
        <v>1205</v>
      </c>
      <c r="U59" t="s">
        <v>13646</v>
      </c>
      <c r="V59" t="s">
        <v>1205</v>
      </c>
      <c r="W59" t="s">
        <v>18470</v>
      </c>
      <c r="X59" t="s">
        <v>1205</v>
      </c>
      <c r="Y59" t="s">
        <v>1387</v>
      </c>
      <c r="Z59" t="s">
        <v>13647</v>
      </c>
      <c r="AA59" t="s">
        <v>18470</v>
      </c>
      <c r="AB59" t="s">
        <v>1205</v>
      </c>
      <c r="AC59" t="s">
        <v>18470</v>
      </c>
      <c r="AD59" t="s">
        <v>18470</v>
      </c>
      <c r="AE59" t="s">
        <v>1205</v>
      </c>
      <c r="AF59" t="s">
        <v>18470</v>
      </c>
      <c r="AG59">
        <v>4</v>
      </c>
      <c r="AH59">
        <v>4</v>
      </c>
      <c r="AI59">
        <v>4</v>
      </c>
      <c r="AJ59">
        <v>3</v>
      </c>
      <c r="AK59">
        <v>1397715000</v>
      </c>
      <c r="AL59">
        <v>18</v>
      </c>
      <c r="AM59">
        <v>2019</v>
      </c>
      <c r="AN59">
        <v>14342903</v>
      </c>
      <c r="AO59">
        <v>2019</v>
      </c>
      <c r="AP59" t="s">
        <v>12973</v>
      </c>
      <c r="AQ59" t="s">
        <v>12305</v>
      </c>
      <c r="AR59" t="s">
        <v>1371</v>
      </c>
      <c r="AS59" t="s">
        <v>1387</v>
      </c>
      <c r="AT59" t="s">
        <v>1387</v>
      </c>
      <c r="AU59" t="s">
        <v>13646</v>
      </c>
      <c r="AV59" t="s">
        <v>13646</v>
      </c>
      <c r="AZ59" t="s">
        <v>1387</v>
      </c>
      <c r="BA59" t="s">
        <v>13646</v>
      </c>
      <c r="BB59">
        <v>23424781</v>
      </c>
      <c r="BC59">
        <v>23424781</v>
      </c>
      <c r="BD59" t="s">
        <v>12254</v>
      </c>
      <c r="BE59" t="s">
        <v>13646</v>
      </c>
      <c r="BF59" t="s">
        <v>18470</v>
      </c>
      <c r="BG59" t="s">
        <v>13646</v>
      </c>
      <c r="BH59" t="s">
        <v>13646</v>
      </c>
      <c r="BI59" t="s">
        <v>13646</v>
      </c>
      <c r="BJ59" t="s">
        <v>13646</v>
      </c>
      <c r="BK59" t="s">
        <v>13646</v>
      </c>
      <c r="BL59" t="s">
        <v>13646</v>
      </c>
      <c r="BM59" t="s">
        <v>13648</v>
      </c>
      <c r="BN59" t="s">
        <v>13646</v>
      </c>
      <c r="BO59" t="s">
        <v>13646</v>
      </c>
      <c r="BP59" t="s">
        <v>13646</v>
      </c>
      <c r="BQ59" t="s">
        <v>13646</v>
      </c>
      <c r="BR59" t="s">
        <v>13646</v>
      </c>
      <c r="BS59" t="s">
        <v>13646</v>
      </c>
      <c r="BT59" t="s">
        <v>13646</v>
      </c>
      <c r="BU59" t="s">
        <v>13646</v>
      </c>
      <c r="BV59" t="s">
        <v>13646</v>
      </c>
      <c r="BW59" t="s">
        <v>13646</v>
      </c>
      <c r="BX59" t="s">
        <v>13646</v>
      </c>
      <c r="BY59" t="s">
        <v>13646</v>
      </c>
      <c r="BZ59" t="s">
        <v>13646</v>
      </c>
      <c r="CA59" t="s">
        <v>13646</v>
      </c>
      <c r="CB59" t="s">
        <v>13646</v>
      </c>
      <c r="CC59" t="s">
        <v>13646</v>
      </c>
      <c r="CD59" t="s">
        <v>13646</v>
      </c>
      <c r="CE59" t="s">
        <v>13646</v>
      </c>
      <c r="CF59" t="s">
        <v>13646</v>
      </c>
      <c r="CG59" t="s">
        <v>13646</v>
      </c>
      <c r="CH59" t="s">
        <v>13646</v>
      </c>
      <c r="CI59" t="s">
        <v>13646</v>
      </c>
      <c r="CJ59" t="s">
        <v>13646</v>
      </c>
      <c r="CK59" t="s">
        <v>13646</v>
      </c>
      <c r="CL59" t="s">
        <v>13646</v>
      </c>
      <c r="CM59">
        <v>-99</v>
      </c>
      <c r="CN59">
        <v>-99</v>
      </c>
      <c r="CO59" t="s">
        <v>12255</v>
      </c>
      <c r="CP59" t="s">
        <v>12255</v>
      </c>
      <c r="CQ59" t="s">
        <v>13649</v>
      </c>
      <c r="CR59" t="s">
        <v>12539</v>
      </c>
      <c r="CS59">
        <v>5</v>
      </c>
      <c r="CT59">
        <v>5</v>
      </c>
      <c r="CU59">
        <v>5</v>
      </c>
      <c r="CV59">
        <v>-99</v>
      </c>
      <c r="CW59">
        <v>1</v>
      </c>
      <c r="CX59">
        <v>0</v>
      </c>
      <c r="CY59">
        <v>1.7</v>
      </c>
      <c r="CZ59">
        <v>5.7</v>
      </c>
      <c r="DA59">
        <v>106.337289</v>
      </c>
      <c r="DB59">
        <v>32.498178000000003</v>
      </c>
      <c r="DC59">
        <v>1159320471</v>
      </c>
      <c r="DD59" t="s">
        <v>13650</v>
      </c>
      <c r="DE59" t="s">
        <v>13651</v>
      </c>
      <c r="DF59" t="s">
        <v>13652</v>
      </c>
      <c r="DG59" t="s">
        <v>13653</v>
      </c>
      <c r="DH59" t="s">
        <v>13647</v>
      </c>
      <c r="DI59" t="s">
        <v>1205</v>
      </c>
      <c r="FM59" t="s">
        <v>1387</v>
      </c>
    </row>
    <row r="60" spans="1:253" x14ac:dyDescent="0.25">
      <c r="A60" t="s">
        <v>13675</v>
      </c>
      <c r="B60" t="s">
        <v>12247</v>
      </c>
      <c r="C60">
        <v>6</v>
      </c>
      <c r="D60">
        <v>5</v>
      </c>
      <c r="E60" t="s">
        <v>58</v>
      </c>
      <c r="F60" t="s">
        <v>13674</v>
      </c>
      <c r="G60">
        <v>1</v>
      </c>
      <c r="H60">
        <v>2</v>
      </c>
      <c r="I60" t="s">
        <v>12480</v>
      </c>
      <c r="J60">
        <v>1</v>
      </c>
      <c r="K60" t="s">
        <v>13675</v>
      </c>
      <c r="L60" t="s">
        <v>13676</v>
      </c>
      <c r="M60">
        <v>0</v>
      </c>
      <c r="N60" t="s">
        <v>13675</v>
      </c>
      <c r="O60" t="s">
        <v>13676</v>
      </c>
      <c r="P60">
        <v>0</v>
      </c>
      <c r="Q60" t="s">
        <v>13675</v>
      </c>
      <c r="R60" t="s">
        <v>13676</v>
      </c>
      <c r="S60">
        <v>0</v>
      </c>
      <c r="T60" t="s">
        <v>13675</v>
      </c>
      <c r="U60" t="s">
        <v>13676</v>
      </c>
      <c r="V60" t="s">
        <v>13677</v>
      </c>
      <c r="X60" t="s">
        <v>13678</v>
      </c>
      <c r="Y60" t="s">
        <v>1375</v>
      </c>
      <c r="AC60" t="s">
        <v>13679</v>
      </c>
      <c r="AE60" t="s">
        <v>13675</v>
      </c>
      <c r="AG60">
        <v>7</v>
      </c>
      <c r="AH60">
        <v>5</v>
      </c>
      <c r="AI60">
        <v>9</v>
      </c>
      <c r="AJ60">
        <v>11</v>
      </c>
      <c r="AK60">
        <v>0</v>
      </c>
      <c r="AL60">
        <v>1</v>
      </c>
      <c r="AM60">
        <v>2019</v>
      </c>
      <c r="AN60">
        <v>0</v>
      </c>
      <c r="AO60">
        <v>2016</v>
      </c>
      <c r="AP60" t="s">
        <v>12252</v>
      </c>
      <c r="AQ60" t="s">
        <v>12253</v>
      </c>
      <c r="AR60" t="s">
        <v>13680</v>
      </c>
      <c r="AS60">
        <v>-99</v>
      </c>
      <c r="AT60" t="s">
        <v>1471</v>
      </c>
      <c r="AU60">
        <v>-99</v>
      </c>
      <c r="AV60" t="s">
        <v>13681</v>
      </c>
      <c r="AW60">
        <v>-99</v>
      </c>
      <c r="AX60">
        <v>250</v>
      </c>
      <c r="AY60">
        <v>-99</v>
      </c>
      <c r="AZ60">
        <v>-99</v>
      </c>
      <c r="BA60">
        <v>-99</v>
      </c>
      <c r="BB60">
        <v>23424850</v>
      </c>
      <c r="BC60">
        <v>23424850</v>
      </c>
      <c r="BD60" t="s">
        <v>13682</v>
      </c>
      <c r="BE60" t="s">
        <v>13681</v>
      </c>
      <c r="BF60">
        <v>1</v>
      </c>
      <c r="BG60" t="s">
        <v>13676</v>
      </c>
      <c r="BH60" t="s">
        <v>13676</v>
      </c>
      <c r="BI60" t="s">
        <v>13676</v>
      </c>
      <c r="BJ60" t="s">
        <v>13676</v>
      </c>
      <c r="BK60" t="s">
        <v>13676</v>
      </c>
      <c r="BL60" t="s">
        <v>13676</v>
      </c>
      <c r="BM60" t="s">
        <v>13676</v>
      </c>
      <c r="BN60" t="s">
        <v>13676</v>
      </c>
      <c r="BO60" t="s">
        <v>13676</v>
      </c>
      <c r="BP60" t="s">
        <v>13676</v>
      </c>
      <c r="BQ60" t="s">
        <v>13676</v>
      </c>
      <c r="BR60" t="s">
        <v>13676</v>
      </c>
      <c r="BS60" t="s">
        <v>13676</v>
      </c>
      <c r="BT60" t="s">
        <v>13676</v>
      </c>
      <c r="BU60" t="s">
        <v>13676</v>
      </c>
      <c r="BV60" t="s">
        <v>13676</v>
      </c>
      <c r="BW60" t="s">
        <v>13676</v>
      </c>
      <c r="BX60" t="s">
        <v>13676</v>
      </c>
      <c r="BY60" t="s">
        <v>13676</v>
      </c>
      <c r="BZ60" t="s">
        <v>13676</v>
      </c>
      <c r="CA60" t="s">
        <v>13676</v>
      </c>
      <c r="CB60" t="s">
        <v>13676</v>
      </c>
      <c r="CC60" t="s">
        <v>13676</v>
      </c>
      <c r="CD60" t="s">
        <v>13676</v>
      </c>
      <c r="CE60" t="s">
        <v>13676</v>
      </c>
      <c r="CF60" t="s">
        <v>13676</v>
      </c>
      <c r="CG60" t="s">
        <v>13676</v>
      </c>
      <c r="CH60" t="s">
        <v>13676</v>
      </c>
      <c r="CI60" t="s">
        <v>13676</v>
      </c>
      <c r="CJ60" t="s">
        <v>13676</v>
      </c>
      <c r="CK60" t="s">
        <v>13676</v>
      </c>
      <c r="CL60" t="s">
        <v>13676</v>
      </c>
      <c r="CM60">
        <v>-99</v>
      </c>
      <c r="CN60">
        <v>-99</v>
      </c>
      <c r="CO60" t="s">
        <v>13437</v>
      </c>
      <c r="CP60" t="s">
        <v>12403</v>
      </c>
      <c r="CQ60" t="s">
        <v>12829</v>
      </c>
      <c r="CR60" t="s">
        <v>12405</v>
      </c>
      <c r="CS60">
        <v>13</v>
      </c>
      <c r="CT60">
        <v>17</v>
      </c>
      <c r="CU60">
        <v>7</v>
      </c>
      <c r="CV60">
        <v>-99</v>
      </c>
      <c r="CW60">
        <v>-99</v>
      </c>
      <c r="CX60">
        <v>0</v>
      </c>
      <c r="CY60">
        <v>5</v>
      </c>
      <c r="CZ60">
        <v>9.5</v>
      </c>
      <c r="DA60">
        <v>-109.22045</v>
      </c>
      <c r="DB60">
        <v>10.297324</v>
      </c>
      <c r="DC60">
        <v>1159320635</v>
      </c>
      <c r="DD60" t="s">
        <v>13683</v>
      </c>
      <c r="DE60" t="s">
        <v>13684</v>
      </c>
      <c r="DF60" t="s">
        <v>13685</v>
      </c>
      <c r="DG60" t="s">
        <v>13686</v>
      </c>
      <c r="DH60" t="s">
        <v>13675</v>
      </c>
      <c r="DI60" t="s">
        <v>13687</v>
      </c>
      <c r="DJ60" t="s">
        <v>13688</v>
      </c>
      <c r="DK60" t="s">
        <v>13689</v>
      </c>
      <c r="DL60" t="s">
        <v>13690</v>
      </c>
      <c r="DM60" t="s">
        <v>13691</v>
      </c>
      <c r="DN60" t="s">
        <v>13692</v>
      </c>
      <c r="DO60" t="s">
        <v>13693</v>
      </c>
      <c r="DP60" t="s">
        <v>13694</v>
      </c>
      <c r="DQ60" t="s">
        <v>4988</v>
      </c>
      <c r="DR60" t="s">
        <v>13695</v>
      </c>
      <c r="DS60" t="s">
        <v>13696</v>
      </c>
      <c r="DT60" t="s">
        <v>4988</v>
      </c>
      <c r="DU60" t="s">
        <v>13697</v>
      </c>
      <c r="DV60" t="s">
        <v>13698</v>
      </c>
      <c r="DW60" t="s">
        <v>13699</v>
      </c>
      <c r="DX60" t="s">
        <v>13700</v>
      </c>
      <c r="DY60" t="s">
        <v>13701</v>
      </c>
      <c r="DZ60" t="s">
        <v>13702</v>
      </c>
      <c r="EA60" t="s">
        <v>13703</v>
      </c>
      <c r="EB60" t="s">
        <v>4988</v>
      </c>
      <c r="EC60" t="s">
        <v>13704</v>
      </c>
      <c r="ED60" t="s">
        <v>13705</v>
      </c>
      <c r="EE60" t="s">
        <v>12505</v>
      </c>
      <c r="EF60">
        <v>1</v>
      </c>
      <c r="EG60" t="s">
        <v>12397</v>
      </c>
    </row>
    <row r="61" spans="1:253" x14ac:dyDescent="0.25">
      <c r="A61" t="s">
        <v>35</v>
      </c>
      <c r="B61" t="s">
        <v>12247</v>
      </c>
      <c r="C61">
        <v>0</v>
      </c>
      <c r="D61">
        <v>2</v>
      </c>
      <c r="E61" t="s">
        <v>35</v>
      </c>
      <c r="F61" t="s">
        <v>12717</v>
      </c>
      <c r="G61">
        <v>0</v>
      </c>
      <c r="H61">
        <v>2</v>
      </c>
      <c r="I61" t="s">
        <v>12249</v>
      </c>
      <c r="J61">
        <v>1</v>
      </c>
      <c r="K61" t="s">
        <v>35</v>
      </c>
      <c r="L61" t="s">
        <v>12717</v>
      </c>
      <c r="M61">
        <v>0</v>
      </c>
      <c r="N61" t="s">
        <v>35</v>
      </c>
      <c r="O61" t="s">
        <v>12717</v>
      </c>
      <c r="P61">
        <v>0</v>
      </c>
      <c r="Q61" t="s">
        <v>35</v>
      </c>
      <c r="R61" t="s">
        <v>12717</v>
      </c>
      <c r="S61">
        <v>0</v>
      </c>
      <c r="T61" t="s">
        <v>35</v>
      </c>
      <c r="U61" t="s">
        <v>12717</v>
      </c>
      <c r="V61" t="s">
        <v>35</v>
      </c>
      <c r="X61" t="s">
        <v>13337</v>
      </c>
      <c r="Y61" t="s">
        <v>1390</v>
      </c>
      <c r="Z61" t="s">
        <v>13338</v>
      </c>
      <c r="AB61" t="s">
        <v>35</v>
      </c>
      <c r="AE61" t="s">
        <v>35</v>
      </c>
      <c r="AG61">
        <v>2</v>
      </c>
      <c r="AH61">
        <v>1</v>
      </c>
      <c r="AI61">
        <v>3</v>
      </c>
      <c r="AJ61">
        <v>1</v>
      </c>
      <c r="AK61">
        <v>50339443</v>
      </c>
      <c r="AL61">
        <v>16</v>
      </c>
      <c r="AM61">
        <v>2019</v>
      </c>
      <c r="AN61">
        <v>323615</v>
      </c>
      <c r="AO61">
        <v>2019</v>
      </c>
      <c r="AP61" t="s">
        <v>12277</v>
      </c>
      <c r="AQ61" t="s">
        <v>12305</v>
      </c>
      <c r="AR61" t="s">
        <v>1390</v>
      </c>
      <c r="AS61" t="s">
        <v>1390</v>
      </c>
      <c r="AT61" t="s">
        <v>1390</v>
      </c>
      <c r="AU61" t="s">
        <v>12717</v>
      </c>
      <c r="AV61" t="s">
        <v>12717</v>
      </c>
      <c r="AW61">
        <v>170</v>
      </c>
      <c r="AX61">
        <v>170</v>
      </c>
      <c r="AY61">
        <v>170</v>
      </c>
      <c r="AZ61" t="s">
        <v>1390</v>
      </c>
      <c r="BA61" t="s">
        <v>12717</v>
      </c>
      <c r="BB61">
        <v>23424787</v>
      </c>
      <c r="BC61">
        <v>23424787</v>
      </c>
      <c r="BD61" t="s">
        <v>12254</v>
      </c>
      <c r="BE61" t="s">
        <v>12717</v>
      </c>
      <c r="BG61" t="s">
        <v>12717</v>
      </c>
      <c r="BH61" t="s">
        <v>12717</v>
      </c>
      <c r="BI61" t="s">
        <v>12717</v>
      </c>
      <c r="BJ61" t="s">
        <v>12717</v>
      </c>
      <c r="BK61" t="s">
        <v>12717</v>
      </c>
      <c r="BL61" t="s">
        <v>12717</v>
      </c>
      <c r="BM61" t="s">
        <v>12717</v>
      </c>
      <c r="BN61" t="s">
        <v>12717</v>
      </c>
      <c r="BO61" t="s">
        <v>12717</v>
      </c>
      <c r="BP61" t="s">
        <v>12717</v>
      </c>
      <c r="BQ61" t="s">
        <v>12717</v>
      </c>
      <c r="BR61" t="s">
        <v>12717</v>
      </c>
      <c r="BS61" t="s">
        <v>12717</v>
      </c>
      <c r="BT61" t="s">
        <v>12717</v>
      </c>
      <c r="BU61" t="s">
        <v>12717</v>
      </c>
      <c r="BV61" t="s">
        <v>12717</v>
      </c>
      <c r="BW61" t="s">
        <v>12717</v>
      </c>
      <c r="BX61" t="s">
        <v>12717</v>
      </c>
      <c r="BY61" t="s">
        <v>12717</v>
      </c>
      <c r="BZ61" t="s">
        <v>12717</v>
      </c>
      <c r="CA61" t="s">
        <v>12717</v>
      </c>
      <c r="CB61" t="s">
        <v>12717</v>
      </c>
      <c r="CC61" t="s">
        <v>12717</v>
      </c>
      <c r="CD61" t="s">
        <v>12717</v>
      </c>
      <c r="CE61" t="s">
        <v>12717</v>
      </c>
      <c r="CF61" t="s">
        <v>12717</v>
      </c>
      <c r="CG61" t="s">
        <v>12717</v>
      </c>
      <c r="CH61" t="s">
        <v>12717</v>
      </c>
      <c r="CI61" t="s">
        <v>12717</v>
      </c>
      <c r="CJ61" t="s">
        <v>12717</v>
      </c>
      <c r="CK61" t="s">
        <v>12717</v>
      </c>
      <c r="CL61" t="s">
        <v>12717</v>
      </c>
      <c r="CM61">
        <v>-99</v>
      </c>
      <c r="CN61">
        <v>-99</v>
      </c>
      <c r="CO61" t="s">
        <v>12436</v>
      </c>
      <c r="CP61" t="s">
        <v>12403</v>
      </c>
      <c r="CQ61" t="s">
        <v>12436</v>
      </c>
      <c r="CR61" t="s">
        <v>12405</v>
      </c>
      <c r="CS61">
        <v>8</v>
      </c>
      <c r="CT61">
        <v>8</v>
      </c>
      <c r="CU61">
        <v>4</v>
      </c>
      <c r="CV61">
        <v>-99</v>
      </c>
      <c r="CW61">
        <v>1</v>
      </c>
      <c r="CX61">
        <v>0</v>
      </c>
      <c r="CY61">
        <v>3</v>
      </c>
      <c r="CZ61">
        <v>7</v>
      </c>
      <c r="DA61">
        <v>-73.174346999999997</v>
      </c>
      <c r="DB61">
        <v>3.37311099999999</v>
      </c>
      <c r="DC61">
        <v>1159320517</v>
      </c>
      <c r="DD61" t="s">
        <v>13339</v>
      </c>
      <c r="DE61" t="s">
        <v>13340</v>
      </c>
      <c r="DF61" t="s">
        <v>13341</v>
      </c>
      <c r="DG61" t="s">
        <v>13342</v>
      </c>
      <c r="DH61" t="s">
        <v>35</v>
      </c>
      <c r="DI61" t="s">
        <v>35</v>
      </c>
      <c r="DJ61" t="s">
        <v>13343</v>
      </c>
      <c r="DK61" t="s">
        <v>13344</v>
      </c>
      <c r="DL61" t="s">
        <v>13345</v>
      </c>
      <c r="DM61" t="s">
        <v>13346</v>
      </c>
      <c r="DN61" t="s">
        <v>13347</v>
      </c>
      <c r="DO61" t="s">
        <v>13348</v>
      </c>
      <c r="DP61" t="s">
        <v>13349</v>
      </c>
      <c r="DQ61" t="s">
        <v>35</v>
      </c>
      <c r="DR61" t="s">
        <v>13350</v>
      </c>
      <c r="DS61" t="s">
        <v>13351</v>
      </c>
      <c r="DT61" t="s">
        <v>35</v>
      </c>
      <c r="DU61" t="s">
        <v>13348</v>
      </c>
      <c r="DV61" t="s">
        <v>13352</v>
      </c>
      <c r="DW61" t="s">
        <v>13353</v>
      </c>
      <c r="DX61" t="s">
        <v>35</v>
      </c>
      <c r="DY61" t="s">
        <v>13354</v>
      </c>
      <c r="DZ61" t="s">
        <v>13355</v>
      </c>
      <c r="EA61" t="s">
        <v>13356</v>
      </c>
      <c r="EB61" t="s">
        <v>35</v>
      </c>
      <c r="EC61" t="s">
        <v>13357</v>
      </c>
      <c r="ED61" t="s">
        <v>13358</v>
      </c>
      <c r="EE61" t="s">
        <v>12247</v>
      </c>
      <c r="EG61" t="s">
        <v>12247</v>
      </c>
    </row>
    <row r="62" spans="1:253" x14ac:dyDescent="0.25">
      <c r="A62" t="s">
        <v>36</v>
      </c>
      <c r="B62" t="s">
        <v>12247</v>
      </c>
      <c r="C62">
        <v>3</v>
      </c>
      <c r="D62">
        <v>6</v>
      </c>
      <c r="E62" t="s">
        <v>36</v>
      </c>
      <c r="F62" t="s">
        <v>13359</v>
      </c>
      <c r="G62">
        <v>0</v>
      </c>
      <c r="H62">
        <v>2</v>
      </c>
      <c r="I62" t="s">
        <v>12249</v>
      </c>
      <c r="J62">
        <v>1</v>
      </c>
      <c r="K62" t="s">
        <v>36</v>
      </c>
      <c r="L62" t="s">
        <v>13359</v>
      </c>
      <c r="M62">
        <v>0</v>
      </c>
      <c r="N62" t="s">
        <v>36</v>
      </c>
      <c r="O62" t="s">
        <v>13359</v>
      </c>
      <c r="P62">
        <v>0</v>
      </c>
      <c r="Q62" t="s">
        <v>36</v>
      </c>
      <c r="R62" t="s">
        <v>13359</v>
      </c>
      <c r="S62">
        <v>0</v>
      </c>
      <c r="T62" t="s">
        <v>36</v>
      </c>
      <c r="U62" t="s">
        <v>13359</v>
      </c>
      <c r="V62" t="s">
        <v>36</v>
      </c>
      <c r="X62" t="s">
        <v>13360</v>
      </c>
      <c r="Y62" t="s">
        <v>1607</v>
      </c>
      <c r="Z62" t="s">
        <v>13361</v>
      </c>
      <c r="AB62" t="s">
        <v>36</v>
      </c>
      <c r="AE62" t="s">
        <v>36</v>
      </c>
      <c r="AG62">
        <v>2</v>
      </c>
      <c r="AH62">
        <v>1</v>
      </c>
      <c r="AI62">
        <v>4</v>
      </c>
      <c r="AJ62">
        <v>10</v>
      </c>
      <c r="AK62">
        <v>850886</v>
      </c>
      <c r="AL62">
        <v>11</v>
      </c>
      <c r="AM62">
        <v>2019</v>
      </c>
      <c r="AN62">
        <v>1165</v>
      </c>
      <c r="AO62">
        <v>2019</v>
      </c>
      <c r="AP62" t="s">
        <v>12252</v>
      </c>
      <c r="AQ62" t="s">
        <v>12253</v>
      </c>
      <c r="AR62" t="s">
        <v>1387</v>
      </c>
      <c r="AS62" t="s">
        <v>1607</v>
      </c>
      <c r="AT62" t="s">
        <v>1607</v>
      </c>
      <c r="AU62" t="s">
        <v>13359</v>
      </c>
      <c r="AV62" t="s">
        <v>13359</v>
      </c>
      <c r="AW62">
        <v>174</v>
      </c>
      <c r="AX62">
        <v>174</v>
      </c>
      <c r="AY62">
        <v>174</v>
      </c>
      <c r="AZ62" t="s">
        <v>1607</v>
      </c>
      <c r="BA62" t="s">
        <v>13359</v>
      </c>
      <c r="BB62">
        <v>23424786</v>
      </c>
      <c r="BC62">
        <v>23424786</v>
      </c>
      <c r="BD62" t="s">
        <v>12254</v>
      </c>
      <c r="BE62" t="s">
        <v>13359</v>
      </c>
      <c r="BG62" t="s">
        <v>13359</v>
      </c>
      <c r="BH62" t="s">
        <v>13359</v>
      </c>
      <c r="BI62" t="s">
        <v>13359</v>
      </c>
      <c r="BJ62" t="s">
        <v>13359</v>
      </c>
      <c r="BK62" t="s">
        <v>13359</v>
      </c>
      <c r="BL62" t="s">
        <v>13359</v>
      </c>
      <c r="BM62" t="s">
        <v>13359</v>
      </c>
      <c r="BN62" t="s">
        <v>13359</v>
      </c>
      <c r="BO62" t="s">
        <v>13359</v>
      </c>
      <c r="BP62" t="s">
        <v>13359</v>
      </c>
      <c r="BQ62" t="s">
        <v>13359</v>
      </c>
      <c r="BR62" t="s">
        <v>13359</v>
      </c>
      <c r="BS62" t="s">
        <v>13359</v>
      </c>
      <c r="BT62" t="s">
        <v>13359</v>
      </c>
      <c r="BU62" t="s">
        <v>13359</v>
      </c>
      <c r="BV62" t="s">
        <v>13359</v>
      </c>
      <c r="BW62" t="s">
        <v>13359</v>
      </c>
      <c r="BX62" t="s">
        <v>13359</v>
      </c>
      <c r="BY62" t="s">
        <v>13359</v>
      </c>
      <c r="BZ62" t="s">
        <v>13359</v>
      </c>
      <c r="CA62" t="s">
        <v>13359</v>
      </c>
      <c r="CB62" t="s">
        <v>13359</v>
      </c>
      <c r="CC62" t="s">
        <v>13359</v>
      </c>
      <c r="CD62" t="s">
        <v>13359</v>
      </c>
      <c r="CE62" t="s">
        <v>13359</v>
      </c>
      <c r="CF62" t="s">
        <v>13359</v>
      </c>
      <c r="CG62" t="s">
        <v>13359</v>
      </c>
      <c r="CH62" t="s">
        <v>13359</v>
      </c>
      <c r="CI62" t="s">
        <v>13359</v>
      </c>
      <c r="CJ62" t="s">
        <v>13359</v>
      </c>
      <c r="CK62" t="s">
        <v>13359</v>
      </c>
      <c r="CL62" t="s">
        <v>13359</v>
      </c>
      <c r="CM62">
        <v>-99</v>
      </c>
      <c r="CN62">
        <v>-99</v>
      </c>
      <c r="CO62" t="s">
        <v>12306</v>
      </c>
      <c r="CP62" t="s">
        <v>12306</v>
      </c>
      <c r="CQ62" t="s">
        <v>13085</v>
      </c>
      <c r="CR62" t="s">
        <v>12357</v>
      </c>
      <c r="CS62">
        <v>7</v>
      </c>
      <c r="CT62">
        <v>7</v>
      </c>
      <c r="CU62">
        <v>4</v>
      </c>
      <c r="CV62">
        <v>2</v>
      </c>
      <c r="CW62">
        <v>1</v>
      </c>
      <c r="CX62">
        <v>0</v>
      </c>
      <c r="CY62">
        <v>4</v>
      </c>
      <c r="CZ62">
        <v>9</v>
      </c>
      <c r="DA62">
        <v>43.318094000000002</v>
      </c>
      <c r="DB62">
        <v>-11.727683000000001</v>
      </c>
      <c r="DC62">
        <v>1159320521</v>
      </c>
      <c r="DD62" t="s">
        <v>13362</v>
      </c>
      <c r="DE62" t="s">
        <v>13363</v>
      </c>
      <c r="DF62" t="s">
        <v>13364</v>
      </c>
      <c r="DG62" t="s">
        <v>13365</v>
      </c>
      <c r="DH62" t="s">
        <v>36</v>
      </c>
      <c r="DI62" t="s">
        <v>13366</v>
      </c>
      <c r="DJ62" t="s">
        <v>13367</v>
      </c>
      <c r="DK62" t="s">
        <v>13368</v>
      </c>
      <c r="DL62" t="s">
        <v>13369</v>
      </c>
      <c r="DM62" t="s">
        <v>13370</v>
      </c>
      <c r="DN62" t="s">
        <v>13371</v>
      </c>
      <c r="DO62" t="s">
        <v>13372</v>
      </c>
      <c r="DP62" t="s">
        <v>13373</v>
      </c>
      <c r="DQ62" t="s">
        <v>13374</v>
      </c>
      <c r="DR62" t="s">
        <v>13375</v>
      </c>
      <c r="DS62" t="s">
        <v>13376</v>
      </c>
      <c r="DT62" t="s">
        <v>13377</v>
      </c>
      <c r="DU62" t="s">
        <v>13378</v>
      </c>
      <c r="DV62" t="s">
        <v>13368</v>
      </c>
      <c r="DW62" t="s">
        <v>13379</v>
      </c>
      <c r="DX62" t="s">
        <v>13380</v>
      </c>
      <c r="DY62" t="s">
        <v>13381</v>
      </c>
      <c r="DZ62" t="s">
        <v>13382</v>
      </c>
      <c r="EA62" t="s">
        <v>13383</v>
      </c>
      <c r="EB62" t="s">
        <v>36</v>
      </c>
      <c r="EC62" t="s">
        <v>13384</v>
      </c>
      <c r="ED62" t="s">
        <v>13385</v>
      </c>
      <c r="EE62" t="s">
        <v>12247</v>
      </c>
      <c r="EG62" t="s">
        <v>12247</v>
      </c>
    </row>
    <row r="63" spans="1:253" x14ac:dyDescent="0.25">
      <c r="A63" t="s">
        <v>1206</v>
      </c>
      <c r="B63" t="s">
        <v>12247</v>
      </c>
      <c r="C63">
        <v>5</v>
      </c>
      <c r="D63">
        <v>4</v>
      </c>
      <c r="E63" t="s">
        <v>124</v>
      </c>
      <c r="F63" t="s">
        <v>14048</v>
      </c>
      <c r="G63">
        <v>1</v>
      </c>
      <c r="H63">
        <v>2</v>
      </c>
      <c r="I63" t="s">
        <v>12480</v>
      </c>
      <c r="J63">
        <v>1</v>
      </c>
      <c r="K63" t="s">
        <v>1206</v>
      </c>
      <c r="L63" t="s">
        <v>14049</v>
      </c>
      <c r="M63">
        <v>0</v>
      </c>
      <c r="N63" t="s">
        <v>1206</v>
      </c>
      <c r="O63" t="s">
        <v>14049</v>
      </c>
      <c r="P63">
        <v>0</v>
      </c>
      <c r="Q63" t="s">
        <v>1206</v>
      </c>
      <c r="R63" t="s">
        <v>14049</v>
      </c>
      <c r="S63">
        <v>0</v>
      </c>
      <c r="T63" t="s">
        <v>1206</v>
      </c>
      <c r="U63" t="s">
        <v>14049</v>
      </c>
      <c r="V63" t="s">
        <v>14050</v>
      </c>
      <c r="X63" t="s">
        <v>14050</v>
      </c>
      <c r="Y63" t="s">
        <v>1378</v>
      </c>
      <c r="AB63" t="s">
        <v>1206</v>
      </c>
      <c r="AC63" t="s">
        <v>14051</v>
      </c>
      <c r="AD63" t="s">
        <v>14051</v>
      </c>
      <c r="AE63" t="s">
        <v>1206</v>
      </c>
      <c r="AG63">
        <v>3</v>
      </c>
      <c r="AH63">
        <v>3</v>
      </c>
      <c r="AI63">
        <v>4</v>
      </c>
      <c r="AJ63">
        <v>4</v>
      </c>
      <c r="AK63">
        <v>17459</v>
      </c>
      <c r="AL63">
        <v>6</v>
      </c>
      <c r="AM63">
        <v>2016</v>
      </c>
      <c r="AN63">
        <v>244</v>
      </c>
      <c r="AO63">
        <v>2010</v>
      </c>
      <c r="AP63" t="s">
        <v>12277</v>
      </c>
      <c r="AQ63" t="s">
        <v>12305</v>
      </c>
      <c r="AR63" t="s">
        <v>1402</v>
      </c>
      <c r="AS63" t="s">
        <v>1378</v>
      </c>
      <c r="AT63" t="s">
        <v>1378</v>
      </c>
      <c r="AU63" t="s">
        <v>14049</v>
      </c>
      <c r="AV63" t="s">
        <v>14049</v>
      </c>
      <c r="AW63">
        <v>184</v>
      </c>
      <c r="AX63">
        <v>184</v>
      </c>
      <c r="AY63">
        <v>184</v>
      </c>
      <c r="AZ63">
        <v>-99</v>
      </c>
      <c r="BA63">
        <v>-99</v>
      </c>
      <c r="BB63">
        <v>23424795</v>
      </c>
      <c r="BC63">
        <v>23424795</v>
      </c>
      <c r="BD63" t="s">
        <v>12254</v>
      </c>
      <c r="BE63" t="s">
        <v>14049</v>
      </c>
      <c r="BG63" t="s">
        <v>14049</v>
      </c>
      <c r="BH63" t="s">
        <v>14049</v>
      </c>
      <c r="BI63" t="s">
        <v>14049</v>
      </c>
      <c r="BJ63" t="s">
        <v>14049</v>
      </c>
      <c r="BK63" t="s">
        <v>14049</v>
      </c>
      <c r="BL63" t="s">
        <v>14049</v>
      </c>
      <c r="BM63" t="s">
        <v>14049</v>
      </c>
      <c r="BN63" t="s">
        <v>14049</v>
      </c>
      <c r="BO63" t="s">
        <v>14049</v>
      </c>
      <c r="BP63" t="s">
        <v>14049</v>
      </c>
      <c r="BQ63" t="s">
        <v>14049</v>
      </c>
      <c r="BR63" t="s">
        <v>14049</v>
      </c>
      <c r="BS63" t="s">
        <v>14049</v>
      </c>
      <c r="BT63" t="s">
        <v>14049</v>
      </c>
      <c r="BU63" t="s">
        <v>14049</v>
      </c>
      <c r="BV63" t="s">
        <v>14049</v>
      </c>
      <c r="BW63" t="s">
        <v>14049</v>
      </c>
      <c r="BX63" t="s">
        <v>14049</v>
      </c>
      <c r="BY63" t="s">
        <v>14049</v>
      </c>
      <c r="BZ63" t="s">
        <v>14049</v>
      </c>
      <c r="CA63" t="s">
        <v>14049</v>
      </c>
      <c r="CB63" t="s">
        <v>14049</v>
      </c>
      <c r="CC63" t="s">
        <v>14049</v>
      </c>
      <c r="CD63" t="s">
        <v>14049</v>
      </c>
      <c r="CE63" t="s">
        <v>14049</v>
      </c>
      <c r="CF63" t="s">
        <v>14049</v>
      </c>
      <c r="CG63" t="s">
        <v>14049</v>
      </c>
      <c r="CH63" t="s">
        <v>14049</v>
      </c>
      <c r="CI63" t="s">
        <v>14049</v>
      </c>
      <c r="CJ63" t="s">
        <v>14049</v>
      </c>
      <c r="CK63" t="s">
        <v>14049</v>
      </c>
      <c r="CL63" t="s">
        <v>14049</v>
      </c>
      <c r="CM63">
        <v>-99</v>
      </c>
      <c r="CN63">
        <v>-99</v>
      </c>
      <c r="CO63" t="s">
        <v>12537</v>
      </c>
      <c r="CP63" t="s">
        <v>12537</v>
      </c>
      <c r="CQ63" t="s">
        <v>12538</v>
      </c>
      <c r="CR63" t="s">
        <v>12539</v>
      </c>
      <c r="CS63">
        <v>8</v>
      </c>
      <c r="CT63">
        <v>12</v>
      </c>
      <c r="CU63">
        <v>8</v>
      </c>
      <c r="CV63">
        <v>3</v>
      </c>
      <c r="CW63">
        <v>-99</v>
      </c>
      <c r="CX63">
        <v>0</v>
      </c>
      <c r="CY63">
        <v>4</v>
      </c>
      <c r="CZ63">
        <v>9</v>
      </c>
      <c r="DA63">
        <v>-159.785675</v>
      </c>
      <c r="DB63">
        <v>-21.215993000000001</v>
      </c>
      <c r="DC63">
        <v>1159321129</v>
      </c>
      <c r="DD63" t="s">
        <v>14052</v>
      </c>
      <c r="DE63" t="s">
        <v>14053</v>
      </c>
      <c r="DF63" t="s">
        <v>14054</v>
      </c>
      <c r="DG63" t="s">
        <v>14055</v>
      </c>
      <c r="DH63" t="s">
        <v>1206</v>
      </c>
      <c r="DI63" t="s">
        <v>14056</v>
      </c>
      <c r="DJ63" t="s">
        <v>14057</v>
      </c>
      <c r="DK63" t="s">
        <v>14058</v>
      </c>
      <c r="DL63" t="s">
        <v>14059</v>
      </c>
      <c r="DM63" t="s">
        <v>14060</v>
      </c>
      <c r="DN63" t="s">
        <v>14061</v>
      </c>
      <c r="DO63" t="s">
        <v>14062</v>
      </c>
      <c r="DP63" t="s">
        <v>14063</v>
      </c>
      <c r="DQ63" t="s">
        <v>14064</v>
      </c>
      <c r="DR63" t="s">
        <v>14065</v>
      </c>
      <c r="DS63" t="s">
        <v>14066</v>
      </c>
      <c r="DT63" t="s">
        <v>14067</v>
      </c>
      <c r="DU63" t="s">
        <v>14068</v>
      </c>
      <c r="DV63" t="s">
        <v>14069</v>
      </c>
      <c r="DW63" t="s">
        <v>14070</v>
      </c>
      <c r="DX63" t="s">
        <v>14071</v>
      </c>
      <c r="DY63" t="s">
        <v>14072</v>
      </c>
      <c r="DZ63" t="s">
        <v>14073</v>
      </c>
      <c r="EA63" t="s">
        <v>14074</v>
      </c>
      <c r="EB63" t="s">
        <v>14075</v>
      </c>
      <c r="EC63" t="s">
        <v>14076</v>
      </c>
      <c r="ED63" t="s">
        <v>14077</v>
      </c>
      <c r="EE63" t="s">
        <v>12397</v>
      </c>
      <c r="EG63" t="s">
        <v>12397</v>
      </c>
    </row>
    <row r="64" spans="1:253" x14ac:dyDescent="0.25">
      <c r="A64" t="s">
        <v>14078</v>
      </c>
      <c r="B64" t="s">
        <v>12247</v>
      </c>
      <c r="C64">
        <v>6</v>
      </c>
      <c r="D64">
        <v>5</v>
      </c>
      <c r="E64" t="s">
        <v>8</v>
      </c>
      <c r="F64" t="s">
        <v>12600</v>
      </c>
      <c r="G64">
        <v>1</v>
      </c>
      <c r="H64">
        <v>2</v>
      </c>
      <c r="I64" t="s">
        <v>12480</v>
      </c>
      <c r="J64">
        <v>1</v>
      </c>
      <c r="K64" t="s">
        <v>14078</v>
      </c>
      <c r="L64" t="s">
        <v>14079</v>
      </c>
      <c r="M64">
        <v>0</v>
      </c>
      <c r="N64" t="s">
        <v>14078</v>
      </c>
      <c r="O64" t="s">
        <v>14079</v>
      </c>
      <c r="P64">
        <v>0</v>
      </c>
      <c r="Q64" t="s">
        <v>14078</v>
      </c>
      <c r="R64" t="s">
        <v>14079</v>
      </c>
      <c r="S64">
        <v>0</v>
      </c>
      <c r="T64" t="s">
        <v>14078</v>
      </c>
      <c r="U64" t="s">
        <v>14079</v>
      </c>
      <c r="V64" t="s">
        <v>14080</v>
      </c>
      <c r="X64" t="s">
        <v>14081</v>
      </c>
      <c r="Y64" t="s">
        <v>13389</v>
      </c>
      <c r="Z64" t="s">
        <v>14082</v>
      </c>
      <c r="AC64" t="s">
        <v>12606</v>
      </c>
      <c r="AE64" t="s">
        <v>14078</v>
      </c>
      <c r="AG64">
        <v>1</v>
      </c>
      <c r="AH64">
        <v>2</v>
      </c>
      <c r="AI64">
        <v>2</v>
      </c>
      <c r="AJ64">
        <v>7</v>
      </c>
      <c r="AK64">
        <v>4</v>
      </c>
      <c r="AL64">
        <v>1</v>
      </c>
      <c r="AM64">
        <v>2019</v>
      </c>
      <c r="AN64">
        <v>0</v>
      </c>
      <c r="AO64">
        <v>2016</v>
      </c>
      <c r="AP64" t="s">
        <v>12252</v>
      </c>
      <c r="AQ64" t="s">
        <v>12253</v>
      </c>
      <c r="AR64" t="s">
        <v>1393</v>
      </c>
      <c r="AS64">
        <v>-99</v>
      </c>
      <c r="AT64" t="s">
        <v>1279</v>
      </c>
      <c r="AU64">
        <v>-99</v>
      </c>
      <c r="AV64" t="s">
        <v>12607</v>
      </c>
      <c r="AW64">
        <v>-99</v>
      </c>
      <c r="AX64">
        <v>36</v>
      </c>
      <c r="AY64">
        <v>-99</v>
      </c>
      <c r="AZ64">
        <v>-99</v>
      </c>
      <c r="BA64">
        <v>-99</v>
      </c>
      <c r="BB64">
        <v>23424790</v>
      </c>
      <c r="BC64">
        <v>23424790</v>
      </c>
      <c r="BD64" t="s">
        <v>12254</v>
      </c>
      <c r="BE64" t="s">
        <v>12607</v>
      </c>
      <c r="BF64">
        <v>1</v>
      </c>
      <c r="BG64" t="s">
        <v>14079</v>
      </c>
      <c r="BH64" t="s">
        <v>14079</v>
      </c>
      <c r="BI64" t="s">
        <v>14079</v>
      </c>
      <c r="BJ64" t="s">
        <v>14079</v>
      </c>
      <c r="BK64" t="s">
        <v>14079</v>
      </c>
      <c r="BL64" t="s">
        <v>14079</v>
      </c>
      <c r="BM64" t="s">
        <v>14079</v>
      </c>
      <c r="BN64" t="s">
        <v>14079</v>
      </c>
      <c r="BO64" t="s">
        <v>14079</v>
      </c>
      <c r="BP64" t="s">
        <v>14079</v>
      </c>
      <c r="BQ64" t="s">
        <v>14079</v>
      </c>
      <c r="BR64" t="s">
        <v>14079</v>
      </c>
      <c r="BS64" t="s">
        <v>14079</v>
      </c>
      <c r="BT64" t="s">
        <v>14079</v>
      </c>
      <c r="BU64" t="s">
        <v>14079</v>
      </c>
      <c r="BV64" t="s">
        <v>14079</v>
      </c>
      <c r="BW64" t="s">
        <v>14079</v>
      </c>
      <c r="BX64" t="s">
        <v>14079</v>
      </c>
      <c r="BY64" t="s">
        <v>14079</v>
      </c>
      <c r="BZ64" t="s">
        <v>14079</v>
      </c>
      <c r="CA64" t="s">
        <v>14079</v>
      </c>
      <c r="CB64" t="s">
        <v>14079</v>
      </c>
      <c r="CC64" t="s">
        <v>14079</v>
      </c>
      <c r="CD64" t="s">
        <v>14079</v>
      </c>
      <c r="CE64" t="s">
        <v>14079</v>
      </c>
      <c r="CF64" t="s">
        <v>14079</v>
      </c>
      <c r="CG64" t="s">
        <v>14079</v>
      </c>
      <c r="CH64" t="s">
        <v>14079</v>
      </c>
      <c r="CI64" t="s">
        <v>14079</v>
      </c>
      <c r="CJ64" t="s">
        <v>14079</v>
      </c>
      <c r="CK64" t="s">
        <v>14079</v>
      </c>
      <c r="CL64" t="s">
        <v>14079</v>
      </c>
      <c r="CM64">
        <v>-99</v>
      </c>
      <c r="CN64">
        <v>-99</v>
      </c>
      <c r="CO64" t="s">
        <v>12537</v>
      </c>
      <c r="CP64" t="s">
        <v>12537</v>
      </c>
      <c r="CQ64" t="s">
        <v>12609</v>
      </c>
      <c r="CR64" t="s">
        <v>12539</v>
      </c>
      <c r="CS64">
        <v>13</v>
      </c>
      <c r="CT64">
        <v>17</v>
      </c>
      <c r="CU64">
        <v>6</v>
      </c>
      <c r="CV64">
        <v>-99</v>
      </c>
      <c r="CW64">
        <v>-99</v>
      </c>
      <c r="CX64">
        <v>0</v>
      </c>
      <c r="CY64">
        <v>4.5</v>
      </c>
      <c r="CZ64">
        <v>9.5</v>
      </c>
      <c r="DA64">
        <v>154.39059499999999</v>
      </c>
      <c r="DB64">
        <v>-21.029311</v>
      </c>
      <c r="DC64">
        <v>1159320359</v>
      </c>
      <c r="DD64" t="s">
        <v>14083</v>
      </c>
      <c r="DE64" t="s">
        <v>14084</v>
      </c>
      <c r="DF64" t="s">
        <v>14085</v>
      </c>
      <c r="DG64" t="s">
        <v>14086</v>
      </c>
      <c r="DH64" t="s">
        <v>14078</v>
      </c>
      <c r="DI64" t="s">
        <v>14087</v>
      </c>
      <c r="DJ64" t="s">
        <v>14088</v>
      </c>
      <c r="DK64" t="s">
        <v>14089</v>
      </c>
      <c r="DL64" t="s">
        <v>14090</v>
      </c>
      <c r="DM64" t="s">
        <v>14091</v>
      </c>
      <c r="DN64" t="s">
        <v>14092</v>
      </c>
      <c r="DO64" t="s">
        <v>14093</v>
      </c>
      <c r="DP64" t="s">
        <v>14094</v>
      </c>
      <c r="DQ64" t="s">
        <v>14095</v>
      </c>
      <c r="DR64" t="s">
        <v>14096</v>
      </c>
      <c r="DS64" t="s">
        <v>14097</v>
      </c>
      <c r="DT64" t="s">
        <v>14098</v>
      </c>
      <c r="DU64" t="s">
        <v>14099</v>
      </c>
      <c r="DV64" t="s">
        <v>14100</v>
      </c>
      <c r="DW64" t="s">
        <v>14101</v>
      </c>
      <c r="DX64" t="s">
        <v>14102</v>
      </c>
      <c r="DY64" t="s">
        <v>14103</v>
      </c>
      <c r="DZ64" t="s">
        <v>14104</v>
      </c>
      <c r="EA64" t="s">
        <v>14105</v>
      </c>
      <c r="EB64" t="s">
        <v>14106</v>
      </c>
      <c r="EC64" t="s">
        <v>14107</v>
      </c>
      <c r="ED64" t="s">
        <v>14108</v>
      </c>
      <c r="EE64" t="s">
        <v>12505</v>
      </c>
      <c r="EF64">
        <v>1</v>
      </c>
      <c r="EG64" t="s">
        <v>12397</v>
      </c>
    </row>
    <row r="65" spans="1:168" x14ac:dyDescent="0.25">
      <c r="A65" t="s">
        <v>39</v>
      </c>
      <c r="B65" t="s">
        <v>12247</v>
      </c>
      <c r="C65">
        <v>0</v>
      </c>
      <c r="D65">
        <v>5</v>
      </c>
      <c r="E65" t="s">
        <v>39</v>
      </c>
      <c r="F65" t="s">
        <v>13386</v>
      </c>
      <c r="G65">
        <v>0</v>
      </c>
      <c r="H65">
        <v>2</v>
      </c>
      <c r="I65" t="s">
        <v>12249</v>
      </c>
      <c r="J65">
        <v>1</v>
      </c>
      <c r="K65" t="s">
        <v>39</v>
      </c>
      <c r="L65" t="s">
        <v>13386</v>
      </c>
      <c r="M65">
        <v>0</v>
      </c>
      <c r="N65" t="s">
        <v>39</v>
      </c>
      <c r="O65" t="s">
        <v>13386</v>
      </c>
      <c r="P65">
        <v>0</v>
      </c>
      <c r="Q65" t="s">
        <v>39</v>
      </c>
      <c r="R65" t="s">
        <v>13386</v>
      </c>
      <c r="S65">
        <v>0</v>
      </c>
      <c r="T65" t="s">
        <v>39</v>
      </c>
      <c r="U65" t="s">
        <v>13386</v>
      </c>
      <c r="V65" t="s">
        <v>39</v>
      </c>
      <c r="X65" t="s">
        <v>13387</v>
      </c>
      <c r="Y65" t="s">
        <v>1393</v>
      </c>
      <c r="Z65" t="s">
        <v>13388</v>
      </c>
      <c r="AB65" t="s">
        <v>39</v>
      </c>
      <c r="AE65" t="s">
        <v>39</v>
      </c>
      <c r="AG65">
        <v>3</v>
      </c>
      <c r="AH65">
        <v>2</v>
      </c>
      <c r="AI65">
        <v>4</v>
      </c>
      <c r="AJ65">
        <v>2</v>
      </c>
      <c r="AK65">
        <v>5047561</v>
      </c>
      <c r="AL65">
        <v>13</v>
      </c>
      <c r="AM65">
        <v>2019</v>
      </c>
      <c r="AN65">
        <v>61801</v>
      </c>
      <c r="AO65">
        <v>2019</v>
      </c>
      <c r="AP65" t="s">
        <v>12435</v>
      </c>
      <c r="AQ65" t="s">
        <v>12305</v>
      </c>
      <c r="AR65" t="s">
        <v>13389</v>
      </c>
      <c r="AS65" t="s">
        <v>1393</v>
      </c>
      <c r="AT65" t="s">
        <v>1393</v>
      </c>
      <c r="AU65" t="s">
        <v>13386</v>
      </c>
      <c r="AV65" t="s">
        <v>13386</v>
      </c>
      <c r="AW65">
        <v>188</v>
      </c>
      <c r="AX65">
        <v>188</v>
      </c>
      <c r="AY65">
        <v>188</v>
      </c>
      <c r="AZ65" t="s">
        <v>1393</v>
      </c>
      <c r="BA65" t="s">
        <v>13386</v>
      </c>
      <c r="BB65">
        <v>23424791</v>
      </c>
      <c r="BC65">
        <v>23424791</v>
      </c>
      <c r="BD65" t="s">
        <v>12254</v>
      </c>
      <c r="BE65" t="s">
        <v>13386</v>
      </c>
      <c r="BG65" t="s">
        <v>13386</v>
      </c>
      <c r="BH65" t="s">
        <v>13386</v>
      </c>
      <c r="BI65" t="s">
        <v>13386</v>
      </c>
      <c r="BJ65" t="s">
        <v>13386</v>
      </c>
      <c r="BK65" t="s">
        <v>13386</v>
      </c>
      <c r="BL65" t="s">
        <v>13386</v>
      </c>
      <c r="BM65" t="s">
        <v>13386</v>
      </c>
      <c r="BN65" t="s">
        <v>13386</v>
      </c>
      <c r="BO65" t="s">
        <v>13386</v>
      </c>
      <c r="BP65" t="s">
        <v>13386</v>
      </c>
      <c r="BQ65" t="s">
        <v>13386</v>
      </c>
      <c r="BR65" t="s">
        <v>13386</v>
      </c>
      <c r="BS65" t="s">
        <v>13386</v>
      </c>
      <c r="BT65" t="s">
        <v>13386</v>
      </c>
      <c r="BU65" t="s">
        <v>13386</v>
      </c>
      <c r="BV65" t="s">
        <v>13386</v>
      </c>
      <c r="BW65" t="s">
        <v>13386</v>
      </c>
      <c r="BX65" t="s">
        <v>13386</v>
      </c>
      <c r="BY65" t="s">
        <v>13386</v>
      </c>
      <c r="BZ65" t="s">
        <v>13386</v>
      </c>
      <c r="CA65" t="s">
        <v>13386</v>
      </c>
      <c r="CB65" t="s">
        <v>13386</v>
      </c>
      <c r="CC65" t="s">
        <v>13386</v>
      </c>
      <c r="CD65" t="s">
        <v>13386</v>
      </c>
      <c r="CE65" t="s">
        <v>13386</v>
      </c>
      <c r="CF65" t="s">
        <v>13386</v>
      </c>
      <c r="CG65" t="s">
        <v>13386</v>
      </c>
      <c r="CH65" t="s">
        <v>13386</v>
      </c>
      <c r="CI65" t="s">
        <v>13386</v>
      </c>
      <c r="CJ65" t="s">
        <v>13386</v>
      </c>
      <c r="CK65" t="s">
        <v>13386</v>
      </c>
      <c r="CL65" t="s">
        <v>13386</v>
      </c>
      <c r="CM65">
        <v>-99</v>
      </c>
      <c r="CN65">
        <v>-99</v>
      </c>
      <c r="CO65" t="s">
        <v>12402</v>
      </c>
      <c r="CP65" t="s">
        <v>12403</v>
      </c>
      <c r="CQ65" t="s">
        <v>12829</v>
      </c>
      <c r="CR65" t="s">
        <v>12405</v>
      </c>
      <c r="CS65">
        <v>10</v>
      </c>
      <c r="CT65">
        <v>10</v>
      </c>
      <c r="CU65">
        <v>4</v>
      </c>
      <c r="CV65">
        <v>-99</v>
      </c>
      <c r="CW65">
        <v>1</v>
      </c>
      <c r="CX65">
        <v>0</v>
      </c>
      <c r="CY65">
        <v>2.5</v>
      </c>
      <c r="CZ65">
        <v>8</v>
      </c>
      <c r="DA65">
        <v>-84.077922000000001</v>
      </c>
      <c r="DB65">
        <v>10.065099999999999</v>
      </c>
      <c r="DC65">
        <v>1159320525</v>
      </c>
      <c r="DD65" t="s">
        <v>13390</v>
      </c>
      <c r="DE65" t="s">
        <v>13391</v>
      </c>
      <c r="DF65" t="s">
        <v>13392</v>
      </c>
      <c r="DG65" t="s">
        <v>39</v>
      </c>
      <c r="DH65" t="s">
        <v>39</v>
      </c>
      <c r="DI65" t="s">
        <v>39</v>
      </c>
      <c r="DJ65" t="s">
        <v>13393</v>
      </c>
      <c r="DK65" t="s">
        <v>39</v>
      </c>
      <c r="DL65" t="s">
        <v>13394</v>
      </c>
      <c r="DM65" t="s">
        <v>13395</v>
      </c>
      <c r="DN65" t="s">
        <v>13396</v>
      </c>
      <c r="DO65" t="s">
        <v>39</v>
      </c>
      <c r="DP65" t="s">
        <v>13397</v>
      </c>
      <c r="DQ65" t="s">
        <v>39</v>
      </c>
      <c r="DR65" t="s">
        <v>13398</v>
      </c>
      <c r="DS65" t="s">
        <v>13399</v>
      </c>
      <c r="DT65" t="s">
        <v>39</v>
      </c>
      <c r="DU65" t="s">
        <v>13400</v>
      </c>
      <c r="DV65" t="s">
        <v>39</v>
      </c>
      <c r="DW65" t="s">
        <v>13401</v>
      </c>
      <c r="DX65" t="s">
        <v>39</v>
      </c>
      <c r="DY65" t="s">
        <v>13397</v>
      </c>
      <c r="DZ65" t="s">
        <v>13401</v>
      </c>
      <c r="EA65" t="s">
        <v>13402</v>
      </c>
      <c r="EB65" t="s">
        <v>39</v>
      </c>
      <c r="EC65" t="s">
        <v>13403</v>
      </c>
      <c r="ED65" t="s">
        <v>13404</v>
      </c>
      <c r="EE65" t="s">
        <v>12247</v>
      </c>
      <c r="EG65" t="s">
        <v>12247</v>
      </c>
    </row>
    <row r="66" spans="1:168" x14ac:dyDescent="0.25">
      <c r="A66" t="s">
        <v>41</v>
      </c>
      <c r="B66" t="s">
        <v>12247</v>
      </c>
      <c r="C66">
        <v>0</v>
      </c>
      <c r="D66">
        <v>6</v>
      </c>
      <c r="E66" t="s">
        <v>41</v>
      </c>
      <c r="F66" t="s">
        <v>13405</v>
      </c>
      <c r="G66">
        <v>0</v>
      </c>
      <c r="H66">
        <v>2</v>
      </c>
      <c r="I66" t="s">
        <v>12249</v>
      </c>
      <c r="J66">
        <v>1</v>
      </c>
      <c r="K66" t="s">
        <v>41</v>
      </c>
      <c r="L66" t="s">
        <v>13405</v>
      </c>
      <c r="M66">
        <v>0</v>
      </c>
      <c r="N66" t="s">
        <v>41</v>
      </c>
      <c r="O66" t="s">
        <v>13405</v>
      </c>
      <c r="P66">
        <v>0</v>
      </c>
      <c r="Q66" t="s">
        <v>41</v>
      </c>
      <c r="R66" t="s">
        <v>13405</v>
      </c>
      <c r="S66">
        <v>0</v>
      </c>
      <c r="T66" t="s">
        <v>41</v>
      </c>
      <c r="U66" t="s">
        <v>13405</v>
      </c>
      <c r="V66" t="s">
        <v>41</v>
      </c>
      <c r="X66" t="s">
        <v>13406</v>
      </c>
      <c r="Y66" t="s">
        <v>1544</v>
      </c>
      <c r="Z66" t="s">
        <v>13407</v>
      </c>
      <c r="AB66" t="s">
        <v>41</v>
      </c>
      <c r="AE66" t="s">
        <v>41</v>
      </c>
      <c r="AG66">
        <v>5</v>
      </c>
      <c r="AH66">
        <v>4</v>
      </c>
      <c r="AI66">
        <v>5</v>
      </c>
      <c r="AJ66">
        <v>1</v>
      </c>
      <c r="AK66">
        <v>4067500</v>
      </c>
      <c r="AL66">
        <v>12</v>
      </c>
      <c r="AM66">
        <v>2019</v>
      </c>
      <c r="AN66">
        <v>60752</v>
      </c>
      <c r="AO66">
        <v>2019</v>
      </c>
      <c r="AP66" t="s">
        <v>12334</v>
      </c>
      <c r="AQ66" t="s">
        <v>12335</v>
      </c>
      <c r="AR66" t="s">
        <v>1544</v>
      </c>
      <c r="AS66" t="s">
        <v>1544</v>
      </c>
      <c r="AT66" t="s">
        <v>1544</v>
      </c>
      <c r="AU66" t="s">
        <v>13405</v>
      </c>
      <c r="AV66" t="s">
        <v>13405</v>
      </c>
      <c r="AW66">
        <v>191</v>
      </c>
      <c r="AX66">
        <v>191</v>
      </c>
      <c r="AY66">
        <v>191</v>
      </c>
      <c r="AZ66" t="s">
        <v>1544</v>
      </c>
      <c r="BA66" t="s">
        <v>13405</v>
      </c>
      <c r="BB66">
        <v>23424843</v>
      </c>
      <c r="BC66">
        <v>23424843</v>
      </c>
      <c r="BD66" t="s">
        <v>12254</v>
      </c>
      <c r="BE66" t="s">
        <v>13405</v>
      </c>
      <c r="BG66" t="s">
        <v>13405</v>
      </c>
      <c r="BH66" t="s">
        <v>13405</v>
      </c>
      <c r="BI66" t="s">
        <v>13405</v>
      </c>
      <c r="BJ66" t="s">
        <v>13405</v>
      </c>
      <c r="BK66" t="s">
        <v>13405</v>
      </c>
      <c r="BL66" t="s">
        <v>13405</v>
      </c>
      <c r="BM66" t="s">
        <v>13405</v>
      </c>
      <c r="BN66" t="s">
        <v>13405</v>
      </c>
      <c r="BO66" t="s">
        <v>13405</v>
      </c>
      <c r="BP66" t="s">
        <v>13405</v>
      </c>
      <c r="BQ66" t="s">
        <v>13405</v>
      </c>
      <c r="BR66" t="s">
        <v>13405</v>
      </c>
      <c r="BS66" t="s">
        <v>13405</v>
      </c>
      <c r="BT66" t="s">
        <v>13405</v>
      </c>
      <c r="BU66" t="s">
        <v>13405</v>
      </c>
      <c r="BV66" t="s">
        <v>13405</v>
      </c>
      <c r="BW66" t="s">
        <v>13405</v>
      </c>
      <c r="BX66" t="s">
        <v>13405</v>
      </c>
      <c r="BY66" t="s">
        <v>13405</v>
      </c>
      <c r="BZ66" t="s">
        <v>13405</v>
      </c>
      <c r="CA66" t="s">
        <v>13405</v>
      </c>
      <c r="CB66" t="s">
        <v>13405</v>
      </c>
      <c r="CC66" t="s">
        <v>13405</v>
      </c>
      <c r="CD66" t="s">
        <v>13405</v>
      </c>
      <c r="CE66" t="s">
        <v>13405</v>
      </c>
      <c r="CF66" t="s">
        <v>13405</v>
      </c>
      <c r="CG66" t="s">
        <v>13405</v>
      </c>
      <c r="CH66" t="s">
        <v>13405</v>
      </c>
      <c r="CI66" t="s">
        <v>13405</v>
      </c>
      <c r="CJ66" t="s">
        <v>13405</v>
      </c>
      <c r="CK66" t="s">
        <v>13405</v>
      </c>
      <c r="CL66" t="s">
        <v>13405</v>
      </c>
      <c r="CM66">
        <v>-99</v>
      </c>
      <c r="CN66">
        <v>-99</v>
      </c>
      <c r="CO66" t="s">
        <v>12279</v>
      </c>
      <c r="CP66" t="s">
        <v>12279</v>
      </c>
      <c r="CQ66" t="s">
        <v>12280</v>
      </c>
      <c r="CR66" t="s">
        <v>12281</v>
      </c>
      <c r="CS66">
        <v>7</v>
      </c>
      <c r="CT66">
        <v>7</v>
      </c>
      <c r="CU66">
        <v>4</v>
      </c>
      <c r="CV66">
        <v>-99</v>
      </c>
      <c r="CW66">
        <v>1</v>
      </c>
      <c r="CX66">
        <v>0</v>
      </c>
      <c r="CY66">
        <v>4</v>
      </c>
      <c r="CZ66">
        <v>9</v>
      </c>
      <c r="DA66">
        <v>16.372409999999999</v>
      </c>
      <c r="DB66">
        <v>45.805799</v>
      </c>
      <c r="DC66">
        <v>1159320833</v>
      </c>
      <c r="DD66" t="s">
        <v>13408</v>
      </c>
      <c r="DE66" t="s">
        <v>13409</v>
      </c>
      <c r="DF66" t="s">
        <v>13410</v>
      </c>
      <c r="DG66" t="s">
        <v>13411</v>
      </c>
      <c r="DH66" t="s">
        <v>41</v>
      </c>
      <c r="DI66" t="s">
        <v>13412</v>
      </c>
      <c r="DJ66" t="s">
        <v>13413</v>
      </c>
      <c r="DK66" t="s">
        <v>13414</v>
      </c>
      <c r="DL66" t="s">
        <v>13415</v>
      </c>
      <c r="DM66" t="s">
        <v>13416</v>
      </c>
      <c r="DN66" t="s">
        <v>13417</v>
      </c>
      <c r="DO66" t="s">
        <v>13418</v>
      </c>
      <c r="DP66" t="s">
        <v>13419</v>
      </c>
      <c r="DQ66" t="s">
        <v>13420</v>
      </c>
      <c r="DR66" t="s">
        <v>13421</v>
      </c>
      <c r="DS66" t="s">
        <v>13422</v>
      </c>
      <c r="DT66" t="s">
        <v>13423</v>
      </c>
      <c r="DU66" t="s">
        <v>13424</v>
      </c>
      <c r="DV66" t="s">
        <v>13425</v>
      </c>
      <c r="DW66" t="s">
        <v>13426</v>
      </c>
      <c r="DX66" t="s">
        <v>13411</v>
      </c>
      <c r="DY66" t="s">
        <v>13427</v>
      </c>
      <c r="DZ66" t="s">
        <v>13428</v>
      </c>
      <c r="EA66" t="s">
        <v>13429</v>
      </c>
      <c r="EB66" t="s">
        <v>41</v>
      </c>
      <c r="EC66" t="s">
        <v>13430</v>
      </c>
      <c r="ED66" t="s">
        <v>13431</v>
      </c>
      <c r="EE66" t="s">
        <v>12247</v>
      </c>
      <c r="EG66" t="s">
        <v>12247</v>
      </c>
    </row>
    <row r="67" spans="1:168" x14ac:dyDescent="0.25">
      <c r="A67" t="s">
        <v>42</v>
      </c>
      <c r="B67" t="s">
        <v>12247</v>
      </c>
      <c r="C67">
        <v>0</v>
      </c>
      <c r="D67">
        <v>3</v>
      </c>
      <c r="E67" t="s">
        <v>42</v>
      </c>
      <c r="F67" t="s">
        <v>14109</v>
      </c>
      <c r="G67">
        <v>1</v>
      </c>
      <c r="H67">
        <v>1</v>
      </c>
      <c r="I67" t="s">
        <v>14110</v>
      </c>
      <c r="J67">
        <v>1</v>
      </c>
      <c r="K67" t="s">
        <v>42</v>
      </c>
      <c r="L67" t="s">
        <v>14111</v>
      </c>
      <c r="M67">
        <v>0</v>
      </c>
      <c r="N67" t="s">
        <v>42</v>
      </c>
      <c r="O67" t="s">
        <v>14111</v>
      </c>
      <c r="P67">
        <v>0</v>
      </c>
      <c r="Q67" t="s">
        <v>42</v>
      </c>
      <c r="R67" t="s">
        <v>14111</v>
      </c>
      <c r="S67">
        <v>0</v>
      </c>
      <c r="T67" t="s">
        <v>42</v>
      </c>
      <c r="U67" t="s">
        <v>14111</v>
      </c>
      <c r="V67" t="s">
        <v>42</v>
      </c>
      <c r="X67" t="s">
        <v>42</v>
      </c>
      <c r="Y67" t="s">
        <v>1396</v>
      </c>
      <c r="Z67" t="s">
        <v>14112</v>
      </c>
      <c r="AB67" t="s">
        <v>42</v>
      </c>
      <c r="AE67" t="s">
        <v>42</v>
      </c>
      <c r="AG67">
        <v>3</v>
      </c>
      <c r="AH67">
        <v>5</v>
      </c>
      <c r="AI67">
        <v>3</v>
      </c>
      <c r="AJ67">
        <v>4</v>
      </c>
      <c r="AK67">
        <v>11333483</v>
      </c>
      <c r="AL67">
        <v>14</v>
      </c>
      <c r="AM67">
        <v>2019</v>
      </c>
      <c r="AN67">
        <v>100023</v>
      </c>
      <c r="AO67">
        <v>2018</v>
      </c>
      <c r="AP67" t="s">
        <v>12435</v>
      </c>
      <c r="AQ67" t="s">
        <v>12305</v>
      </c>
      <c r="AR67" t="s">
        <v>1396</v>
      </c>
      <c r="AS67" t="s">
        <v>1396</v>
      </c>
      <c r="AT67" t="s">
        <v>1396</v>
      </c>
      <c r="AU67" t="s">
        <v>14111</v>
      </c>
      <c r="AV67" t="s">
        <v>14111</v>
      </c>
      <c r="AW67">
        <v>192</v>
      </c>
      <c r="AX67">
        <v>192</v>
      </c>
      <c r="AY67">
        <v>192</v>
      </c>
      <c r="AZ67" t="s">
        <v>1396</v>
      </c>
      <c r="BA67" t="s">
        <v>14111</v>
      </c>
      <c r="BB67">
        <v>23424793</v>
      </c>
      <c r="BC67">
        <v>23424793</v>
      </c>
      <c r="BD67" t="s">
        <v>12254</v>
      </c>
      <c r="BE67" t="s">
        <v>14111</v>
      </c>
      <c r="BG67" t="s">
        <v>14111</v>
      </c>
      <c r="BH67" t="s">
        <v>14111</v>
      </c>
      <c r="BI67" t="s">
        <v>14111</v>
      </c>
      <c r="BJ67" t="s">
        <v>14111</v>
      </c>
      <c r="BK67" t="s">
        <v>14111</v>
      </c>
      <c r="BL67" t="s">
        <v>14111</v>
      </c>
      <c r="BM67" t="s">
        <v>14111</v>
      </c>
      <c r="BN67" t="s">
        <v>14111</v>
      </c>
      <c r="BO67" t="s">
        <v>14111</v>
      </c>
      <c r="BP67" t="s">
        <v>14111</v>
      </c>
      <c r="BQ67" t="s">
        <v>14111</v>
      </c>
      <c r="BR67" t="s">
        <v>14111</v>
      </c>
      <c r="BS67" t="s">
        <v>14111</v>
      </c>
      <c r="BT67" t="s">
        <v>14111</v>
      </c>
      <c r="BU67" t="s">
        <v>14111</v>
      </c>
      <c r="BV67" t="s">
        <v>14111</v>
      </c>
      <c r="BW67" t="s">
        <v>14111</v>
      </c>
      <c r="BX67" t="s">
        <v>14111</v>
      </c>
      <c r="BY67" t="s">
        <v>14111</v>
      </c>
      <c r="BZ67" t="s">
        <v>14111</v>
      </c>
      <c r="CA67" t="s">
        <v>14111</v>
      </c>
      <c r="CB67" t="s">
        <v>14111</v>
      </c>
      <c r="CC67" t="s">
        <v>14111</v>
      </c>
      <c r="CD67" t="s">
        <v>14111</v>
      </c>
      <c r="CE67" t="s">
        <v>14111</v>
      </c>
      <c r="CF67" t="s">
        <v>14111</v>
      </c>
      <c r="CG67" t="s">
        <v>14111</v>
      </c>
      <c r="CH67" t="s">
        <v>14111</v>
      </c>
      <c r="CI67" t="s">
        <v>14111</v>
      </c>
      <c r="CJ67" t="s">
        <v>14111</v>
      </c>
      <c r="CK67" t="s">
        <v>14111</v>
      </c>
      <c r="CL67" t="s">
        <v>14111</v>
      </c>
      <c r="CM67">
        <v>-99</v>
      </c>
      <c r="CN67">
        <v>-99</v>
      </c>
      <c r="CO67" t="s">
        <v>12402</v>
      </c>
      <c r="CP67" t="s">
        <v>12403</v>
      </c>
      <c r="CQ67" t="s">
        <v>12404</v>
      </c>
      <c r="CR67" t="s">
        <v>12405</v>
      </c>
      <c r="CS67">
        <v>4</v>
      </c>
      <c r="CT67">
        <v>4</v>
      </c>
      <c r="CU67">
        <v>4</v>
      </c>
      <c r="CV67">
        <v>-99</v>
      </c>
      <c r="CW67">
        <v>1</v>
      </c>
      <c r="CX67">
        <v>0</v>
      </c>
      <c r="CY67">
        <v>2.7</v>
      </c>
      <c r="CZ67">
        <v>8</v>
      </c>
      <c r="DA67">
        <v>-77.975854999999996</v>
      </c>
      <c r="DB67">
        <v>21.334023999999999</v>
      </c>
      <c r="DC67">
        <v>1159320527</v>
      </c>
      <c r="DD67" t="s">
        <v>14113</v>
      </c>
      <c r="DE67" t="s">
        <v>14114</v>
      </c>
      <c r="DF67" t="s">
        <v>14115</v>
      </c>
      <c r="DG67" t="s">
        <v>14116</v>
      </c>
      <c r="DH67" t="s">
        <v>42</v>
      </c>
      <c r="DI67" t="s">
        <v>42</v>
      </c>
      <c r="DJ67" t="s">
        <v>14117</v>
      </c>
      <c r="DK67" t="s">
        <v>42</v>
      </c>
      <c r="DL67" t="s">
        <v>14118</v>
      </c>
      <c r="DM67" t="s">
        <v>14119</v>
      </c>
      <c r="DN67" t="s">
        <v>14120</v>
      </c>
      <c r="DO67" t="s">
        <v>14116</v>
      </c>
      <c r="DP67" t="s">
        <v>14116</v>
      </c>
      <c r="DQ67" t="s">
        <v>42</v>
      </c>
      <c r="DR67" t="s">
        <v>14121</v>
      </c>
      <c r="DS67" t="s">
        <v>14122</v>
      </c>
      <c r="DT67" t="s">
        <v>42</v>
      </c>
      <c r="DU67" t="s">
        <v>14116</v>
      </c>
      <c r="DV67" t="s">
        <v>42</v>
      </c>
      <c r="DW67" t="s">
        <v>14123</v>
      </c>
      <c r="DX67" t="s">
        <v>14116</v>
      </c>
      <c r="DY67" t="s">
        <v>14124</v>
      </c>
      <c r="DZ67" t="s">
        <v>14123</v>
      </c>
      <c r="EA67" t="s">
        <v>14125</v>
      </c>
      <c r="EB67" t="s">
        <v>42</v>
      </c>
      <c r="EC67" t="s">
        <v>14126</v>
      </c>
      <c r="ED67" t="s">
        <v>14126</v>
      </c>
      <c r="EE67" t="s">
        <v>12247</v>
      </c>
      <c r="EG67" t="s">
        <v>12247</v>
      </c>
    </row>
    <row r="68" spans="1:168" x14ac:dyDescent="0.25">
      <c r="A68" t="s">
        <v>18385</v>
      </c>
      <c r="B68" t="s">
        <v>12247</v>
      </c>
      <c r="C68">
        <v>3</v>
      </c>
      <c r="D68">
        <v>5</v>
      </c>
      <c r="E68" t="s">
        <v>123</v>
      </c>
      <c r="F68" t="s">
        <v>12583</v>
      </c>
      <c r="G68">
        <v>1</v>
      </c>
      <c r="H68">
        <v>2</v>
      </c>
      <c r="I68" t="s">
        <v>12507</v>
      </c>
      <c r="J68">
        <v>1</v>
      </c>
      <c r="K68" t="s">
        <v>14127</v>
      </c>
      <c r="L68" t="s">
        <v>14128</v>
      </c>
      <c r="M68">
        <v>0</v>
      </c>
      <c r="N68" t="s">
        <v>14127</v>
      </c>
      <c r="O68" t="s">
        <v>14128</v>
      </c>
      <c r="P68">
        <v>0</v>
      </c>
      <c r="Q68" t="s">
        <v>14127</v>
      </c>
      <c r="R68" t="s">
        <v>14128</v>
      </c>
      <c r="S68">
        <v>0</v>
      </c>
      <c r="T68" t="s">
        <v>14127</v>
      </c>
      <c r="U68" t="s">
        <v>14128</v>
      </c>
      <c r="V68" t="s">
        <v>14127</v>
      </c>
      <c r="X68" t="s">
        <v>14129</v>
      </c>
      <c r="Y68" t="s">
        <v>1402</v>
      </c>
      <c r="Z68" t="s">
        <v>14127</v>
      </c>
      <c r="AB68" t="s">
        <v>14130</v>
      </c>
      <c r="AC68" t="s">
        <v>12585</v>
      </c>
      <c r="AE68" t="s">
        <v>14127</v>
      </c>
      <c r="AG68">
        <v>4</v>
      </c>
      <c r="AH68">
        <v>2</v>
      </c>
      <c r="AI68">
        <v>2</v>
      </c>
      <c r="AJ68">
        <v>9</v>
      </c>
      <c r="AK68">
        <v>157538</v>
      </c>
      <c r="AL68">
        <v>9</v>
      </c>
      <c r="AM68">
        <v>2019</v>
      </c>
      <c r="AN68">
        <v>3101</v>
      </c>
      <c r="AO68">
        <v>2019</v>
      </c>
      <c r="AP68" t="s">
        <v>12277</v>
      </c>
      <c r="AQ68" t="s">
        <v>12335</v>
      </c>
      <c r="AR68" t="s">
        <v>14131</v>
      </c>
      <c r="AS68" t="s">
        <v>1402</v>
      </c>
      <c r="AT68" t="s">
        <v>1402</v>
      </c>
      <c r="AU68" t="s">
        <v>14128</v>
      </c>
      <c r="AV68" t="s">
        <v>14128</v>
      </c>
      <c r="AW68">
        <v>531</v>
      </c>
      <c r="AX68">
        <v>531</v>
      </c>
      <c r="AY68">
        <v>531</v>
      </c>
      <c r="AZ68" t="s">
        <v>1402</v>
      </c>
      <c r="BA68" t="s">
        <v>14128</v>
      </c>
      <c r="BB68">
        <v>-90</v>
      </c>
      <c r="BC68">
        <v>24549810</v>
      </c>
      <c r="BD68" t="s">
        <v>14132</v>
      </c>
      <c r="BE68" t="s">
        <v>14128</v>
      </c>
      <c r="BG68" t="s">
        <v>14128</v>
      </c>
      <c r="BH68" t="s">
        <v>14128</v>
      </c>
      <c r="BI68" t="s">
        <v>14128</v>
      </c>
      <c r="BJ68" t="s">
        <v>14128</v>
      </c>
      <c r="BK68" t="s">
        <v>14128</v>
      </c>
      <c r="BL68" t="s">
        <v>14128</v>
      </c>
      <c r="BM68" t="s">
        <v>14128</v>
      </c>
      <c r="BN68" t="s">
        <v>14128</v>
      </c>
      <c r="BO68" t="s">
        <v>14128</v>
      </c>
      <c r="BP68" t="s">
        <v>14128</v>
      </c>
      <c r="BQ68" t="s">
        <v>14128</v>
      </c>
      <c r="BR68" t="s">
        <v>14128</v>
      </c>
      <c r="BS68" t="s">
        <v>14128</v>
      </c>
      <c r="BT68" t="s">
        <v>14128</v>
      </c>
      <c r="BU68" t="s">
        <v>14128</v>
      </c>
      <c r="BV68" t="s">
        <v>14128</v>
      </c>
      <c r="BW68" t="s">
        <v>14128</v>
      </c>
      <c r="BX68" t="s">
        <v>14128</v>
      </c>
      <c r="BY68" t="s">
        <v>14128</v>
      </c>
      <c r="BZ68" t="s">
        <v>14128</v>
      </c>
      <c r="CA68" t="s">
        <v>14128</v>
      </c>
      <c r="CB68" t="s">
        <v>14128</v>
      </c>
      <c r="CC68" t="s">
        <v>14128</v>
      </c>
      <c r="CD68" t="s">
        <v>14128</v>
      </c>
      <c r="CE68" t="s">
        <v>14128</v>
      </c>
      <c r="CF68" t="s">
        <v>14128</v>
      </c>
      <c r="CG68" t="s">
        <v>14128</v>
      </c>
      <c r="CH68" t="s">
        <v>14128</v>
      </c>
      <c r="CI68" t="s">
        <v>14128</v>
      </c>
      <c r="CJ68" t="s">
        <v>14128</v>
      </c>
      <c r="CK68" t="s">
        <v>14128</v>
      </c>
      <c r="CL68" t="s">
        <v>14128</v>
      </c>
      <c r="CM68">
        <v>-99</v>
      </c>
      <c r="CN68">
        <v>-99</v>
      </c>
      <c r="CO68" t="s">
        <v>12402</v>
      </c>
      <c r="CP68" t="s">
        <v>12403</v>
      </c>
      <c r="CQ68" t="s">
        <v>12404</v>
      </c>
      <c r="CR68" t="s">
        <v>12405</v>
      </c>
      <c r="CS68">
        <v>7</v>
      </c>
      <c r="CT68">
        <v>7</v>
      </c>
      <c r="CU68">
        <v>4</v>
      </c>
      <c r="CV68">
        <v>4</v>
      </c>
      <c r="CW68">
        <v>-99</v>
      </c>
      <c r="CX68">
        <v>0</v>
      </c>
      <c r="CY68">
        <v>5</v>
      </c>
      <c r="CZ68">
        <v>10</v>
      </c>
      <c r="DA68">
        <v>-68.920578000000006</v>
      </c>
      <c r="DB68">
        <v>12.145039000000001</v>
      </c>
      <c r="DC68">
        <v>1159321099</v>
      </c>
      <c r="DD68" t="s">
        <v>14133</v>
      </c>
      <c r="DE68" t="s">
        <v>14134</v>
      </c>
      <c r="DF68" t="s">
        <v>14135</v>
      </c>
      <c r="DG68" t="s">
        <v>14127</v>
      </c>
      <c r="DH68" t="s">
        <v>14127</v>
      </c>
      <c r="DI68" t="s">
        <v>14136</v>
      </c>
      <c r="DJ68" t="s">
        <v>14137</v>
      </c>
      <c r="DK68" t="s">
        <v>14127</v>
      </c>
      <c r="DL68" t="s">
        <v>14138</v>
      </c>
      <c r="DM68" t="s">
        <v>14139</v>
      </c>
      <c r="DN68" t="s">
        <v>14140</v>
      </c>
      <c r="DO68" t="s">
        <v>14127</v>
      </c>
      <c r="DP68" t="s">
        <v>14127</v>
      </c>
      <c r="DQ68" t="s">
        <v>14127</v>
      </c>
      <c r="DR68" t="s">
        <v>14141</v>
      </c>
      <c r="DS68" t="s">
        <v>14142</v>
      </c>
      <c r="DT68" t="s">
        <v>14127</v>
      </c>
      <c r="DU68" t="s">
        <v>14127</v>
      </c>
      <c r="DV68" t="s">
        <v>14127</v>
      </c>
      <c r="DW68" t="s">
        <v>14143</v>
      </c>
      <c r="DX68" t="s">
        <v>14127</v>
      </c>
      <c r="DY68" t="s">
        <v>14127</v>
      </c>
      <c r="DZ68" t="s">
        <v>14143</v>
      </c>
      <c r="EA68" t="s">
        <v>14144</v>
      </c>
      <c r="EB68" t="s">
        <v>14127</v>
      </c>
      <c r="EC68" t="s">
        <v>14145</v>
      </c>
      <c r="ED68" t="s">
        <v>14146</v>
      </c>
      <c r="EE68" t="s">
        <v>12397</v>
      </c>
      <c r="EG68" t="s">
        <v>12397</v>
      </c>
    </row>
    <row r="69" spans="1:168" x14ac:dyDescent="0.25">
      <c r="A69" t="s">
        <v>43</v>
      </c>
      <c r="B69" t="s">
        <v>12247</v>
      </c>
      <c r="C69">
        <v>1</v>
      </c>
      <c r="D69">
        <v>5</v>
      </c>
      <c r="E69" t="s">
        <v>43</v>
      </c>
      <c r="F69" t="s">
        <v>13493</v>
      </c>
      <c r="G69">
        <v>0</v>
      </c>
      <c r="H69">
        <v>2</v>
      </c>
      <c r="I69" t="s">
        <v>12249</v>
      </c>
      <c r="J69">
        <v>1</v>
      </c>
      <c r="K69" t="s">
        <v>43</v>
      </c>
      <c r="L69" t="s">
        <v>13493</v>
      </c>
      <c r="M69">
        <v>0</v>
      </c>
      <c r="N69" t="s">
        <v>43</v>
      </c>
      <c r="O69" t="s">
        <v>13493</v>
      </c>
      <c r="P69">
        <v>0</v>
      </c>
      <c r="Q69" t="s">
        <v>43</v>
      </c>
      <c r="R69" t="s">
        <v>13493</v>
      </c>
      <c r="S69">
        <v>0</v>
      </c>
      <c r="T69" t="s">
        <v>43</v>
      </c>
      <c r="U69" t="s">
        <v>13493</v>
      </c>
      <c r="V69" t="s">
        <v>43</v>
      </c>
      <c r="X69" t="s">
        <v>13494</v>
      </c>
      <c r="Y69" t="s">
        <v>1408</v>
      </c>
      <c r="Z69" t="s">
        <v>13495</v>
      </c>
      <c r="AB69" t="s">
        <v>43</v>
      </c>
      <c r="AE69" t="s">
        <v>43</v>
      </c>
      <c r="AG69">
        <v>1</v>
      </c>
      <c r="AH69">
        <v>2</v>
      </c>
      <c r="AI69">
        <v>3</v>
      </c>
      <c r="AJ69">
        <v>7</v>
      </c>
      <c r="AK69">
        <v>1198575</v>
      </c>
      <c r="AL69">
        <v>12</v>
      </c>
      <c r="AM69">
        <v>2019</v>
      </c>
      <c r="AN69">
        <v>24948</v>
      </c>
      <c r="AO69">
        <v>2019</v>
      </c>
      <c r="AP69" t="s">
        <v>12277</v>
      </c>
      <c r="AQ69" t="s">
        <v>12335</v>
      </c>
      <c r="AR69" t="s">
        <v>1408</v>
      </c>
      <c r="AS69" t="s">
        <v>1408</v>
      </c>
      <c r="AT69" t="s">
        <v>1408</v>
      </c>
      <c r="AU69" t="s">
        <v>13493</v>
      </c>
      <c r="AV69" t="s">
        <v>13493</v>
      </c>
      <c r="AW69">
        <v>196</v>
      </c>
      <c r="AX69">
        <v>196</v>
      </c>
      <c r="AY69">
        <v>196</v>
      </c>
      <c r="AZ69" t="s">
        <v>1408</v>
      </c>
      <c r="BA69" t="s">
        <v>13493</v>
      </c>
      <c r="BB69">
        <v>-90</v>
      </c>
      <c r="BC69">
        <v>23424994</v>
      </c>
      <c r="BD69" t="s">
        <v>13496</v>
      </c>
      <c r="BE69" t="s">
        <v>13493</v>
      </c>
      <c r="BG69" t="s">
        <v>13493</v>
      </c>
      <c r="BH69" t="s">
        <v>13493</v>
      </c>
      <c r="BI69" t="s">
        <v>13493</v>
      </c>
      <c r="BJ69" t="s">
        <v>13493</v>
      </c>
      <c r="BK69" t="s">
        <v>13493</v>
      </c>
      <c r="BL69" t="s">
        <v>13493</v>
      </c>
      <c r="BM69" t="s">
        <v>13493</v>
      </c>
      <c r="BN69" t="s">
        <v>13493</v>
      </c>
      <c r="BO69" t="s">
        <v>13493</v>
      </c>
      <c r="BP69" t="s">
        <v>13493</v>
      </c>
      <c r="BQ69" t="s">
        <v>13493</v>
      </c>
      <c r="BR69" t="s">
        <v>13493</v>
      </c>
      <c r="BS69" t="s">
        <v>13493</v>
      </c>
      <c r="BT69" t="s">
        <v>13493</v>
      </c>
      <c r="BU69" t="s">
        <v>13493</v>
      </c>
      <c r="BV69" t="s">
        <v>13493</v>
      </c>
      <c r="BW69" t="s">
        <v>13493</v>
      </c>
      <c r="BX69" t="s">
        <v>13493</v>
      </c>
      <c r="BY69" t="s">
        <v>13493</v>
      </c>
      <c r="BZ69" t="s">
        <v>13493</v>
      </c>
      <c r="CA69" t="s">
        <v>13493</v>
      </c>
      <c r="CB69" t="s">
        <v>13493</v>
      </c>
      <c r="CC69" t="s">
        <v>13493</v>
      </c>
      <c r="CD69" t="s">
        <v>13493</v>
      </c>
      <c r="CE69" t="s">
        <v>13493</v>
      </c>
      <c r="CF69" t="s">
        <v>13493</v>
      </c>
      <c r="CG69" t="s">
        <v>13493</v>
      </c>
      <c r="CH69" t="s">
        <v>13493</v>
      </c>
      <c r="CI69" t="s">
        <v>13493</v>
      </c>
      <c r="CJ69" t="s">
        <v>13493</v>
      </c>
      <c r="CK69" t="s">
        <v>13493</v>
      </c>
      <c r="CL69" t="s">
        <v>13493</v>
      </c>
      <c r="CM69">
        <v>-99</v>
      </c>
      <c r="CN69">
        <v>-99</v>
      </c>
      <c r="CO69" t="s">
        <v>12255</v>
      </c>
      <c r="CP69" t="s">
        <v>12255</v>
      </c>
      <c r="CQ69" t="s">
        <v>12458</v>
      </c>
      <c r="CR69" t="s">
        <v>12281</v>
      </c>
      <c r="CS69">
        <v>6</v>
      </c>
      <c r="CT69">
        <v>6</v>
      </c>
      <c r="CU69">
        <v>4</v>
      </c>
      <c r="CV69">
        <v>-99</v>
      </c>
      <c r="CW69">
        <v>1</v>
      </c>
      <c r="CX69">
        <v>0</v>
      </c>
      <c r="CY69">
        <v>4.5</v>
      </c>
      <c r="CZ69">
        <v>9.5</v>
      </c>
      <c r="DA69">
        <v>33.084181999999998</v>
      </c>
      <c r="DB69">
        <v>34.913328999999997</v>
      </c>
      <c r="DC69">
        <v>1159320533</v>
      </c>
      <c r="DD69" t="s">
        <v>13497</v>
      </c>
      <c r="DE69" t="s">
        <v>13498</v>
      </c>
      <c r="DF69" t="s">
        <v>13499</v>
      </c>
      <c r="DG69" t="s">
        <v>13500</v>
      </c>
      <c r="DH69" t="s">
        <v>43</v>
      </c>
      <c r="DI69" t="s">
        <v>13501</v>
      </c>
      <c r="DJ69" t="s">
        <v>13502</v>
      </c>
      <c r="DK69" t="s">
        <v>13503</v>
      </c>
      <c r="DL69" t="s">
        <v>13504</v>
      </c>
      <c r="DM69" t="s">
        <v>13505</v>
      </c>
      <c r="DN69" t="s">
        <v>13506</v>
      </c>
      <c r="DO69" t="s">
        <v>13507</v>
      </c>
      <c r="DP69" t="s">
        <v>13508</v>
      </c>
      <c r="DQ69" t="s">
        <v>13509</v>
      </c>
      <c r="DR69" t="s">
        <v>13510</v>
      </c>
      <c r="DS69" t="s">
        <v>13511</v>
      </c>
      <c r="DT69" t="s">
        <v>43</v>
      </c>
      <c r="DU69" t="s">
        <v>13512</v>
      </c>
      <c r="DV69" t="s">
        <v>13501</v>
      </c>
      <c r="DW69" t="s">
        <v>13513</v>
      </c>
      <c r="DX69" t="s">
        <v>13514</v>
      </c>
      <c r="DY69" t="s">
        <v>13515</v>
      </c>
      <c r="DZ69" t="s">
        <v>13516</v>
      </c>
      <c r="EA69" t="s">
        <v>13498</v>
      </c>
      <c r="EB69" t="s">
        <v>13517</v>
      </c>
      <c r="EC69" t="s">
        <v>13518</v>
      </c>
      <c r="ED69" t="s">
        <v>13519</v>
      </c>
      <c r="EE69" t="s">
        <v>12247</v>
      </c>
      <c r="EG69" t="s">
        <v>12247</v>
      </c>
    </row>
    <row r="70" spans="1:168" x14ac:dyDescent="0.25">
      <c r="A70" t="s">
        <v>13522</v>
      </c>
      <c r="B70" t="s">
        <v>12247</v>
      </c>
      <c r="C70">
        <v>1</v>
      </c>
      <c r="D70">
        <v>9</v>
      </c>
      <c r="E70" t="s">
        <v>13520</v>
      </c>
      <c r="F70" t="s">
        <v>13521</v>
      </c>
      <c r="G70">
        <v>0</v>
      </c>
      <c r="H70">
        <v>2</v>
      </c>
      <c r="I70" t="s">
        <v>12371</v>
      </c>
      <c r="K70" t="s">
        <v>13520</v>
      </c>
      <c r="L70" t="s">
        <v>13521</v>
      </c>
      <c r="M70">
        <v>0</v>
      </c>
      <c r="N70" t="s">
        <v>13520</v>
      </c>
      <c r="O70" t="s">
        <v>13521</v>
      </c>
      <c r="P70">
        <v>0</v>
      </c>
      <c r="Q70" t="s">
        <v>13520</v>
      </c>
      <c r="R70" t="s">
        <v>13521</v>
      </c>
      <c r="S70">
        <v>1</v>
      </c>
      <c r="T70" t="s">
        <v>13522</v>
      </c>
      <c r="U70" t="s">
        <v>13523</v>
      </c>
      <c r="V70" t="s">
        <v>13522</v>
      </c>
      <c r="Z70" t="s">
        <v>13524</v>
      </c>
      <c r="AE70" t="s">
        <v>13520</v>
      </c>
      <c r="AG70">
        <v>4</v>
      </c>
      <c r="AH70">
        <v>1</v>
      </c>
      <c r="AI70">
        <v>1</v>
      </c>
      <c r="AJ70">
        <v>-99</v>
      </c>
      <c r="AK70">
        <v>10000</v>
      </c>
      <c r="AL70">
        <v>6</v>
      </c>
      <c r="AM70">
        <v>2019</v>
      </c>
      <c r="AN70">
        <v>280</v>
      </c>
      <c r="AO70">
        <v>2013</v>
      </c>
      <c r="AP70" t="s">
        <v>12277</v>
      </c>
      <c r="AQ70" t="s">
        <v>12335</v>
      </c>
      <c r="AR70">
        <v>-99</v>
      </c>
      <c r="AS70">
        <v>-99</v>
      </c>
      <c r="AT70">
        <v>-99</v>
      </c>
      <c r="AU70">
        <v>-99</v>
      </c>
      <c r="AV70">
        <v>-99</v>
      </c>
      <c r="AW70">
        <v>-99</v>
      </c>
      <c r="AX70">
        <v>-99</v>
      </c>
      <c r="AY70">
        <v>-99</v>
      </c>
      <c r="AZ70">
        <v>-99</v>
      </c>
      <c r="BA70">
        <v>-99</v>
      </c>
      <c r="BB70">
        <v>-99</v>
      </c>
      <c r="BC70">
        <v>-99</v>
      </c>
      <c r="BD70" t="s">
        <v>12488</v>
      </c>
      <c r="BE70" t="s">
        <v>13493</v>
      </c>
      <c r="BG70" t="s">
        <v>13493</v>
      </c>
      <c r="BH70" t="s">
        <v>13493</v>
      </c>
      <c r="BI70" t="s">
        <v>13493</v>
      </c>
      <c r="BJ70" t="s">
        <v>13493</v>
      </c>
      <c r="BK70" t="s">
        <v>13493</v>
      </c>
      <c r="BL70" t="s">
        <v>13493</v>
      </c>
      <c r="BM70" t="s">
        <v>13493</v>
      </c>
      <c r="BN70" t="s">
        <v>13493</v>
      </c>
      <c r="BO70" t="s">
        <v>13493</v>
      </c>
      <c r="BP70" t="s">
        <v>13493</v>
      </c>
      <c r="BQ70" t="s">
        <v>13493</v>
      </c>
      <c r="BR70" t="s">
        <v>13493</v>
      </c>
      <c r="BS70" t="s">
        <v>13493</v>
      </c>
      <c r="BT70" t="s">
        <v>13493</v>
      </c>
      <c r="BU70" t="s">
        <v>13493</v>
      </c>
      <c r="BV70" t="s">
        <v>13493</v>
      </c>
      <c r="BW70" t="s">
        <v>13493</v>
      </c>
      <c r="BX70" t="s">
        <v>13493</v>
      </c>
      <c r="BY70" t="s">
        <v>13493</v>
      </c>
      <c r="BZ70" t="s">
        <v>13493</v>
      </c>
      <c r="CA70" t="s">
        <v>13493</v>
      </c>
      <c r="CB70" t="s">
        <v>13493</v>
      </c>
      <c r="CC70" t="s">
        <v>13493</v>
      </c>
      <c r="CD70" t="s">
        <v>13493</v>
      </c>
      <c r="CE70" t="s">
        <v>13493</v>
      </c>
      <c r="CF70" t="s">
        <v>13493</v>
      </c>
      <c r="CG70" t="s">
        <v>13493</v>
      </c>
      <c r="CH70" t="s">
        <v>13493</v>
      </c>
      <c r="CI70" t="s">
        <v>13493</v>
      </c>
      <c r="CJ70" t="s">
        <v>13493</v>
      </c>
      <c r="CK70" t="s">
        <v>13493</v>
      </c>
      <c r="CL70" t="s">
        <v>13493</v>
      </c>
      <c r="CM70">
        <v>-99</v>
      </c>
      <c r="CN70">
        <v>-99</v>
      </c>
      <c r="CO70" t="s">
        <v>12255</v>
      </c>
      <c r="CP70" t="s">
        <v>12255</v>
      </c>
      <c r="CQ70" t="s">
        <v>12458</v>
      </c>
      <c r="CR70" t="s">
        <v>12281</v>
      </c>
      <c r="CS70">
        <v>23</v>
      </c>
      <c r="CT70">
        <v>23</v>
      </c>
      <c r="CU70">
        <v>0</v>
      </c>
      <c r="CV70">
        <v>-99</v>
      </c>
      <c r="CW70">
        <v>1</v>
      </c>
      <c r="CX70">
        <v>7</v>
      </c>
      <c r="CY70">
        <v>7.7</v>
      </c>
      <c r="CZ70">
        <v>11</v>
      </c>
      <c r="DA70">
        <v>33.288133999999999</v>
      </c>
      <c r="DB70">
        <v>35.140712999999998</v>
      </c>
      <c r="DC70">
        <v>1159320511</v>
      </c>
      <c r="DD70" t="s">
        <v>13525</v>
      </c>
      <c r="DE70" t="s">
        <v>13526</v>
      </c>
      <c r="DF70" t="s">
        <v>13527</v>
      </c>
      <c r="DG70" t="s">
        <v>13528</v>
      </c>
      <c r="DH70" t="s">
        <v>13529</v>
      </c>
      <c r="DI70" t="s">
        <v>13530</v>
      </c>
      <c r="DJ70" t="s">
        <v>13531</v>
      </c>
      <c r="DK70" t="s">
        <v>13532</v>
      </c>
      <c r="DL70" t="s">
        <v>13533</v>
      </c>
      <c r="DM70" t="s">
        <v>13534</v>
      </c>
      <c r="DN70" t="s">
        <v>13535</v>
      </c>
      <c r="DO70" t="s">
        <v>13536</v>
      </c>
      <c r="DP70" t="s">
        <v>13537</v>
      </c>
      <c r="DQ70" t="s">
        <v>13538</v>
      </c>
      <c r="DR70" t="s">
        <v>13539</v>
      </c>
      <c r="DS70" t="s">
        <v>13540</v>
      </c>
      <c r="DT70" t="s">
        <v>13541</v>
      </c>
      <c r="DU70" t="s">
        <v>13542</v>
      </c>
      <c r="DV70" t="s">
        <v>13543</v>
      </c>
      <c r="DW70" t="s">
        <v>13544</v>
      </c>
      <c r="DX70" t="s">
        <v>13545</v>
      </c>
      <c r="DY70" t="s">
        <v>13546</v>
      </c>
      <c r="DZ70" t="s">
        <v>13547</v>
      </c>
      <c r="EA70" t="s">
        <v>13548</v>
      </c>
      <c r="EB70" t="s">
        <v>13549</v>
      </c>
      <c r="EC70" t="s">
        <v>13550</v>
      </c>
      <c r="ED70" t="s">
        <v>13551</v>
      </c>
      <c r="EE70" t="s">
        <v>12505</v>
      </c>
      <c r="EG70" t="s">
        <v>12505</v>
      </c>
      <c r="EI70" t="s">
        <v>12505</v>
      </c>
      <c r="EJ70" t="s">
        <v>12505</v>
      </c>
      <c r="EK70" t="s">
        <v>12505</v>
      </c>
      <c r="EL70" t="s">
        <v>12505</v>
      </c>
      <c r="EM70" t="s">
        <v>12505</v>
      </c>
      <c r="EN70" t="s">
        <v>12505</v>
      </c>
      <c r="EO70" t="s">
        <v>12505</v>
      </c>
      <c r="EP70" t="s">
        <v>12505</v>
      </c>
      <c r="EQ70" t="s">
        <v>12505</v>
      </c>
      <c r="ER70" t="s">
        <v>12505</v>
      </c>
      <c r="ES70" t="s">
        <v>12505</v>
      </c>
      <c r="ET70" t="s">
        <v>12505</v>
      </c>
      <c r="EU70" t="s">
        <v>12505</v>
      </c>
      <c r="EV70" t="s">
        <v>12505</v>
      </c>
      <c r="EW70" t="s">
        <v>12505</v>
      </c>
      <c r="EX70" t="s">
        <v>12505</v>
      </c>
      <c r="EY70" t="s">
        <v>12505</v>
      </c>
      <c r="EZ70" t="s">
        <v>12505</v>
      </c>
      <c r="FA70" t="s">
        <v>12505</v>
      </c>
      <c r="FB70" t="s">
        <v>12505</v>
      </c>
      <c r="FC70" t="s">
        <v>12505</v>
      </c>
      <c r="FD70" t="s">
        <v>12505</v>
      </c>
      <c r="FE70" t="s">
        <v>12505</v>
      </c>
      <c r="FF70" t="s">
        <v>12505</v>
      </c>
      <c r="FG70" t="s">
        <v>12505</v>
      </c>
      <c r="FH70" t="s">
        <v>12505</v>
      </c>
      <c r="FI70" t="s">
        <v>12505</v>
      </c>
      <c r="FJ70" t="s">
        <v>12505</v>
      </c>
      <c r="FK70" t="s">
        <v>12505</v>
      </c>
      <c r="FL70" t="s">
        <v>12505</v>
      </c>
    </row>
    <row r="71" spans="1:168" x14ac:dyDescent="0.25">
      <c r="A71" t="s">
        <v>2146</v>
      </c>
      <c r="B71" t="s">
        <v>12247</v>
      </c>
      <c r="C71">
        <v>0</v>
      </c>
      <c r="D71">
        <v>5</v>
      </c>
      <c r="E71" t="s">
        <v>2146</v>
      </c>
      <c r="F71" t="s">
        <v>13552</v>
      </c>
      <c r="G71">
        <v>0</v>
      </c>
      <c r="H71">
        <v>2</v>
      </c>
      <c r="I71" t="s">
        <v>12249</v>
      </c>
      <c r="J71">
        <v>1</v>
      </c>
      <c r="K71" t="s">
        <v>2146</v>
      </c>
      <c r="L71" t="s">
        <v>13552</v>
      </c>
      <c r="M71">
        <v>0</v>
      </c>
      <c r="N71" t="s">
        <v>2146</v>
      </c>
      <c r="O71" t="s">
        <v>13552</v>
      </c>
      <c r="P71">
        <v>0</v>
      </c>
      <c r="Q71" t="s">
        <v>2146</v>
      </c>
      <c r="R71" t="s">
        <v>13552</v>
      </c>
      <c r="S71">
        <v>0</v>
      </c>
      <c r="T71" t="s">
        <v>44</v>
      </c>
      <c r="U71" t="s">
        <v>13552</v>
      </c>
      <c r="V71" t="s">
        <v>2146</v>
      </c>
      <c r="X71" t="s">
        <v>13553</v>
      </c>
      <c r="Y71" t="s">
        <v>1411</v>
      </c>
      <c r="Z71" t="s">
        <v>44</v>
      </c>
      <c r="AA71" t="s">
        <v>13554</v>
      </c>
      <c r="AB71" t="s">
        <v>2146</v>
      </c>
      <c r="AE71" t="s">
        <v>2146</v>
      </c>
      <c r="AF71" t="s">
        <v>13555</v>
      </c>
      <c r="AG71">
        <v>1</v>
      </c>
      <c r="AH71">
        <v>1</v>
      </c>
      <c r="AI71">
        <v>2</v>
      </c>
      <c r="AJ71">
        <v>6</v>
      </c>
      <c r="AK71">
        <v>10669709</v>
      </c>
      <c r="AL71">
        <v>14</v>
      </c>
      <c r="AM71">
        <v>2019</v>
      </c>
      <c r="AN71">
        <v>250680</v>
      </c>
      <c r="AO71">
        <v>2019</v>
      </c>
      <c r="AP71" t="s">
        <v>12334</v>
      </c>
      <c r="AQ71" t="s">
        <v>12513</v>
      </c>
      <c r="AR71" t="s">
        <v>13556</v>
      </c>
      <c r="AS71" t="s">
        <v>1411</v>
      </c>
      <c r="AT71" t="s">
        <v>1411</v>
      </c>
      <c r="AU71" t="s">
        <v>13552</v>
      </c>
      <c r="AV71" t="s">
        <v>13552</v>
      </c>
      <c r="AW71">
        <v>203</v>
      </c>
      <c r="AX71">
        <v>203</v>
      </c>
      <c r="AY71">
        <v>203</v>
      </c>
      <c r="AZ71" t="s">
        <v>1411</v>
      </c>
      <c r="BA71" t="s">
        <v>13552</v>
      </c>
      <c r="BB71">
        <v>23424810</v>
      </c>
      <c r="BC71">
        <v>23424810</v>
      </c>
      <c r="BD71" t="s">
        <v>12254</v>
      </c>
      <c r="BE71" t="s">
        <v>13552</v>
      </c>
      <c r="BG71" t="s">
        <v>13552</v>
      </c>
      <c r="BH71" t="s">
        <v>13552</v>
      </c>
      <c r="BI71" t="s">
        <v>13552</v>
      </c>
      <c r="BJ71" t="s">
        <v>13552</v>
      </c>
      <c r="BK71" t="s">
        <v>13552</v>
      </c>
      <c r="BL71" t="s">
        <v>13552</v>
      </c>
      <c r="BM71" t="s">
        <v>13552</v>
      </c>
      <c r="BN71" t="s">
        <v>13552</v>
      </c>
      <c r="BO71" t="s">
        <v>13552</v>
      </c>
      <c r="BP71" t="s">
        <v>13552</v>
      </c>
      <c r="BQ71" t="s">
        <v>13552</v>
      </c>
      <c r="BR71" t="s">
        <v>13552</v>
      </c>
      <c r="BS71" t="s">
        <v>13552</v>
      </c>
      <c r="BT71" t="s">
        <v>13552</v>
      </c>
      <c r="BU71" t="s">
        <v>13552</v>
      </c>
      <c r="BV71" t="s">
        <v>13552</v>
      </c>
      <c r="BW71" t="s">
        <v>13552</v>
      </c>
      <c r="BX71" t="s">
        <v>13552</v>
      </c>
      <c r="BY71" t="s">
        <v>13552</v>
      </c>
      <c r="BZ71" t="s">
        <v>13552</v>
      </c>
      <c r="CA71" t="s">
        <v>13552</v>
      </c>
      <c r="CB71" t="s">
        <v>13552</v>
      </c>
      <c r="CC71" t="s">
        <v>13552</v>
      </c>
      <c r="CD71" t="s">
        <v>13552</v>
      </c>
      <c r="CE71" t="s">
        <v>13552</v>
      </c>
      <c r="CF71" t="s">
        <v>13552</v>
      </c>
      <c r="CG71" t="s">
        <v>13552</v>
      </c>
      <c r="CH71" t="s">
        <v>13552</v>
      </c>
      <c r="CI71" t="s">
        <v>13552</v>
      </c>
      <c r="CJ71" t="s">
        <v>13552</v>
      </c>
      <c r="CK71" t="s">
        <v>13552</v>
      </c>
      <c r="CL71" t="s">
        <v>13552</v>
      </c>
      <c r="CM71">
        <v>-99</v>
      </c>
      <c r="CN71">
        <v>-99</v>
      </c>
      <c r="CO71" t="s">
        <v>12279</v>
      </c>
      <c r="CP71" t="s">
        <v>12279</v>
      </c>
      <c r="CQ71" t="s">
        <v>12779</v>
      </c>
      <c r="CR71" t="s">
        <v>12281</v>
      </c>
      <c r="CS71">
        <v>7</v>
      </c>
      <c r="CT71">
        <v>14</v>
      </c>
      <c r="CU71">
        <v>3</v>
      </c>
      <c r="CV71">
        <v>-99</v>
      </c>
      <c r="CW71">
        <v>1</v>
      </c>
      <c r="CX71">
        <v>0</v>
      </c>
      <c r="CY71">
        <v>4</v>
      </c>
      <c r="CZ71">
        <v>9</v>
      </c>
      <c r="DA71">
        <v>15.377554999999999</v>
      </c>
      <c r="DB71">
        <v>49.882364000000003</v>
      </c>
      <c r="DC71">
        <v>1159320535</v>
      </c>
      <c r="DD71" t="s">
        <v>13557</v>
      </c>
      <c r="DE71" t="s">
        <v>13558</v>
      </c>
      <c r="DF71" t="s">
        <v>13559</v>
      </c>
      <c r="DG71" t="s">
        <v>13560</v>
      </c>
      <c r="DH71" t="s">
        <v>44</v>
      </c>
      <c r="DI71" t="s">
        <v>13561</v>
      </c>
      <c r="DJ71" t="s">
        <v>13562</v>
      </c>
      <c r="DK71" t="s">
        <v>13563</v>
      </c>
      <c r="DL71" t="s">
        <v>13564</v>
      </c>
      <c r="DM71" t="s">
        <v>13565</v>
      </c>
      <c r="DN71" t="s">
        <v>13566</v>
      </c>
      <c r="DO71" t="s">
        <v>13567</v>
      </c>
      <c r="DP71" t="s">
        <v>13568</v>
      </c>
      <c r="DQ71" t="s">
        <v>13569</v>
      </c>
      <c r="DR71" t="s">
        <v>13570</v>
      </c>
      <c r="DS71" t="s">
        <v>13571</v>
      </c>
      <c r="DT71" t="s">
        <v>13572</v>
      </c>
      <c r="DU71" t="s">
        <v>13573</v>
      </c>
      <c r="DV71" t="s">
        <v>13574</v>
      </c>
      <c r="DW71" t="s">
        <v>13575</v>
      </c>
      <c r="DX71" t="s">
        <v>13576</v>
      </c>
      <c r="DY71" t="s">
        <v>13577</v>
      </c>
      <c r="DZ71" t="s">
        <v>13578</v>
      </c>
      <c r="EA71" t="s">
        <v>13579</v>
      </c>
      <c r="EB71" t="s">
        <v>13580</v>
      </c>
      <c r="EC71" t="s">
        <v>13581</v>
      </c>
      <c r="ED71" t="s">
        <v>13582</v>
      </c>
      <c r="EE71" t="s">
        <v>12247</v>
      </c>
      <c r="EG71" t="s">
        <v>12247</v>
      </c>
    </row>
    <row r="72" spans="1:168" x14ac:dyDescent="0.25">
      <c r="A72" t="s">
        <v>13583</v>
      </c>
      <c r="B72" t="s">
        <v>12247</v>
      </c>
      <c r="C72">
        <v>0</v>
      </c>
      <c r="D72">
        <v>2</v>
      </c>
      <c r="E72" t="s">
        <v>13583</v>
      </c>
      <c r="F72" t="s">
        <v>13584</v>
      </c>
      <c r="G72">
        <v>0</v>
      </c>
      <c r="H72">
        <v>2</v>
      </c>
      <c r="I72" t="s">
        <v>12249</v>
      </c>
      <c r="J72">
        <v>1</v>
      </c>
      <c r="K72" t="s">
        <v>13583</v>
      </c>
      <c r="L72" t="s">
        <v>13584</v>
      </c>
      <c r="M72">
        <v>0</v>
      </c>
      <c r="N72" t="s">
        <v>13583</v>
      </c>
      <c r="O72" t="s">
        <v>13584</v>
      </c>
      <c r="P72">
        <v>0</v>
      </c>
      <c r="Q72" t="s">
        <v>13583</v>
      </c>
      <c r="R72" t="s">
        <v>13584</v>
      </c>
      <c r="S72">
        <v>0</v>
      </c>
      <c r="T72" t="s">
        <v>13583</v>
      </c>
      <c r="U72" t="s">
        <v>13584</v>
      </c>
      <c r="V72" t="s">
        <v>13583</v>
      </c>
      <c r="X72" t="s">
        <v>13585</v>
      </c>
      <c r="Y72" t="s">
        <v>13586</v>
      </c>
      <c r="Z72" t="s">
        <v>13583</v>
      </c>
      <c r="AB72" t="s">
        <v>13587</v>
      </c>
      <c r="AE72" t="s">
        <v>13588</v>
      </c>
      <c r="AG72">
        <v>4</v>
      </c>
      <c r="AH72">
        <v>4</v>
      </c>
      <c r="AI72">
        <v>4</v>
      </c>
      <c r="AJ72">
        <v>7</v>
      </c>
      <c r="AK72">
        <v>86790567</v>
      </c>
      <c r="AL72">
        <v>16</v>
      </c>
      <c r="AM72">
        <v>2019</v>
      </c>
      <c r="AN72">
        <v>50400</v>
      </c>
      <c r="AO72">
        <v>2019</v>
      </c>
      <c r="AP72" t="s">
        <v>12252</v>
      </c>
      <c r="AQ72" t="s">
        <v>12253</v>
      </c>
      <c r="AR72" t="s">
        <v>1368</v>
      </c>
      <c r="AS72" t="s">
        <v>1362</v>
      </c>
      <c r="AT72" t="s">
        <v>1362</v>
      </c>
      <c r="AU72" t="s">
        <v>13584</v>
      </c>
      <c r="AV72" t="s">
        <v>13584</v>
      </c>
      <c r="AW72">
        <v>180</v>
      </c>
      <c r="AX72">
        <v>180</v>
      </c>
      <c r="AY72">
        <v>180</v>
      </c>
      <c r="AZ72" t="s">
        <v>13589</v>
      </c>
      <c r="BA72" t="s">
        <v>13590</v>
      </c>
      <c r="BB72">
        <v>23424780</v>
      </c>
      <c r="BC72">
        <v>23424780</v>
      </c>
      <c r="BD72" t="s">
        <v>12254</v>
      </c>
      <c r="BE72" t="s">
        <v>13584</v>
      </c>
      <c r="BG72" t="s">
        <v>13584</v>
      </c>
      <c r="BH72" t="s">
        <v>13584</v>
      </c>
      <c r="BI72" t="s">
        <v>13584</v>
      </c>
      <c r="BJ72" t="s">
        <v>13584</v>
      </c>
      <c r="BK72" t="s">
        <v>13584</v>
      </c>
      <c r="BL72" t="s">
        <v>13584</v>
      </c>
      <c r="BM72" t="s">
        <v>13584</v>
      </c>
      <c r="BN72" t="s">
        <v>13584</v>
      </c>
      <c r="BO72" t="s">
        <v>13584</v>
      </c>
      <c r="BP72" t="s">
        <v>13584</v>
      </c>
      <c r="BQ72" t="s">
        <v>13584</v>
      </c>
      <c r="BR72" t="s">
        <v>13584</v>
      </c>
      <c r="BS72" t="s">
        <v>13584</v>
      </c>
      <c r="BT72" t="s">
        <v>13584</v>
      </c>
      <c r="BU72" t="s">
        <v>13584</v>
      </c>
      <c r="BV72" t="s">
        <v>13584</v>
      </c>
      <c r="BW72" t="s">
        <v>13584</v>
      </c>
      <c r="BX72" t="s">
        <v>13584</v>
      </c>
      <c r="BY72" t="s">
        <v>13584</v>
      </c>
      <c r="BZ72" t="s">
        <v>13584</v>
      </c>
      <c r="CA72" t="s">
        <v>13584</v>
      </c>
      <c r="CB72" t="s">
        <v>13584</v>
      </c>
      <c r="CC72" t="s">
        <v>13584</v>
      </c>
      <c r="CD72" t="s">
        <v>13584</v>
      </c>
      <c r="CE72" t="s">
        <v>13584</v>
      </c>
      <c r="CF72" t="s">
        <v>13584</v>
      </c>
      <c r="CG72" t="s">
        <v>13584</v>
      </c>
      <c r="CH72" t="s">
        <v>13584</v>
      </c>
      <c r="CI72" t="s">
        <v>13584</v>
      </c>
      <c r="CJ72" t="s">
        <v>13584</v>
      </c>
      <c r="CK72" t="s">
        <v>13584</v>
      </c>
      <c r="CL72" t="s">
        <v>13584</v>
      </c>
      <c r="CM72">
        <v>-99</v>
      </c>
      <c r="CN72">
        <v>-99</v>
      </c>
      <c r="CO72" t="s">
        <v>12306</v>
      </c>
      <c r="CP72" t="s">
        <v>12306</v>
      </c>
      <c r="CQ72" t="s">
        <v>12356</v>
      </c>
      <c r="CR72" t="s">
        <v>12357</v>
      </c>
      <c r="CS72">
        <v>15</v>
      </c>
      <c r="CT72">
        <v>32</v>
      </c>
      <c r="CU72">
        <v>6</v>
      </c>
      <c r="CV72">
        <v>-99</v>
      </c>
      <c r="CW72">
        <v>1</v>
      </c>
      <c r="CX72">
        <v>0</v>
      </c>
      <c r="CY72">
        <v>2</v>
      </c>
      <c r="CZ72">
        <v>7</v>
      </c>
      <c r="DA72">
        <v>23.458829000000001</v>
      </c>
      <c r="DB72">
        <v>-1.8581669999999999</v>
      </c>
      <c r="DC72">
        <v>1159320513</v>
      </c>
      <c r="DD72" t="s">
        <v>13591</v>
      </c>
      <c r="DE72" t="s">
        <v>13592</v>
      </c>
      <c r="DF72" t="s">
        <v>13593</v>
      </c>
      <c r="DG72" t="s">
        <v>13594</v>
      </c>
      <c r="DH72" t="s">
        <v>13583</v>
      </c>
      <c r="DI72" t="s">
        <v>13595</v>
      </c>
      <c r="DJ72" t="s">
        <v>13596</v>
      </c>
      <c r="DK72" t="s">
        <v>13597</v>
      </c>
      <c r="DL72" t="s">
        <v>13598</v>
      </c>
      <c r="DM72" t="s">
        <v>13599</v>
      </c>
      <c r="DN72" t="s">
        <v>13600</v>
      </c>
      <c r="DO72" t="s">
        <v>13601</v>
      </c>
      <c r="DP72" t="s">
        <v>13602</v>
      </c>
      <c r="DQ72" t="s">
        <v>13603</v>
      </c>
      <c r="DR72" t="s">
        <v>13604</v>
      </c>
      <c r="DS72" t="s">
        <v>13605</v>
      </c>
      <c r="DT72" t="s">
        <v>13606</v>
      </c>
      <c r="DU72" t="s">
        <v>13607</v>
      </c>
      <c r="DV72" t="s">
        <v>13608</v>
      </c>
      <c r="DW72" t="s">
        <v>13609</v>
      </c>
      <c r="DX72" t="s">
        <v>13610</v>
      </c>
      <c r="DY72" t="s">
        <v>13611</v>
      </c>
      <c r="DZ72" t="s">
        <v>13612</v>
      </c>
      <c r="EA72" t="s">
        <v>13613</v>
      </c>
      <c r="EB72" t="s">
        <v>13614</v>
      </c>
      <c r="EC72" t="s">
        <v>13615</v>
      </c>
      <c r="ED72" t="s">
        <v>13616</v>
      </c>
      <c r="EE72" t="s">
        <v>12247</v>
      </c>
      <c r="EG72" t="s">
        <v>12247</v>
      </c>
    </row>
    <row r="73" spans="1:168" x14ac:dyDescent="0.25">
      <c r="A73" t="s">
        <v>45</v>
      </c>
      <c r="B73" t="s">
        <v>12247</v>
      </c>
      <c r="C73">
        <v>0</v>
      </c>
      <c r="D73">
        <v>4</v>
      </c>
      <c r="E73" t="s">
        <v>45</v>
      </c>
      <c r="F73" t="s">
        <v>14147</v>
      </c>
      <c r="G73">
        <v>1</v>
      </c>
      <c r="H73">
        <v>2</v>
      </c>
      <c r="I73" t="s">
        <v>12507</v>
      </c>
      <c r="J73">
        <v>1</v>
      </c>
      <c r="K73" t="s">
        <v>45</v>
      </c>
      <c r="L73" t="s">
        <v>14148</v>
      </c>
      <c r="M73">
        <v>0</v>
      </c>
      <c r="N73" t="s">
        <v>45</v>
      </c>
      <c r="O73" t="s">
        <v>14148</v>
      </c>
      <c r="P73">
        <v>0</v>
      </c>
      <c r="Q73" t="s">
        <v>45</v>
      </c>
      <c r="R73" t="s">
        <v>14148</v>
      </c>
      <c r="S73">
        <v>0</v>
      </c>
      <c r="T73" t="s">
        <v>45</v>
      </c>
      <c r="U73" t="s">
        <v>14148</v>
      </c>
      <c r="V73" t="s">
        <v>45</v>
      </c>
      <c r="X73" t="s">
        <v>14149</v>
      </c>
      <c r="Y73" t="s">
        <v>1419</v>
      </c>
      <c r="Z73" t="s">
        <v>14150</v>
      </c>
      <c r="AB73" t="s">
        <v>45</v>
      </c>
      <c r="AE73" t="s">
        <v>45</v>
      </c>
      <c r="AG73">
        <v>4</v>
      </c>
      <c r="AH73">
        <v>1</v>
      </c>
      <c r="AI73">
        <v>3</v>
      </c>
      <c r="AJ73">
        <v>12</v>
      </c>
      <c r="AK73">
        <v>5818553</v>
      </c>
      <c r="AL73">
        <v>13</v>
      </c>
      <c r="AM73">
        <v>2019</v>
      </c>
      <c r="AN73">
        <v>350104</v>
      </c>
      <c r="AO73">
        <v>2019</v>
      </c>
      <c r="AP73" t="s">
        <v>12334</v>
      </c>
      <c r="AQ73" t="s">
        <v>12513</v>
      </c>
      <c r="AR73" t="s">
        <v>14151</v>
      </c>
      <c r="AS73" t="s">
        <v>1419</v>
      </c>
      <c r="AT73" t="s">
        <v>1419</v>
      </c>
      <c r="AU73" t="s">
        <v>14148</v>
      </c>
      <c r="AV73" t="s">
        <v>14148</v>
      </c>
      <c r="AW73">
        <v>208</v>
      </c>
      <c r="AX73">
        <v>208</v>
      </c>
      <c r="AY73">
        <v>208</v>
      </c>
      <c r="AZ73" t="s">
        <v>1419</v>
      </c>
      <c r="BA73" t="s">
        <v>14148</v>
      </c>
      <c r="BB73">
        <v>23424796</v>
      </c>
      <c r="BC73">
        <v>23424796</v>
      </c>
      <c r="BD73" t="s">
        <v>12254</v>
      </c>
      <c r="BE73" t="s">
        <v>14148</v>
      </c>
      <c r="BG73" t="s">
        <v>14148</v>
      </c>
      <c r="BH73" t="s">
        <v>14148</v>
      </c>
      <c r="BI73" t="s">
        <v>14148</v>
      </c>
      <c r="BJ73" t="s">
        <v>14148</v>
      </c>
      <c r="BK73" t="s">
        <v>14148</v>
      </c>
      <c r="BL73" t="s">
        <v>14148</v>
      </c>
      <c r="BM73" t="s">
        <v>14148</v>
      </c>
      <c r="BN73" t="s">
        <v>14148</v>
      </c>
      <c r="BO73" t="s">
        <v>14148</v>
      </c>
      <c r="BP73" t="s">
        <v>14148</v>
      </c>
      <c r="BQ73" t="s">
        <v>14148</v>
      </c>
      <c r="BR73" t="s">
        <v>14148</v>
      </c>
      <c r="BS73" t="s">
        <v>14148</v>
      </c>
      <c r="BT73" t="s">
        <v>14148</v>
      </c>
      <c r="BU73" t="s">
        <v>14148</v>
      </c>
      <c r="BV73" t="s">
        <v>14148</v>
      </c>
      <c r="BW73" t="s">
        <v>14148</v>
      </c>
      <c r="BX73" t="s">
        <v>14148</v>
      </c>
      <c r="BY73" t="s">
        <v>14148</v>
      </c>
      <c r="BZ73" t="s">
        <v>14148</v>
      </c>
      <c r="CA73" t="s">
        <v>14148</v>
      </c>
      <c r="CB73" t="s">
        <v>14148</v>
      </c>
      <c r="CC73" t="s">
        <v>14148</v>
      </c>
      <c r="CD73" t="s">
        <v>14148</v>
      </c>
      <c r="CE73" t="s">
        <v>14148</v>
      </c>
      <c r="CF73" t="s">
        <v>14148</v>
      </c>
      <c r="CG73" t="s">
        <v>14148</v>
      </c>
      <c r="CH73" t="s">
        <v>14148</v>
      </c>
      <c r="CI73" t="s">
        <v>14148</v>
      </c>
      <c r="CJ73" t="s">
        <v>14148</v>
      </c>
      <c r="CK73" t="s">
        <v>14148</v>
      </c>
      <c r="CL73" t="s">
        <v>14148</v>
      </c>
      <c r="CM73">
        <v>-99</v>
      </c>
      <c r="CN73">
        <v>-99</v>
      </c>
      <c r="CO73" t="s">
        <v>12279</v>
      </c>
      <c r="CP73" t="s">
        <v>12279</v>
      </c>
      <c r="CQ73" t="s">
        <v>12515</v>
      </c>
      <c r="CR73" t="s">
        <v>12281</v>
      </c>
      <c r="CS73">
        <v>7</v>
      </c>
      <c r="CT73">
        <v>7</v>
      </c>
      <c r="CU73">
        <v>4</v>
      </c>
      <c r="CV73">
        <v>-99</v>
      </c>
      <c r="CW73">
        <v>1</v>
      </c>
      <c r="CX73">
        <v>0</v>
      </c>
      <c r="CY73">
        <v>3</v>
      </c>
      <c r="CZ73">
        <v>8</v>
      </c>
      <c r="DA73">
        <v>9.0181629999999995</v>
      </c>
      <c r="DB73">
        <v>55.966965000000002</v>
      </c>
      <c r="DC73">
        <v>1159320547</v>
      </c>
      <c r="DD73" t="s">
        <v>14152</v>
      </c>
      <c r="DE73" t="s">
        <v>14153</v>
      </c>
      <c r="DF73" t="s">
        <v>14154</v>
      </c>
      <c r="DG73" t="s">
        <v>14155</v>
      </c>
      <c r="DH73" t="s">
        <v>45</v>
      </c>
      <c r="DI73" t="s">
        <v>14156</v>
      </c>
      <c r="DJ73" t="s">
        <v>14157</v>
      </c>
      <c r="DK73" t="s">
        <v>14158</v>
      </c>
      <c r="DL73" t="s">
        <v>14159</v>
      </c>
      <c r="DM73" t="s">
        <v>14160</v>
      </c>
      <c r="DN73" t="s">
        <v>14161</v>
      </c>
      <c r="DO73" t="s">
        <v>14162</v>
      </c>
      <c r="DP73" t="s">
        <v>45</v>
      </c>
      <c r="DQ73" t="s">
        <v>14163</v>
      </c>
      <c r="DR73" t="s">
        <v>14164</v>
      </c>
      <c r="DS73" t="s">
        <v>14165</v>
      </c>
      <c r="DT73" t="s">
        <v>14166</v>
      </c>
      <c r="DU73" t="s">
        <v>14167</v>
      </c>
      <c r="DV73" t="s">
        <v>14156</v>
      </c>
      <c r="DW73" t="s">
        <v>14168</v>
      </c>
      <c r="DX73" t="s">
        <v>14169</v>
      </c>
      <c r="DY73" t="s">
        <v>14170</v>
      </c>
      <c r="DZ73" t="s">
        <v>14171</v>
      </c>
      <c r="EA73" t="s">
        <v>14172</v>
      </c>
      <c r="EB73" t="s">
        <v>14173</v>
      </c>
      <c r="EC73" t="s">
        <v>14174</v>
      </c>
      <c r="ED73" t="s">
        <v>14175</v>
      </c>
      <c r="EE73" t="s">
        <v>12247</v>
      </c>
      <c r="EG73" t="s">
        <v>12247</v>
      </c>
    </row>
    <row r="74" spans="1:168" x14ac:dyDescent="0.25">
      <c r="A74" t="s">
        <v>14178</v>
      </c>
      <c r="B74" t="s">
        <v>12247</v>
      </c>
      <c r="C74">
        <v>3</v>
      </c>
      <c r="D74">
        <v>3</v>
      </c>
      <c r="E74" t="s">
        <v>182</v>
      </c>
      <c r="F74" t="s">
        <v>12479</v>
      </c>
      <c r="G74">
        <v>1</v>
      </c>
      <c r="H74">
        <v>2</v>
      </c>
      <c r="I74" t="s">
        <v>12480</v>
      </c>
      <c r="J74">
        <v>1</v>
      </c>
      <c r="K74" t="s">
        <v>14176</v>
      </c>
      <c r="L74" t="s">
        <v>14177</v>
      </c>
      <c r="M74">
        <v>0</v>
      </c>
      <c r="N74" t="s">
        <v>14176</v>
      </c>
      <c r="O74" t="s">
        <v>14177</v>
      </c>
      <c r="P74">
        <v>0</v>
      </c>
      <c r="Q74" t="s">
        <v>14176</v>
      </c>
      <c r="R74" t="s">
        <v>14177</v>
      </c>
      <c r="S74">
        <v>0</v>
      </c>
      <c r="T74" t="s">
        <v>14178</v>
      </c>
      <c r="U74" t="s">
        <v>14177</v>
      </c>
      <c r="V74" t="s">
        <v>14178</v>
      </c>
      <c r="X74" t="s">
        <v>14179</v>
      </c>
      <c r="Y74" t="s">
        <v>14180</v>
      </c>
      <c r="AC74" t="s">
        <v>12486</v>
      </c>
      <c r="AD74" t="s">
        <v>12487</v>
      </c>
      <c r="AE74" t="s">
        <v>14176</v>
      </c>
      <c r="AG74">
        <v>6</v>
      </c>
      <c r="AH74">
        <v>6</v>
      </c>
      <c r="AI74">
        <v>6</v>
      </c>
      <c r="AJ74">
        <v>3</v>
      </c>
      <c r="AK74">
        <v>7850</v>
      </c>
      <c r="AL74">
        <v>5</v>
      </c>
      <c r="AM74">
        <v>2013</v>
      </c>
      <c r="AN74">
        <v>314</v>
      </c>
      <c r="AO74">
        <v>2013</v>
      </c>
      <c r="AP74" t="s">
        <v>12334</v>
      </c>
      <c r="AQ74" t="s">
        <v>12335</v>
      </c>
      <c r="AR74">
        <v>-99</v>
      </c>
      <c r="AS74">
        <v>-99</v>
      </c>
      <c r="AT74">
        <v>-99</v>
      </c>
      <c r="AU74">
        <v>-99</v>
      </c>
      <c r="AV74">
        <v>-99</v>
      </c>
      <c r="AW74">
        <v>-99</v>
      </c>
      <c r="AX74">
        <v>-99</v>
      </c>
      <c r="AY74">
        <v>-99</v>
      </c>
      <c r="AZ74">
        <v>-99</v>
      </c>
      <c r="BA74">
        <v>-99</v>
      </c>
      <c r="BB74">
        <v>-99</v>
      </c>
      <c r="BC74">
        <v>-99</v>
      </c>
      <c r="BD74" t="s">
        <v>12488</v>
      </c>
      <c r="BE74">
        <v>-99</v>
      </c>
      <c r="BF74">
        <v>1</v>
      </c>
      <c r="BG74" t="s">
        <v>14177</v>
      </c>
      <c r="BH74" t="s">
        <v>14177</v>
      </c>
      <c r="BI74" t="s">
        <v>14177</v>
      </c>
      <c r="BJ74" t="s">
        <v>14177</v>
      </c>
      <c r="BK74" t="s">
        <v>14177</v>
      </c>
      <c r="BL74" t="s">
        <v>14177</v>
      </c>
      <c r="BM74" t="s">
        <v>14177</v>
      </c>
      <c r="BN74" t="s">
        <v>14177</v>
      </c>
      <c r="BO74" t="s">
        <v>14177</v>
      </c>
      <c r="BP74" t="s">
        <v>14177</v>
      </c>
      <c r="BQ74" t="s">
        <v>14177</v>
      </c>
      <c r="BR74" t="s">
        <v>14177</v>
      </c>
      <c r="BS74" t="s">
        <v>14177</v>
      </c>
      <c r="BT74" t="s">
        <v>14177</v>
      </c>
      <c r="BU74" t="s">
        <v>14177</v>
      </c>
      <c r="BV74" t="s">
        <v>14177</v>
      </c>
      <c r="BW74" t="s">
        <v>14177</v>
      </c>
      <c r="BX74" t="s">
        <v>14177</v>
      </c>
      <c r="BY74" t="s">
        <v>14177</v>
      </c>
      <c r="BZ74" t="s">
        <v>14177</v>
      </c>
      <c r="CA74" t="s">
        <v>14177</v>
      </c>
      <c r="CB74" t="s">
        <v>14177</v>
      </c>
      <c r="CC74" t="s">
        <v>14177</v>
      </c>
      <c r="CD74" t="s">
        <v>14177</v>
      </c>
      <c r="CE74" t="s">
        <v>14177</v>
      </c>
      <c r="CF74" t="s">
        <v>14177</v>
      </c>
      <c r="CG74" t="s">
        <v>14177</v>
      </c>
      <c r="CH74" t="s">
        <v>14177</v>
      </c>
      <c r="CI74" t="s">
        <v>14177</v>
      </c>
      <c r="CJ74" t="s">
        <v>14177</v>
      </c>
      <c r="CK74" t="s">
        <v>14177</v>
      </c>
      <c r="CL74" t="s">
        <v>14177</v>
      </c>
      <c r="CM74">
        <v>-99</v>
      </c>
      <c r="CN74">
        <v>-99</v>
      </c>
      <c r="CO74" t="s">
        <v>12255</v>
      </c>
      <c r="CP74" t="s">
        <v>12255</v>
      </c>
      <c r="CQ74" t="s">
        <v>12458</v>
      </c>
      <c r="CR74" t="s">
        <v>12281</v>
      </c>
      <c r="CS74">
        <v>8</v>
      </c>
      <c r="CT74">
        <v>8</v>
      </c>
      <c r="CU74">
        <v>5</v>
      </c>
      <c r="CV74">
        <v>3</v>
      </c>
      <c r="CW74">
        <v>-99</v>
      </c>
      <c r="CX74">
        <v>0</v>
      </c>
      <c r="CY74">
        <v>6.5</v>
      </c>
      <c r="CZ74">
        <v>11</v>
      </c>
      <c r="DA74">
        <v>33.790582999999998</v>
      </c>
      <c r="DB74">
        <v>35.011042000000003</v>
      </c>
      <c r="DC74">
        <v>1159320709</v>
      </c>
      <c r="DD74" t="s">
        <v>14181</v>
      </c>
      <c r="DE74" t="s">
        <v>14182</v>
      </c>
      <c r="DF74" t="s">
        <v>14183</v>
      </c>
      <c r="DG74" t="s">
        <v>14184</v>
      </c>
      <c r="DH74" t="s">
        <v>14185</v>
      </c>
      <c r="DI74" t="s">
        <v>14184</v>
      </c>
      <c r="DJ74" t="s">
        <v>14186</v>
      </c>
      <c r="DK74" t="s">
        <v>14178</v>
      </c>
      <c r="DL74" t="s">
        <v>14187</v>
      </c>
      <c r="DM74" t="s">
        <v>14188</v>
      </c>
      <c r="DN74" t="s">
        <v>14189</v>
      </c>
      <c r="DO74" t="s">
        <v>14190</v>
      </c>
      <c r="DP74" t="s">
        <v>14185</v>
      </c>
      <c r="DQ74" t="s">
        <v>14191</v>
      </c>
      <c r="DR74" t="s">
        <v>14192</v>
      </c>
      <c r="DS74" t="s">
        <v>14193</v>
      </c>
      <c r="DT74" t="s">
        <v>14185</v>
      </c>
      <c r="DU74" t="s">
        <v>14178</v>
      </c>
      <c r="DV74" t="s">
        <v>14194</v>
      </c>
      <c r="DW74" t="s">
        <v>14195</v>
      </c>
      <c r="DX74" t="s">
        <v>14178</v>
      </c>
      <c r="DY74" t="s">
        <v>14196</v>
      </c>
      <c r="DZ74" t="s">
        <v>14197</v>
      </c>
      <c r="EA74" t="s">
        <v>14198</v>
      </c>
      <c r="EB74" t="s">
        <v>14199</v>
      </c>
      <c r="EC74" t="s">
        <v>14200</v>
      </c>
      <c r="ED74" t="s">
        <v>14201</v>
      </c>
      <c r="EE74" t="s">
        <v>12505</v>
      </c>
      <c r="EF74">
        <v>1</v>
      </c>
      <c r="EG74" t="s">
        <v>12397</v>
      </c>
      <c r="EH74" t="s">
        <v>12397</v>
      </c>
      <c r="EI74" t="s">
        <v>12397</v>
      </c>
      <c r="EK74" t="s">
        <v>12397</v>
      </c>
      <c r="EQ74" t="s">
        <v>12397</v>
      </c>
      <c r="ER74" t="s">
        <v>12397</v>
      </c>
      <c r="EY74" t="s">
        <v>12397</v>
      </c>
      <c r="FB74" t="s">
        <v>12397</v>
      </c>
      <c r="FD74" t="s">
        <v>12397</v>
      </c>
      <c r="FF74" t="s">
        <v>12397</v>
      </c>
      <c r="FG74" t="s">
        <v>12397</v>
      </c>
      <c r="FH74" t="s">
        <v>12397</v>
      </c>
      <c r="FI74" t="s">
        <v>12397</v>
      </c>
      <c r="FJ74" t="s">
        <v>12397</v>
      </c>
      <c r="FL74" t="s">
        <v>12397</v>
      </c>
    </row>
    <row r="75" spans="1:168" x14ac:dyDescent="0.25">
      <c r="A75" t="s">
        <v>46</v>
      </c>
      <c r="B75" t="s">
        <v>12247</v>
      </c>
      <c r="C75">
        <v>0</v>
      </c>
      <c r="D75">
        <v>5</v>
      </c>
      <c r="E75" t="s">
        <v>46</v>
      </c>
      <c r="F75" t="s">
        <v>13706</v>
      </c>
      <c r="G75">
        <v>0</v>
      </c>
      <c r="H75">
        <v>2</v>
      </c>
      <c r="I75" t="s">
        <v>12249</v>
      </c>
      <c r="J75">
        <v>1</v>
      </c>
      <c r="K75" t="s">
        <v>46</v>
      </c>
      <c r="L75" t="s">
        <v>13706</v>
      </c>
      <c r="M75">
        <v>0</v>
      </c>
      <c r="N75" t="s">
        <v>46</v>
      </c>
      <c r="O75" t="s">
        <v>13706</v>
      </c>
      <c r="P75">
        <v>0</v>
      </c>
      <c r="Q75" t="s">
        <v>46</v>
      </c>
      <c r="R75" t="s">
        <v>13706</v>
      </c>
      <c r="S75">
        <v>0</v>
      </c>
      <c r="T75" t="s">
        <v>46</v>
      </c>
      <c r="U75" t="s">
        <v>13706</v>
      </c>
      <c r="V75" t="s">
        <v>46</v>
      </c>
      <c r="X75" t="s">
        <v>13707</v>
      </c>
      <c r="Y75" t="s">
        <v>1416</v>
      </c>
      <c r="Z75" t="s">
        <v>13708</v>
      </c>
      <c r="AB75" t="s">
        <v>46</v>
      </c>
      <c r="AE75" t="s">
        <v>46</v>
      </c>
      <c r="AG75">
        <v>1</v>
      </c>
      <c r="AH75">
        <v>2</v>
      </c>
      <c r="AI75">
        <v>4</v>
      </c>
      <c r="AJ75">
        <v>8</v>
      </c>
      <c r="AK75">
        <v>973560</v>
      </c>
      <c r="AL75">
        <v>11</v>
      </c>
      <c r="AM75">
        <v>2019</v>
      </c>
      <c r="AN75">
        <v>3324</v>
      </c>
      <c r="AO75">
        <v>2019</v>
      </c>
      <c r="AP75" t="s">
        <v>12252</v>
      </c>
      <c r="AQ75" t="s">
        <v>12278</v>
      </c>
      <c r="AR75" t="s">
        <v>1416</v>
      </c>
      <c r="AS75" t="s">
        <v>1416</v>
      </c>
      <c r="AT75" t="s">
        <v>1416</v>
      </c>
      <c r="AU75" t="s">
        <v>13706</v>
      </c>
      <c r="AV75" t="s">
        <v>13706</v>
      </c>
      <c r="AW75">
        <v>262</v>
      </c>
      <c r="AX75">
        <v>262</v>
      </c>
      <c r="AY75">
        <v>262</v>
      </c>
      <c r="AZ75" t="s">
        <v>1416</v>
      </c>
      <c r="BA75" t="s">
        <v>13706</v>
      </c>
      <c r="BB75">
        <v>23424797</v>
      </c>
      <c r="BC75">
        <v>23424797</v>
      </c>
      <c r="BD75" t="s">
        <v>12254</v>
      </c>
      <c r="BE75" t="s">
        <v>13706</v>
      </c>
      <c r="BG75" t="s">
        <v>13706</v>
      </c>
      <c r="BH75" t="s">
        <v>13706</v>
      </c>
      <c r="BI75" t="s">
        <v>13706</v>
      </c>
      <c r="BJ75" t="s">
        <v>13706</v>
      </c>
      <c r="BK75" t="s">
        <v>13706</v>
      </c>
      <c r="BL75" t="s">
        <v>13706</v>
      </c>
      <c r="BM75" t="s">
        <v>13706</v>
      </c>
      <c r="BN75" t="s">
        <v>13706</v>
      </c>
      <c r="BO75" t="s">
        <v>13706</v>
      </c>
      <c r="BP75" t="s">
        <v>13706</v>
      </c>
      <c r="BQ75" t="s">
        <v>13706</v>
      </c>
      <c r="BR75" t="s">
        <v>13706</v>
      </c>
      <c r="BS75" t="s">
        <v>13706</v>
      </c>
      <c r="BT75" t="s">
        <v>13706</v>
      </c>
      <c r="BU75" t="s">
        <v>13706</v>
      </c>
      <c r="BV75" t="s">
        <v>13706</v>
      </c>
      <c r="BW75" t="s">
        <v>13706</v>
      </c>
      <c r="BX75" t="s">
        <v>13706</v>
      </c>
      <c r="BY75" t="s">
        <v>13706</v>
      </c>
      <c r="BZ75" t="s">
        <v>13706</v>
      </c>
      <c r="CA75" t="s">
        <v>13706</v>
      </c>
      <c r="CB75" t="s">
        <v>13706</v>
      </c>
      <c r="CC75" t="s">
        <v>13706</v>
      </c>
      <c r="CD75" t="s">
        <v>13706</v>
      </c>
      <c r="CE75" t="s">
        <v>13706</v>
      </c>
      <c r="CF75" t="s">
        <v>13706</v>
      </c>
      <c r="CG75" t="s">
        <v>13706</v>
      </c>
      <c r="CH75" t="s">
        <v>13706</v>
      </c>
      <c r="CI75" t="s">
        <v>13706</v>
      </c>
      <c r="CJ75" t="s">
        <v>13706</v>
      </c>
      <c r="CK75" t="s">
        <v>13706</v>
      </c>
      <c r="CL75" t="s">
        <v>13706</v>
      </c>
      <c r="CM75">
        <v>-99</v>
      </c>
      <c r="CN75">
        <v>-99</v>
      </c>
      <c r="CO75" t="s">
        <v>12306</v>
      </c>
      <c r="CP75" t="s">
        <v>12306</v>
      </c>
      <c r="CQ75" t="s">
        <v>13085</v>
      </c>
      <c r="CR75" t="s">
        <v>12308</v>
      </c>
      <c r="CS75">
        <v>8</v>
      </c>
      <c r="CT75">
        <v>8</v>
      </c>
      <c r="CU75">
        <v>4</v>
      </c>
      <c r="CV75">
        <v>-99</v>
      </c>
      <c r="CW75">
        <v>1</v>
      </c>
      <c r="CX75">
        <v>0</v>
      </c>
      <c r="CY75">
        <v>4</v>
      </c>
      <c r="CZ75">
        <v>9</v>
      </c>
      <c r="DA75">
        <v>42.498824999999997</v>
      </c>
      <c r="DB75">
        <v>11.976343</v>
      </c>
      <c r="DC75">
        <v>1159320541</v>
      </c>
      <c r="DD75" t="s">
        <v>13709</v>
      </c>
      <c r="DE75" t="s">
        <v>13710</v>
      </c>
      <c r="DF75" t="s">
        <v>13711</v>
      </c>
      <c r="DG75" t="s">
        <v>13712</v>
      </c>
      <c r="DH75" t="s">
        <v>46</v>
      </c>
      <c r="DI75" t="s">
        <v>13713</v>
      </c>
      <c r="DJ75" t="s">
        <v>13714</v>
      </c>
      <c r="DK75" t="s">
        <v>46</v>
      </c>
      <c r="DL75" t="s">
        <v>13715</v>
      </c>
      <c r="DM75" t="s">
        <v>13716</v>
      </c>
      <c r="DN75" t="s">
        <v>13717</v>
      </c>
      <c r="DO75" t="s">
        <v>13718</v>
      </c>
      <c r="DP75" t="s">
        <v>46</v>
      </c>
      <c r="DQ75" t="s">
        <v>13719</v>
      </c>
      <c r="DR75" t="s">
        <v>13720</v>
      </c>
      <c r="DS75" t="s">
        <v>13721</v>
      </c>
      <c r="DT75" t="s">
        <v>46</v>
      </c>
      <c r="DU75" t="s">
        <v>13722</v>
      </c>
      <c r="DV75" t="s">
        <v>46</v>
      </c>
      <c r="DW75" t="s">
        <v>13723</v>
      </c>
      <c r="DX75" t="s">
        <v>46</v>
      </c>
      <c r="DY75" t="s">
        <v>13724</v>
      </c>
      <c r="DZ75" t="s">
        <v>13725</v>
      </c>
      <c r="EA75" t="s">
        <v>13726</v>
      </c>
      <c r="EB75" t="s">
        <v>46</v>
      </c>
      <c r="EC75" t="s">
        <v>13727</v>
      </c>
      <c r="ED75" t="s">
        <v>13728</v>
      </c>
      <c r="EE75" t="s">
        <v>12247</v>
      </c>
      <c r="EG75" t="s">
        <v>12247</v>
      </c>
    </row>
    <row r="76" spans="1:168" x14ac:dyDescent="0.25">
      <c r="A76" t="s">
        <v>47</v>
      </c>
      <c r="B76" t="s">
        <v>12247</v>
      </c>
      <c r="C76">
        <v>3</v>
      </c>
      <c r="D76">
        <v>6</v>
      </c>
      <c r="E76" t="s">
        <v>47</v>
      </c>
      <c r="F76" t="s">
        <v>13729</v>
      </c>
      <c r="G76">
        <v>0</v>
      </c>
      <c r="H76">
        <v>2</v>
      </c>
      <c r="I76" t="s">
        <v>12249</v>
      </c>
      <c r="J76">
        <v>1</v>
      </c>
      <c r="K76" t="s">
        <v>47</v>
      </c>
      <c r="L76" t="s">
        <v>13729</v>
      </c>
      <c r="M76">
        <v>0</v>
      </c>
      <c r="N76" t="s">
        <v>47</v>
      </c>
      <c r="O76" t="s">
        <v>13729</v>
      </c>
      <c r="P76">
        <v>0</v>
      </c>
      <c r="Q76" t="s">
        <v>47</v>
      </c>
      <c r="R76" t="s">
        <v>13729</v>
      </c>
      <c r="S76">
        <v>0</v>
      </c>
      <c r="T76" t="s">
        <v>47</v>
      </c>
      <c r="U76" t="s">
        <v>13729</v>
      </c>
      <c r="V76" t="s">
        <v>47</v>
      </c>
      <c r="X76" t="s">
        <v>13730</v>
      </c>
      <c r="Y76" t="s">
        <v>1422</v>
      </c>
      <c r="Z76" t="s">
        <v>13731</v>
      </c>
      <c r="AB76" t="s">
        <v>47</v>
      </c>
      <c r="AE76" t="s">
        <v>47</v>
      </c>
      <c r="AG76">
        <v>4</v>
      </c>
      <c r="AH76">
        <v>5</v>
      </c>
      <c r="AI76">
        <v>2</v>
      </c>
      <c r="AJ76">
        <v>12</v>
      </c>
      <c r="AK76">
        <v>71808</v>
      </c>
      <c r="AL76">
        <v>8</v>
      </c>
      <c r="AM76">
        <v>2019</v>
      </c>
      <c r="AN76">
        <v>582</v>
      </c>
      <c r="AO76">
        <v>2019</v>
      </c>
      <c r="AP76" t="s">
        <v>12277</v>
      </c>
      <c r="AQ76" t="s">
        <v>12305</v>
      </c>
      <c r="AR76" t="s">
        <v>1425</v>
      </c>
      <c r="AS76" t="s">
        <v>1422</v>
      </c>
      <c r="AT76" t="s">
        <v>1422</v>
      </c>
      <c r="AU76" t="s">
        <v>13729</v>
      </c>
      <c r="AV76" t="s">
        <v>13729</v>
      </c>
      <c r="AW76">
        <v>212</v>
      </c>
      <c r="AX76">
        <v>212</v>
      </c>
      <c r="AY76">
        <v>212</v>
      </c>
      <c r="AZ76" t="s">
        <v>1422</v>
      </c>
      <c r="BA76" t="s">
        <v>13729</v>
      </c>
      <c r="BB76">
        <v>23424798</v>
      </c>
      <c r="BC76">
        <v>23424798</v>
      </c>
      <c r="BD76" t="s">
        <v>12254</v>
      </c>
      <c r="BE76" t="s">
        <v>13729</v>
      </c>
      <c r="BG76" t="s">
        <v>13729</v>
      </c>
      <c r="BH76" t="s">
        <v>13729</v>
      </c>
      <c r="BI76" t="s">
        <v>13729</v>
      </c>
      <c r="BJ76" t="s">
        <v>13729</v>
      </c>
      <c r="BK76" t="s">
        <v>13729</v>
      </c>
      <c r="BL76" t="s">
        <v>13729</v>
      </c>
      <c r="BM76" t="s">
        <v>13729</v>
      </c>
      <c r="BN76" t="s">
        <v>13729</v>
      </c>
      <c r="BO76" t="s">
        <v>13729</v>
      </c>
      <c r="BP76" t="s">
        <v>13729</v>
      </c>
      <c r="BQ76" t="s">
        <v>13729</v>
      </c>
      <c r="BR76" t="s">
        <v>13729</v>
      </c>
      <c r="BS76" t="s">
        <v>13729</v>
      </c>
      <c r="BT76" t="s">
        <v>13729</v>
      </c>
      <c r="BU76" t="s">
        <v>13729</v>
      </c>
      <c r="BV76" t="s">
        <v>13729</v>
      </c>
      <c r="BW76" t="s">
        <v>13729</v>
      </c>
      <c r="BX76" t="s">
        <v>13729</v>
      </c>
      <c r="BY76" t="s">
        <v>13729</v>
      </c>
      <c r="BZ76" t="s">
        <v>13729</v>
      </c>
      <c r="CA76" t="s">
        <v>13729</v>
      </c>
      <c r="CB76" t="s">
        <v>13729</v>
      </c>
      <c r="CC76" t="s">
        <v>13729</v>
      </c>
      <c r="CD76" t="s">
        <v>13729</v>
      </c>
      <c r="CE76" t="s">
        <v>13729</v>
      </c>
      <c r="CF76" t="s">
        <v>13729</v>
      </c>
      <c r="CG76" t="s">
        <v>13729</v>
      </c>
      <c r="CH76" t="s">
        <v>13729</v>
      </c>
      <c r="CI76" t="s">
        <v>13729</v>
      </c>
      <c r="CJ76" t="s">
        <v>13729</v>
      </c>
      <c r="CK76" t="s">
        <v>13729</v>
      </c>
      <c r="CL76" t="s">
        <v>13729</v>
      </c>
      <c r="CM76">
        <v>-99</v>
      </c>
      <c r="CN76">
        <v>-99</v>
      </c>
      <c r="CO76" t="s">
        <v>12402</v>
      </c>
      <c r="CP76" t="s">
        <v>12403</v>
      </c>
      <c r="CQ76" t="s">
        <v>12404</v>
      </c>
      <c r="CR76" t="s">
        <v>12405</v>
      </c>
      <c r="CS76">
        <v>8</v>
      </c>
      <c r="CT76">
        <v>8</v>
      </c>
      <c r="CU76">
        <v>6</v>
      </c>
      <c r="CV76">
        <v>4</v>
      </c>
      <c r="CW76">
        <v>1</v>
      </c>
      <c r="CX76">
        <v>0</v>
      </c>
      <c r="CY76">
        <v>4</v>
      </c>
      <c r="CZ76">
        <v>9</v>
      </c>
      <c r="DA76">
        <v>-61.344957999999998</v>
      </c>
      <c r="DB76">
        <v>15.458829</v>
      </c>
      <c r="DC76">
        <v>1159320543</v>
      </c>
      <c r="DD76" t="s">
        <v>13732</v>
      </c>
      <c r="DE76" t="s">
        <v>13733</v>
      </c>
      <c r="DF76" t="s">
        <v>13734</v>
      </c>
      <c r="DG76" t="s">
        <v>47</v>
      </c>
      <c r="DH76" t="s">
        <v>47</v>
      </c>
      <c r="DI76" t="s">
        <v>47</v>
      </c>
      <c r="DJ76" t="s">
        <v>13735</v>
      </c>
      <c r="DK76" t="s">
        <v>13736</v>
      </c>
      <c r="DL76" t="s">
        <v>13737</v>
      </c>
      <c r="DM76" t="s">
        <v>13738</v>
      </c>
      <c r="DN76" t="s">
        <v>13739</v>
      </c>
      <c r="DO76" t="s">
        <v>13740</v>
      </c>
      <c r="DP76" t="s">
        <v>13741</v>
      </c>
      <c r="DQ76" t="s">
        <v>47</v>
      </c>
      <c r="DR76" t="s">
        <v>13742</v>
      </c>
      <c r="DS76" t="s">
        <v>13743</v>
      </c>
      <c r="DT76" t="s">
        <v>47</v>
      </c>
      <c r="DU76" t="s">
        <v>13741</v>
      </c>
      <c r="DV76" t="s">
        <v>47</v>
      </c>
      <c r="DW76" t="s">
        <v>13744</v>
      </c>
      <c r="DX76" t="s">
        <v>47</v>
      </c>
      <c r="DY76" t="s">
        <v>13741</v>
      </c>
      <c r="DZ76" t="s">
        <v>13745</v>
      </c>
      <c r="EA76" t="s">
        <v>13746</v>
      </c>
      <c r="EB76" t="s">
        <v>47</v>
      </c>
      <c r="EC76" t="s">
        <v>13747</v>
      </c>
      <c r="ED76" t="s">
        <v>13747</v>
      </c>
      <c r="EE76" t="s">
        <v>12247</v>
      </c>
      <c r="EG76" t="s">
        <v>12247</v>
      </c>
    </row>
    <row r="77" spans="1:168" x14ac:dyDescent="0.25">
      <c r="A77" t="s">
        <v>48</v>
      </c>
      <c r="B77" t="s">
        <v>12247</v>
      </c>
      <c r="C77">
        <v>0</v>
      </c>
      <c r="D77">
        <v>5</v>
      </c>
      <c r="E77" t="s">
        <v>48</v>
      </c>
      <c r="F77" t="s">
        <v>13748</v>
      </c>
      <c r="G77">
        <v>0</v>
      </c>
      <c r="H77">
        <v>2</v>
      </c>
      <c r="I77" t="s">
        <v>12249</v>
      </c>
      <c r="J77">
        <v>1</v>
      </c>
      <c r="K77" t="s">
        <v>48</v>
      </c>
      <c r="L77" t="s">
        <v>13748</v>
      </c>
      <c r="M77">
        <v>0</v>
      </c>
      <c r="N77" t="s">
        <v>48</v>
      </c>
      <c r="O77" t="s">
        <v>13748</v>
      </c>
      <c r="P77">
        <v>0</v>
      </c>
      <c r="Q77" t="s">
        <v>48</v>
      </c>
      <c r="R77" t="s">
        <v>13748</v>
      </c>
      <c r="S77">
        <v>0</v>
      </c>
      <c r="T77" t="s">
        <v>48</v>
      </c>
      <c r="U77" t="s">
        <v>13748</v>
      </c>
      <c r="V77" t="s">
        <v>13749</v>
      </c>
      <c r="X77" t="s">
        <v>13750</v>
      </c>
      <c r="Y77" t="s">
        <v>1425</v>
      </c>
      <c r="Z77" t="s">
        <v>48</v>
      </c>
      <c r="AB77" t="s">
        <v>48</v>
      </c>
      <c r="AE77" t="s">
        <v>48</v>
      </c>
      <c r="AG77">
        <v>5</v>
      </c>
      <c r="AH77">
        <v>2</v>
      </c>
      <c r="AI77">
        <v>5</v>
      </c>
      <c r="AJ77">
        <v>7</v>
      </c>
      <c r="AK77">
        <v>10738958</v>
      </c>
      <c r="AL77">
        <v>14</v>
      </c>
      <c r="AM77">
        <v>2019</v>
      </c>
      <c r="AN77">
        <v>88941</v>
      </c>
      <c r="AO77">
        <v>2019</v>
      </c>
      <c r="AP77" t="s">
        <v>12277</v>
      </c>
      <c r="AQ77" t="s">
        <v>12305</v>
      </c>
      <c r="AR77" t="s">
        <v>13751</v>
      </c>
      <c r="AS77" t="s">
        <v>1425</v>
      </c>
      <c r="AT77" t="s">
        <v>1425</v>
      </c>
      <c r="AU77" t="s">
        <v>13748</v>
      </c>
      <c r="AV77" t="s">
        <v>13748</v>
      </c>
      <c r="AW77">
        <v>214</v>
      </c>
      <c r="AX77">
        <v>214</v>
      </c>
      <c r="AY77">
        <v>214</v>
      </c>
      <c r="AZ77" t="s">
        <v>1425</v>
      </c>
      <c r="BA77" t="s">
        <v>13748</v>
      </c>
      <c r="BB77">
        <v>23424800</v>
      </c>
      <c r="BC77">
        <v>23424800</v>
      </c>
      <c r="BD77" t="s">
        <v>12254</v>
      </c>
      <c r="BE77" t="s">
        <v>13748</v>
      </c>
      <c r="BG77" t="s">
        <v>13748</v>
      </c>
      <c r="BH77" t="s">
        <v>13748</v>
      </c>
      <c r="BI77" t="s">
        <v>13748</v>
      </c>
      <c r="BJ77" t="s">
        <v>13748</v>
      </c>
      <c r="BK77" t="s">
        <v>13748</v>
      </c>
      <c r="BL77" t="s">
        <v>13748</v>
      </c>
      <c r="BM77" t="s">
        <v>13748</v>
      </c>
      <c r="BN77" t="s">
        <v>13748</v>
      </c>
      <c r="BO77" t="s">
        <v>13748</v>
      </c>
      <c r="BP77" t="s">
        <v>13748</v>
      </c>
      <c r="BQ77" t="s">
        <v>13748</v>
      </c>
      <c r="BR77" t="s">
        <v>13748</v>
      </c>
      <c r="BS77" t="s">
        <v>13748</v>
      </c>
      <c r="BT77" t="s">
        <v>13748</v>
      </c>
      <c r="BU77" t="s">
        <v>13748</v>
      </c>
      <c r="BV77" t="s">
        <v>13748</v>
      </c>
      <c r="BW77" t="s">
        <v>13748</v>
      </c>
      <c r="BX77" t="s">
        <v>13748</v>
      </c>
      <c r="BY77" t="s">
        <v>13748</v>
      </c>
      <c r="BZ77" t="s">
        <v>13748</v>
      </c>
      <c r="CA77" t="s">
        <v>13748</v>
      </c>
      <c r="CB77" t="s">
        <v>13748</v>
      </c>
      <c r="CC77" t="s">
        <v>13748</v>
      </c>
      <c r="CD77" t="s">
        <v>13748</v>
      </c>
      <c r="CE77" t="s">
        <v>13748</v>
      </c>
      <c r="CF77" t="s">
        <v>13748</v>
      </c>
      <c r="CG77" t="s">
        <v>13748</v>
      </c>
      <c r="CH77" t="s">
        <v>13748</v>
      </c>
      <c r="CI77" t="s">
        <v>13748</v>
      </c>
      <c r="CJ77" t="s">
        <v>13748</v>
      </c>
      <c r="CK77" t="s">
        <v>13748</v>
      </c>
      <c r="CL77" t="s">
        <v>13748</v>
      </c>
      <c r="CM77">
        <v>-99</v>
      </c>
      <c r="CN77">
        <v>-99</v>
      </c>
      <c r="CO77" t="s">
        <v>12402</v>
      </c>
      <c r="CP77" t="s">
        <v>12403</v>
      </c>
      <c r="CQ77" t="s">
        <v>12404</v>
      </c>
      <c r="CR77" t="s">
        <v>12405</v>
      </c>
      <c r="CS77">
        <v>14</v>
      </c>
      <c r="CT77">
        <v>18</v>
      </c>
      <c r="CU77">
        <v>9</v>
      </c>
      <c r="CV77">
        <v>-99</v>
      </c>
      <c r="CW77">
        <v>1</v>
      </c>
      <c r="CX77">
        <v>0</v>
      </c>
      <c r="CY77">
        <v>4.5</v>
      </c>
      <c r="CZ77">
        <v>9.5</v>
      </c>
      <c r="DA77">
        <v>-70.653998000000001</v>
      </c>
      <c r="DB77">
        <v>19.104137000000001</v>
      </c>
      <c r="DC77">
        <v>1159320563</v>
      </c>
      <c r="DD77" t="s">
        <v>13752</v>
      </c>
      <c r="DE77" t="s">
        <v>13753</v>
      </c>
      <c r="DF77" t="s">
        <v>13754</v>
      </c>
      <c r="DG77" t="s">
        <v>13755</v>
      </c>
      <c r="DH77" t="s">
        <v>48</v>
      </c>
      <c r="DI77" t="s">
        <v>13756</v>
      </c>
      <c r="DJ77" t="s">
        <v>13757</v>
      </c>
      <c r="DK77" t="s">
        <v>13758</v>
      </c>
      <c r="DL77" t="s">
        <v>13759</v>
      </c>
      <c r="DM77" t="s">
        <v>13760</v>
      </c>
      <c r="DN77" t="s">
        <v>13761</v>
      </c>
      <c r="DO77" t="s">
        <v>13762</v>
      </c>
      <c r="DP77" t="s">
        <v>13763</v>
      </c>
      <c r="DQ77" t="s">
        <v>13764</v>
      </c>
      <c r="DR77" t="s">
        <v>13765</v>
      </c>
      <c r="DS77" t="s">
        <v>13766</v>
      </c>
      <c r="DT77" t="s">
        <v>13767</v>
      </c>
      <c r="DU77" t="s">
        <v>13768</v>
      </c>
      <c r="DV77" t="s">
        <v>13756</v>
      </c>
      <c r="DW77" t="s">
        <v>13769</v>
      </c>
      <c r="DX77" t="s">
        <v>13770</v>
      </c>
      <c r="DY77" t="s">
        <v>13771</v>
      </c>
      <c r="DZ77" t="s">
        <v>13772</v>
      </c>
      <c r="EA77" t="s">
        <v>13773</v>
      </c>
      <c r="EB77" t="s">
        <v>13774</v>
      </c>
      <c r="EC77" t="s">
        <v>13775</v>
      </c>
      <c r="ED77" t="s">
        <v>13776</v>
      </c>
      <c r="EE77" t="s">
        <v>12247</v>
      </c>
      <c r="EG77" t="s">
        <v>12247</v>
      </c>
    </row>
    <row r="78" spans="1:168" x14ac:dyDescent="0.25">
      <c r="A78" t="s">
        <v>49</v>
      </c>
      <c r="B78" t="s">
        <v>12247</v>
      </c>
      <c r="C78">
        <v>0</v>
      </c>
      <c r="D78">
        <v>3</v>
      </c>
      <c r="E78" t="s">
        <v>49</v>
      </c>
      <c r="F78" t="s">
        <v>13808</v>
      </c>
      <c r="G78">
        <v>0</v>
      </c>
      <c r="H78">
        <v>2</v>
      </c>
      <c r="I78" t="s">
        <v>12249</v>
      </c>
      <c r="J78">
        <v>1</v>
      </c>
      <c r="K78" t="s">
        <v>49</v>
      </c>
      <c r="L78" t="s">
        <v>13808</v>
      </c>
      <c r="M78">
        <v>0</v>
      </c>
      <c r="N78" t="s">
        <v>49</v>
      </c>
      <c r="O78" t="s">
        <v>13808</v>
      </c>
      <c r="P78">
        <v>0</v>
      </c>
      <c r="Q78" t="s">
        <v>49</v>
      </c>
      <c r="R78" t="s">
        <v>13808</v>
      </c>
      <c r="S78">
        <v>0</v>
      </c>
      <c r="T78" t="s">
        <v>49</v>
      </c>
      <c r="U78" t="s">
        <v>13808</v>
      </c>
      <c r="V78" t="s">
        <v>49</v>
      </c>
      <c r="X78" t="s">
        <v>13809</v>
      </c>
      <c r="Y78" t="s">
        <v>1431</v>
      </c>
      <c r="Z78" t="s">
        <v>13810</v>
      </c>
      <c r="AB78" t="s">
        <v>49</v>
      </c>
      <c r="AE78" t="s">
        <v>49</v>
      </c>
      <c r="AG78">
        <v>1</v>
      </c>
      <c r="AH78">
        <v>5</v>
      </c>
      <c r="AI78">
        <v>2</v>
      </c>
      <c r="AJ78">
        <v>12</v>
      </c>
      <c r="AK78">
        <v>17373662</v>
      </c>
      <c r="AL78">
        <v>14</v>
      </c>
      <c r="AM78">
        <v>2019</v>
      </c>
      <c r="AN78">
        <v>107435</v>
      </c>
      <c r="AO78">
        <v>2019</v>
      </c>
      <c r="AP78" t="s">
        <v>12277</v>
      </c>
      <c r="AQ78" t="s">
        <v>12305</v>
      </c>
      <c r="AR78" t="s">
        <v>1431</v>
      </c>
      <c r="AS78" t="s">
        <v>1431</v>
      </c>
      <c r="AT78" t="s">
        <v>1431</v>
      </c>
      <c r="AU78" t="s">
        <v>13808</v>
      </c>
      <c r="AV78" t="s">
        <v>13808</v>
      </c>
      <c r="AW78">
        <v>218</v>
      </c>
      <c r="AX78">
        <v>218</v>
      </c>
      <c r="AY78">
        <v>218</v>
      </c>
      <c r="AZ78" t="s">
        <v>1431</v>
      </c>
      <c r="BA78" t="s">
        <v>13808</v>
      </c>
      <c r="BB78">
        <v>23424801</v>
      </c>
      <c r="BC78">
        <v>23424801</v>
      </c>
      <c r="BD78" t="s">
        <v>12254</v>
      </c>
      <c r="BE78" t="s">
        <v>13808</v>
      </c>
      <c r="BG78" t="s">
        <v>13808</v>
      </c>
      <c r="BH78" t="s">
        <v>13808</v>
      </c>
      <c r="BI78" t="s">
        <v>13808</v>
      </c>
      <c r="BJ78" t="s">
        <v>13808</v>
      </c>
      <c r="BK78" t="s">
        <v>13808</v>
      </c>
      <c r="BL78" t="s">
        <v>13808</v>
      </c>
      <c r="BM78" t="s">
        <v>13808</v>
      </c>
      <c r="BN78" t="s">
        <v>13808</v>
      </c>
      <c r="BO78" t="s">
        <v>13808</v>
      </c>
      <c r="BP78" t="s">
        <v>13808</v>
      </c>
      <c r="BQ78" t="s">
        <v>13808</v>
      </c>
      <c r="BR78" t="s">
        <v>13808</v>
      </c>
      <c r="BS78" t="s">
        <v>13808</v>
      </c>
      <c r="BT78" t="s">
        <v>13808</v>
      </c>
      <c r="BU78" t="s">
        <v>13808</v>
      </c>
      <c r="BV78" t="s">
        <v>13808</v>
      </c>
      <c r="BW78" t="s">
        <v>13808</v>
      </c>
      <c r="BX78" t="s">
        <v>13808</v>
      </c>
      <c r="BY78" t="s">
        <v>13808</v>
      </c>
      <c r="BZ78" t="s">
        <v>13808</v>
      </c>
      <c r="CA78" t="s">
        <v>13808</v>
      </c>
      <c r="CB78" t="s">
        <v>13808</v>
      </c>
      <c r="CC78" t="s">
        <v>13808</v>
      </c>
      <c r="CD78" t="s">
        <v>13808</v>
      </c>
      <c r="CE78" t="s">
        <v>13808</v>
      </c>
      <c r="CF78" t="s">
        <v>13808</v>
      </c>
      <c r="CG78" t="s">
        <v>13808</v>
      </c>
      <c r="CH78" t="s">
        <v>13808</v>
      </c>
      <c r="CI78" t="s">
        <v>13808</v>
      </c>
      <c r="CJ78" t="s">
        <v>13808</v>
      </c>
      <c r="CK78" t="s">
        <v>13808</v>
      </c>
      <c r="CL78" t="s">
        <v>13808</v>
      </c>
      <c r="CM78">
        <v>-99</v>
      </c>
      <c r="CN78">
        <v>-99</v>
      </c>
      <c r="CO78" t="s">
        <v>12436</v>
      </c>
      <c r="CP78" t="s">
        <v>12403</v>
      </c>
      <c r="CQ78" t="s">
        <v>12436</v>
      </c>
      <c r="CR78" t="s">
        <v>12405</v>
      </c>
      <c r="CS78">
        <v>7</v>
      </c>
      <c r="CT78">
        <v>7</v>
      </c>
      <c r="CU78">
        <v>4</v>
      </c>
      <c r="CV78">
        <v>-99</v>
      </c>
      <c r="CW78">
        <v>1</v>
      </c>
      <c r="CX78">
        <v>0</v>
      </c>
      <c r="CY78">
        <v>3</v>
      </c>
      <c r="CZ78">
        <v>8</v>
      </c>
      <c r="DA78">
        <v>-78.188374999999994</v>
      </c>
      <c r="DB78">
        <v>-1.2590759999999901</v>
      </c>
      <c r="DC78">
        <v>1159320567</v>
      </c>
      <c r="DD78" t="s">
        <v>13811</v>
      </c>
      <c r="DE78" t="s">
        <v>13812</v>
      </c>
      <c r="DF78" t="s">
        <v>13813</v>
      </c>
      <c r="DG78" t="s">
        <v>49</v>
      </c>
      <c r="DH78" t="s">
        <v>49</v>
      </c>
      <c r="DI78" t="s">
        <v>49</v>
      </c>
      <c r="DJ78" t="s">
        <v>13814</v>
      </c>
      <c r="DK78" t="s">
        <v>13815</v>
      </c>
      <c r="DL78" t="s">
        <v>13816</v>
      </c>
      <c r="DM78" t="s">
        <v>13817</v>
      </c>
      <c r="DN78" t="s">
        <v>13818</v>
      </c>
      <c r="DO78" t="s">
        <v>49</v>
      </c>
      <c r="DP78" t="s">
        <v>13819</v>
      </c>
      <c r="DQ78" t="s">
        <v>49</v>
      </c>
      <c r="DR78" t="s">
        <v>13820</v>
      </c>
      <c r="DS78" t="s">
        <v>13821</v>
      </c>
      <c r="DT78" t="s">
        <v>49</v>
      </c>
      <c r="DU78" t="s">
        <v>13822</v>
      </c>
      <c r="DV78" t="s">
        <v>13823</v>
      </c>
      <c r="DW78" t="s">
        <v>13824</v>
      </c>
      <c r="DX78" t="s">
        <v>49</v>
      </c>
      <c r="DY78" t="s">
        <v>13825</v>
      </c>
      <c r="DZ78" t="s">
        <v>13826</v>
      </c>
      <c r="EA78" t="s">
        <v>13827</v>
      </c>
      <c r="EB78" t="s">
        <v>49</v>
      </c>
      <c r="EC78" t="s">
        <v>13828</v>
      </c>
      <c r="ED78" t="s">
        <v>13829</v>
      </c>
      <c r="EE78" t="s">
        <v>12247</v>
      </c>
      <c r="EG78" t="s">
        <v>12247</v>
      </c>
    </row>
    <row r="79" spans="1:168" x14ac:dyDescent="0.25">
      <c r="A79" t="s">
        <v>50</v>
      </c>
      <c r="B79" t="s">
        <v>12247</v>
      </c>
      <c r="C79">
        <v>0</v>
      </c>
      <c r="D79">
        <v>2</v>
      </c>
      <c r="E79" t="s">
        <v>50</v>
      </c>
      <c r="F79" t="s">
        <v>13830</v>
      </c>
      <c r="G79">
        <v>0</v>
      </c>
      <c r="H79">
        <v>2</v>
      </c>
      <c r="I79" t="s">
        <v>12249</v>
      </c>
      <c r="J79">
        <v>1</v>
      </c>
      <c r="K79" t="s">
        <v>50</v>
      </c>
      <c r="L79" t="s">
        <v>13830</v>
      </c>
      <c r="M79">
        <v>0</v>
      </c>
      <c r="N79" t="s">
        <v>50</v>
      </c>
      <c r="O79" t="s">
        <v>13830</v>
      </c>
      <c r="P79">
        <v>0</v>
      </c>
      <c r="Q79" t="s">
        <v>50</v>
      </c>
      <c r="R79" t="s">
        <v>13830</v>
      </c>
      <c r="S79">
        <v>0</v>
      </c>
      <c r="T79" t="s">
        <v>50</v>
      </c>
      <c r="U79" t="s">
        <v>13830</v>
      </c>
      <c r="V79" t="s">
        <v>50</v>
      </c>
      <c r="X79" t="s">
        <v>50</v>
      </c>
      <c r="Y79" t="s">
        <v>1437</v>
      </c>
      <c r="Z79" t="s">
        <v>13831</v>
      </c>
      <c r="AB79" t="s">
        <v>50</v>
      </c>
      <c r="AE79" t="s">
        <v>13832</v>
      </c>
      <c r="AG79">
        <v>4</v>
      </c>
      <c r="AH79">
        <v>6</v>
      </c>
      <c r="AI79">
        <v>7</v>
      </c>
      <c r="AJ79">
        <v>2</v>
      </c>
      <c r="AK79">
        <v>100388073</v>
      </c>
      <c r="AL79">
        <v>17</v>
      </c>
      <c r="AM79">
        <v>2019</v>
      </c>
      <c r="AN79">
        <v>303092</v>
      </c>
      <c r="AO79">
        <v>2019</v>
      </c>
      <c r="AP79" t="s">
        <v>12435</v>
      </c>
      <c r="AQ79" t="s">
        <v>12278</v>
      </c>
      <c r="AR79" t="s">
        <v>1437</v>
      </c>
      <c r="AS79" t="s">
        <v>1437</v>
      </c>
      <c r="AT79" t="s">
        <v>1437</v>
      </c>
      <c r="AU79" t="s">
        <v>13830</v>
      </c>
      <c r="AV79" t="s">
        <v>13830</v>
      </c>
      <c r="AW79">
        <v>818</v>
      </c>
      <c r="AX79">
        <v>818</v>
      </c>
      <c r="AY79">
        <v>818</v>
      </c>
      <c r="AZ79" t="s">
        <v>1437</v>
      </c>
      <c r="BA79" t="s">
        <v>13830</v>
      </c>
      <c r="BB79">
        <v>23424802</v>
      </c>
      <c r="BC79">
        <v>23424802</v>
      </c>
      <c r="BD79" t="s">
        <v>12254</v>
      </c>
      <c r="BE79" t="s">
        <v>13830</v>
      </c>
      <c r="BG79" t="s">
        <v>13830</v>
      </c>
      <c r="BH79" t="s">
        <v>13830</v>
      </c>
      <c r="BI79" t="s">
        <v>13830</v>
      </c>
      <c r="BJ79" t="s">
        <v>13830</v>
      </c>
      <c r="BK79" t="s">
        <v>13830</v>
      </c>
      <c r="BL79" t="s">
        <v>13830</v>
      </c>
      <c r="BM79" t="s">
        <v>13830</v>
      </c>
      <c r="BN79" t="s">
        <v>13830</v>
      </c>
      <c r="BO79" t="s">
        <v>13830</v>
      </c>
      <c r="BP79" t="s">
        <v>13830</v>
      </c>
      <c r="BQ79" t="s">
        <v>13830</v>
      </c>
      <c r="BR79" t="s">
        <v>13830</v>
      </c>
      <c r="BS79" t="s">
        <v>13830</v>
      </c>
      <c r="BT79" t="s">
        <v>13830</v>
      </c>
      <c r="BU79" t="s">
        <v>13830</v>
      </c>
      <c r="BV79" t="s">
        <v>13830</v>
      </c>
      <c r="BW79" t="s">
        <v>13830</v>
      </c>
      <c r="BX79" t="s">
        <v>13830</v>
      </c>
      <c r="BY79" t="s">
        <v>13830</v>
      </c>
      <c r="BZ79" t="s">
        <v>13830</v>
      </c>
      <c r="CA79" t="s">
        <v>13830</v>
      </c>
      <c r="CB79" t="s">
        <v>13830</v>
      </c>
      <c r="CC79" t="s">
        <v>13830</v>
      </c>
      <c r="CD79" t="s">
        <v>13830</v>
      </c>
      <c r="CE79" t="s">
        <v>13830</v>
      </c>
      <c r="CF79" t="s">
        <v>13830</v>
      </c>
      <c r="CG79" t="s">
        <v>13830</v>
      </c>
      <c r="CH79" t="s">
        <v>13830</v>
      </c>
      <c r="CI79" t="s">
        <v>13830</v>
      </c>
      <c r="CJ79" t="s">
        <v>13830</v>
      </c>
      <c r="CK79" t="s">
        <v>13830</v>
      </c>
      <c r="CL79" t="s">
        <v>13830</v>
      </c>
      <c r="CM79">
        <v>-99</v>
      </c>
      <c r="CN79">
        <v>-99</v>
      </c>
      <c r="CO79" t="s">
        <v>12306</v>
      </c>
      <c r="CP79" t="s">
        <v>12306</v>
      </c>
      <c r="CQ79" t="s">
        <v>12307</v>
      </c>
      <c r="CR79" t="s">
        <v>12308</v>
      </c>
      <c r="CS79">
        <v>5</v>
      </c>
      <c r="CT79">
        <v>5</v>
      </c>
      <c r="CU79">
        <v>5</v>
      </c>
      <c r="CV79">
        <v>-99</v>
      </c>
      <c r="CW79">
        <v>1</v>
      </c>
      <c r="CX79">
        <v>0</v>
      </c>
      <c r="CY79">
        <v>1.7</v>
      </c>
      <c r="CZ79">
        <v>6.7</v>
      </c>
      <c r="DA79">
        <v>29.445837000000001</v>
      </c>
      <c r="DB79">
        <v>26.186173</v>
      </c>
      <c r="DC79">
        <v>1159320575</v>
      </c>
      <c r="DD79" t="s">
        <v>13833</v>
      </c>
      <c r="DE79" t="s">
        <v>13834</v>
      </c>
      <c r="DF79" t="s">
        <v>13835</v>
      </c>
      <c r="DG79" t="s">
        <v>13836</v>
      </c>
      <c r="DH79" t="s">
        <v>50</v>
      </c>
      <c r="DI79" t="s">
        <v>13837</v>
      </c>
      <c r="DJ79" t="s">
        <v>13834</v>
      </c>
      <c r="DK79" t="s">
        <v>13838</v>
      </c>
      <c r="DL79" t="s">
        <v>13839</v>
      </c>
      <c r="DM79" t="s">
        <v>13840</v>
      </c>
      <c r="DN79" t="s">
        <v>13841</v>
      </c>
      <c r="DO79" t="s">
        <v>13842</v>
      </c>
      <c r="DP79" t="s">
        <v>13843</v>
      </c>
      <c r="DQ79" t="s">
        <v>13844</v>
      </c>
      <c r="DR79" t="s">
        <v>13845</v>
      </c>
      <c r="DS79" t="s">
        <v>13846</v>
      </c>
      <c r="DT79" t="s">
        <v>13847</v>
      </c>
      <c r="DU79" t="s">
        <v>13848</v>
      </c>
      <c r="DV79" t="s">
        <v>13849</v>
      </c>
      <c r="DW79" t="s">
        <v>13850</v>
      </c>
      <c r="DX79" t="s">
        <v>13851</v>
      </c>
      <c r="DY79" t="s">
        <v>13852</v>
      </c>
      <c r="DZ79" t="s">
        <v>13853</v>
      </c>
      <c r="EA79" t="s">
        <v>13834</v>
      </c>
      <c r="EB79" t="s">
        <v>13854</v>
      </c>
      <c r="EC79" t="s">
        <v>13855</v>
      </c>
      <c r="ED79" t="s">
        <v>13855</v>
      </c>
      <c r="EE79" t="s">
        <v>12247</v>
      </c>
      <c r="EG79" t="s">
        <v>12247</v>
      </c>
    </row>
    <row r="80" spans="1:168" x14ac:dyDescent="0.25">
      <c r="A80" t="s">
        <v>51</v>
      </c>
      <c r="B80" t="s">
        <v>12247</v>
      </c>
      <c r="C80">
        <v>0</v>
      </c>
      <c r="D80">
        <v>6</v>
      </c>
      <c r="E80" t="s">
        <v>51</v>
      </c>
      <c r="F80" t="s">
        <v>13856</v>
      </c>
      <c r="G80">
        <v>0</v>
      </c>
      <c r="H80">
        <v>2</v>
      </c>
      <c r="I80" t="s">
        <v>12249</v>
      </c>
      <c r="J80">
        <v>1</v>
      </c>
      <c r="K80" t="s">
        <v>51</v>
      </c>
      <c r="L80" t="s">
        <v>13856</v>
      </c>
      <c r="M80">
        <v>0</v>
      </c>
      <c r="N80" t="s">
        <v>51</v>
      </c>
      <c r="O80" t="s">
        <v>13856</v>
      </c>
      <c r="P80">
        <v>0</v>
      </c>
      <c r="Q80" t="s">
        <v>51</v>
      </c>
      <c r="R80" t="s">
        <v>13856</v>
      </c>
      <c r="S80">
        <v>0</v>
      </c>
      <c r="T80" t="s">
        <v>51</v>
      </c>
      <c r="U80" t="s">
        <v>13856</v>
      </c>
      <c r="V80" t="s">
        <v>51</v>
      </c>
      <c r="X80" t="s">
        <v>13857</v>
      </c>
      <c r="Y80" t="s">
        <v>1881</v>
      </c>
      <c r="Z80" t="s">
        <v>13858</v>
      </c>
      <c r="AB80" t="s">
        <v>51</v>
      </c>
      <c r="AE80" t="s">
        <v>51</v>
      </c>
      <c r="AG80">
        <v>1</v>
      </c>
      <c r="AH80">
        <v>4</v>
      </c>
      <c r="AI80">
        <v>6</v>
      </c>
      <c r="AJ80">
        <v>8</v>
      </c>
      <c r="AK80">
        <v>6453553</v>
      </c>
      <c r="AL80">
        <v>13</v>
      </c>
      <c r="AM80">
        <v>2019</v>
      </c>
      <c r="AN80">
        <v>27022</v>
      </c>
      <c r="AO80">
        <v>2019</v>
      </c>
      <c r="AP80" t="s">
        <v>12277</v>
      </c>
      <c r="AQ80" t="s">
        <v>12278</v>
      </c>
      <c r="AR80" t="s">
        <v>1448</v>
      </c>
      <c r="AS80" t="s">
        <v>1881</v>
      </c>
      <c r="AT80" t="s">
        <v>1881</v>
      </c>
      <c r="AU80" t="s">
        <v>13856</v>
      </c>
      <c r="AV80" t="s">
        <v>13856</v>
      </c>
      <c r="AW80">
        <v>222</v>
      </c>
      <c r="AX80">
        <v>222</v>
      </c>
      <c r="AY80">
        <v>222</v>
      </c>
      <c r="AZ80" t="s">
        <v>1881</v>
      </c>
      <c r="BA80" t="s">
        <v>13856</v>
      </c>
      <c r="BB80">
        <v>23424807</v>
      </c>
      <c r="BC80">
        <v>23424807</v>
      </c>
      <c r="BD80" t="s">
        <v>12254</v>
      </c>
      <c r="BE80" t="s">
        <v>13856</v>
      </c>
      <c r="BG80" t="s">
        <v>13856</v>
      </c>
      <c r="BH80" t="s">
        <v>13856</v>
      </c>
      <c r="BI80" t="s">
        <v>13856</v>
      </c>
      <c r="BJ80" t="s">
        <v>13856</v>
      </c>
      <c r="BK80" t="s">
        <v>13856</v>
      </c>
      <c r="BL80" t="s">
        <v>13856</v>
      </c>
      <c r="BM80" t="s">
        <v>13856</v>
      </c>
      <c r="BN80" t="s">
        <v>13856</v>
      </c>
      <c r="BO80" t="s">
        <v>13856</v>
      </c>
      <c r="BP80" t="s">
        <v>13856</v>
      </c>
      <c r="BQ80" t="s">
        <v>13856</v>
      </c>
      <c r="BR80" t="s">
        <v>13856</v>
      </c>
      <c r="BS80" t="s">
        <v>13856</v>
      </c>
      <c r="BT80" t="s">
        <v>13856</v>
      </c>
      <c r="BU80" t="s">
        <v>13856</v>
      </c>
      <c r="BV80" t="s">
        <v>13856</v>
      </c>
      <c r="BW80" t="s">
        <v>13856</v>
      </c>
      <c r="BX80" t="s">
        <v>13856</v>
      </c>
      <c r="BY80" t="s">
        <v>13856</v>
      </c>
      <c r="BZ80" t="s">
        <v>13856</v>
      </c>
      <c r="CA80" t="s">
        <v>13856</v>
      </c>
      <c r="CB80" t="s">
        <v>13856</v>
      </c>
      <c r="CC80" t="s">
        <v>13856</v>
      </c>
      <c r="CD80" t="s">
        <v>13856</v>
      </c>
      <c r="CE80" t="s">
        <v>13856</v>
      </c>
      <c r="CF80" t="s">
        <v>13856</v>
      </c>
      <c r="CG80" t="s">
        <v>13856</v>
      </c>
      <c r="CH80" t="s">
        <v>13856</v>
      </c>
      <c r="CI80" t="s">
        <v>13856</v>
      </c>
      <c r="CJ80" t="s">
        <v>13856</v>
      </c>
      <c r="CK80" t="s">
        <v>13856</v>
      </c>
      <c r="CL80" t="s">
        <v>13856</v>
      </c>
      <c r="CM80">
        <v>-99</v>
      </c>
      <c r="CN80">
        <v>-99</v>
      </c>
      <c r="CO80" t="s">
        <v>12402</v>
      </c>
      <c r="CP80" t="s">
        <v>12403</v>
      </c>
      <c r="CQ80" t="s">
        <v>12829</v>
      </c>
      <c r="CR80" t="s">
        <v>12405</v>
      </c>
      <c r="CS80">
        <v>11</v>
      </c>
      <c r="CT80">
        <v>11</v>
      </c>
      <c r="CU80">
        <v>6</v>
      </c>
      <c r="CV80">
        <v>-99</v>
      </c>
      <c r="CW80">
        <v>1</v>
      </c>
      <c r="CX80">
        <v>0</v>
      </c>
      <c r="CY80">
        <v>5</v>
      </c>
      <c r="CZ80">
        <v>10</v>
      </c>
      <c r="DA80">
        <v>-88.890124</v>
      </c>
      <c r="DB80">
        <v>13.685371</v>
      </c>
      <c r="DC80">
        <v>1159321253</v>
      </c>
      <c r="DD80" t="s">
        <v>13859</v>
      </c>
      <c r="DE80" t="s">
        <v>13860</v>
      </c>
      <c r="DF80" t="s">
        <v>13861</v>
      </c>
      <c r="DG80" t="s">
        <v>51</v>
      </c>
      <c r="DH80" t="s">
        <v>51</v>
      </c>
      <c r="DI80" t="s">
        <v>51</v>
      </c>
      <c r="DJ80" t="s">
        <v>13862</v>
      </c>
      <c r="DK80" t="s">
        <v>13863</v>
      </c>
      <c r="DL80" t="s">
        <v>13864</v>
      </c>
      <c r="DM80" t="s">
        <v>13865</v>
      </c>
      <c r="DN80" t="s">
        <v>13866</v>
      </c>
      <c r="DO80" t="s">
        <v>13863</v>
      </c>
      <c r="DP80" t="s">
        <v>51</v>
      </c>
      <c r="DQ80" t="s">
        <v>51</v>
      </c>
      <c r="DR80" t="s">
        <v>13867</v>
      </c>
      <c r="DS80" t="s">
        <v>13868</v>
      </c>
      <c r="DT80" t="s">
        <v>51</v>
      </c>
      <c r="DU80" t="s">
        <v>13869</v>
      </c>
      <c r="DV80" t="s">
        <v>51</v>
      </c>
      <c r="DW80" t="s">
        <v>13870</v>
      </c>
      <c r="DX80" t="s">
        <v>51</v>
      </c>
      <c r="DY80" t="s">
        <v>51</v>
      </c>
      <c r="DZ80" t="s">
        <v>13870</v>
      </c>
      <c r="EA80" t="s">
        <v>13871</v>
      </c>
      <c r="EB80" t="s">
        <v>51</v>
      </c>
      <c r="EC80" t="s">
        <v>13872</v>
      </c>
      <c r="ED80" t="s">
        <v>13873</v>
      </c>
      <c r="EE80" t="s">
        <v>12247</v>
      </c>
      <c r="EG80" t="s">
        <v>12247</v>
      </c>
    </row>
    <row r="81" spans="1:253" x14ac:dyDescent="0.25">
      <c r="A81" t="s">
        <v>52</v>
      </c>
      <c r="B81" t="s">
        <v>12247</v>
      </c>
      <c r="C81">
        <v>0</v>
      </c>
      <c r="D81">
        <v>4</v>
      </c>
      <c r="E81" t="s">
        <v>52</v>
      </c>
      <c r="F81" t="s">
        <v>13874</v>
      </c>
      <c r="G81">
        <v>0</v>
      </c>
      <c r="H81">
        <v>2</v>
      </c>
      <c r="I81" t="s">
        <v>12249</v>
      </c>
      <c r="J81">
        <v>1</v>
      </c>
      <c r="K81" t="s">
        <v>52</v>
      </c>
      <c r="L81" t="s">
        <v>13874</v>
      </c>
      <c r="M81">
        <v>0</v>
      </c>
      <c r="N81" t="s">
        <v>52</v>
      </c>
      <c r="O81" t="s">
        <v>13874</v>
      </c>
      <c r="P81">
        <v>0</v>
      </c>
      <c r="Q81" t="s">
        <v>52</v>
      </c>
      <c r="R81" t="s">
        <v>13874</v>
      </c>
      <c r="S81">
        <v>0</v>
      </c>
      <c r="T81" t="s">
        <v>52</v>
      </c>
      <c r="U81" t="s">
        <v>13874</v>
      </c>
      <c r="V81" t="s">
        <v>13875</v>
      </c>
      <c r="X81" t="s">
        <v>13876</v>
      </c>
      <c r="Y81" t="s">
        <v>1514</v>
      </c>
      <c r="Z81" t="s">
        <v>13877</v>
      </c>
      <c r="AB81" t="s">
        <v>52</v>
      </c>
      <c r="AE81" t="s">
        <v>52</v>
      </c>
      <c r="AG81">
        <v>4</v>
      </c>
      <c r="AH81">
        <v>1</v>
      </c>
      <c r="AI81">
        <v>4</v>
      </c>
      <c r="AJ81">
        <v>8</v>
      </c>
      <c r="AK81">
        <v>1355986</v>
      </c>
      <c r="AL81">
        <v>12</v>
      </c>
      <c r="AM81">
        <v>2019</v>
      </c>
      <c r="AN81">
        <v>11026</v>
      </c>
      <c r="AO81">
        <v>2019</v>
      </c>
      <c r="AP81" t="s">
        <v>12252</v>
      </c>
      <c r="AQ81" t="s">
        <v>12335</v>
      </c>
      <c r="AR81" t="s">
        <v>13878</v>
      </c>
      <c r="AS81" t="s">
        <v>1514</v>
      </c>
      <c r="AT81" t="s">
        <v>1514</v>
      </c>
      <c r="AU81" t="s">
        <v>13874</v>
      </c>
      <c r="AV81" t="s">
        <v>13874</v>
      </c>
      <c r="AW81">
        <v>226</v>
      </c>
      <c r="AX81">
        <v>226</v>
      </c>
      <c r="AY81">
        <v>226</v>
      </c>
      <c r="AZ81" t="s">
        <v>1514</v>
      </c>
      <c r="BA81" t="s">
        <v>13874</v>
      </c>
      <c r="BB81">
        <v>23424804</v>
      </c>
      <c r="BC81">
        <v>23424804</v>
      </c>
      <c r="BD81" t="s">
        <v>12254</v>
      </c>
      <c r="BE81" t="s">
        <v>13874</v>
      </c>
      <c r="BG81" t="s">
        <v>13874</v>
      </c>
      <c r="BH81" t="s">
        <v>13874</v>
      </c>
      <c r="BI81" t="s">
        <v>13874</v>
      </c>
      <c r="BJ81" t="s">
        <v>13874</v>
      </c>
      <c r="BK81" t="s">
        <v>13874</v>
      </c>
      <c r="BL81" t="s">
        <v>13874</v>
      </c>
      <c r="BM81" t="s">
        <v>13874</v>
      </c>
      <c r="BN81" t="s">
        <v>13874</v>
      </c>
      <c r="BO81" t="s">
        <v>13874</v>
      </c>
      <c r="BP81" t="s">
        <v>13874</v>
      </c>
      <c r="BQ81" t="s">
        <v>13874</v>
      </c>
      <c r="BR81" t="s">
        <v>13874</v>
      </c>
      <c r="BS81" t="s">
        <v>13874</v>
      </c>
      <c r="BT81" t="s">
        <v>13874</v>
      </c>
      <c r="BU81" t="s">
        <v>13874</v>
      </c>
      <c r="BV81" t="s">
        <v>13874</v>
      </c>
      <c r="BW81" t="s">
        <v>13874</v>
      </c>
      <c r="BX81" t="s">
        <v>13874</v>
      </c>
      <c r="BY81" t="s">
        <v>13874</v>
      </c>
      <c r="BZ81" t="s">
        <v>13874</v>
      </c>
      <c r="CA81" t="s">
        <v>13874</v>
      </c>
      <c r="CB81" t="s">
        <v>13874</v>
      </c>
      <c r="CC81" t="s">
        <v>13874</v>
      </c>
      <c r="CD81" t="s">
        <v>13874</v>
      </c>
      <c r="CE81" t="s">
        <v>13874</v>
      </c>
      <c r="CF81" t="s">
        <v>13874</v>
      </c>
      <c r="CG81" t="s">
        <v>13874</v>
      </c>
      <c r="CH81" t="s">
        <v>13874</v>
      </c>
      <c r="CI81" t="s">
        <v>13874</v>
      </c>
      <c r="CJ81" t="s">
        <v>13874</v>
      </c>
      <c r="CK81" t="s">
        <v>13874</v>
      </c>
      <c r="CL81" t="s">
        <v>13874</v>
      </c>
      <c r="CM81">
        <v>-99</v>
      </c>
      <c r="CN81">
        <v>-99</v>
      </c>
      <c r="CO81" t="s">
        <v>12306</v>
      </c>
      <c r="CP81" t="s">
        <v>12306</v>
      </c>
      <c r="CQ81" t="s">
        <v>12356</v>
      </c>
      <c r="CR81" t="s">
        <v>12357</v>
      </c>
      <c r="CS81">
        <v>10</v>
      </c>
      <c r="CT81">
        <v>17</v>
      </c>
      <c r="CU81">
        <v>6</v>
      </c>
      <c r="CV81">
        <v>-99</v>
      </c>
      <c r="CW81">
        <v>1</v>
      </c>
      <c r="CX81">
        <v>0</v>
      </c>
      <c r="CY81">
        <v>4</v>
      </c>
      <c r="CZ81">
        <v>9</v>
      </c>
      <c r="DA81">
        <v>8.9901999999999997</v>
      </c>
      <c r="DB81">
        <v>2.3330000000000002</v>
      </c>
      <c r="DC81">
        <v>1159320801</v>
      </c>
      <c r="DD81" t="s">
        <v>13879</v>
      </c>
      <c r="DE81" t="s">
        <v>13880</v>
      </c>
      <c r="DF81" t="s">
        <v>13881</v>
      </c>
      <c r="DG81" t="s">
        <v>13882</v>
      </c>
      <c r="DH81" t="s">
        <v>52</v>
      </c>
      <c r="DI81" t="s">
        <v>13883</v>
      </c>
      <c r="DJ81" t="s">
        <v>13884</v>
      </c>
      <c r="DK81" t="s">
        <v>13885</v>
      </c>
      <c r="DL81" t="s">
        <v>13886</v>
      </c>
      <c r="DM81" t="s">
        <v>13887</v>
      </c>
      <c r="DN81" t="s">
        <v>13888</v>
      </c>
      <c r="DO81" t="s">
        <v>13889</v>
      </c>
      <c r="DP81" t="s">
        <v>13890</v>
      </c>
      <c r="DQ81" t="s">
        <v>13891</v>
      </c>
      <c r="DR81" t="s">
        <v>13892</v>
      </c>
      <c r="DS81" t="s">
        <v>13893</v>
      </c>
      <c r="DT81" t="s">
        <v>13894</v>
      </c>
      <c r="DU81" t="s">
        <v>13895</v>
      </c>
      <c r="DV81" t="s">
        <v>13896</v>
      </c>
      <c r="DW81" t="s">
        <v>13897</v>
      </c>
      <c r="DX81" t="s">
        <v>13898</v>
      </c>
      <c r="DY81" t="s">
        <v>13899</v>
      </c>
      <c r="DZ81" t="s">
        <v>13900</v>
      </c>
      <c r="EA81" t="s">
        <v>13901</v>
      </c>
      <c r="EB81" t="s">
        <v>13902</v>
      </c>
      <c r="EC81" t="s">
        <v>13903</v>
      </c>
      <c r="ED81" t="s">
        <v>13904</v>
      </c>
      <c r="EE81" t="s">
        <v>12247</v>
      </c>
      <c r="EG81" t="s">
        <v>12247</v>
      </c>
    </row>
    <row r="82" spans="1:253" x14ac:dyDescent="0.25">
      <c r="A82" t="s">
        <v>53</v>
      </c>
      <c r="B82" t="s">
        <v>12247</v>
      </c>
      <c r="C82">
        <v>0</v>
      </c>
      <c r="D82">
        <v>4</v>
      </c>
      <c r="E82" t="s">
        <v>53</v>
      </c>
      <c r="F82" t="s">
        <v>13905</v>
      </c>
      <c r="G82">
        <v>0</v>
      </c>
      <c r="H82">
        <v>2</v>
      </c>
      <c r="I82" t="s">
        <v>12249</v>
      </c>
      <c r="J82">
        <v>1</v>
      </c>
      <c r="K82" t="s">
        <v>53</v>
      </c>
      <c r="L82" t="s">
        <v>13905</v>
      </c>
      <c r="M82">
        <v>0</v>
      </c>
      <c r="N82" t="s">
        <v>53</v>
      </c>
      <c r="O82" t="s">
        <v>13905</v>
      </c>
      <c r="P82">
        <v>0</v>
      </c>
      <c r="Q82" t="s">
        <v>53</v>
      </c>
      <c r="R82" t="s">
        <v>13905</v>
      </c>
      <c r="S82">
        <v>0</v>
      </c>
      <c r="T82" t="s">
        <v>53</v>
      </c>
      <c r="U82" t="s">
        <v>13905</v>
      </c>
      <c r="V82" t="s">
        <v>53</v>
      </c>
      <c r="X82" t="s">
        <v>13906</v>
      </c>
      <c r="Y82" t="s">
        <v>1445</v>
      </c>
      <c r="Z82" t="s">
        <v>13907</v>
      </c>
      <c r="AB82" t="s">
        <v>53</v>
      </c>
      <c r="AE82" t="s">
        <v>53</v>
      </c>
      <c r="AG82">
        <v>3</v>
      </c>
      <c r="AH82">
        <v>1</v>
      </c>
      <c r="AI82">
        <v>2</v>
      </c>
      <c r="AJ82">
        <v>12</v>
      </c>
      <c r="AK82">
        <v>6081196</v>
      </c>
      <c r="AL82">
        <v>13</v>
      </c>
      <c r="AM82">
        <v>2020</v>
      </c>
      <c r="AN82">
        <v>2065</v>
      </c>
      <c r="AO82">
        <v>2011</v>
      </c>
      <c r="AP82" t="s">
        <v>12252</v>
      </c>
      <c r="AQ82" t="s">
        <v>12253</v>
      </c>
      <c r="AR82" t="s">
        <v>1445</v>
      </c>
      <c r="AS82" t="s">
        <v>1445</v>
      </c>
      <c r="AT82" t="s">
        <v>1445</v>
      </c>
      <c r="AU82" t="s">
        <v>13905</v>
      </c>
      <c r="AV82" t="s">
        <v>13905</v>
      </c>
      <c r="AW82">
        <v>232</v>
      </c>
      <c r="AX82">
        <v>232</v>
      </c>
      <c r="AY82">
        <v>232</v>
      </c>
      <c r="AZ82" t="s">
        <v>1445</v>
      </c>
      <c r="BA82" t="s">
        <v>13905</v>
      </c>
      <c r="BB82">
        <v>23424806</v>
      </c>
      <c r="BC82">
        <v>23424806</v>
      </c>
      <c r="BD82" t="s">
        <v>12254</v>
      </c>
      <c r="BE82" t="s">
        <v>13905</v>
      </c>
      <c r="BG82" t="s">
        <v>13905</v>
      </c>
      <c r="BH82" t="s">
        <v>13905</v>
      </c>
      <c r="BI82" t="s">
        <v>13905</v>
      </c>
      <c r="BJ82" t="s">
        <v>13905</v>
      </c>
      <c r="BK82" t="s">
        <v>13905</v>
      </c>
      <c r="BL82" t="s">
        <v>13905</v>
      </c>
      <c r="BM82" t="s">
        <v>13905</v>
      </c>
      <c r="BN82" t="s">
        <v>13905</v>
      </c>
      <c r="BO82" t="s">
        <v>13905</v>
      </c>
      <c r="BP82" t="s">
        <v>13905</v>
      </c>
      <c r="BQ82" t="s">
        <v>13905</v>
      </c>
      <c r="BR82" t="s">
        <v>13905</v>
      </c>
      <c r="BS82" t="s">
        <v>13905</v>
      </c>
      <c r="BT82" t="s">
        <v>13905</v>
      </c>
      <c r="BU82" t="s">
        <v>13905</v>
      </c>
      <c r="BV82" t="s">
        <v>13905</v>
      </c>
      <c r="BW82" t="s">
        <v>13905</v>
      </c>
      <c r="BX82" t="s">
        <v>13905</v>
      </c>
      <c r="BY82" t="s">
        <v>13905</v>
      </c>
      <c r="BZ82" t="s">
        <v>13905</v>
      </c>
      <c r="CA82" t="s">
        <v>13905</v>
      </c>
      <c r="CB82" t="s">
        <v>13905</v>
      </c>
      <c r="CC82" t="s">
        <v>13905</v>
      </c>
      <c r="CD82" t="s">
        <v>13905</v>
      </c>
      <c r="CE82" t="s">
        <v>13905</v>
      </c>
      <c r="CF82" t="s">
        <v>13905</v>
      </c>
      <c r="CG82" t="s">
        <v>13905</v>
      </c>
      <c r="CH82" t="s">
        <v>13905</v>
      </c>
      <c r="CI82" t="s">
        <v>13905</v>
      </c>
      <c r="CJ82" t="s">
        <v>13905</v>
      </c>
      <c r="CK82" t="s">
        <v>13905</v>
      </c>
      <c r="CL82" t="s">
        <v>13905</v>
      </c>
      <c r="CM82">
        <v>-99</v>
      </c>
      <c r="CN82">
        <v>-99</v>
      </c>
      <c r="CO82" t="s">
        <v>12306</v>
      </c>
      <c r="CP82" t="s">
        <v>12306</v>
      </c>
      <c r="CQ82" t="s">
        <v>13085</v>
      </c>
      <c r="CR82" t="s">
        <v>12357</v>
      </c>
      <c r="CS82">
        <v>7</v>
      </c>
      <c r="CT82">
        <v>7</v>
      </c>
      <c r="CU82">
        <v>5</v>
      </c>
      <c r="CV82">
        <v>-99</v>
      </c>
      <c r="CW82">
        <v>1</v>
      </c>
      <c r="CX82">
        <v>0</v>
      </c>
      <c r="CY82">
        <v>4</v>
      </c>
      <c r="CZ82">
        <v>9</v>
      </c>
      <c r="DA82">
        <v>38.285566000000003</v>
      </c>
      <c r="DB82">
        <v>15.787400999999999</v>
      </c>
      <c r="DC82">
        <v>1159320581</v>
      </c>
      <c r="DD82" t="s">
        <v>13908</v>
      </c>
      <c r="DE82" t="s">
        <v>13909</v>
      </c>
      <c r="DF82" t="s">
        <v>13910</v>
      </c>
      <c r="DG82" t="s">
        <v>53</v>
      </c>
      <c r="DH82" t="s">
        <v>53</v>
      </c>
      <c r="DI82" t="s">
        <v>53</v>
      </c>
      <c r="DJ82" t="s">
        <v>13911</v>
      </c>
      <c r="DK82" t="s">
        <v>13912</v>
      </c>
      <c r="DL82" t="s">
        <v>13913</v>
      </c>
      <c r="DM82" t="s">
        <v>13914</v>
      </c>
      <c r="DN82" t="s">
        <v>13915</v>
      </c>
      <c r="DO82" t="s">
        <v>53</v>
      </c>
      <c r="DP82" t="s">
        <v>53</v>
      </c>
      <c r="DQ82" t="s">
        <v>53</v>
      </c>
      <c r="DR82" t="s">
        <v>13916</v>
      </c>
      <c r="DS82" t="s">
        <v>13917</v>
      </c>
      <c r="DT82" t="s">
        <v>53</v>
      </c>
      <c r="DU82" t="s">
        <v>13918</v>
      </c>
      <c r="DV82" t="s">
        <v>13919</v>
      </c>
      <c r="DW82" t="s">
        <v>13920</v>
      </c>
      <c r="DX82" t="s">
        <v>53</v>
      </c>
      <c r="DY82" t="s">
        <v>13921</v>
      </c>
      <c r="DZ82" t="s">
        <v>13922</v>
      </c>
      <c r="EA82" t="s">
        <v>13923</v>
      </c>
      <c r="EB82" t="s">
        <v>53</v>
      </c>
      <c r="EC82" t="s">
        <v>13924</v>
      </c>
      <c r="ED82" t="s">
        <v>13925</v>
      </c>
      <c r="EE82" t="s">
        <v>12247</v>
      </c>
      <c r="EG82" t="s">
        <v>12247</v>
      </c>
    </row>
    <row r="83" spans="1:253" x14ac:dyDescent="0.25">
      <c r="A83" t="s">
        <v>54</v>
      </c>
      <c r="B83" t="s">
        <v>12247</v>
      </c>
      <c r="C83">
        <v>0</v>
      </c>
      <c r="D83">
        <v>6</v>
      </c>
      <c r="E83" t="s">
        <v>54</v>
      </c>
      <c r="F83" t="s">
        <v>13926</v>
      </c>
      <c r="G83">
        <v>0</v>
      </c>
      <c r="H83">
        <v>2</v>
      </c>
      <c r="I83" t="s">
        <v>12249</v>
      </c>
      <c r="J83">
        <v>1</v>
      </c>
      <c r="K83" t="s">
        <v>54</v>
      </c>
      <c r="L83" t="s">
        <v>13926</v>
      </c>
      <c r="M83">
        <v>0</v>
      </c>
      <c r="N83" t="s">
        <v>54</v>
      </c>
      <c r="O83" t="s">
        <v>13926</v>
      </c>
      <c r="P83">
        <v>0</v>
      </c>
      <c r="Q83" t="s">
        <v>54</v>
      </c>
      <c r="R83" t="s">
        <v>13926</v>
      </c>
      <c r="S83">
        <v>0</v>
      </c>
      <c r="T83" t="s">
        <v>54</v>
      </c>
      <c r="U83" t="s">
        <v>13926</v>
      </c>
      <c r="V83" t="s">
        <v>54</v>
      </c>
      <c r="X83" t="s">
        <v>13927</v>
      </c>
      <c r="Y83" t="s">
        <v>13926</v>
      </c>
      <c r="Z83" t="s">
        <v>13928</v>
      </c>
      <c r="AB83" t="s">
        <v>54</v>
      </c>
      <c r="AE83" t="s">
        <v>54</v>
      </c>
      <c r="AG83">
        <v>3</v>
      </c>
      <c r="AH83">
        <v>2</v>
      </c>
      <c r="AI83">
        <v>1</v>
      </c>
      <c r="AJ83">
        <v>10</v>
      </c>
      <c r="AK83">
        <v>1326590</v>
      </c>
      <c r="AL83">
        <v>12</v>
      </c>
      <c r="AM83">
        <v>2019</v>
      </c>
      <c r="AN83">
        <v>31471</v>
      </c>
      <c r="AO83">
        <v>2019</v>
      </c>
      <c r="AP83" t="s">
        <v>12334</v>
      </c>
      <c r="AQ83" t="s">
        <v>12513</v>
      </c>
      <c r="AR83" t="s">
        <v>13929</v>
      </c>
      <c r="AS83" t="s">
        <v>1434</v>
      </c>
      <c r="AT83" t="s">
        <v>1434</v>
      </c>
      <c r="AU83" t="s">
        <v>13926</v>
      </c>
      <c r="AV83" t="s">
        <v>13926</v>
      </c>
      <c r="AW83">
        <v>233</v>
      </c>
      <c r="AX83">
        <v>233</v>
      </c>
      <c r="AY83">
        <v>233</v>
      </c>
      <c r="AZ83" t="s">
        <v>1434</v>
      </c>
      <c r="BA83" t="s">
        <v>13926</v>
      </c>
      <c r="BB83">
        <v>23424805</v>
      </c>
      <c r="BC83">
        <v>23424805</v>
      </c>
      <c r="BD83" t="s">
        <v>12254</v>
      </c>
      <c r="BE83" t="s">
        <v>13926</v>
      </c>
      <c r="BG83" t="s">
        <v>13926</v>
      </c>
      <c r="BH83" t="s">
        <v>13926</v>
      </c>
      <c r="BI83" t="s">
        <v>13926</v>
      </c>
      <c r="BJ83" t="s">
        <v>13926</v>
      </c>
      <c r="BK83" t="s">
        <v>13926</v>
      </c>
      <c r="BL83" t="s">
        <v>13926</v>
      </c>
      <c r="BM83" t="s">
        <v>13926</v>
      </c>
      <c r="BN83" t="s">
        <v>13926</v>
      </c>
      <c r="BO83" t="s">
        <v>13926</v>
      </c>
      <c r="BP83" t="s">
        <v>13926</v>
      </c>
      <c r="BQ83" t="s">
        <v>13926</v>
      </c>
      <c r="BR83" t="s">
        <v>13926</v>
      </c>
      <c r="BS83" t="s">
        <v>13926</v>
      </c>
      <c r="BT83" t="s">
        <v>13926</v>
      </c>
      <c r="BU83" t="s">
        <v>13926</v>
      </c>
      <c r="BV83" t="s">
        <v>13926</v>
      </c>
      <c r="BW83" t="s">
        <v>13926</v>
      </c>
      <c r="BX83" t="s">
        <v>13926</v>
      </c>
      <c r="BY83" t="s">
        <v>13926</v>
      </c>
      <c r="BZ83" t="s">
        <v>13926</v>
      </c>
      <c r="CA83" t="s">
        <v>13926</v>
      </c>
      <c r="CB83" t="s">
        <v>13926</v>
      </c>
      <c r="CC83" t="s">
        <v>13926</v>
      </c>
      <c r="CD83" t="s">
        <v>13926</v>
      </c>
      <c r="CE83" t="s">
        <v>13926</v>
      </c>
      <c r="CF83" t="s">
        <v>13926</v>
      </c>
      <c r="CG83" t="s">
        <v>13926</v>
      </c>
      <c r="CH83" t="s">
        <v>13926</v>
      </c>
      <c r="CI83" t="s">
        <v>13926</v>
      </c>
      <c r="CJ83" t="s">
        <v>13926</v>
      </c>
      <c r="CK83" t="s">
        <v>13926</v>
      </c>
      <c r="CL83" t="s">
        <v>13926</v>
      </c>
      <c r="CM83">
        <v>-99</v>
      </c>
      <c r="CN83">
        <v>-99</v>
      </c>
      <c r="CO83" t="s">
        <v>12279</v>
      </c>
      <c r="CP83" t="s">
        <v>12279</v>
      </c>
      <c r="CQ83" t="s">
        <v>12515</v>
      </c>
      <c r="CR83" t="s">
        <v>12281</v>
      </c>
      <c r="CS83">
        <v>7</v>
      </c>
      <c r="CT83">
        <v>7</v>
      </c>
      <c r="CU83">
        <v>4</v>
      </c>
      <c r="CV83">
        <v>-99</v>
      </c>
      <c r="CW83">
        <v>1</v>
      </c>
      <c r="CX83">
        <v>0</v>
      </c>
      <c r="CY83">
        <v>3</v>
      </c>
      <c r="CZ83">
        <v>8</v>
      </c>
      <c r="DA83">
        <v>25.867125999999999</v>
      </c>
      <c r="DB83">
        <v>58.724865000000001</v>
      </c>
      <c r="DC83">
        <v>1159320615</v>
      </c>
      <c r="DD83" t="s">
        <v>13930</v>
      </c>
      <c r="DE83" t="s">
        <v>13931</v>
      </c>
      <c r="DF83" t="s">
        <v>13932</v>
      </c>
      <c r="DG83" t="s">
        <v>13933</v>
      </c>
      <c r="DH83" t="s">
        <v>54</v>
      </c>
      <c r="DI83" t="s">
        <v>54</v>
      </c>
      <c r="DJ83" t="s">
        <v>13934</v>
      </c>
      <c r="DK83" t="s">
        <v>13935</v>
      </c>
      <c r="DL83" t="s">
        <v>13936</v>
      </c>
      <c r="DM83" t="s">
        <v>13937</v>
      </c>
      <c r="DN83" t="s">
        <v>13938</v>
      </c>
      <c r="DO83" t="s">
        <v>13939</v>
      </c>
      <c r="DP83" t="s">
        <v>54</v>
      </c>
      <c r="DQ83" t="s">
        <v>54</v>
      </c>
      <c r="DR83" t="s">
        <v>13940</v>
      </c>
      <c r="DS83" t="s">
        <v>13941</v>
      </c>
      <c r="DT83" t="s">
        <v>13933</v>
      </c>
      <c r="DU83" t="s">
        <v>54</v>
      </c>
      <c r="DV83" t="s">
        <v>13942</v>
      </c>
      <c r="DW83" t="s">
        <v>13943</v>
      </c>
      <c r="DX83" t="s">
        <v>13933</v>
      </c>
      <c r="DY83" t="s">
        <v>13944</v>
      </c>
      <c r="DZ83" t="s">
        <v>13945</v>
      </c>
      <c r="EA83" t="s">
        <v>13946</v>
      </c>
      <c r="EB83" t="s">
        <v>54</v>
      </c>
      <c r="EC83" t="s">
        <v>13947</v>
      </c>
      <c r="ED83" t="s">
        <v>13948</v>
      </c>
      <c r="EE83" t="s">
        <v>12247</v>
      </c>
      <c r="EG83" t="s">
        <v>12247</v>
      </c>
    </row>
    <row r="84" spans="1:253" x14ac:dyDescent="0.25">
      <c r="A84" t="s">
        <v>13949</v>
      </c>
      <c r="B84" t="s">
        <v>12247</v>
      </c>
      <c r="C84">
        <v>0</v>
      </c>
      <c r="D84">
        <v>4</v>
      </c>
      <c r="E84" t="s">
        <v>13949</v>
      </c>
      <c r="F84" t="s">
        <v>13950</v>
      </c>
      <c r="G84">
        <v>0</v>
      </c>
      <c r="H84">
        <v>2</v>
      </c>
      <c r="I84" t="s">
        <v>12249</v>
      </c>
      <c r="J84">
        <v>1</v>
      </c>
      <c r="K84" t="s">
        <v>13949</v>
      </c>
      <c r="L84" t="s">
        <v>13950</v>
      </c>
      <c r="M84">
        <v>0</v>
      </c>
      <c r="N84" t="s">
        <v>13949</v>
      </c>
      <c r="O84" t="s">
        <v>13950</v>
      </c>
      <c r="P84">
        <v>0</v>
      </c>
      <c r="Q84" t="s">
        <v>13949</v>
      </c>
      <c r="R84" t="s">
        <v>13950</v>
      </c>
      <c r="S84">
        <v>0</v>
      </c>
      <c r="T84" t="s">
        <v>13951</v>
      </c>
      <c r="U84" t="s">
        <v>13950</v>
      </c>
      <c r="V84" t="s">
        <v>13949</v>
      </c>
      <c r="X84" t="s">
        <v>13952</v>
      </c>
      <c r="Y84" t="s">
        <v>1448</v>
      </c>
      <c r="Z84" t="s">
        <v>13951</v>
      </c>
      <c r="AB84" t="s">
        <v>13949</v>
      </c>
      <c r="AE84" t="s">
        <v>13949</v>
      </c>
      <c r="AF84" t="s">
        <v>13953</v>
      </c>
      <c r="AG84">
        <v>3</v>
      </c>
      <c r="AH84">
        <v>6</v>
      </c>
      <c r="AI84">
        <v>2</v>
      </c>
      <c r="AJ84">
        <v>5</v>
      </c>
      <c r="AK84">
        <v>1148130</v>
      </c>
      <c r="AL84">
        <v>12</v>
      </c>
      <c r="AM84">
        <v>2019</v>
      </c>
      <c r="AN84">
        <v>4471</v>
      </c>
      <c r="AO84">
        <v>2019</v>
      </c>
      <c r="AP84" t="s">
        <v>12277</v>
      </c>
      <c r="AQ84" t="s">
        <v>12278</v>
      </c>
      <c r="AR84" t="s">
        <v>13954</v>
      </c>
      <c r="AS84" t="s">
        <v>1890</v>
      </c>
      <c r="AT84" t="s">
        <v>1890</v>
      </c>
      <c r="AU84" t="s">
        <v>13950</v>
      </c>
      <c r="AV84" t="s">
        <v>13950</v>
      </c>
      <c r="AW84">
        <v>748</v>
      </c>
      <c r="AX84">
        <v>748</v>
      </c>
      <c r="AY84">
        <v>748</v>
      </c>
      <c r="AZ84" t="s">
        <v>1890</v>
      </c>
      <c r="BA84" t="s">
        <v>13950</v>
      </c>
      <c r="BB84">
        <v>23424993</v>
      </c>
      <c r="BC84">
        <v>23424993</v>
      </c>
      <c r="BD84" t="s">
        <v>12254</v>
      </c>
      <c r="BE84" t="s">
        <v>13950</v>
      </c>
      <c r="BG84" t="s">
        <v>13950</v>
      </c>
      <c r="BH84" t="s">
        <v>13950</v>
      </c>
      <c r="BI84" t="s">
        <v>13950</v>
      </c>
      <c r="BJ84" t="s">
        <v>13950</v>
      </c>
      <c r="BK84" t="s">
        <v>13950</v>
      </c>
      <c r="BL84" t="s">
        <v>13950</v>
      </c>
      <c r="BM84" t="s">
        <v>13950</v>
      </c>
      <c r="BN84" t="s">
        <v>13950</v>
      </c>
      <c r="BO84" t="s">
        <v>13950</v>
      </c>
      <c r="BP84" t="s">
        <v>13950</v>
      </c>
      <c r="BQ84" t="s">
        <v>13950</v>
      </c>
      <c r="BR84" t="s">
        <v>13950</v>
      </c>
      <c r="BS84" t="s">
        <v>13950</v>
      </c>
      <c r="BT84" t="s">
        <v>13950</v>
      </c>
      <c r="BU84" t="s">
        <v>13950</v>
      </c>
      <c r="BV84" t="s">
        <v>13950</v>
      </c>
      <c r="BW84" t="s">
        <v>13950</v>
      </c>
      <c r="BX84" t="s">
        <v>13950</v>
      </c>
      <c r="BY84" t="s">
        <v>13950</v>
      </c>
      <c r="BZ84" t="s">
        <v>13950</v>
      </c>
      <c r="CA84" t="s">
        <v>13950</v>
      </c>
      <c r="CB84" t="s">
        <v>13950</v>
      </c>
      <c r="CC84" t="s">
        <v>13950</v>
      </c>
      <c r="CD84" t="s">
        <v>13950</v>
      </c>
      <c r="CE84" t="s">
        <v>13950</v>
      </c>
      <c r="CF84" t="s">
        <v>13950</v>
      </c>
      <c r="CG84" t="s">
        <v>13950</v>
      </c>
      <c r="CH84" t="s">
        <v>13950</v>
      </c>
      <c r="CI84" t="s">
        <v>13950</v>
      </c>
      <c r="CJ84" t="s">
        <v>13950</v>
      </c>
      <c r="CK84" t="s">
        <v>13950</v>
      </c>
      <c r="CL84" t="s">
        <v>13950</v>
      </c>
      <c r="CM84">
        <v>-99</v>
      </c>
      <c r="CN84">
        <v>-99</v>
      </c>
      <c r="CO84" t="s">
        <v>12306</v>
      </c>
      <c r="CP84" t="s">
        <v>12306</v>
      </c>
      <c r="CQ84" t="s">
        <v>12956</v>
      </c>
      <c r="CR84" t="s">
        <v>12357</v>
      </c>
      <c r="CS84">
        <v>8</v>
      </c>
      <c r="CT84">
        <v>19</v>
      </c>
      <c r="CU84">
        <v>4</v>
      </c>
      <c r="CV84">
        <v>-99</v>
      </c>
      <c r="CW84">
        <v>1</v>
      </c>
      <c r="CX84">
        <v>0</v>
      </c>
      <c r="CY84">
        <v>4</v>
      </c>
      <c r="CZ84">
        <v>9</v>
      </c>
      <c r="DA84">
        <v>31.467264</v>
      </c>
      <c r="DB84">
        <v>-26.533676</v>
      </c>
      <c r="DC84">
        <v>1159321289</v>
      </c>
      <c r="DD84" t="s">
        <v>13955</v>
      </c>
      <c r="DE84" t="s">
        <v>13956</v>
      </c>
      <c r="DF84" t="s">
        <v>13957</v>
      </c>
      <c r="DG84" t="s">
        <v>2147</v>
      </c>
      <c r="DH84" t="s">
        <v>2147</v>
      </c>
      <c r="DI84" t="s">
        <v>13958</v>
      </c>
      <c r="DJ84" t="s">
        <v>13959</v>
      </c>
      <c r="DK84" t="s">
        <v>2147</v>
      </c>
      <c r="DL84" t="s">
        <v>13960</v>
      </c>
      <c r="DM84" t="s">
        <v>13961</v>
      </c>
      <c r="DN84" t="s">
        <v>13962</v>
      </c>
      <c r="DO84" t="s">
        <v>13963</v>
      </c>
      <c r="DP84" t="s">
        <v>2147</v>
      </c>
      <c r="DQ84" t="s">
        <v>13949</v>
      </c>
      <c r="DR84" t="s">
        <v>13964</v>
      </c>
      <c r="DS84" t="s">
        <v>13965</v>
      </c>
      <c r="DT84" t="s">
        <v>13953</v>
      </c>
      <c r="DU84" t="s">
        <v>2147</v>
      </c>
      <c r="DV84" t="s">
        <v>13966</v>
      </c>
      <c r="DW84" t="s">
        <v>13967</v>
      </c>
      <c r="DX84" t="s">
        <v>13953</v>
      </c>
      <c r="DY84" t="s">
        <v>13968</v>
      </c>
      <c r="DZ84" t="s">
        <v>13969</v>
      </c>
      <c r="EA84" t="s">
        <v>13959</v>
      </c>
      <c r="EB84" t="s">
        <v>2147</v>
      </c>
      <c r="EC84" t="s">
        <v>13970</v>
      </c>
      <c r="ED84" t="s">
        <v>13971</v>
      </c>
      <c r="EE84" t="s">
        <v>12247</v>
      </c>
      <c r="EG84" t="s">
        <v>12247</v>
      </c>
    </row>
    <row r="85" spans="1:253" x14ac:dyDescent="0.25">
      <c r="A85" t="s">
        <v>55</v>
      </c>
      <c r="B85" t="s">
        <v>12247</v>
      </c>
      <c r="C85">
        <v>0</v>
      </c>
      <c r="D85">
        <v>2</v>
      </c>
      <c r="E85" t="s">
        <v>55</v>
      </c>
      <c r="F85" t="s">
        <v>13972</v>
      </c>
      <c r="G85">
        <v>0</v>
      </c>
      <c r="H85">
        <v>2</v>
      </c>
      <c r="I85" t="s">
        <v>12249</v>
      </c>
      <c r="J85">
        <v>1</v>
      </c>
      <c r="K85" t="s">
        <v>55</v>
      </c>
      <c r="L85" t="s">
        <v>13972</v>
      </c>
      <c r="M85">
        <v>0</v>
      </c>
      <c r="N85" t="s">
        <v>55</v>
      </c>
      <c r="O85" t="s">
        <v>13972</v>
      </c>
      <c r="P85">
        <v>0</v>
      </c>
      <c r="Q85" t="s">
        <v>55</v>
      </c>
      <c r="R85" t="s">
        <v>13972</v>
      </c>
      <c r="S85">
        <v>0</v>
      </c>
      <c r="T85" t="s">
        <v>55</v>
      </c>
      <c r="U85" t="s">
        <v>13972</v>
      </c>
      <c r="V85" t="s">
        <v>55</v>
      </c>
      <c r="X85" t="s">
        <v>13973</v>
      </c>
      <c r="Y85" t="s">
        <v>1452</v>
      </c>
      <c r="Z85" t="s">
        <v>13974</v>
      </c>
      <c r="AB85" t="s">
        <v>55</v>
      </c>
      <c r="AE85" t="s">
        <v>55</v>
      </c>
      <c r="AG85">
        <v>4</v>
      </c>
      <c r="AH85">
        <v>4</v>
      </c>
      <c r="AI85">
        <v>1</v>
      </c>
      <c r="AJ85">
        <v>13</v>
      </c>
      <c r="AK85">
        <v>112078730</v>
      </c>
      <c r="AL85">
        <v>17</v>
      </c>
      <c r="AM85">
        <v>2019</v>
      </c>
      <c r="AN85">
        <v>95912</v>
      </c>
      <c r="AO85">
        <v>2019</v>
      </c>
      <c r="AP85" t="s">
        <v>12252</v>
      </c>
      <c r="AQ85" t="s">
        <v>12253</v>
      </c>
      <c r="AR85" t="s">
        <v>1452</v>
      </c>
      <c r="AS85" t="s">
        <v>1452</v>
      </c>
      <c r="AT85" t="s">
        <v>1452</v>
      </c>
      <c r="AU85" t="s">
        <v>13972</v>
      </c>
      <c r="AV85" t="s">
        <v>13972</v>
      </c>
      <c r="AW85">
        <v>231</v>
      </c>
      <c r="AX85">
        <v>231</v>
      </c>
      <c r="AY85">
        <v>231</v>
      </c>
      <c r="AZ85" t="s">
        <v>1452</v>
      </c>
      <c r="BA85" t="s">
        <v>13972</v>
      </c>
      <c r="BB85">
        <v>23424808</v>
      </c>
      <c r="BC85">
        <v>23424808</v>
      </c>
      <c r="BD85" t="s">
        <v>12254</v>
      </c>
      <c r="BE85" t="s">
        <v>13972</v>
      </c>
      <c r="BG85" t="s">
        <v>13972</v>
      </c>
      <c r="BH85" t="s">
        <v>13972</v>
      </c>
      <c r="BI85" t="s">
        <v>13972</v>
      </c>
      <c r="BJ85" t="s">
        <v>13972</v>
      </c>
      <c r="BK85" t="s">
        <v>13972</v>
      </c>
      <c r="BL85" t="s">
        <v>13972</v>
      </c>
      <c r="BM85" t="s">
        <v>13972</v>
      </c>
      <c r="BN85" t="s">
        <v>13972</v>
      </c>
      <c r="BO85" t="s">
        <v>13972</v>
      </c>
      <c r="BP85" t="s">
        <v>13972</v>
      </c>
      <c r="BQ85" t="s">
        <v>13972</v>
      </c>
      <c r="BR85" t="s">
        <v>13972</v>
      </c>
      <c r="BS85" t="s">
        <v>13972</v>
      </c>
      <c r="BT85" t="s">
        <v>13972</v>
      </c>
      <c r="BU85" t="s">
        <v>13972</v>
      </c>
      <c r="BV85" t="s">
        <v>13972</v>
      </c>
      <c r="BW85" t="s">
        <v>13972</v>
      </c>
      <c r="BX85" t="s">
        <v>13972</v>
      </c>
      <c r="BY85" t="s">
        <v>13972</v>
      </c>
      <c r="BZ85" t="s">
        <v>13972</v>
      </c>
      <c r="CA85" t="s">
        <v>13972</v>
      </c>
      <c r="CB85" t="s">
        <v>13972</v>
      </c>
      <c r="CC85" t="s">
        <v>13972</v>
      </c>
      <c r="CD85" t="s">
        <v>13972</v>
      </c>
      <c r="CE85" t="s">
        <v>13972</v>
      </c>
      <c r="CF85" t="s">
        <v>13972</v>
      </c>
      <c r="CG85" t="s">
        <v>13972</v>
      </c>
      <c r="CH85" t="s">
        <v>13972</v>
      </c>
      <c r="CI85" t="s">
        <v>13972</v>
      </c>
      <c r="CJ85" t="s">
        <v>13972</v>
      </c>
      <c r="CK85" t="s">
        <v>13972</v>
      </c>
      <c r="CL85" t="s">
        <v>13972</v>
      </c>
      <c r="CM85">
        <v>-99</v>
      </c>
      <c r="CN85">
        <v>-99</v>
      </c>
      <c r="CO85" t="s">
        <v>12306</v>
      </c>
      <c r="CP85" t="s">
        <v>12306</v>
      </c>
      <c r="CQ85" t="s">
        <v>13085</v>
      </c>
      <c r="CR85" t="s">
        <v>12357</v>
      </c>
      <c r="CS85">
        <v>8</v>
      </c>
      <c r="CT85">
        <v>8</v>
      </c>
      <c r="CU85">
        <v>4</v>
      </c>
      <c r="CV85">
        <v>-99</v>
      </c>
      <c r="CW85">
        <v>1</v>
      </c>
      <c r="CX85">
        <v>0</v>
      </c>
      <c r="CY85">
        <v>2</v>
      </c>
      <c r="CZ85">
        <v>7</v>
      </c>
      <c r="DA85">
        <v>39.0886</v>
      </c>
      <c r="DB85">
        <v>8.0327950000000001</v>
      </c>
      <c r="DC85">
        <v>1159320617</v>
      </c>
      <c r="DD85" t="s">
        <v>13975</v>
      </c>
      <c r="DE85" t="s">
        <v>13976</v>
      </c>
      <c r="DF85" t="s">
        <v>13977</v>
      </c>
      <c r="DG85" t="s">
        <v>13978</v>
      </c>
      <c r="DH85" t="s">
        <v>55</v>
      </c>
      <c r="DI85" t="s">
        <v>13979</v>
      </c>
      <c r="DJ85" t="s">
        <v>13980</v>
      </c>
      <c r="DK85" t="s">
        <v>13981</v>
      </c>
      <c r="DL85" t="s">
        <v>13982</v>
      </c>
      <c r="DM85" t="s">
        <v>13983</v>
      </c>
      <c r="DN85" t="s">
        <v>13984</v>
      </c>
      <c r="DO85" t="s">
        <v>13985</v>
      </c>
      <c r="DP85" t="s">
        <v>55</v>
      </c>
      <c r="DQ85" t="s">
        <v>13986</v>
      </c>
      <c r="DR85" t="s">
        <v>13987</v>
      </c>
      <c r="DS85" t="s">
        <v>13988</v>
      </c>
      <c r="DT85" t="s">
        <v>13989</v>
      </c>
      <c r="DU85" t="s">
        <v>13986</v>
      </c>
      <c r="DV85" t="s">
        <v>13985</v>
      </c>
      <c r="DW85" t="s">
        <v>13990</v>
      </c>
      <c r="DX85" t="s">
        <v>13991</v>
      </c>
      <c r="DY85" t="s">
        <v>13992</v>
      </c>
      <c r="DZ85" t="s">
        <v>13993</v>
      </c>
      <c r="EA85" t="s">
        <v>13994</v>
      </c>
      <c r="EB85" t="s">
        <v>55</v>
      </c>
      <c r="EC85" t="s">
        <v>13995</v>
      </c>
      <c r="ED85" t="s">
        <v>13996</v>
      </c>
      <c r="EE85" t="s">
        <v>12247</v>
      </c>
      <c r="EG85" t="s">
        <v>12247</v>
      </c>
    </row>
    <row r="86" spans="1:253" x14ac:dyDescent="0.25">
      <c r="A86" t="s">
        <v>14202</v>
      </c>
      <c r="B86" t="s">
        <v>12247</v>
      </c>
      <c r="C86">
        <v>1</v>
      </c>
      <c r="D86">
        <v>5</v>
      </c>
      <c r="E86" t="s">
        <v>182</v>
      </c>
      <c r="F86" t="s">
        <v>12479</v>
      </c>
      <c r="G86">
        <v>1</v>
      </c>
      <c r="H86">
        <v>2</v>
      </c>
      <c r="I86" t="s">
        <v>12714</v>
      </c>
      <c r="J86">
        <v>1</v>
      </c>
      <c r="K86" t="s">
        <v>14202</v>
      </c>
      <c r="L86" t="s">
        <v>14203</v>
      </c>
      <c r="M86">
        <v>0</v>
      </c>
      <c r="N86" t="s">
        <v>14202</v>
      </c>
      <c r="O86" t="s">
        <v>14203</v>
      </c>
      <c r="P86">
        <v>0</v>
      </c>
      <c r="Q86" t="s">
        <v>14202</v>
      </c>
      <c r="R86" t="s">
        <v>14203</v>
      </c>
      <c r="S86">
        <v>1</v>
      </c>
      <c r="T86" t="s">
        <v>14205</v>
      </c>
      <c r="U86" t="s">
        <v>14206</v>
      </c>
      <c r="V86" t="s">
        <v>14204</v>
      </c>
      <c r="X86" t="s">
        <v>14207</v>
      </c>
      <c r="Y86" t="s">
        <v>1460</v>
      </c>
      <c r="Z86" t="s">
        <v>14202</v>
      </c>
      <c r="AB86" t="s">
        <v>14208</v>
      </c>
      <c r="AC86" t="s">
        <v>12486</v>
      </c>
      <c r="AD86" t="s">
        <v>14209</v>
      </c>
      <c r="AE86" t="s">
        <v>14202</v>
      </c>
      <c r="AF86" t="s">
        <v>14210</v>
      </c>
      <c r="AG86">
        <v>6</v>
      </c>
      <c r="AH86">
        <v>6</v>
      </c>
      <c r="AI86">
        <v>6</v>
      </c>
      <c r="AJ86">
        <v>3</v>
      </c>
      <c r="AK86">
        <v>3398</v>
      </c>
      <c r="AL86">
        <v>4</v>
      </c>
      <c r="AM86">
        <v>2016</v>
      </c>
      <c r="AN86">
        <v>282</v>
      </c>
      <c r="AO86">
        <v>2012</v>
      </c>
      <c r="AP86" t="s">
        <v>12334</v>
      </c>
      <c r="AQ86" t="s">
        <v>12513</v>
      </c>
      <c r="AR86" t="s">
        <v>1460</v>
      </c>
      <c r="AS86" t="s">
        <v>1460</v>
      </c>
      <c r="AT86" t="s">
        <v>1460</v>
      </c>
      <c r="AU86" t="s">
        <v>14203</v>
      </c>
      <c r="AV86" t="s">
        <v>14203</v>
      </c>
      <c r="AW86">
        <v>238</v>
      </c>
      <c r="AX86">
        <v>238</v>
      </c>
      <c r="AY86">
        <v>238</v>
      </c>
      <c r="AZ86">
        <v>-99</v>
      </c>
      <c r="BA86">
        <v>-99</v>
      </c>
      <c r="BB86">
        <v>23424814</v>
      </c>
      <c r="BC86">
        <v>23424814</v>
      </c>
      <c r="BD86" t="s">
        <v>12254</v>
      </c>
      <c r="BE86" t="s">
        <v>14206</v>
      </c>
      <c r="BG86" t="s">
        <v>14206</v>
      </c>
      <c r="BH86" t="s">
        <v>14203</v>
      </c>
      <c r="BI86" t="s">
        <v>14203</v>
      </c>
      <c r="BJ86" t="s">
        <v>14203</v>
      </c>
      <c r="BK86" t="s">
        <v>14203</v>
      </c>
      <c r="BL86" t="s">
        <v>14203</v>
      </c>
      <c r="BM86" t="s">
        <v>14203</v>
      </c>
      <c r="BN86" t="s">
        <v>14203</v>
      </c>
      <c r="BO86" t="s">
        <v>14203</v>
      </c>
      <c r="BP86" t="s">
        <v>14203</v>
      </c>
      <c r="BQ86" t="s">
        <v>14203</v>
      </c>
      <c r="BR86" t="s">
        <v>14203</v>
      </c>
      <c r="BS86" t="s">
        <v>14203</v>
      </c>
      <c r="BT86" t="s">
        <v>14203</v>
      </c>
      <c r="BU86" t="s">
        <v>14203</v>
      </c>
      <c r="BV86" t="s">
        <v>14203</v>
      </c>
      <c r="BW86" t="s">
        <v>14203</v>
      </c>
      <c r="BX86" t="s">
        <v>14203</v>
      </c>
      <c r="BY86" t="s">
        <v>14203</v>
      </c>
      <c r="BZ86" t="s">
        <v>12432</v>
      </c>
      <c r="CA86" t="s">
        <v>14203</v>
      </c>
      <c r="CB86" t="s">
        <v>14203</v>
      </c>
      <c r="CC86" t="s">
        <v>14203</v>
      </c>
      <c r="CD86" t="s">
        <v>14203</v>
      </c>
      <c r="CE86" t="s">
        <v>14203</v>
      </c>
      <c r="CF86" t="s">
        <v>14203</v>
      </c>
      <c r="CG86" t="s">
        <v>14203</v>
      </c>
      <c r="CH86" t="s">
        <v>14203</v>
      </c>
      <c r="CI86" t="s">
        <v>14203</v>
      </c>
      <c r="CJ86" t="s">
        <v>14203</v>
      </c>
      <c r="CK86" t="s">
        <v>14203</v>
      </c>
      <c r="CL86" t="s">
        <v>14203</v>
      </c>
      <c r="CM86">
        <v>-99</v>
      </c>
      <c r="CN86">
        <v>-99</v>
      </c>
      <c r="CO86" t="s">
        <v>12436</v>
      </c>
      <c r="CP86" t="s">
        <v>12403</v>
      </c>
      <c r="CQ86" t="s">
        <v>12436</v>
      </c>
      <c r="CR86" t="s">
        <v>12405</v>
      </c>
      <c r="CS86">
        <v>12</v>
      </c>
      <c r="CT86">
        <v>27</v>
      </c>
      <c r="CU86">
        <v>8</v>
      </c>
      <c r="CV86">
        <v>-99</v>
      </c>
      <c r="CW86">
        <v>-99</v>
      </c>
      <c r="CX86">
        <v>0</v>
      </c>
      <c r="CY86">
        <v>4.5</v>
      </c>
      <c r="CZ86">
        <v>9</v>
      </c>
      <c r="DA86">
        <v>-58.738602</v>
      </c>
      <c r="DB86">
        <v>-51.608913000000001</v>
      </c>
      <c r="DC86">
        <v>1159320711</v>
      </c>
      <c r="DD86" t="s">
        <v>14211</v>
      </c>
      <c r="DE86" t="s">
        <v>14212</v>
      </c>
      <c r="DF86" t="s">
        <v>14213</v>
      </c>
      <c r="DG86" t="s">
        <v>14214</v>
      </c>
      <c r="DH86" t="s">
        <v>14202</v>
      </c>
      <c r="DI86" t="s">
        <v>14210</v>
      </c>
      <c r="DJ86" t="s">
        <v>14215</v>
      </c>
      <c r="DK86" t="s">
        <v>14216</v>
      </c>
      <c r="DL86" t="s">
        <v>14217</v>
      </c>
      <c r="DM86" t="s">
        <v>14218</v>
      </c>
      <c r="DN86" t="s">
        <v>14219</v>
      </c>
      <c r="DO86" t="s">
        <v>14220</v>
      </c>
      <c r="DP86" t="s">
        <v>14221</v>
      </c>
      <c r="DQ86" t="s">
        <v>14222</v>
      </c>
      <c r="DR86" t="s">
        <v>14223</v>
      </c>
      <c r="DS86" t="s">
        <v>14224</v>
      </c>
      <c r="DT86" t="s">
        <v>14225</v>
      </c>
      <c r="DU86" t="s">
        <v>14226</v>
      </c>
      <c r="DV86" t="s">
        <v>14227</v>
      </c>
      <c r="DW86" t="s">
        <v>14228</v>
      </c>
      <c r="DX86" t="s">
        <v>14229</v>
      </c>
      <c r="DY86" t="s">
        <v>14230</v>
      </c>
      <c r="DZ86" t="s">
        <v>14231</v>
      </c>
      <c r="EA86" t="s">
        <v>14232</v>
      </c>
      <c r="EB86" t="s">
        <v>14233</v>
      </c>
      <c r="EC86" t="s">
        <v>14234</v>
      </c>
      <c r="ED86" t="s">
        <v>14235</v>
      </c>
      <c r="EE86" t="s">
        <v>12397</v>
      </c>
      <c r="EG86" t="s">
        <v>12397</v>
      </c>
      <c r="EZ86" t="s">
        <v>12505</v>
      </c>
    </row>
    <row r="87" spans="1:253" x14ac:dyDescent="0.25">
      <c r="A87" t="s">
        <v>1207</v>
      </c>
      <c r="B87" t="s">
        <v>12247</v>
      </c>
      <c r="C87">
        <v>5</v>
      </c>
      <c r="D87">
        <v>6</v>
      </c>
      <c r="E87" t="s">
        <v>45</v>
      </c>
      <c r="F87" t="s">
        <v>14147</v>
      </c>
      <c r="G87">
        <v>1</v>
      </c>
      <c r="H87">
        <v>2</v>
      </c>
      <c r="I87" t="s">
        <v>12480</v>
      </c>
      <c r="J87">
        <v>1</v>
      </c>
      <c r="K87" t="s">
        <v>1207</v>
      </c>
      <c r="L87" t="s">
        <v>14236</v>
      </c>
      <c r="M87">
        <v>0</v>
      </c>
      <c r="N87" t="s">
        <v>1207</v>
      </c>
      <c r="O87" t="s">
        <v>14236</v>
      </c>
      <c r="P87">
        <v>0</v>
      </c>
      <c r="Q87" t="s">
        <v>1207</v>
      </c>
      <c r="R87" t="s">
        <v>14236</v>
      </c>
      <c r="S87">
        <v>0</v>
      </c>
      <c r="T87" t="s">
        <v>1207</v>
      </c>
      <c r="U87" t="s">
        <v>14236</v>
      </c>
      <c r="V87" t="s">
        <v>14238</v>
      </c>
      <c r="X87" t="s">
        <v>14237</v>
      </c>
      <c r="Y87" t="s">
        <v>1467</v>
      </c>
      <c r="Z87" t="s">
        <v>14239</v>
      </c>
      <c r="AB87" t="s">
        <v>1207</v>
      </c>
      <c r="AC87" t="s">
        <v>14149</v>
      </c>
      <c r="AE87" t="s">
        <v>14238</v>
      </c>
      <c r="AG87">
        <v>4</v>
      </c>
      <c r="AH87">
        <v>1</v>
      </c>
      <c r="AI87">
        <v>3</v>
      </c>
      <c r="AJ87">
        <v>12</v>
      </c>
      <c r="AK87">
        <v>48678</v>
      </c>
      <c r="AL87">
        <v>7</v>
      </c>
      <c r="AM87">
        <v>2019</v>
      </c>
      <c r="AN87">
        <v>3116</v>
      </c>
      <c r="AO87">
        <v>2018</v>
      </c>
      <c r="AP87" t="s">
        <v>12334</v>
      </c>
      <c r="AQ87" t="s">
        <v>12335</v>
      </c>
      <c r="AR87" t="s">
        <v>1467</v>
      </c>
      <c r="AS87" t="s">
        <v>1467</v>
      </c>
      <c r="AT87" t="s">
        <v>1467</v>
      </c>
      <c r="AU87" t="s">
        <v>14236</v>
      </c>
      <c r="AV87" t="s">
        <v>14236</v>
      </c>
      <c r="AW87">
        <v>234</v>
      </c>
      <c r="AX87">
        <v>234</v>
      </c>
      <c r="AY87">
        <v>234</v>
      </c>
      <c r="AZ87" t="s">
        <v>1467</v>
      </c>
      <c r="BA87" t="s">
        <v>14236</v>
      </c>
      <c r="BB87">
        <v>23424816</v>
      </c>
      <c r="BC87">
        <v>23424816</v>
      </c>
      <c r="BD87" t="s">
        <v>12254</v>
      </c>
      <c r="BE87" t="s">
        <v>14236</v>
      </c>
      <c r="BG87" t="s">
        <v>14236</v>
      </c>
      <c r="BH87" t="s">
        <v>14236</v>
      </c>
      <c r="BI87" t="s">
        <v>14236</v>
      </c>
      <c r="BJ87" t="s">
        <v>14236</v>
      </c>
      <c r="BK87" t="s">
        <v>14236</v>
      </c>
      <c r="BL87" t="s">
        <v>14236</v>
      </c>
      <c r="BM87" t="s">
        <v>14236</v>
      </c>
      <c r="BN87" t="s">
        <v>14236</v>
      </c>
      <c r="BO87" t="s">
        <v>14236</v>
      </c>
      <c r="BP87" t="s">
        <v>14236</v>
      </c>
      <c r="BQ87" t="s">
        <v>14236</v>
      </c>
      <c r="BR87" t="s">
        <v>14236</v>
      </c>
      <c r="BS87" t="s">
        <v>14236</v>
      </c>
      <c r="BT87" t="s">
        <v>14236</v>
      </c>
      <c r="BU87" t="s">
        <v>14236</v>
      </c>
      <c r="BV87" t="s">
        <v>14236</v>
      </c>
      <c r="BW87" t="s">
        <v>14236</v>
      </c>
      <c r="BX87" t="s">
        <v>14236</v>
      </c>
      <c r="BY87" t="s">
        <v>14236</v>
      </c>
      <c r="BZ87" t="s">
        <v>14236</v>
      </c>
      <c r="CA87" t="s">
        <v>14236</v>
      </c>
      <c r="CB87" t="s">
        <v>14236</v>
      </c>
      <c r="CC87" t="s">
        <v>14236</v>
      </c>
      <c r="CD87" t="s">
        <v>14236</v>
      </c>
      <c r="CE87" t="s">
        <v>14236</v>
      </c>
      <c r="CF87" t="s">
        <v>14236</v>
      </c>
      <c r="CG87" t="s">
        <v>14236</v>
      </c>
      <c r="CH87" t="s">
        <v>14236</v>
      </c>
      <c r="CI87" t="s">
        <v>14236</v>
      </c>
      <c r="CJ87" t="s">
        <v>14236</v>
      </c>
      <c r="CK87" t="s">
        <v>14236</v>
      </c>
      <c r="CL87" t="s">
        <v>14236</v>
      </c>
      <c r="CM87">
        <v>-99</v>
      </c>
      <c r="CN87">
        <v>-99</v>
      </c>
      <c r="CO87" t="s">
        <v>12279</v>
      </c>
      <c r="CP87" t="s">
        <v>12279</v>
      </c>
      <c r="CQ87" t="s">
        <v>12515</v>
      </c>
      <c r="CR87" t="s">
        <v>12281</v>
      </c>
      <c r="CS87">
        <v>10</v>
      </c>
      <c r="CT87">
        <v>14</v>
      </c>
      <c r="CU87">
        <v>10</v>
      </c>
      <c r="CV87">
        <v>3</v>
      </c>
      <c r="CW87">
        <v>-99</v>
      </c>
      <c r="CX87">
        <v>0</v>
      </c>
      <c r="CY87">
        <v>4</v>
      </c>
      <c r="CZ87">
        <v>9</v>
      </c>
      <c r="DA87">
        <v>-7.0584290000000003</v>
      </c>
      <c r="DB87">
        <v>62.185603999999998</v>
      </c>
      <c r="DC87">
        <v>1159320549</v>
      </c>
      <c r="DD87" t="s">
        <v>14240</v>
      </c>
      <c r="DE87" t="s">
        <v>14241</v>
      </c>
      <c r="DF87" t="s">
        <v>14242</v>
      </c>
      <c r="DG87" t="s">
        <v>14243</v>
      </c>
      <c r="DH87" t="s">
        <v>1207</v>
      </c>
      <c r="DI87" t="s">
        <v>14244</v>
      </c>
      <c r="DJ87" t="s">
        <v>14245</v>
      </c>
      <c r="DK87" t="s">
        <v>14246</v>
      </c>
      <c r="DL87" t="s">
        <v>14247</v>
      </c>
      <c r="DM87" t="s">
        <v>14248</v>
      </c>
      <c r="DN87" t="s">
        <v>14249</v>
      </c>
      <c r="DO87" t="s">
        <v>14250</v>
      </c>
      <c r="DP87" t="s">
        <v>14251</v>
      </c>
      <c r="DQ87" t="s">
        <v>14252</v>
      </c>
      <c r="DR87" t="s">
        <v>14253</v>
      </c>
      <c r="DS87" t="s">
        <v>14254</v>
      </c>
      <c r="DT87" t="s">
        <v>14255</v>
      </c>
      <c r="DU87" t="s">
        <v>14256</v>
      </c>
      <c r="DV87" t="s">
        <v>14257</v>
      </c>
      <c r="DW87" t="s">
        <v>14258</v>
      </c>
      <c r="DX87" t="s">
        <v>14259</v>
      </c>
      <c r="DY87" t="s">
        <v>14260</v>
      </c>
      <c r="DZ87" t="s">
        <v>14261</v>
      </c>
      <c r="EA87" t="s">
        <v>14262</v>
      </c>
      <c r="EB87" t="s">
        <v>14263</v>
      </c>
      <c r="EC87" t="s">
        <v>14264</v>
      </c>
      <c r="ED87" t="s">
        <v>14265</v>
      </c>
      <c r="EE87" t="s">
        <v>12397</v>
      </c>
      <c r="EG87" t="s">
        <v>12397</v>
      </c>
    </row>
    <row r="88" spans="1:253" x14ac:dyDescent="0.25">
      <c r="A88" t="s">
        <v>113</v>
      </c>
      <c r="B88" t="s">
        <v>12247</v>
      </c>
      <c r="C88">
        <v>5</v>
      </c>
      <c r="D88">
        <v>6</v>
      </c>
      <c r="E88" t="s">
        <v>113</v>
      </c>
      <c r="F88" t="s">
        <v>13997</v>
      </c>
      <c r="G88">
        <v>0</v>
      </c>
      <c r="H88">
        <v>2</v>
      </c>
      <c r="I88" t="s">
        <v>12249</v>
      </c>
      <c r="J88">
        <v>1</v>
      </c>
      <c r="K88" t="s">
        <v>113</v>
      </c>
      <c r="L88" t="s">
        <v>13997</v>
      </c>
      <c r="M88">
        <v>0</v>
      </c>
      <c r="N88" t="s">
        <v>113</v>
      </c>
      <c r="O88" t="s">
        <v>13997</v>
      </c>
      <c r="P88">
        <v>0</v>
      </c>
      <c r="Q88" t="s">
        <v>113</v>
      </c>
      <c r="R88" t="s">
        <v>13997</v>
      </c>
      <c r="S88">
        <v>0</v>
      </c>
      <c r="T88" t="s">
        <v>113</v>
      </c>
      <c r="U88" t="s">
        <v>13997</v>
      </c>
      <c r="V88" t="s">
        <v>13998</v>
      </c>
      <c r="X88" t="s">
        <v>13999</v>
      </c>
      <c r="Y88" t="s">
        <v>13997</v>
      </c>
      <c r="Z88" t="s">
        <v>113</v>
      </c>
      <c r="AB88" t="s">
        <v>14000</v>
      </c>
      <c r="AE88" t="s">
        <v>14000</v>
      </c>
      <c r="AG88">
        <v>5</v>
      </c>
      <c r="AH88">
        <v>2</v>
      </c>
      <c r="AI88">
        <v>4</v>
      </c>
      <c r="AJ88">
        <v>13</v>
      </c>
      <c r="AK88">
        <v>113815</v>
      </c>
      <c r="AL88">
        <v>9</v>
      </c>
      <c r="AM88">
        <v>2019</v>
      </c>
      <c r="AN88">
        <v>401</v>
      </c>
      <c r="AO88">
        <v>2018</v>
      </c>
      <c r="AP88" t="s">
        <v>12277</v>
      </c>
      <c r="AQ88" t="s">
        <v>12278</v>
      </c>
      <c r="AR88" t="s">
        <v>1463</v>
      </c>
      <c r="AS88" t="s">
        <v>1463</v>
      </c>
      <c r="AT88" t="s">
        <v>1463</v>
      </c>
      <c r="AU88" t="s">
        <v>13997</v>
      </c>
      <c r="AV88" t="s">
        <v>13997</v>
      </c>
      <c r="AW88">
        <v>583</v>
      </c>
      <c r="AX88">
        <v>583</v>
      </c>
      <c r="AY88">
        <v>583</v>
      </c>
      <c r="AZ88" t="s">
        <v>1463</v>
      </c>
      <c r="BA88" t="s">
        <v>13997</v>
      </c>
      <c r="BB88">
        <v>23424815</v>
      </c>
      <c r="BC88">
        <v>23424815</v>
      </c>
      <c r="BD88" t="s">
        <v>12254</v>
      </c>
      <c r="BE88" t="s">
        <v>13997</v>
      </c>
      <c r="BG88" t="s">
        <v>13997</v>
      </c>
      <c r="BH88" t="s">
        <v>13997</v>
      </c>
      <c r="BI88" t="s">
        <v>13997</v>
      </c>
      <c r="BJ88" t="s">
        <v>13997</v>
      </c>
      <c r="BK88" t="s">
        <v>13997</v>
      </c>
      <c r="BL88" t="s">
        <v>13997</v>
      </c>
      <c r="BM88" t="s">
        <v>13997</v>
      </c>
      <c r="BN88" t="s">
        <v>13997</v>
      </c>
      <c r="BO88" t="s">
        <v>13997</v>
      </c>
      <c r="BP88" t="s">
        <v>13997</v>
      </c>
      <c r="BQ88" t="s">
        <v>13997</v>
      </c>
      <c r="BR88" t="s">
        <v>13997</v>
      </c>
      <c r="BS88" t="s">
        <v>13997</v>
      </c>
      <c r="BT88" t="s">
        <v>13997</v>
      </c>
      <c r="BU88" t="s">
        <v>13997</v>
      </c>
      <c r="BV88" t="s">
        <v>13997</v>
      </c>
      <c r="BW88" t="s">
        <v>13997</v>
      </c>
      <c r="BX88" t="s">
        <v>13997</v>
      </c>
      <c r="BY88" t="s">
        <v>13997</v>
      </c>
      <c r="BZ88" t="s">
        <v>13997</v>
      </c>
      <c r="CA88" t="s">
        <v>13997</v>
      </c>
      <c r="CB88" t="s">
        <v>13997</v>
      </c>
      <c r="CC88" t="s">
        <v>13997</v>
      </c>
      <c r="CD88" t="s">
        <v>13997</v>
      </c>
      <c r="CE88" t="s">
        <v>13997</v>
      </c>
      <c r="CF88" t="s">
        <v>13997</v>
      </c>
      <c r="CG88" t="s">
        <v>13997</v>
      </c>
      <c r="CH88" t="s">
        <v>13997</v>
      </c>
      <c r="CI88" t="s">
        <v>13997</v>
      </c>
      <c r="CJ88" t="s">
        <v>13997</v>
      </c>
      <c r="CK88" t="s">
        <v>13997</v>
      </c>
      <c r="CL88" t="s">
        <v>13997</v>
      </c>
      <c r="CM88">
        <v>-99</v>
      </c>
      <c r="CN88">
        <v>-99</v>
      </c>
      <c r="CO88" t="s">
        <v>12537</v>
      </c>
      <c r="CP88" t="s">
        <v>12537</v>
      </c>
      <c r="CQ88" t="s">
        <v>13998</v>
      </c>
      <c r="CR88" t="s">
        <v>12539</v>
      </c>
      <c r="CS88">
        <v>10</v>
      </c>
      <c r="CT88">
        <v>30</v>
      </c>
      <c r="CU88">
        <v>6</v>
      </c>
      <c r="CV88">
        <v>-99</v>
      </c>
      <c r="CW88">
        <v>1</v>
      </c>
      <c r="CX88">
        <v>0</v>
      </c>
      <c r="CY88">
        <v>5</v>
      </c>
      <c r="CZ88">
        <v>10</v>
      </c>
      <c r="DA88">
        <v>158.23401899999999</v>
      </c>
      <c r="DB88">
        <v>6.8875529999999996</v>
      </c>
      <c r="DC88">
        <v>1159320691</v>
      </c>
      <c r="DD88" t="s">
        <v>14001</v>
      </c>
      <c r="DE88" t="s">
        <v>14002</v>
      </c>
      <c r="DF88" t="s">
        <v>14003</v>
      </c>
      <c r="DG88" t="s">
        <v>14004</v>
      </c>
      <c r="DH88" t="s">
        <v>113</v>
      </c>
      <c r="DI88" t="s">
        <v>14005</v>
      </c>
      <c r="DJ88" t="s">
        <v>14006</v>
      </c>
      <c r="DK88" t="s">
        <v>14007</v>
      </c>
      <c r="DL88" t="s">
        <v>14008</v>
      </c>
      <c r="DM88" t="s">
        <v>14009</v>
      </c>
      <c r="DN88" t="s">
        <v>14010</v>
      </c>
      <c r="DO88" t="s">
        <v>14011</v>
      </c>
      <c r="DP88" t="s">
        <v>14012</v>
      </c>
      <c r="DQ88" t="s">
        <v>14013</v>
      </c>
      <c r="DR88" t="s">
        <v>14014</v>
      </c>
      <c r="DS88" t="s">
        <v>14015</v>
      </c>
      <c r="DT88" t="s">
        <v>13998</v>
      </c>
      <c r="DU88" t="s">
        <v>14016</v>
      </c>
      <c r="DV88" t="s">
        <v>14017</v>
      </c>
      <c r="DW88" t="s">
        <v>14018</v>
      </c>
      <c r="DX88" t="s">
        <v>14019</v>
      </c>
      <c r="DY88" t="s">
        <v>14020</v>
      </c>
      <c r="DZ88" t="s">
        <v>14021</v>
      </c>
      <c r="EA88" t="s">
        <v>14022</v>
      </c>
      <c r="EB88" t="s">
        <v>13998</v>
      </c>
      <c r="EC88" t="s">
        <v>14023</v>
      </c>
      <c r="ED88" t="s">
        <v>14024</v>
      </c>
      <c r="EE88" t="s">
        <v>12247</v>
      </c>
      <c r="EG88" t="s">
        <v>12247</v>
      </c>
    </row>
    <row r="89" spans="1:253" x14ac:dyDescent="0.25">
      <c r="A89" t="s">
        <v>56</v>
      </c>
      <c r="B89" t="s">
        <v>12247</v>
      </c>
      <c r="C89">
        <v>1</v>
      </c>
      <c r="D89">
        <v>6</v>
      </c>
      <c r="E89" t="s">
        <v>56</v>
      </c>
      <c r="F89" t="s">
        <v>14025</v>
      </c>
      <c r="G89">
        <v>0</v>
      </c>
      <c r="H89">
        <v>2</v>
      </c>
      <c r="I89" t="s">
        <v>12249</v>
      </c>
      <c r="J89">
        <v>1</v>
      </c>
      <c r="K89" t="s">
        <v>56</v>
      </c>
      <c r="L89" t="s">
        <v>14025</v>
      </c>
      <c r="M89">
        <v>0</v>
      </c>
      <c r="N89" t="s">
        <v>56</v>
      </c>
      <c r="O89" t="s">
        <v>14025</v>
      </c>
      <c r="P89">
        <v>0</v>
      </c>
      <c r="Q89" t="s">
        <v>56</v>
      </c>
      <c r="R89" t="s">
        <v>14025</v>
      </c>
      <c r="S89">
        <v>0</v>
      </c>
      <c r="T89" t="s">
        <v>56</v>
      </c>
      <c r="U89" t="s">
        <v>14025</v>
      </c>
      <c r="V89" t="s">
        <v>56</v>
      </c>
      <c r="X89" t="s">
        <v>56</v>
      </c>
      <c r="Y89" t="s">
        <v>1457</v>
      </c>
      <c r="Z89" t="s">
        <v>14026</v>
      </c>
      <c r="AB89" t="s">
        <v>56</v>
      </c>
      <c r="AE89" t="s">
        <v>56</v>
      </c>
      <c r="AG89">
        <v>5</v>
      </c>
      <c r="AH89">
        <v>1</v>
      </c>
      <c r="AI89">
        <v>2</v>
      </c>
      <c r="AJ89">
        <v>2</v>
      </c>
      <c r="AK89">
        <v>889953</v>
      </c>
      <c r="AL89">
        <v>11</v>
      </c>
      <c r="AM89">
        <v>2019</v>
      </c>
      <c r="AN89">
        <v>5496</v>
      </c>
      <c r="AO89">
        <v>2019</v>
      </c>
      <c r="AP89" t="s">
        <v>12277</v>
      </c>
      <c r="AQ89" t="s">
        <v>12278</v>
      </c>
      <c r="AR89" t="s">
        <v>1457</v>
      </c>
      <c r="AS89" t="s">
        <v>1457</v>
      </c>
      <c r="AT89" t="s">
        <v>1457</v>
      </c>
      <c r="AU89" t="s">
        <v>14025</v>
      </c>
      <c r="AV89" t="s">
        <v>14025</v>
      </c>
      <c r="AW89">
        <v>242</v>
      </c>
      <c r="AX89">
        <v>242</v>
      </c>
      <c r="AY89">
        <v>242</v>
      </c>
      <c r="AZ89" t="s">
        <v>1457</v>
      </c>
      <c r="BA89" t="s">
        <v>14025</v>
      </c>
      <c r="BB89">
        <v>23424813</v>
      </c>
      <c r="BC89">
        <v>23424813</v>
      </c>
      <c r="BD89" t="s">
        <v>12254</v>
      </c>
      <c r="BE89" t="s">
        <v>14025</v>
      </c>
      <c r="BG89" t="s">
        <v>14025</v>
      </c>
      <c r="BH89" t="s">
        <v>14025</v>
      </c>
      <c r="BI89" t="s">
        <v>14025</v>
      </c>
      <c r="BJ89" t="s">
        <v>14025</v>
      </c>
      <c r="BK89" t="s">
        <v>14025</v>
      </c>
      <c r="BL89" t="s">
        <v>14025</v>
      </c>
      <c r="BM89" t="s">
        <v>14025</v>
      </c>
      <c r="BN89" t="s">
        <v>14025</v>
      </c>
      <c r="BO89" t="s">
        <v>14025</v>
      </c>
      <c r="BP89" t="s">
        <v>14025</v>
      </c>
      <c r="BQ89" t="s">
        <v>14025</v>
      </c>
      <c r="BR89" t="s">
        <v>14025</v>
      </c>
      <c r="BS89" t="s">
        <v>14025</v>
      </c>
      <c r="BT89" t="s">
        <v>14025</v>
      </c>
      <c r="BU89" t="s">
        <v>14025</v>
      </c>
      <c r="BV89" t="s">
        <v>14025</v>
      </c>
      <c r="BW89" t="s">
        <v>14025</v>
      </c>
      <c r="BX89" t="s">
        <v>14025</v>
      </c>
      <c r="BY89" t="s">
        <v>14025</v>
      </c>
      <c r="BZ89" t="s">
        <v>14025</v>
      </c>
      <c r="CA89" t="s">
        <v>14025</v>
      </c>
      <c r="CB89" t="s">
        <v>14025</v>
      </c>
      <c r="CC89" t="s">
        <v>14025</v>
      </c>
      <c r="CD89" t="s">
        <v>14025</v>
      </c>
      <c r="CE89" t="s">
        <v>14025</v>
      </c>
      <c r="CF89" t="s">
        <v>14025</v>
      </c>
      <c r="CG89" t="s">
        <v>14025</v>
      </c>
      <c r="CH89" t="s">
        <v>14025</v>
      </c>
      <c r="CI89" t="s">
        <v>14025</v>
      </c>
      <c r="CJ89" t="s">
        <v>14025</v>
      </c>
      <c r="CK89" t="s">
        <v>14025</v>
      </c>
      <c r="CL89" t="s">
        <v>14025</v>
      </c>
      <c r="CM89">
        <v>-99</v>
      </c>
      <c r="CN89">
        <v>-99</v>
      </c>
      <c r="CO89" t="s">
        <v>12537</v>
      </c>
      <c r="CP89" t="s">
        <v>12537</v>
      </c>
      <c r="CQ89" t="s">
        <v>14027</v>
      </c>
      <c r="CR89" t="s">
        <v>12539</v>
      </c>
      <c r="CS89">
        <v>4</v>
      </c>
      <c r="CT89">
        <v>4</v>
      </c>
      <c r="CU89">
        <v>4</v>
      </c>
      <c r="CV89">
        <v>-99</v>
      </c>
      <c r="CW89">
        <v>1</v>
      </c>
      <c r="CX89">
        <v>0</v>
      </c>
      <c r="CY89">
        <v>3</v>
      </c>
      <c r="CZ89">
        <v>8</v>
      </c>
      <c r="DA89">
        <v>177.975427</v>
      </c>
      <c r="DB89">
        <v>-17.826098999999999</v>
      </c>
      <c r="DC89">
        <v>1159320625</v>
      </c>
      <c r="DD89" t="s">
        <v>14028</v>
      </c>
      <c r="DE89" t="s">
        <v>14029</v>
      </c>
      <c r="DF89" t="s">
        <v>14030</v>
      </c>
      <c r="DG89" t="s">
        <v>14031</v>
      </c>
      <c r="DH89" t="s">
        <v>56</v>
      </c>
      <c r="DI89" t="s">
        <v>14032</v>
      </c>
      <c r="DJ89" t="s">
        <v>14033</v>
      </c>
      <c r="DK89" t="s">
        <v>14034</v>
      </c>
      <c r="DL89" t="s">
        <v>14035</v>
      </c>
      <c r="DM89" t="s">
        <v>14036</v>
      </c>
      <c r="DN89" t="s">
        <v>14037</v>
      </c>
      <c r="DO89" t="s">
        <v>14038</v>
      </c>
      <c r="DP89" t="s">
        <v>56</v>
      </c>
      <c r="DQ89" t="s">
        <v>14039</v>
      </c>
      <c r="DR89" t="s">
        <v>14040</v>
      </c>
      <c r="DS89" t="s">
        <v>14041</v>
      </c>
      <c r="DT89" t="s">
        <v>56</v>
      </c>
      <c r="DU89" t="s">
        <v>14042</v>
      </c>
      <c r="DV89" t="s">
        <v>56</v>
      </c>
      <c r="DW89" t="s">
        <v>14043</v>
      </c>
      <c r="DX89" t="s">
        <v>56</v>
      </c>
      <c r="DY89" t="s">
        <v>56</v>
      </c>
      <c r="DZ89" t="s">
        <v>14044</v>
      </c>
      <c r="EA89" t="s">
        <v>14045</v>
      </c>
      <c r="EB89" t="s">
        <v>56</v>
      </c>
      <c r="EC89" t="s">
        <v>14046</v>
      </c>
      <c r="ED89" t="s">
        <v>14047</v>
      </c>
      <c r="EE89" t="s">
        <v>12247</v>
      </c>
      <c r="EG89" t="s">
        <v>12247</v>
      </c>
    </row>
    <row r="90" spans="1:253" x14ac:dyDescent="0.25">
      <c r="A90" t="s">
        <v>57</v>
      </c>
      <c r="B90" t="s">
        <v>12247</v>
      </c>
      <c r="C90">
        <v>0</v>
      </c>
      <c r="D90">
        <v>3</v>
      </c>
      <c r="E90" t="s">
        <v>57</v>
      </c>
      <c r="F90" t="s">
        <v>12506</v>
      </c>
      <c r="G90">
        <v>1</v>
      </c>
      <c r="H90">
        <v>2</v>
      </c>
      <c r="I90" t="s">
        <v>12507</v>
      </c>
      <c r="J90">
        <v>1</v>
      </c>
      <c r="K90" t="s">
        <v>57</v>
      </c>
      <c r="L90" t="s">
        <v>14266</v>
      </c>
      <c r="M90">
        <v>0</v>
      </c>
      <c r="N90" t="s">
        <v>57</v>
      </c>
      <c r="O90" t="s">
        <v>14266</v>
      </c>
      <c r="P90">
        <v>0</v>
      </c>
      <c r="Q90" t="s">
        <v>57</v>
      </c>
      <c r="R90" t="s">
        <v>14266</v>
      </c>
      <c r="S90">
        <v>0</v>
      </c>
      <c r="T90" t="s">
        <v>57</v>
      </c>
      <c r="U90" t="s">
        <v>14266</v>
      </c>
      <c r="V90" t="s">
        <v>57</v>
      </c>
      <c r="X90" t="s">
        <v>12512</v>
      </c>
      <c r="Y90" t="s">
        <v>14266</v>
      </c>
      <c r="Z90" t="s">
        <v>14267</v>
      </c>
      <c r="AB90" t="s">
        <v>57</v>
      </c>
      <c r="AE90" t="s">
        <v>57</v>
      </c>
      <c r="AG90">
        <v>4</v>
      </c>
      <c r="AH90">
        <v>1</v>
      </c>
      <c r="AI90">
        <v>4</v>
      </c>
      <c r="AJ90">
        <v>6</v>
      </c>
      <c r="AK90">
        <v>5520314</v>
      </c>
      <c r="AL90">
        <v>13</v>
      </c>
      <c r="AM90">
        <v>2019</v>
      </c>
      <c r="AN90">
        <v>269296</v>
      </c>
      <c r="AO90">
        <v>2019</v>
      </c>
      <c r="AP90" t="s">
        <v>12334</v>
      </c>
      <c r="AQ90" t="s">
        <v>12513</v>
      </c>
      <c r="AR90" t="s">
        <v>1287</v>
      </c>
      <c r="AS90" t="s">
        <v>1287</v>
      </c>
      <c r="AT90" t="s">
        <v>1287</v>
      </c>
      <c r="AU90" t="s">
        <v>14266</v>
      </c>
      <c r="AV90" t="s">
        <v>14266</v>
      </c>
      <c r="AW90">
        <v>246</v>
      </c>
      <c r="AX90">
        <v>246</v>
      </c>
      <c r="AY90">
        <v>246</v>
      </c>
      <c r="AZ90" t="s">
        <v>1287</v>
      </c>
      <c r="BA90" t="s">
        <v>14266</v>
      </c>
      <c r="BB90">
        <v>23424812</v>
      </c>
      <c r="BC90">
        <v>23424812</v>
      </c>
      <c r="BD90" t="s">
        <v>12254</v>
      </c>
      <c r="BE90" t="s">
        <v>14266</v>
      </c>
      <c r="BG90" t="s">
        <v>14266</v>
      </c>
      <c r="BH90" t="s">
        <v>14266</v>
      </c>
      <c r="BI90" t="s">
        <v>14266</v>
      </c>
      <c r="BJ90" t="s">
        <v>14266</v>
      </c>
      <c r="BK90" t="s">
        <v>14266</v>
      </c>
      <c r="BL90" t="s">
        <v>14266</v>
      </c>
      <c r="BM90" t="s">
        <v>14266</v>
      </c>
      <c r="BN90" t="s">
        <v>14266</v>
      </c>
      <c r="BO90" t="s">
        <v>14266</v>
      </c>
      <c r="BP90" t="s">
        <v>14266</v>
      </c>
      <c r="BQ90" t="s">
        <v>14266</v>
      </c>
      <c r="BR90" t="s">
        <v>14266</v>
      </c>
      <c r="BS90" t="s">
        <v>14266</v>
      </c>
      <c r="BT90" t="s">
        <v>14266</v>
      </c>
      <c r="BU90" t="s">
        <v>14266</v>
      </c>
      <c r="BV90" t="s">
        <v>14266</v>
      </c>
      <c r="BW90" t="s">
        <v>14266</v>
      </c>
      <c r="BX90" t="s">
        <v>14266</v>
      </c>
      <c r="BY90" t="s">
        <v>14266</v>
      </c>
      <c r="BZ90" t="s">
        <v>14266</v>
      </c>
      <c r="CA90" t="s">
        <v>14266</v>
      </c>
      <c r="CB90" t="s">
        <v>14266</v>
      </c>
      <c r="CC90" t="s">
        <v>14266</v>
      </c>
      <c r="CD90" t="s">
        <v>14266</v>
      </c>
      <c r="CE90" t="s">
        <v>14266</v>
      </c>
      <c r="CF90" t="s">
        <v>14266</v>
      </c>
      <c r="CG90" t="s">
        <v>14266</v>
      </c>
      <c r="CH90" t="s">
        <v>14266</v>
      </c>
      <c r="CI90" t="s">
        <v>14266</v>
      </c>
      <c r="CJ90" t="s">
        <v>14266</v>
      </c>
      <c r="CK90" t="s">
        <v>14266</v>
      </c>
      <c r="CL90" t="s">
        <v>14266</v>
      </c>
      <c r="CM90">
        <v>-99</v>
      </c>
      <c r="CN90">
        <v>-99</v>
      </c>
      <c r="CO90" t="s">
        <v>12279</v>
      </c>
      <c r="CP90" t="s">
        <v>12279</v>
      </c>
      <c r="CQ90" t="s">
        <v>12515</v>
      </c>
      <c r="CR90" t="s">
        <v>12281</v>
      </c>
      <c r="CS90">
        <v>7</v>
      </c>
      <c r="CT90">
        <v>7</v>
      </c>
      <c r="CU90">
        <v>4</v>
      </c>
      <c r="CV90">
        <v>-99</v>
      </c>
      <c r="CW90">
        <v>1</v>
      </c>
      <c r="CX90">
        <v>0</v>
      </c>
      <c r="CY90">
        <v>3</v>
      </c>
      <c r="CZ90">
        <v>8</v>
      </c>
      <c r="DA90">
        <v>27.276449</v>
      </c>
      <c r="DB90">
        <v>63.252361000000001</v>
      </c>
      <c r="DC90">
        <v>1159320623</v>
      </c>
      <c r="DD90" t="s">
        <v>14268</v>
      </c>
      <c r="DE90" t="s">
        <v>14269</v>
      </c>
      <c r="DF90" t="s">
        <v>14270</v>
      </c>
      <c r="DG90" t="s">
        <v>14271</v>
      </c>
      <c r="DH90" t="s">
        <v>57</v>
      </c>
      <c r="DI90" t="s">
        <v>14272</v>
      </c>
      <c r="DJ90" t="s">
        <v>14273</v>
      </c>
      <c r="DK90" t="s">
        <v>14274</v>
      </c>
      <c r="DL90" t="s">
        <v>14275</v>
      </c>
      <c r="DM90" t="s">
        <v>14276</v>
      </c>
      <c r="DN90" t="s">
        <v>14277</v>
      </c>
      <c r="DO90" t="s">
        <v>14278</v>
      </c>
      <c r="DP90" t="s">
        <v>14272</v>
      </c>
      <c r="DQ90" t="s">
        <v>14272</v>
      </c>
      <c r="DR90" t="s">
        <v>14279</v>
      </c>
      <c r="DS90" t="s">
        <v>14280</v>
      </c>
      <c r="DT90" t="s">
        <v>57</v>
      </c>
      <c r="DU90" t="s">
        <v>14272</v>
      </c>
      <c r="DV90" t="s">
        <v>14281</v>
      </c>
      <c r="DW90" t="s">
        <v>14282</v>
      </c>
      <c r="DX90" t="s">
        <v>57</v>
      </c>
      <c r="DY90" t="s">
        <v>14283</v>
      </c>
      <c r="DZ90" t="s">
        <v>14284</v>
      </c>
      <c r="EA90" t="s">
        <v>14285</v>
      </c>
      <c r="EB90" t="s">
        <v>14286</v>
      </c>
      <c r="EC90" t="s">
        <v>14287</v>
      </c>
      <c r="ED90" t="s">
        <v>14288</v>
      </c>
      <c r="EE90" t="s">
        <v>12247</v>
      </c>
      <c r="EG90" t="s">
        <v>12247</v>
      </c>
    </row>
    <row r="91" spans="1:253" x14ac:dyDescent="0.25">
      <c r="A91" t="s">
        <v>58</v>
      </c>
      <c r="B91" t="s">
        <v>12247</v>
      </c>
      <c r="C91">
        <v>0</v>
      </c>
      <c r="D91">
        <v>2</v>
      </c>
      <c r="E91" t="s">
        <v>58</v>
      </c>
      <c r="F91" t="s">
        <v>13674</v>
      </c>
      <c r="G91">
        <v>1</v>
      </c>
      <c r="H91">
        <v>2</v>
      </c>
      <c r="I91" t="s">
        <v>12507</v>
      </c>
      <c r="J91">
        <v>1</v>
      </c>
      <c r="K91" t="s">
        <v>58</v>
      </c>
      <c r="L91" t="s">
        <v>13681</v>
      </c>
      <c r="M91">
        <v>0</v>
      </c>
      <c r="N91" t="s">
        <v>58</v>
      </c>
      <c r="O91" t="s">
        <v>13681</v>
      </c>
      <c r="P91">
        <v>0</v>
      </c>
      <c r="Q91" t="s">
        <v>58</v>
      </c>
      <c r="R91" t="s">
        <v>13681</v>
      </c>
      <c r="S91">
        <v>0</v>
      </c>
      <c r="T91" t="s">
        <v>58</v>
      </c>
      <c r="U91" t="s">
        <v>13681</v>
      </c>
      <c r="V91" t="s">
        <v>58</v>
      </c>
      <c r="X91" t="s">
        <v>13679</v>
      </c>
      <c r="Y91" t="s">
        <v>14289</v>
      </c>
      <c r="Z91" t="s">
        <v>14290</v>
      </c>
      <c r="AB91" t="s">
        <v>58</v>
      </c>
      <c r="AE91" t="s">
        <v>58</v>
      </c>
      <c r="AG91">
        <v>7</v>
      </c>
      <c r="AH91">
        <v>5</v>
      </c>
      <c r="AI91">
        <v>9</v>
      </c>
      <c r="AJ91">
        <v>11</v>
      </c>
      <c r="AK91">
        <v>67059887</v>
      </c>
      <c r="AL91">
        <v>16</v>
      </c>
      <c r="AM91">
        <v>2019</v>
      </c>
      <c r="AN91">
        <v>2715518</v>
      </c>
      <c r="AO91">
        <v>2019</v>
      </c>
      <c r="AP91" t="s">
        <v>13177</v>
      </c>
      <c r="AQ91" t="s">
        <v>12513</v>
      </c>
      <c r="AR91" t="s">
        <v>1471</v>
      </c>
      <c r="AS91">
        <v>-99</v>
      </c>
      <c r="AT91" t="s">
        <v>1471</v>
      </c>
      <c r="AU91">
        <v>-99</v>
      </c>
      <c r="AV91" t="s">
        <v>13681</v>
      </c>
      <c r="AW91">
        <v>-99</v>
      </c>
      <c r="AX91">
        <v>250</v>
      </c>
      <c r="AY91">
        <v>250</v>
      </c>
      <c r="AZ91" t="s">
        <v>1471</v>
      </c>
      <c r="BA91" t="s">
        <v>13681</v>
      </c>
      <c r="BB91">
        <v>-90</v>
      </c>
      <c r="BC91">
        <v>23424819</v>
      </c>
      <c r="BD91" t="s">
        <v>14291</v>
      </c>
      <c r="BE91" t="s">
        <v>13681</v>
      </c>
      <c r="BG91" t="s">
        <v>13681</v>
      </c>
      <c r="BH91" t="s">
        <v>13681</v>
      </c>
      <c r="BI91" t="s">
        <v>13681</v>
      </c>
      <c r="BJ91" t="s">
        <v>13681</v>
      </c>
      <c r="BK91" t="s">
        <v>13681</v>
      </c>
      <c r="BL91" t="s">
        <v>13681</v>
      </c>
      <c r="BM91" t="s">
        <v>13681</v>
      </c>
      <c r="BN91" t="s">
        <v>13681</v>
      </c>
      <c r="BO91" t="s">
        <v>13681</v>
      </c>
      <c r="BP91" t="s">
        <v>13681</v>
      </c>
      <c r="BQ91" t="s">
        <v>13681</v>
      </c>
      <c r="BR91" t="s">
        <v>13681</v>
      </c>
      <c r="BS91" t="s">
        <v>13681</v>
      </c>
      <c r="BT91" t="s">
        <v>13681</v>
      </c>
      <c r="BU91" t="s">
        <v>13681</v>
      </c>
      <c r="BV91" t="s">
        <v>13681</v>
      </c>
      <c r="BW91" t="s">
        <v>13681</v>
      </c>
      <c r="BX91" t="s">
        <v>13681</v>
      </c>
      <c r="BY91" t="s">
        <v>13681</v>
      </c>
      <c r="BZ91" t="s">
        <v>13681</v>
      </c>
      <c r="CA91" t="s">
        <v>13681</v>
      </c>
      <c r="CB91" t="s">
        <v>13681</v>
      </c>
      <c r="CC91" t="s">
        <v>13681</v>
      </c>
      <c r="CD91" t="s">
        <v>13681</v>
      </c>
      <c r="CE91" t="s">
        <v>13681</v>
      </c>
      <c r="CF91" t="s">
        <v>13681</v>
      </c>
      <c r="CG91" t="s">
        <v>13681</v>
      </c>
      <c r="CH91" t="s">
        <v>13681</v>
      </c>
      <c r="CI91" t="s">
        <v>13681</v>
      </c>
      <c r="CJ91" t="s">
        <v>13681</v>
      </c>
      <c r="CK91" t="s">
        <v>13681</v>
      </c>
      <c r="CL91" t="s">
        <v>13681</v>
      </c>
      <c r="CM91">
        <v>-99</v>
      </c>
      <c r="CN91">
        <v>-99</v>
      </c>
      <c r="CO91" t="s">
        <v>12279</v>
      </c>
      <c r="CP91" t="s">
        <v>12279</v>
      </c>
      <c r="CQ91" t="s">
        <v>12640</v>
      </c>
      <c r="CR91" t="s">
        <v>12281</v>
      </c>
      <c r="CS91">
        <v>6</v>
      </c>
      <c r="CT91">
        <v>6</v>
      </c>
      <c r="CU91">
        <v>3</v>
      </c>
      <c r="CV91">
        <v>-99</v>
      </c>
      <c r="CW91">
        <v>1</v>
      </c>
      <c r="CX91">
        <v>0</v>
      </c>
      <c r="CY91">
        <v>1.7</v>
      </c>
      <c r="CZ91">
        <v>6.7</v>
      </c>
      <c r="DA91">
        <v>2.5522749999999998</v>
      </c>
      <c r="DB91">
        <v>46.696112999999997</v>
      </c>
      <c r="DC91">
        <v>1159320637</v>
      </c>
      <c r="DD91" t="s">
        <v>14292</v>
      </c>
      <c r="DE91" t="s">
        <v>14293</v>
      </c>
      <c r="DF91" t="s">
        <v>14294</v>
      </c>
      <c r="DG91" t="s">
        <v>14295</v>
      </c>
      <c r="DH91" t="s">
        <v>58</v>
      </c>
      <c r="DI91" t="s">
        <v>14296</v>
      </c>
      <c r="DJ91" t="s">
        <v>14297</v>
      </c>
      <c r="DK91" t="s">
        <v>58</v>
      </c>
      <c r="DL91" t="s">
        <v>14298</v>
      </c>
      <c r="DM91" t="s">
        <v>14299</v>
      </c>
      <c r="DN91" t="s">
        <v>14300</v>
      </c>
      <c r="DO91" t="s">
        <v>14301</v>
      </c>
      <c r="DP91" t="s">
        <v>14302</v>
      </c>
      <c r="DQ91" t="s">
        <v>14296</v>
      </c>
      <c r="DR91" t="s">
        <v>14303</v>
      </c>
      <c r="DS91" t="s">
        <v>14304</v>
      </c>
      <c r="DT91" t="s">
        <v>14305</v>
      </c>
      <c r="DU91" t="s">
        <v>14306</v>
      </c>
      <c r="DV91" t="s">
        <v>14307</v>
      </c>
      <c r="DW91" t="s">
        <v>14308</v>
      </c>
      <c r="DX91" t="s">
        <v>14309</v>
      </c>
      <c r="DY91" t="s">
        <v>14310</v>
      </c>
      <c r="DZ91" t="s">
        <v>14311</v>
      </c>
      <c r="EA91" t="s">
        <v>14312</v>
      </c>
      <c r="EB91" t="s">
        <v>14313</v>
      </c>
      <c r="EC91" t="s">
        <v>14314</v>
      </c>
      <c r="ED91" t="s">
        <v>14315</v>
      </c>
      <c r="EE91" t="s">
        <v>12247</v>
      </c>
      <c r="EG91" t="s">
        <v>12247</v>
      </c>
    </row>
    <row r="92" spans="1:253" x14ac:dyDescent="0.25">
      <c r="A92" t="s">
        <v>1208</v>
      </c>
      <c r="B92" t="s">
        <v>17202</v>
      </c>
      <c r="C92">
        <v>5</v>
      </c>
      <c r="L92" t="s">
        <v>12077</v>
      </c>
      <c r="FN92" t="s">
        <v>18601</v>
      </c>
      <c r="FO92">
        <v>2000</v>
      </c>
      <c r="FQ92" t="s">
        <v>1471</v>
      </c>
      <c r="FR92">
        <v>1</v>
      </c>
      <c r="FU92" t="s">
        <v>18603</v>
      </c>
      <c r="FV92" t="s">
        <v>18604</v>
      </c>
      <c r="FX92" t="s">
        <v>18605</v>
      </c>
      <c r="GA92" t="s">
        <v>18602</v>
      </c>
      <c r="GB92">
        <v>1</v>
      </c>
      <c r="GC92">
        <v>1</v>
      </c>
      <c r="GD92">
        <v>20</v>
      </c>
      <c r="GE92">
        <v>8</v>
      </c>
      <c r="GG92" t="s">
        <v>1408</v>
      </c>
      <c r="GH92">
        <v>0</v>
      </c>
      <c r="GI92">
        <v>-99</v>
      </c>
      <c r="GJ92">
        <v>5</v>
      </c>
      <c r="GK92">
        <v>16</v>
      </c>
      <c r="GL92">
        <v>9</v>
      </c>
      <c r="GM92">
        <v>11</v>
      </c>
      <c r="GN92" t="s">
        <v>18606</v>
      </c>
      <c r="GP92">
        <v>23424811</v>
      </c>
      <c r="GR92" t="s">
        <v>18602</v>
      </c>
      <c r="GS92">
        <v>3.8583099999999999</v>
      </c>
      <c r="GT92">
        <v>-53.132399999999997</v>
      </c>
      <c r="GU92" t="s">
        <v>13674</v>
      </c>
      <c r="GV92" t="s">
        <v>12077</v>
      </c>
      <c r="GW92">
        <v>2</v>
      </c>
      <c r="GX92" t="s">
        <v>58</v>
      </c>
      <c r="GY92" t="s">
        <v>1208</v>
      </c>
      <c r="GZ92" t="s">
        <v>18607</v>
      </c>
      <c r="HA92">
        <v>6690606</v>
      </c>
      <c r="HB92" t="s">
        <v>18608</v>
      </c>
      <c r="HC92">
        <v>-916610</v>
      </c>
      <c r="HD92" t="s">
        <v>18609</v>
      </c>
      <c r="HE92">
        <v>2</v>
      </c>
      <c r="HG92" t="s">
        <v>18610</v>
      </c>
      <c r="HJ92">
        <v>1</v>
      </c>
      <c r="HK92" t="s">
        <v>18611</v>
      </c>
      <c r="HM92" t="s">
        <v>18612</v>
      </c>
      <c r="HN92">
        <v>8</v>
      </c>
      <c r="HO92">
        <v>11</v>
      </c>
      <c r="HP92">
        <v>8</v>
      </c>
      <c r="HQ92" t="s">
        <v>18613</v>
      </c>
      <c r="HR92" t="s">
        <v>18614</v>
      </c>
      <c r="HS92" t="s">
        <v>18615</v>
      </c>
      <c r="HT92" t="s">
        <v>18616</v>
      </c>
      <c r="HU92" t="s">
        <v>1208</v>
      </c>
      <c r="HV92" t="s">
        <v>18617</v>
      </c>
      <c r="HW92" t="s">
        <v>18608</v>
      </c>
      <c r="HX92" t="s">
        <v>18618</v>
      </c>
      <c r="HY92" t="s">
        <v>18619</v>
      </c>
      <c r="HZ92" t="s">
        <v>18620</v>
      </c>
      <c r="IA92" t="s">
        <v>18621</v>
      </c>
      <c r="IB92" t="s">
        <v>18622</v>
      </c>
      <c r="IC92" t="s">
        <v>18623</v>
      </c>
      <c r="ID92" t="s">
        <v>18624</v>
      </c>
      <c r="IE92" t="s">
        <v>18625</v>
      </c>
      <c r="IF92" t="s">
        <v>18626</v>
      </c>
      <c r="IG92" t="s">
        <v>18627</v>
      </c>
      <c r="IH92" t="s">
        <v>18628</v>
      </c>
      <c r="II92" t="s">
        <v>18629</v>
      </c>
      <c r="IJ92" t="s">
        <v>18630</v>
      </c>
      <c r="IK92" t="s">
        <v>18631</v>
      </c>
      <c r="IL92" t="s">
        <v>18632</v>
      </c>
      <c r="IM92">
        <v>1159311355</v>
      </c>
      <c r="IN92" t="s">
        <v>18633</v>
      </c>
      <c r="IO92" t="s">
        <v>18634</v>
      </c>
      <c r="IP92" t="s">
        <v>18635</v>
      </c>
      <c r="IQ92" t="s">
        <v>18636</v>
      </c>
      <c r="IR92" t="s">
        <v>18637</v>
      </c>
      <c r="IS92" t="s">
        <v>18638</v>
      </c>
    </row>
    <row r="93" spans="1:253" x14ac:dyDescent="0.25">
      <c r="A93" t="s">
        <v>1209</v>
      </c>
      <c r="B93" t="s">
        <v>12247</v>
      </c>
      <c r="C93">
        <v>3</v>
      </c>
      <c r="D93">
        <v>4</v>
      </c>
      <c r="E93" t="s">
        <v>58</v>
      </c>
      <c r="F93" t="s">
        <v>13674</v>
      </c>
      <c r="G93">
        <v>1</v>
      </c>
      <c r="H93">
        <v>2</v>
      </c>
      <c r="I93" t="s">
        <v>12480</v>
      </c>
      <c r="J93">
        <v>1</v>
      </c>
      <c r="K93" t="s">
        <v>1209</v>
      </c>
      <c r="L93" t="s">
        <v>14316</v>
      </c>
      <c r="M93">
        <v>0</v>
      </c>
      <c r="N93" t="s">
        <v>1209</v>
      </c>
      <c r="O93" t="s">
        <v>14316</v>
      </c>
      <c r="P93">
        <v>0</v>
      </c>
      <c r="Q93" t="s">
        <v>1209</v>
      </c>
      <c r="R93" t="s">
        <v>14316</v>
      </c>
      <c r="S93">
        <v>0</v>
      </c>
      <c r="T93" t="s">
        <v>1209</v>
      </c>
      <c r="U93" t="s">
        <v>14316</v>
      </c>
      <c r="V93" t="s">
        <v>14317</v>
      </c>
      <c r="X93" t="s">
        <v>14318</v>
      </c>
      <c r="Y93" t="s">
        <v>1777</v>
      </c>
      <c r="Z93" t="s">
        <v>1209</v>
      </c>
      <c r="AB93" t="s">
        <v>1209</v>
      </c>
      <c r="AC93" t="s">
        <v>13679</v>
      </c>
      <c r="AE93" t="s">
        <v>1209</v>
      </c>
      <c r="AG93">
        <v>7</v>
      </c>
      <c r="AH93">
        <v>5</v>
      </c>
      <c r="AI93">
        <v>9</v>
      </c>
      <c r="AJ93">
        <v>11</v>
      </c>
      <c r="AK93">
        <v>279287</v>
      </c>
      <c r="AL93">
        <v>10</v>
      </c>
      <c r="AM93">
        <v>2019</v>
      </c>
      <c r="AN93">
        <v>5490</v>
      </c>
      <c r="AO93">
        <v>2016</v>
      </c>
      <c r="AP93" t="s">
        <v>12277</v>
      </c>
      <c r="AQ93" t="s">
        <v>12335</v>
      </c>
      <c r="AR93" t="s">
        <v>14319</v>
      </c>
      <c r="AS93" t="s">
        <v>1777</v>
      </c>
      <c r="AT93" t="s">
        <v>1777</v>
      </c>
      <c r="AU93" t="s">
        <v>14316</v>
      </c>
      <c r="AV93" t="s">
        <v>14316</v>
      </c>
      <c r="AW93">
        <v>258</v>
      </c>
      <c r="AX93">
        <v>258</v>
      </c>
      <c r="AY93">
        <v>258</v>
      </c>
      <c r="AZ93" t="s">
        <v>1777</v>
      </c>
      <c r="BA93" t="s">
        <v>14316</v>
      </c>
      <c r="BB93">
        <v>23424817</v>
      </c>
      <c r="BC93">
        <v>23424817</v>
      </c>
      <c r="BD93" t="s">
        <v>12254</v>
      </c>
      <c r="BE93" t="s">
        <v>14316</v>
      </c>
      <c r="BG93" t="s">
        <v>14316</v>
      </c>
      <c r="BH93" t="s">
        <v>14316</v>
      </c>
      <c r="BI93" t="s">
        <v>14316</v>
      </c>
      <c r="BJ93" t="s">
        <v>14316</v>
      </c>
      <c r="BK93" t="s">
        <v>14316</v>
      </c>
      <c r="BL93" t="s">
        <v>14316</v>
      </c>
      <c r="BM93" t="s">
        <v>14316</v>
      </c>
      <c r="BN93" t="s">
        <v>14316</v>
      </c>
      <c r="BO93" t="s">
        <v>14316</v>
      </c>
      <c r="BP93" t="s">
        <v>14316</v>
      </c>
      <c r="BQ93" t="s">
        <v>14316</v>
      </c>
      <c r="BR93" t="s">
        <v>14316</v>
      </c>
      <c r="BS93" t="s">
        <v>14316</v>
      </c>
      <c r="BT93" t="s">
        <v>14316</v>
      </c>
      <c r="BU93" t="s">
        <v>14316</v>
      </c>
      <c r="BV93" t="s">
        <v>14316</v>
      </c>
      <c r="BW93" t="s">
        <v>14316</v>
      </c>
      <c r="BX93" t="s">
        <v>14316</v>
      </c>
      <c r="BY93" t="s">
        <v>14316</v>
      </c>
      <c r="BZ93" t="s">
        <v>14316</v>
      </c>
      <c r="CA93" t="s">
        <v>14316</v>
      </c>
      <c r="CB93" t="s">
        <v>14316</v>
      </c>
      <c r="CC93" t="s">
        <v>14316</v>
      </c>
      <c r="CD93" t="s">
        <v>14316</v>
      </c>
      <c r="CE93" t="s">
        <v>14316</v>
      </c>
      <c r="CF93" t="s">
        <v>14316</v>
      </c>
      <c r="CG93" t="s">
        <v>14316</v>
      </c>
      <c r="CH93" t="s">
        <v>14316</v>
      </c>
      <c r="CI93" t="s">
        <v>14316</v>
      </c>
      <c r="CJ93" t="s">
        <v>14316</v>
      </c>
      <c r="CK93" t="s">
        <v>14316</v>
      </c>
      <c r="CL93" t="s">
        <v>14316</v>
      </c>
      <c r="CM93">
        <v>-99</v>
      </c>
      <c r="CN93">
        <v>-99</v>
      </c>
      <c r="CO93" t="s">
        <v>12537</v>
      </c>
      <c r="CP93" t="s">
        <v>12537</v>
      </c>
      <c r="CQ93" t="s">
        <v>12538</v>
      </c>
      <c r="CR93" t="s">
        <v>12539</v>
      </c>
      <c r="CS93">
        <v>13</v>
      </c>
      <c r="CT93">
        <v>16</v>
      </c>
      <c r="CU93">
        <v>9</v>
      </c>
      <c r="CV93">
        <v>2</v>
      </c>
      <c r="CW93">
        <v>-99</v>
      </c>
      <c r="CX93">
        <v>0</v>
      </c>
      <c r="CY93">
        <v>3.5</v>
      </c>
      <c r="CZ93">
        <v>8.5</v>
      </c>
      <c r="DA93">
        <v>-149.46156999999999</v>
      </c>
      <c r="DB93">
        <v>-17.628081000000002</v>
      </c>
      <c r="DC93">
        <v>1159320643</v>
      </c>
      <c r="DD93" t="s">
        <v>14320</v>
      </c>
      <c r="DE93" t="s">
        <v>14321</v>
      </c>
      <c r="DF93" t="s">
        <v>14322</v>
      </c>
      <c r="DG93" t="s">
        <v>14323</v>
      </c>
      <c r="DH93" t="s">
        <v>1209</v>
      </c>
      <c r="DI93" t="s">
        <v>14324</v>
      </c>
      <c r="DJ93" t="s">
        <v>14325</v>
      </c>
      <c r="DK93" t="s">
        <v>14326</v>
      </c>
      <c r="DL93" t="s">
        <v>14327</v>
      </c>
      <c r="DM93" t="s">
        <v>14328</v>
      </c>
      <c r="DN93" t="s">
        <v>14329</v>
      </c>
      <c r="DO93" t="s">
        <v>14330</v>
      </c>
      <c r="DP93" t="s">
        <v>14331</v>
      </c>
      <c r="DQ93" t="s">
        <v>14332</v>
      </c>
      <c r="DR93" t="s">
        <v>14333</v>
      </c>
      <c r="DS93" t="s">
        <v>14334</v>
      </c>
      <c r="DT93" t="s">
        <v>14335</v>
      </c>
      <c r="DU93" t="s">
        <v>14336</v>
      </c>
      <c r="DV93" t="s">
        <v>14337</v>
      </c>
      <c r="DW93" t="s">
        <v>14338</v>
      </c>
      <c r="DX93" t="s">
        <v>14339</v>
      </c>
      <c r="DY93" t="s">
        <v>14340</v>
      </c>
      <c r="DZ93" t="s">
        <v>14341</v>
      </c>
      <c r="EA93" t="s">
        <v>14342</v>
      </c>
      <c r="EB93" t="s">
        <v>14343</v>
      </c>
      <c r="EC93" t="s">
        <v>14344</v>
      </c>
      <c r="ED93" t="s">
        <v>14345</v>
      </c>
      <c r="EE93" t="s">
        <v>12397</v>
      </c>
      <c r="EG93" t="s">
        <v>12397</v>
      </c>
    </row>
    <row r="94" spans="1:253" x14ac:dyDescent="0.25">
      <c r="A94" t="s">
        <v>14777</v>
      </c>
      <c r="B94" t="s">
        <v>12247</v>
      </c>
      <c r="C94">
        <v>3</v>
      </c>
      <c r="D94">
        <v>6</v>
      </c>
      <c r="E94" t="s">
        <v>58</v>
      </c>
      <c r="F94" t="s">
        <v>13674</v>
      </c>
      <c r="G94">
        <v>1</v>
      </c>
      <c r="H94">
        <v>2</v>
      </c>
      <c r="I94" t="s">
        <v>12480</v>
      </c>
      <c r="J94">
        <v>1</v>
      </c>
      <c r="K94" t="s">
        <v>14777</v>
      </c>
      <c r="L94" t="s">
        <v>14778</v>
      </c>
      <c r="M94">
        <v>0</v>
      </c>
      <c r="N94" t="s">
        <v>14777</v>
      </c>
      <c r="O94" t="s">
        <v>14778</v>
      </c>
      <c r="P94">
        <v>0</v>
      </c>
      <c r="Q94" t="s">
        <v>14777</v>
      </c>
      <c r="R94" t="s">
        <v>14778</v>
      </c>
      <c r="S94">
        <v>0</v>
      </c>
      <c r="T94" t="s">
        <v>14777</v>
      </c>
      <c r="U94" t="s">
        <v>14778</v>
      </c>
      <c r="V94" t="s">
        <v>14779</v>
      </c>
      <c r="X94" t="s">
        <v>14780</v>
      </c>
      <c r="Y94" t="s">
        <v>1899</v>
      </c>
      <c r="Z94" t="s">
        <v>14781</v>
      </c>
      <c r="AC94" t="s">
        <v>13679</v>
      </c>
      <c r="AE94" t="s">
        <v>14777</v>
      </c>
      <c r="AG94">
        <v>7</v>
      </c>
      <c r="AH94">
        <v>5</v>
      </c>
      <c r="AI94">
        <v>9</v>
      </c>
      <c r="AJ94">
        <v>11</v>
      </c>
      <c r="AK94">
        <v>140</v>
      </c>
      <c r="AL94">
        <v>1</v>
      </c>
      <c r="AM94">
        <v>2017</v>
      </c>
      <c r="AN94">
        <v>16</v>
      </c>
      <c r="AO94">
        <v>2016</v>
      </c>
      <c r="AP94" t="s">
        <v>12277</v>
      </c>
      <c r="AQ94" t="s">
        <v>12335</v>
      </c>
      <c r="AR94" t="s">
        <v>14782</v>
      </c>
      <c r="AS94" t="s">
        <v>1899</v>
      </c>
      <c r="AT94" t="s">
        <v>1899</v>
      </c>
      <c r="AU94" t="s">
        <v>14778</v>
      </c>
      <c r="AV94" t="s">
        <v>14778</v>
      </c>
      <c r="AW94">
        <v>260</v>
      </c>
      <c r="AX94">
        <v>260</v>
      </c>
      <c r="AY94">
        <v>260</v>
      </c>
      <c r="AZ94">
        <v>-99</v>
      </c>
      <c r="BA94">
        <v>-99</v>
      </c>
      <c r="BB94">
        <v>28289406</v>
      </c>
      <c r="BC94">
        <v>28289406</v>
      </c>
      <c r="BD94" t="s">
        <v>12254</v>
      </c>
      <c r="BE94" t="s">
        <v>14778</v>
      </c>
      <c r="BG94" t="s">
        <v>14778</v>
      </c>
      <c r="BH94" t="s">
        <v>14778</v>
      </c>
      <c r="BI94" t="s">
        <v>14778</v>
      </c>
      <c r="BJ94" t="s">
        <v>14778</v>
      </c>
      <c r="BK94" t="s">
        <v>14778</v>
      </c>
      <c r="BL94" t="s">
        <v>14778</v>
      </c>
      <c r="BM94" t="s">
        <v>14778</v>
      </c>
      <c r="BN94" t="s">
        <v>14778</v>
      </c>
      <c r="BO94" t="s">
        <v>14778</v>
      </c>
      <c r="BP94" t="s">
        <v>14778</v>
      </c>
      <c r="BQ94" t="s">
        <v>14778</v>
      </c>
      <c r="BR94" t="s">
        <v>14778</v>
      </c>
      <c r="BS94" t="s">
        <v>14778</v>
      </c>
      <c r="BT94" t="s">
        <v>14778</v>
      </c>
      <c r="BU94" t="s">
        <v>14778</v>
      </c>
      <c r="BV94" t="s">
        <v>14778</v>
      </c>
      <c r="BW94" t="s">
        <v>14778</v>
      </c>
      <c r="BX94" t="s">
        <v>14778</v>
      </c>
      <c r="BY94" t="s">
        <v>14778</v>
      </c>
      <c r="BZ94" t="s">
        <v>14778</v>
      </c>
      <c r="CA94" t="s">
        <v>14778</v>
      </c>
      <c r="CB94" t="s">
        <v>14778</v>
      </c>
      <c r="CC94" t="s">
        <v>14778</v>
      </c>
      <c r="CD94" t="s">
        <v>14778</v>
      </c>
      <c r="CE94" t="s">
        <v>14778</v>
      </c>
      <c r="CF94" t="s">
        <v>14778</v>
      </c>
      <c r="CG94" t="s">
        <v>14778</v>
      </c>
      <c r="CH94" t="s">
        <v>14778</v>
      </c>
      <c r="CI94" t="s">
        <v>14778</v>
      </c>
      <c r="CJ94" t="s">
        <v>14778</v>
      </c>
      <c r="CK94" t="s">
        <v>14778</v>
      </c>
      <c r="CL94" t="s">
        <v>14778</v>
      </c>
      <c r="CM94">
        <v>-99</v>
      </c>
      <c r="CN94">
        <v>-99</v>
      </c>
      <c r="CO94" t="s">
        <v>13437</v>
      </c>
      <c r="CP94" t="s">
        <v>12306</v>
      </c>
      <c r="CQ94" t="s">
        <v>13437</v>
      </c>
      <c r="CR94" t="s">
        <v>12357</v>
      </c>
      <c r="CS94">
        <v>22</v>
      </c>
      <c r="CT94">
        <v>35</v>
      </c>
      <c r="CU94">
        <v>10</v>
      </c>
      <c r="CV94">
        <v>2</v>
      </c>
      <c r="CW94">
        <v>-99</v>
      </c>
      <c r="CX94">
        <v>0</v>
      </c>
      <c r="CY94">
        <v>4</v>
      </c>
      <c r="CZ94">
        <v>9</v>
      </c>
      <c r="DA94">
        <v>69.122135999999998</v>
      </c>
      <c r="DB94">
        <v>-49.303721000000003</v>
      </c>
      <c r="DC94">
        <v>1159320631</v>
      </c>
      <c r="DD94" t="s">
        <v>14783</v>
      </c>
      <c r="DE94" t="s">
        <v>14784</v>
      </c>
      <c r="DF94" t="s">
        <v>14785</v>
      </c>
      <c r="DG94" t="s">
        <v>14786</v>
      </c>
      <c r="DH94" t="s">
        <v>14777</v>
      </c>
      <c r="DI94" t="s">
        <v>14787</v>
      </c>
      <c r="DJ94" t="s">
        <v>14788</v>
      </c>
      <c r="DK94" t="s">
        <v>14789</v>
      </c>
      <c r="DL94" t="s">
        <v>14790</v>
      </c>
      <c r="DM94" t="s">
        <v>14791</v>
      </c>
      <c r="DN94" t="s">
        <v>14792</v>
      </c>
      <c r="DO94" t="s">
        <v>14793</v>
      </c>
      <c r="DP94" t="s">
        <v>14794</v>
      </c>
      <c r="DQ94" t="s">
        <v>14795</v>
      </c>
      <c r="DR94" t="s">
        <v>14796</v>
      </c>
      <c r="DS94" t="s">
        <v>14797</v>
      </c>
      <c r="DT94" t="s">
        <v>14798</v>
      </c>
      <c r="DU94" t="s">
        <v>14799</v>
      </c>
      <c r="DV94" t="s">
        <v>14800</v>
      </c>
      <c r="DW94" t="s">
        <v>14801</v>
      </c>
      <c r="DX94" t="s">
        <v>14802</v>
      </c>
      <c r="DY94" t="s">
        <v>14803</v>
      </c>
      <c r="DZ94" t="s">
        <v>14804</v>
      </c>
      <c r="EA94" t="s">
        <v>14805</v>
      </c>
      <c r="EB94" t="s">
        <v>14806</v>
      </c>
      <c r="EC94" t="s">
        <v>14807</v>
      </c>
      <c r="ED94" t="s">
        <v>14808</v>
      </c>
      <c r="EE94" t="s">
        <v>12397</v>
      </c>
      <c r="EG94" t="s">
        <v>12397</v>
      </c>
    </row>
    <row r="95" spans="1:253" x14ac:dyDescent="0.25">
      <c r="A95" t="s">
        <v>59</v>
      </c>
      <c r="B95" t="s">
        <v>12247</v>
      </c>
      <c r="C95">
        <v>0</v>
      </c>
      <c r="D95">
        <v>4</v>
      </c>
      <c r="E95" t="s">
        <v>59</v>
      </c>
      <c r="F95" t="s">
        <v>14346</v>
      </c>
      <c r="G95">
        <v>0</v>
      </c>
      <c r="H95">
        <v>2</v>
      </c>
      <c r="I95" t="s">
        <v>12249</v>
      </c>
      <c r="J95">
        <v>1</v>
      </c>
      <c r="K95" t="s">
        <v>59</v>
      </c>
      <c r="L95" t="s">
        <v>14346</v>
      </c>
      <c r="M95">
        <v>0</v>
      </c>
      <c r="N95" t="s">
        <v>59</v>
      </c>
      <c r="O95" t="s">
        <v>14346</v>
      </c>
      <c r="P95">
        <v>0</v>
      </c>
      <c r="Q95" t="s">
        <v>59</v>
      </c>
      <c r="R95" t="s">
        <v>14346</v>
      </c>
      <c r="S95">
        <v>0</v>
      </c>
      <c r="T95" t="s">
        <v>59</v>
      </c>
      <c r="U95" t="s">
        <v>14346</v>
      </c>
      <c r="V95" t="s">
        <v>59</v>
      </c>
      <c r="X95" t="s">
        <v>59</v>
      </c>
      <c r="Y95" t="s">
        <v>1474</v>
      </c>
      <c r="Z95" t="s">
        <v>14347</v>
      </c>
      <c r="AB95" t="s">
        <v>59</v>
      </c>
      <c r="AE95" t="s">
        <v>59</v>
      </c>
      <c r="AG95">
        <v>6</v>
      </c>
      <c r="AH95">
        <v>2</v>
      </c>
      <c r="AI95">
        <v>5</v>
      </c>
      <c r="AJ95">
        <v>5</v>
      </c>
      <c r="AK95">
        <v>2172579</v>
      </c>
      <c r="AL95">
        <v>12</v>
      </c>
      <c r="AM95">
        <v>2019</v>
      </c>
      <c r="AN95">
        <v>16874</v>
      </c>
      <c r="AO95">
        <v>2019</v>
      </c>
      <c r="AP95" t="s">
        <v>12277</v>
      </c>
      <c r="AQ95" t="s">
        <v>12305</v>
      </c>
      <c r="AR95" t="s">
        <v>1478</v>
      </c>
      <c r="AS95" t="s">
        <v>1474</v>
      </c>
      <c r="AT95" t="s">
        <v>1474</v>
      </c>
      <c r="AU95" t="s">
        <v>14346</v>
      </c>
      <c r="AV95" t="s">
        <v>14346</v>
      </c>
      <c r="AW95">
        <v>266</v>
      </c>
      <c r="AX95">
        <v>266</v>
      </c>
      <c r="AY95">
        <v>266</v>
      </c>
      <c r="AZ95" t="s">
        <v>1474</v>
      </c>
      <c r="BA95" t="s">
        <v>14346</v>
      </c>
      <c r="BB95">
        <v>23424822</v>
      </c>
      <c r="BC95">
        <v>23424822</v>
      </c>
      <c r="BD95" t="s">
        <v>12254</v>
      </c>
      <c r="BE95" t="s">
        <v>14346</v>
      </c>
      <c r="BG95" t="s">
        <v>14346</v>
      </c>
      <c r="BH95" t="s">
        <v>14346</v>
      </c>
      <c r="BI95" t="s">
        <v>14346</v>
      </c>
      <c r="BJ95" t="s">
        <v>14346</v>
      </c>
      <c r="BK95" t="s">
        <v>14346</v>
      </c>
      <c r="BL95" t="s">
        <v>14346</v>
      </c>
      <c r="BM95" t="s">
        <v>14346</v>
      </c>
      <c r="BN95" t="s">
        <v>14346</v>
      </c>
      <c r="BO95" t="s">
        <v>14346</v>
      </c>
      <c r="BP95" t="s">
        <v>14346</v>
      </c>
      <c r="BQ95" t="s">
        <v>14346</v>
      </c>
      <c r="BR95" t="s">
        <v>14346</v>
      </c>
      <c r="BS95" t="s">
        <v>14346</v>
      </c>
      <c r="BT95" t="s">
        <v>14346</v>
      </c>
      <c r="BU95" t="s">
        <v>14346</v>
      </c>
      <c r="BV95" t="s">
        <v>14346</v>
      </c>
      <c r="BW95" t="s">
        <v>14346</v>
      </c>
      <c r="BX95" t="s">
        <v>14346</v>
      </c>
      <c r="BY95" t="s">
        <v>14346</v>
      </c>
      <c r="BZ95" t="s">
        <v>14346</v>
      </c>
      <c r="CA95" t="s">
        <v>14346</v>
      </c>
      <c r="CB95" t="s">
        <v>14346</v>
      </c>
      <c r="CC95" t="s">
        <v>14346</v>
      </c>
      <c r="CD95" t="s">
        <v>14346</v>
      </c>
      <c r="CE95" t="s">
        <v>14346</v>
      </c>
      <c r="CF95" t="s">
        <v>14346</v>
      </c>
      <c r="CG95" t="s">
        <v>14346</v>
      </c>
      <c r="CH95" t="s">
        <v>14346</v>
      </c>
      <c r="CI95" t="s">
        <v>14346</v>
      </c>
      <c r="CJ95" t="s">
        <v>14346</v>
      </c>
      <c r="CK95" t="s">
        <v>14346</v>
      </c>
      <c r="CL95" t="s">
        <v>14346</v>
      </c>
      <c r="CM95">
        <v>-99</v>
      </c>
      <c r="CN95">
        <v>-99</v>
      </c>
      <c r="CO95" t="s">
        <v>12306</v>
      </c>
      <c r="CP95" t="s">
        <v>12306</v>
      </c>
      <c r="CQ95" t="s">
        <v>12356</v>
      </c>
      <c r="CR95" t="s">
        <v>12357</v>
      </c>
      <c r="CS95">
        <v>5</v>
      </c>
      <c r="CT95">
        <v>5</v>
      </c>
      <c r="CU95">
        <v>5</v>
      </c>
      <c r="CV95">
        <v>3</v>
      </c>
      <c r="CW95">
        <v>1</v>
      </c>
      <c r="CX95">
        <v>0</v>
      </c>
      <c r="CY95">
        <v>3</v>
      </c>
      <c r="CZ95">
        <v>8</v>
      </c>
      <c r="DA95">
        <v>11.835939</v>
      </c>
      <c r="DB95">
        <v>-0.43773899999999999</v>
      </c>
      <c r="DC95">
        <v>1159320693</v>
      </c>
      <c r="DD95" t="s">
        <v>14348</v>
      </c>
      <c r="DE95" t="s">
        <v>14349</v>
      </c>
      <c r="DF95" t="s">
        <v>14350</v>
      </c>
      <c r="DG95" t="s">
        <v>14351</v>
      </c>
      <c r="DH95" t="s">
        <v>59</v>
      </c>
      <c r="DI95" t="s">
        <v>14352</v>
      </c>
      <c r="DJ95" t="s">
        <v>14353</v>
      </c>
      <c r="DK95" t="s">
        <v>59</v>
      </c>
      <c r="DL95" t="s">
        <v>14354</v>
      </c>
      <c r="DM95" t="s">
        <v>14355</v>
      </c>
      <c r="DN95" t="s">
        <v>14356</v>
      </c>
      <c r="DO95" t="s">
        <v>59</v>
      </c>
      <c r="DP95" t="s">
        <v>59</v>
      </c>
      <c r="DQ95" t="s">
        <v>59</v>
      </c>
      <c r="DR95" t="s">
        <v>14357</v>
      </c>
      <c r="DS95" t="s">
        <v>14358</v>
      </c>
      <c r="DT95" t="s">
        <v>59</v>
      </c>
      <c r="DU95" t="s">
        <v>59</v>
      </c>
      <c r="DV95" t="s">
        <v>14359</v>
      </c>
      <c r="DW95" t="s">
        <v>14360</v>
      </c>
      <c r="DX95" t="s">
        <v>59</v>
      </c>
      <c r="DY95" t="s">
        <v>59</v>
      </c>
      <c r="DZ95" t="s">
        <v>14360</v>
      </c>
      <c r="EA95" t="s">
        <v>14361</v>
      </c>
      <c r="EB95" t="s">
        <v>59</v>
      </c>
      <c r="EC95" t="s">
        <v>14362</v>
      </c>
      <c r="ED95" t="s">
        <v>14363</v>
      </c>
      <c r="EE95" t="s">
        <v>12247</v>
      </c>
      <c r="EG95" t="s">
        <v>12247</v>
      </c>
    </row>
    <row r="96" spans="1:253" x14ac:dyDescent="0.25">
      <c r="A96" t="s">
        <v>14364</v>
      </c>
      <c r="B96" t="s">
        <v>12247</v>
      </c>
      <c r="C96">
        <v>0</v>
      </c>
      <c r="D96">
        <v>6</v>
      </c>
      <c r="E96" t="s">
        <v>14364</v>
      </c>
      <c r="F96" t="s">
        <v>14365</v>
      </c>
      <c r="G96">
        <v>0</v>
      </c>
      <c r="H96">
        <v>2</v>
      </c>
      <c r="I96" t="s">
        <v>12249</v>
      </c>
      <c r="J96">
        <v>1</v>
      </c>
      <c r="K96" t="s">
        <v>14364</v>
      </c>
      <c r="L96" t="s">
        <v>14365</v>
      </c>
      <c r="M96">
        <v>0</v>
      </c>
      <c r="N96" t="s">
        <v>14364</v>
      </c>
      <c r="O96" t="s">
        <v>14365</v>
      </c>
      <c r="P96">
        <v>0</v>
      </c>
      <c r="Q96" t="s">
        <v>14364</v>
      </c>
      <c r="R96" t="s">
        <v>14365</v>
      </c>
      <c r="S96">
        <v>0</v>
      </c>
      <c r="T96" t="s">
        <v>60</v>
      </c>
      <c r="U96" t="s">
        <v>14365</v>
      </c>
      <c r="V96" t="s">
        <v>14364</v>
      </c>
      <c r="X96" t="s">
        <v>14364</v>
      </c>
      <c r="Y96" t="s">
        <v>1504</v>
      </c>
      <c r="Z96" t="s">
        <v>14366</v>
      </c>
      <c r="AB96" t="s">
        <v>14367</v>
      </c>
      <c r="AE96" t="s">
        <v>14367</v>
      </c>
      <c r="AG96">
        <v>1</v>
      </c>
      <c r="AH96">
        <v>4</v>
      </c>
      <c r="AI96">
        <v>1</v>
      </c>
      <c r="AJ96">
        <v>8</v>
      </c>
      <c r="AK96">
        <v>2347706</v>
      </c>
      <c r="AL96">
        <v>12</v>
      </c>
      <c r="AM96">
        <v>2019</v>
      </c>
      <c r="AN96">
        <v>1826</v>
      </c>
      <c r="AO96">
        <v>2019</v>
      </c>
      <c r="AP96" t="s">
        <v>12252</v>
      </c>
      <c r="AQ96" t="s">
        <v>12253</v>
      </c>
      <c r="AR96" t="s">
        <v>1474</v>
      </c>
      <c r="AS96" t="s">
        <v>1504</v>
      </c>
      <c r="AT96" t="s">
        <v>1504</v>
      </c>
      <c r="AU96" t="s">
        <v>14365</v>
      </c>
      <c r="AV96" t="s">
        <v>14365</v>
      </c>
      <c r="AW96">
        <v>270</v>
      </c>
      <c r="AX96">
        <v>270</v>
      </c>
      <c r="AY96">
        <v>270</v>
      </c>
      <c r="AZ96" t="s">
        <v>1504</v>
      </c>
      <c r="BA96" t="s">
        <v>14365</v>
      </c>
      <c r="BB96">
        <v>23424821</v>
      </c>
      <c r="BC96">
        <v>23424821</v>
      </c>
      <c r="BD96" t="s">
        <v>12254</v>
      </c>
      <c r="BE96" t="s">
        <v>14365</v>
      </c>
      <c r="BG96" t="s">
        <v>14365</v>
      </c>
      <c r="BH96" t="s">
        <v>14365</v>
      </c>
      <c r="BI96" t="s">
        <v>14365</v>
      </c>
      <c r="BJ96" t="s">
        <v>14365</v>
      </c>
      <c r="BK96" t="s">
        <v>14365</v>
      </c>
      <c r="BL96" t="s">
        <v>14365</v>
      </c>
      <c r="BM96" t="s">
        <v>14365</v>
      </c>
      <c r="BN96" t="s">
        <v>14365</v>
      </c>
      <c r="BO96" t="s">
        <v>14365</v>
      </c>
      <c r="BP96" t="s">
        <v>14365</v>
      </c>
      <c r="BQ96" t="s">
        <v>14365</v>
      </c>
      <c r="BR96" t="s">
        <v>14365</v>
      </c>
      <c r="BS96" t="s">
        <v>14365</v>
      </c>
      <c r="BT96" t="s">
        <v>14365</v>
      </c>
      <c r="BU96" t="s">
        <v>14365</v>
      </c>
      <c r="BV96" t="s">
        <v>14365</v>
      </c>
      <c r="BW96" t="s">
        <v>14365</v>
      </c>
      <c r="BX96" t="s">
        <v>14365</v>
      </c>
      <c r="BY96" t="s">
        <v>14365</v>
      </c>
      <c r="BZ96" t="s">
        <v>14365</v>
      </c>
      <c r="CA96" t="s">
        <v>14365</v>
      </c>
      <c r="CB96" t="s">
        <v>14365</v>
      </c>
      <c r="CC96" t="s">
        <v>14365</v>
      </c>
      <c r="CD96" t="s">
        <v>14365</v>
      </c>
      <c r="CE96" t="s">
        <v>14365</v>
      </c>
      <c r="CF96" t="s">
        <v>14365</v>
      </c>
      <c r="CG96" t="s">
        <v>14365</v>
      </c>
      <c r="CH96" t="s">
        <v>14365</v>
      </c>
      <c r="CI96" t="s">
        <v>14365</v>
      </c>
      <c r="CJ96" t="s">
        <v>14365</v>
      </c>
      <c r="CK96" t="s">
        <v>14365</v>
      </c>
      <c r="CL96" t="s">
        <v>14365</v>
      </c>
      <c r="CM96">
        <v>-99</v>
      </c>
      <c r="CN96">
        <v>-99</v>
      </c>
      <c r="CO96" t="s">
        <v>12306</v>
      </c>
      <c r="CP96" t="s">
        <v>12306</v>
      </c>
      <c r="CQ96" t="s">
        <v>12847</v>
      </c>
      <c r="CR96" t="s">
        <v>12357</v>
      </c>
      <c r="CS96">
        <v>6</v>
      </c>
      <c r="CT96">
        <v>10</v>
      </c>
      <c r="CU96">
        <v>6</v>
      </c>
      <c r="CV96">
        <v>-99</v>
      </c>
      <c r="CW96">
        <v>1</v>
      </c>
      <c r="CX96">
        <v>0</v>
      </c>
      <c r="CY96">
        <v>5</v>
      </c>
      <c r="CZ96">
        <v>10</v>
      </c>
      <c r="DA96">
        <v>-14.998317999999999</v>
      </c>
      <c r="DB96">
        <v>13.641721</v>
      </c>
      <c r="DC96">
        <v>1159320797</v>
      </c>
      <c r="DD96" t="s">
        <v>14368</v>
      </c>
      <c r="DE96" t="s">
        <v>14369</v>
      </c>
      <c r="DF96" t="s">
        <v>14370</v>
      </c>
      <c r="DG96" t="s">
        <v>14364</v>
      </c>
      <c r="DH96" t="s">
        <v>60</v>
      </c>
      <c r="DI96" t="s">
        <v>14364</v>
      </c>
      <c r="DJ96" t="s">
        <v>14371</v>
      </c>
      <c r="DK96" t="s">
        <v>14372</v>
      </c>
      <c r="DL96" t="s">
        <v>14373</v>
      </c>
      <c r="DM96" t="s">
        <v>14374</v>
      </c>
      <c r="DN96" t="s">
        <v>14375</v>
      </c>
      <c r="DO96" t="s">
        <v>14364</v>
      </c>
      <c r="DP96" t="s">
        <v>14364</v>
      </c>
      <c r="DQ96" t="s">
        <v>14364</v>
      </c>
      <c r="DR96" t="s">
        <v>14376</v>
      </c>
      <c r="DS96" t="s">
        <v>14377</v>
      </c>
      <c r="DT96" t="s">
        <v>14364</v>
      </c>
      <c r="DU96" t="s">
        <v>14364</v>
      </c>
      <c r="DV96" t="s">
        <v>14378</v>
      </c>
      <c r="DW96" t="s">
        <v>14379</v>
      </c>
      <c r="DX96" t="s">
        <v>14364</v>
      </c>
      <c r="DY96" t="s">
        <v>14380</v>
      </c>
      <c r="DZ96" t="s">
        <v>14381</v>
      </c>
      <c r="EA96" t="s">
        <v>14382</v>
      </c>
      <c r="EB96" t="s">
        <v>14364</v>
      </c>
      <c r="EC96" t="s">
        <v>14383</v>
      </c>
      <c r="ED96" t="s">
        <v>14384</v>
      </c>
      <c r="EE96" t="s">
        <v>12247</v>
      </c>
      <c r="EG96" t="s">
        <v>12247</v>
      </c>
    </row>
    <row r="97" spans="1:253" x14ac:dyDescent="0.25">
      <c r="A97" t="s">
        <v>61</v>
      </c>
      <c r="B97" t="s">
        <v>12247</v>
      </c>
      <c r="C97">
        <v>0</v>
      </c>
      <c r="D97">
        <v>5</v>
      </c>
      <c r="E97" t="s">
        <v>61</v>
      </c>
      <c r="F97" t="s">
        <v>14385</v>
      </c>
      <c r="G97">
        <v>0</v>
      </c>
      <c r="H97">
        <v>2</v>
      </c>
      <c r="I97" t="s">
        <v>12249</v>
      </c>
      <c r="J97">
        <v>1</v>
      </c>
      <c r="K97" t="s">
        <v>61</v>
      </c>
      <c r="L97" t="s">
        <v>14385</v>
      </c>
      <c r="M97">
        <v>0</v>
      </c>
      <c r="N97" t="s">
        <v>61</v>
      </c>
      <c r="O97" t="s">
        <v>14385</v>
      </c>
      <c r="P97">
        <v>0</v>
      </c>
      <c r="Q97" t="s">
        <v>61</v>
      </c>
      <c r="R97" t="s">
        <v>14385</v>
      </c>
      <c r="S97">
        <v>0</v>
      </c>
      <c r="T97" t="s">
        <v>61</v>
      </c>
      <c r="U97" t="s">
        <v>14385</v>
      </c>
      <c r="V97" t="s">
        <v>61</v>
      </c>
      <c r="X97" t="s">
        <v>14386</v>
      </c>
      <c r="Y97" t="s">
        <v>1487</v>
      </c>
      <c r="Z97" t="s">
        <v>61</v>
      </c>
      <c r="AB97" t="s">
        <v>61</v>
      </c>
      <c r="AE97" t="s">
        <v>61</v>
      </c>
      <c r="AG97">
        <v>5</v>
      </c>
      <c r="AH97">
        <v>1</v>
      </c>
      <c r="AI97">
        <v>3</v>
      </c>
      <c r="AJ97">
        <v>2</v>
      </c>
      <c r="AK97">
        <v>3720382</v>
      </c>
      <c r="AL97">
        <v>12</v>
      </c>
      <c r="AM97">
        <v>2019</v>
      </c>
      <c r="AN97">
        <v>17477</v>
      </c>
      <c r="AO97">
        <v>2019</v>
      </c>
      <c r="AP97" t="s">
        <v>12277</v>
      </c>
      <c r="AQ97" t="s">
        <v>12278</v>
      </c>
      <c r="AR97" t="s">
        <v>1493</v>
      </c>
      <c r="AS97" t="s">
        <v>1487</v>
      </c>
      <c r="AT97" t="s">
        <v>1487</v>
      </c>
      <c r="AU97" t="s">
        <v>14385</v>
      </c>
      <c r="AV97" t="s">
        <v>14385</v>
      </c>
      <c r="AW97">
        <v>268</v>
      </c>
      <c r="AX97">
        <v>268</v>
      </c>
      <c r="AY97">
        <v>268</v>
      </c>
      <c r="AZ97" t="s">
        <v>1487</v>
      </c>
      <c r="BA97" t="s">
        <v>14385</v>
      </c>
      <c r="BB97">
        <v>23424823</v>
      </c>
      <c r="BC97">
        <v>23424823</v>
      </c>
      <c r="BD97" t="s">
        <v>12254</v>
      </c>
      <c r="BE97" t="s">
        <v>14385</v>
      </c>
      <c r="BG97" t="s">
        <v>14385</v>
      </c>
      <c r="BH97" t="s">
        <v>14385</v>
      </c>
      <c r="BI97" t="s">
        <v>14385</v>
      </c>
      <c r="BJ97" t="s">
        <v>14385</v>
      </c>
      <c r="BK97" t="s">
        <v>14385</v>
      </c>
      <c r="BL97" t="s">
        <v>14385</v>
      </c>
      <c r="BM97" t="s">
        <v>14385</v>
      </c>
      <c r="BN97" t="s">
        <v>14385</v>
      </c>
      <c r="BO97" t="s">
        <v>14385</v>
      </c>
      <c r="BP97" t="s">
        <v>14385</v>
      </c>
      <c r="BQ97" t="s">
        <v>14385</v>
      </c>
      <c r="BR97" t="s">
        <v>14385</v>
      </c>
      <c r="BS97" t="s">
        <v>14385</v>
      </c>
      <c r="BT97" t="s">
        <v>14385</v>
      </c>
      <c r="BU97" t="s">
        <v>14385</v>
      </c>
      <c r="BV97" t="s">
        <v>14385</v>
      </c>
      <c r="BW97" t="s">
        <v>14385</v>
      </c>
      <c r="BX97" t="s">
        <v>14385</v>
      </c>
      <c r="BY97" t="s">
        <v>14385</v>
      </c>
      <c r="BZ97" t="s">
        <v>14385</v>
      </c>
      <c r="CA97" t="s">
        <v>14385</v>
      </c>
      <c r="CB97" t="s">
        <v>14385</v>
      </c>
      <c r="CC97" t="s">
        <v>14385</v>
      </c>
      <c r="CD97" t="s">
        <v>14385</v>
      </c>
      <c r="CE97" t="s">
        <v>14385</v>
      </c>
      <c r="CF97" t="s">
        <v>14385</v>
      </c>
      <c r="CG97" t="s">
        <v>14385</v>
      </c>
      <c r="CH97" t="s">
        <v>14385</v>
      </c>
      <c r="CI97" t="s">
        <v>14385</v>
      </c>
      <c r="CJ97" t="s">
        <v>14385</v>
      </c>
      <c r="CK97" t="s">
        <v>14385</v>
      </c>
      <c r="CL97" t="s">
        <v>14385</v>
      </c>
      <c r="CM97">
        <v>-99</v>
      </c>
      <c r="CN97">
        <v>-99</v>
      </c>
      <c r="CO97" t="s">
        <v>12255</v>
      </c>
      <c r="CP97" t="s">
        <v>12255</v>
      </c>
      <c r="CQ97" t="s">
        <v>12458</v>
      </c>
      <c r="CR97" t="s">
        <v>12281</v>
      </c>
      <c r="CS97">
        <v>7</v>
      </c>
      <c r="CT97">
        <v>7</v>
      </c>
      <c r="CU97">
        <v>4</v>
      </c>
      <c r="CV97">
        <v>-99</v>
      </c>
      <c r="CW97">
        <v>1</v>
      </c>
      <c r="CX97">
        <v>0</v>
      </c>
      <c r="CY97">
        <v>4</v>
      </c>
      <c r="CZ97">
        <v>9</v>
      </c>
      <c r="DA97">
        <v>43.735723999999998</v>
      </c>
      <c r="DB97">
        <v>41.870086999999998</v>
      </c>
      <c r="DC97">
        <v>1159320779</v>
      </c>
      <c r="DD97" t="s">
        <v>14387</v>
      </c>
      <c r="DE97" t="s">
        <v>14388</v>
      </c>
      <c r="DF97" t="s">
        <v>14389</v>
      </c>
      <c r="DG97" t="s">
        <v>14390</v>
      </c>
      <c r="DH97" t="s">
        <v>61</v>
      </c>
      <c r="DI97" t="s">
        <v>61</v>
      </c>
      <c r="DJ97" t="s">
        <v>14391</v>
      </c>
      <c r="DK97" t="s">
        <v>14392</v>
      </c>
      <c r="DL97" t="s">
        <v>14393</v>
      </c>
      <c r="DM97" t="s">
        <v>14394</v>
      </c>
      <c r="DN97" t="s">
        <v>14395</v>
      </c>
      <c r="DO97" t="s">
        <v>14396</v>
      </c>
      <c r="DP97" t="s">
        <v>61</v>
      </c>
      <c r="DQ97" t="s">
        <v>61</v>
      </c>
      <c r="DR97" t="s">
        <v>14397</v>
      </c>
      <c r="DS97" t="s">
        <v>14398</v>
      </c>
      <c r="DT97" t="s">
        <v>14399</v>
      </c>
      <c r="DU97" t="s">
        <v>14400</v>
      </c>
      <c r="DV97" t="s">
        <v>14401</v>
      </c>
      <c r="DW97" t="s">
        <v>14402</v>
      </c>
      <c r="DX97" t="s">
        <v>14390</v>
      </c>
      <c r="DY97" t="s">
        <v>14403</v>
      </c>
      <c r="DZ97" t="s">
        <v>14404</v>
      </c>
      <c r="EA97" t="s">
        <v>14405</v>
      </c>
      <c r="EB97" t="s">
        <v>14406</v>
      </c>
      <c r="EC97" t="s">
        <v>14407</v>
      </c>
      <c r="ED97" t="s">
        <v>14408</v>
      </c>
      <c r="EE97" t="s">
        <v>12247</v>
      </c>
      <c r="EG97" t="s">
        <v>12247</v>
      </c>
    </row>
    <row r="98" spans="1:253" x14ac:dyDescent="0.25">
      <c r="A98" t="s">
        <v>62</v>
      </c>
      <c r="B98" t="s">
        <v>12247</v>
      </c>
      <c r="C98">
        <v>0</v>
      </c>
      <c r="D98">
        <v>2</v>
      </c>
      <c r="E98" t="s">
        <v>62</v>
      </c>
      <c r="F98" t="s">
        <v>14409</v>
      </c>
      <c r="G98">
        <v>0</v>
      </c>
      <c r="H98">
        <v>2</v>
      </c>
      <c r="I98" t="s">
        <v>12249</v>
      </c>
      <c r="J98">
        <v>1</v>
      </c>
      <c r="K98" t="s">
        <v>62</v>
      </c>
      <c r="L98" t="s">
        <v>14409</v>
      </c>
      <c r="M98">
        <v>0</v>
      </c>
      <c r="N98" t="s">
        <v>62</v>
      </c>
      <c r="O98" t="s">
        <v>14409</v>
      </c>
      <c r="P98">
        <v>0</v>
      </c>
      <c r="Q98" t="s">
        <v>62</v>
      </c>
      <c r="R98" t="s">
        <v>14409</v>
      </c>
      <c r="S98">
        <v>0</v>
      </c>
      <c r="T98" t="s">
        <v>62</v>
      </c>
      <c r="U98" t="s">
        <v>14409</v>
      </c>
      <c r="V98" t="s">
        <v>62</v>
      </c>
      <c r="X98" t="s">
        <v>14410</v>
      </c>
      <c r="Y98" t="s">
        <v>14411</v>
      </c>
      <c r="Z98" t="s">
        <v>14412</v>
      </c>
      <c r="AB98" t="s">
        <v>62</v>
      </c>
      <c r="AE98" t="s">
        <v>62</v>
      </c>
      <c r="AG98">
        <v>2</v>
      </c>
      <c r="AH98">
        <v>5</v>
      </c>
      <c r="AI98">
        <v>5</v>
      </c>
      <c r="AJ98">
        <v>1</v>
      </c>
      <c r="AK98">
        <v>83132799</v>
      </c>
      <c r="AL98">
        <v>16</v>
      </c>
      <c r="AM98">
        <v>2019</v>
      </c>
      <c r="AN98">
        <v>3861123</v>
      </c>
      <c r="AO98">
        <v>2019</v>
      </c>
      <c r="AP98" t="s">
        <v>13177</v>
      </c>
      <c r="AQ98" t="s">
        <v>12513</v>
      </c>
      <c r="AR98" t="s">
        <v>1504</v>
      </c>
      <c r="AS98" t="s">
        <v>1414</v>
      </c>
      <c r="AT98" t="s">
        <v>1414</v>
      </c>
      <c r="AU98" t="s">
        <v>14409</v>
      </c>
      <c r="AV98" t="s">
        <v>14409</v>
      </c>
      <c r="AW98">
        <v>276</v>
      </c>
      <c r="AX98">
        <v>276</v>
      </c>
      <c r="AY98">
        <v>276</v>
      </c>
      <c r="AZ98" t="s">
        <v>1414</v>
      </c>
      <c r="BA98" t="s">
        <v>14409</v>
      </c>
      <c r="BB98">
        <v>23424829</v>
      </c>
      <c r="BC98">
        <v>23424829</v>
      </c>
      <c r="BD98" t="s">
        <v>12254</v>
      </c>
      <c r="BE98" t="s">
        <v>14409</v>
      </c>
      <c r="BG98" t="s">
        <v>14409</v>
      </c>
      <c r="BH98" t="s">
        <v>14409</v>
      </c>
      <c r="BI98" t="s">
        <v>14409</v>
      </c>
      <c r="BJ98" t="s">
        <v>14409</v>
      </c>
      <c r="BK98" t="s">
        <v>14409</v>
      </c>
      <c r="BL98" t="s">
        <v>14409</v>
      </c>
      <c r="BM98" t="s">
        <v>14409</v>
      </c>
      <c r="BN98" t="s">
        <v>14409</v>
      </c>
      <c r="BO98" t="s">
        <v>14409</v>
      </c>
      <c r="BP98" t="s">
        <v>14409</v>
      </c>
      <c r="BQ98" t="s">
        <v>14409</v>
      </c>
      <c r="BR98" t="s">
        <v>14409</v>
      </c>
      <c r="BS98" t="s">
        <v>14409</v>
      </c>
      <c r="BT98" t="s">
        <v>14409</v>
      </c>
      <c r="BU98" t="s">
        <v>14409</v>
      </c>
      <c r="BV98" t="s">
        <v>14409</v>
      </c>
      <c r="BW98" t="s">
        <v>14409</v>
      </c>
      <c r="BX98" t="s">
        <v>14409</v>
      </c>
      <c r="BY98" t="s">
        <v>14409</v>
      </c>
      <c r="BZ98" t="s">
        <v>14409</v>
      </c>
      <c r="CA98" t="s">
        <v>14409</v>
      </c>
      <c r="CB98" t="s">
        <v>14409</v>
      </c>
      <c r="CC98" t="s">
        <v>14409</v>
      </c>
      <c r="CD98" t="s">
        <v>14409</v>
      </c>
      <c r="CE98" t="s">
        <v>14409</v>
      </c>
      <c r="CF98" t="s">
        <v>14409</v>
      </c>
      <c r="CG98" t="s">
        <v>14409</v>
      </c>
      <c r="CH98" t="s">
        <v>14409</v>
      </c>
      <c r="CI98" t="s">
        <v>14409</v>
      </c>
      <c r="CJ98" t="s">
        <v>14409</v>
      </c>
      <c r="CK98" t="s">
        <v>14409</v>
      </c>
      <c r="CL98" t="s">
        <v>14409</v>
      </c>
      <c r="CM98">
        <v>-99</v>
      </c>
      <c r="CN98">
        <v>-99</v>
      </c>
      <c r="CO98" t="s">
        <v>12279</v>
      </c>
      <c r="CP98" t="s">
        <v>12279</v>
      </c>
      <c r="CQ98" t="s">
        <v>12640</v>
      </c>
      <c r="CR98" t="s">
        <v>12281</v>
      </c>
      <c r="CS98">
        <v>7</v>
      </c>
      <c r="CT98">
        <v>7</v>
      </c>
      <c r="CU98">
        <v>4</v>
      </c>
      <c r="CV98">
        <v>-99</v>
      </c>
      <c r="CW98">
        <v>1</v>
      </c>
      <c r="CX98">
        <v>0</v>
      </c>
      <c r="CY98">
        <v>1.7</v>
      </c>
      <c r="CZ98">
        <v>6.7</v>
      </c>
      <c r="DA98">
        <v>9.6783479999999997</v>
      </c>
      <c r="DB98">
        <v>50.961733000000002</v>
      </c>
      <c r="DC98">
        <v>1159320539</v>
      </c>
      <c r="DD98" t="s">
        <v>14413</v>
      </c>
      <c r="DE98" t="s">
        <v>14414</v>
      </c>
      <c r="DF98" t="s">
        <v>14415</v>
      </c>
      <c r="DG98" t="s">
        <v>14416</v>
      </c>
      <c r="DH98" t="s">
        <v>62</v>
      </c>
      <c r="DI98" t="s">
        <v>14417</v>
      </c>
      <c r="DJ98" t="s">
        <v>14418</v>
      </c>
      <c r="DK98" t="s">
        <v>14419</v>
      </c>
      <c r="DL98" t="s">
        <v>14420</v>
      </c>
      <c r="DM98" t="s">
        <v>14421</v>
      </c>
      <c r="DN98" t="s">
        <v>14422</v>
      </c>
      <c r="DO98" t="s">
        <v>14423</v>
      </c>
      <c r="DP98" t="s">
        <v>14424</v>
      </c>
      <c r="DQ98" t="s">
        <v>14425</v>
      </c>
      <c r="DR98" t="s">
        <v>14426</v>
      </c>
      <c r="DS98" t="s">
        <v>14427</v>
      </c>
      <c r="DT98" t="s">
        <v>14428</v>
      </c>
      <c r="DU98" t="s">
        <v>14429</v>
      </c>
      <c r="DV98" t="s">
        <v>14430</v>
      </c>
      <c r="DW98" t="s">
        <v>14431</v>
      </c>
      <c r="DX98" t="s">
        <v>14432</v>
      </c>
      <c r="DY98" t="s">
        <v>14433</v>
      </c>
      <c r="DZ98" t="s">
        <v>14434</v>
      </c>
      <c r="EA98" t="s">
        <v>14435</v>
      </c>
      <c r="EB98" t="s">
        <v>14436</v>
      </c>
      <c r="EC98" t="s">
        <v>14437</v>
      </c>
      <c r="ED98" t="s">
        <v>14438</v>
      </c>
      <c r="EE98" t="s">
        <v>12247</v>
      </c>
      <c r="EG98" t="s">
        <v>12247</v>
      </c>
    </row>
    <row r="99" spans="1:253" x14ac:dyDescent="0.25">
      <c r="A99" t="s">
        <v>63</v>
      </c>
      <c r="B99" t="s">
        <v>12247</v>
      </c>
      <c r="C99">
        <v>0</v>
      </c>
      <c r="D99">
        <v>3</v>
      </c>
      <c r="E99" t="s">
        <v>63</v>
      </c>
      <c r="F99" t="s">
        <v>14439</v>
      </c>
      <c r="G99">
        <v>0</v>
      </c>
      <c r="H99">
        <v>2</v>
      </c>
      <c r="I99" t="s">
        <v>12249</v>
      </c>
      <c r="J99">
        <v>1</v>
      </c>
      <c r="K99" t="s">
        <v>63</v>
      </c>
      <c r="L99" t="s">
        <v>14439</v>
      </c>
      <c r="M99">
        <v>0</v>
      </c>
      <c r="N99" t="s">
        <v>63</v>
      </c>
      <c r="O99" t="s">
        <v>14439</v>
      </c>
      <c r="P99">
        <v>0</v>
      </c>
      <c r="Q99" t="s">
        <v>63</v>
      </c>
      <c r="R99" t="s">
        <v>14439</v>
      </c>
      <c r="S99">
        <v>0</v>
      </c>
      <c r="T99" t="s">
        <v>63</v>
      </c>
      <c r="U99" t="s">
        <v>14439</v>
      </c>
      <c r="V99" t="s">
        <v>63</v>
      </c>
      <c r="X99" t="s">
        <v>63</v>
      </c>
      <c r="Y99" t="s">
        <v>1496</v>
      </c>
      <c r="Z99" t="s">
        <v>14440</v>
      </c>
      <c r="AB99" t="s">
        <v>63</v>
      </c>
      <c r="AE99" t="s">
        <v>63</v>
      </c>
      <c r="AG99">
        <v>5</v>
      </c>
      <c r="AH99">
        <v>3</v>
      </c>
      <c r="AI99">
        <v>1</v>
      </c>
      <c r="AJ99">
        <v>4</v>
      </c>
      <c r="AK99">
        <v>30417856</v>
      </c>
      <c r="AL99">
        <v>15</v>
      </c>
      <c r="AM99">
        <v>2019</v>
      </c>
      <c r="AN99">
        <v>66983</v>
      </c>
      <c r="AO99">
        <v>2019</v>
      </c>
      <c r="AP99" t="s">
        <v>12277</v>
      </c>
      <c r="AQ99" t="s">
        <v>12278</v>
      </c>
      <c r="AR99" t="s">
        <v>1496</v>
      </c>
      <c r="AS99" t="s">
        <v>1496</v>
      </c>
      <c r="AT99" t="s">
        <v>1496</v>
      </c>
      <c r="AU99" t="s">
        <v>14439</v>
      </c>
      <c r="AV99" t="s">
        <v>14439</v>
      </c>
      <c r="AW99">
        <v>288</v>
      </c>
      <c r="AX99">
        <v>288</v>
      </c>
      <c r="AY99">
        <v>288</v>
      </c>
      <c r="AZ99" t="s">
        <v>1496</v>
      </c>
      <c r="BA99" t="s">
        <v>14439</v>
      </c>
      <c r="BB99">
        <v>23424824</v>
      </c>
      <c r="BC99">
        <v>23424824</v>
      </c>
      <c r="BD99" t="s">
        <v>12254</v>
      </c>
      <c r="BE99" t="s">
        <v>14439</v>
      </c>
      <c r="BG99" t="s">
        <v>14439</v>
      </c>
      <c r="BH99" t="s">
        <v>14439</v>
      </c>
      <c r="BI99" t="s">
        <v>14439</v>
      </c>
      <c r="BJ99" t="s">
        <v>14439</v>
      </c>
      <c r="BK99" t="s">
        <v>14439</v>
      </c>
      <c r="BL99" t="s">
        <v>14439</v>
      </c>
      <c r="BM99" t="s">
        <v>14439</v>
      </c>
      <c r="BN99" t="s">
        <v>14439</v>
      </c>
      <c r="BO99" t="s">
        <v>14439</v>
      </c>
      <c r="BP99" t="s">
        <v>14439</v>
      </c>
      <c r="BQ99" t="s">
        <v>14439</v>
      </c>
      <c r="BR99" t="s">
        <v>14439</v>
      </c>
      <c r="BS99" t="s">
        <v>14439</v>
      </c>
      <c r="BT99" t="s">
        <v>14439</v>
      </c>
      <c r="BU99" t="s">
        <v>14439</v>
      </c>
      <c r="BV99" t="s">
        <v>14439</v>
      </c>
      <c r="BW99" t="s">
        <v>14439</v>
      </c>
      <c r="BX99" t="s">
        <v>14439</v>
      </c>
      <c r="BY99" t="s">
        <v>14439</v>
      </c>
      <c r="BZ99" t="s">
        <v>14439</v>
      </c>
      <c r="CA99" t="s">
        <v>14439</v>
      </c>
      <c r="CB99" t="s">
        <v>14439</v>
      </c>
      <c r="CC99" t="s">
        <v>14439</v>
      </c>
      <c r="CD99" t="s">
        <v>14439</v>
      </c>
      <c r="CE99" t="s">
        <v>14439</v>
      </c>
      <c r="CF99" t="s">
        <v>14439</v>
      </c>
      <c r="CG99" t="s">
        <v>14439</v>
      </c>
      <c r="CH99" t="s">
        <v>14439</v>
      </c>
      <c r="CI99" t="s">
        <v>14439</v>
      </c>
      <c r="CJ99" t="s">
        <v>14439</v>
      </c>
      <c r="CK99" t="s">
        <v>14439</v>
      </c>
      <c r="CL99" t="s">
        <v>14439</v>
      </c>
      <c r="CM99">
        <v>-99</v>
      </c>
      <c r="CN99">
        <v>-99</v>
      </c>
      <c r="CO99" t="s">
        <v>12306</v>
      </c>
      <c r="CP99" t="s">
        <v>12306</v>
      </c>
      <c r="CQ99" t="s">
        <v>12847</v>
      </c>
      <c r="CR99" t="s">
        <v>12357</v>
      </c>
      <c r="CS99">
        <v>5</v>
      </c>
      <c r="CT99">
        <v>5</v>
      </c>
      <c r="CU99">
        <v>5</v>
      </c>
      <c r="CV99">
        <v>-99</v>
      </c>
      <c r="CW99">
        <v>1</v>
      </c>
      <c r="CX99">
        <v>0</v>
      </c>
      <c r="CY99">
        <v>2.7</v>
      </c>
      <c r="CZ99">
        <v>8</v>
      </c>
      <c r="DA99">
        <v>-1.0369409999999999</v>
      </c>
      <c r="DB99">
        <v>7.7176390000000001</v>
      </c>
      <c r="DC99">
        <v>1159320793</v>
      </c>
      <c r="DD99" t="s">
        <v>14441</v>
      </c>
      <c r="DE99" t="s">
        <v>14442</v>
      </c>
      <c r="DF99" t="s">
        <v>14443</v>
      </c>
      <c r="DG99" t="s">
        <v>63</v>
      </c>
      <c r="DH99" t="s">
        <v>63</v>
      </c>
      <c r="DI99" t="s">
        <v>63</v>
      </c>
      <c r="DJ99" t="s">
        <v>14444</v>
      </c>
      <c r="DK99" t="s">
        <v>63</v>
      </c>
      <c r="DL99" t="s">
        <v>14445</v>
      </c>
      <c r="DM99" t="s">
        <v>14446</v>
      </c>
      <c r="DN99" t="s">
        <v>14447</v>
      </c>
      <c r="DO99" t="s">
        <v>14448</v>
      </c>
      <c r="DP99" t="s">
        <v>63</v>
      </c>
      <c r="DQ99" t="s">
        <v>63</v>
      </c>
      <c r="DR99" t="s">
        <v>14449</v>
      </c>
      <c r="DS99" t="s">
        <v>14450</v>
      </c>
      <c r="DT99" t="s">
        <v>63</v>
      </c>
      <c r="DU99" t="s">
        <v>63</v>
      </c>
      <c r="DV99" t="s">
        <v>14451</v>
      </c>
      <c r="DW99" t="s">
        <v>14452</v>
      </c>
      <c r="DX99" t="s">
        <v>63</v>
      </c>
      <c r="DY99" t="s">
        <v>14451</v>
      </c>
      <c r="DZ99" t="s">
        <v>14452</v>
      </c>
      <c r="EA99" t="s">
        <v>14453</v>
      </c>
      <c r="EB99" t="s">
        <v>63</v>
      </c>
      <c r="EC99" t="s">
        <v>14454</v>
      </c>
      <c r="ED99" t="s">
        <v>14455</v>
      </c>
      <c r="EE99" t="s">
        <v>12247</v>
      </c>
      <c r="EG99" t="s">
        <v>12247</v>
      </c>
    </row>
    <row r="100" spans="1:253" x14ac:dyDescent="0.25">
      <c r="A100" t="s">
        <v>1211</v>
      </c>
      <c r="B100" t="s">
        <v>12247</v>
      </c>
      <c r="C100">
        <v>0</v>
      </c>
      <c r="D100">
        <v>5</v>
      </c>
      <c r="E100" t="s">
        <v>182</v>
      </c>
      <c r="F100" t="s">
        <v>12479</v>
      </c>
      <c r="G100">
        <v>1</v>
      </c>
      <c r="H100">
        <v>2</v>
      </c>
      <c r="I100" t="s">
        <v>12714</v>
      </c>
      <c r="J100">
        <v>1</v>
      </c>
      <c r="K100" t="s">
        <v>1211</v>
      </c>
      <c r="L100" t="s">
        <v>14809</v>
      </c>
      <c r="M100">
        <v>0</v>
      </c>
      <c r="N100" t="s">
        <v>1211</v>
      </c>
      <c r="O100" t="s">
        <v>14809</v>
      </c>
      <c r="P100">
        <v>0</v>
      </c>
      <c r="Q100" t="s">
        <v>1211</v>
      </c>
      <c r="R100" t="s">
        <v>14809</v>
      </c>
      <c r="S100">
        <v>1</v>
      </c>
      <c r="T100" t="s">
        <v>1211</v>
      </c>
      <c r="U100" t="s">
        <v>14810</v>
      </c>
      <c r="V100" t="s">
        <v>1211</v>
      </c>
      <c r="X100" t="s">
        <v>14811</v>
      </c>
      <c r="Y100" t="s">
        <v>1498</v>
      </c>
      <c r="AB100" t="s">
        <v>1211</v>
      </c>
      <c r="AC100" t="s">
        <v>12486</v>
      </c>
      <c r="AD100" t="s">
        <v>14812</v>
      </c>
      <c r="AE100" t="s">
        <v>1211</v>
      </c>
      <c r="AG100">
        <v>6</v>
      </c>
      <c r="AH100">
        <v>6</v>
      </c>
      <c r="AI100">
        <v>6</v>
      </c>
      <c r="AJ100">
        <v>3</v>
      </c>
      <c r="AK100">
        <v>33701</v>
      </c>
      <c r="AL100">
        <v>7</v>
      </c>
      <c r="AM100">
        <v>2019</v>
      </c>
      <c r="AN100">
        <v>2044</v>
      </c>
      <c r="AO100">
        <v>2014</v>
      </c>
      <c r="AP100" t="s">
        <v>12334</v>
      </c>
      <c r="AQ100" t="s">
        <v>12513</v>
      </c>
      <c r="AR100" t="s">
        <v>1498</v>
      </c>
      <c r="AS100" t="s">
        <v>1498</v>
      </c>
      <c r="AT100" t="s">
        <v>1498</v>
      </c>
      <c r="AU100" t="s">
        <v>14809</v>
      </c>
      <c r="AV100" t="s">
        <v>14809</v>
      </c>
      <c r="AW100">
        <v>292</v>
      </c>
      <c r="AX100">
        <v>292</v>
      </c>
      <c r="AY100">
        <v>292</v>
      </c>
      <c r="AZ100">
        <v>-99</v>
      </c>
      <c r="BA100">
        <v>-99</v>
      </c>
      <c r="BB100">
        <v>23424825</v>
      </c>
      <c r="BC100">
        <v>23424825</v>
      </c>
      <c r="BD100" t="s">
        <v>12254</v>
      </c>
      <c r="BE100" t="s">
        <v>14810</v>
      </c>
      <c r="BG100" t="s">
        <v>14810</v>
      </c>
      <c r="BH100" t="s">
        <v>14809</v>
      </c>
      <c r="BI100" t="s">
        <v>14809</v>
      </c>
      <c r="BJ100" t="s">
        <v>14809</v>
      </c>
      <c r="BK100" t="s">
        <v>14809</v>
      </c>
      <c r="BL100" t="s">
        <v>14809</v>
      </c>
      <c r="BM100" t="s">
        <v>14809</v>
      </c>
      <c r="BN100" t="s">
        <v>14809</v>
      </c>
      <c r="BO100" t="s">
        <v>14809</v>
      </c>
      <c r="BP100" t="s">
        <v>14809</v>
      </c>
      <c r="BQ100" t="s">
        <v>14809</v>
      </c>
      <c r="BR100" t="s">
        <v>14809</v>
      </c>
      <c r="BS100" t="s">
        <v>14809</v>
      </c>
      <c r="BT100" t="s">
        <v>14809</v>
      </c>
      <c r="BU100" t="s">
        <v>14809</v>
      </c>
      <c r="BV100" t="s">
        <v>14809</v>
      </c>
      <c r="BW100" t="s">
        <v>14809</v>
      </c>
      <c r="BX100" t="s">
        <v>14809</v>
      </c>
      <c r="BY100" t="s">
        <v>14809</v>
      </c>
      <c r="BZ100" t="s">
        <v>14809</v>
      </c>
      <c r="CA100" t="s">
        <v>14809</v>
      </c>
      <c r="CB100" t="s">
        <v>14809</v>
      </c>
      <c r="CC100" t="s">
        <v>14809</v>
      </c>
      <c r="CD100" t="s">
        <v>14809</v>
      </c>
      <c r="CE100" t="s">
        <v>14809</v>
      </c>
      <c r="CF100" t="s">
        <v>14809</v>
      </c>
      <c r="CG100" t="s">
        <v>14809</v>
      </c>
      <c r="CH100" t="s">
        <v>14809</v>
      </c>
      <c r="CI100" t="s">
        <v>14809</v>
      </c>
      <c r="CJ100" t="s">
        <v>14809</v>
      </c>
      <c r="CK100" t="s">
        <v>14809</v>
      </c>
      <c r="CL100" t="s">
        <v>14809</v>
      </c>
      <c r="CM100">
        <v>-99</v>
      </c>
      <c r="CN100">
        <v>-99</v>
      </c>
      <c r="CO100" t="s">
        <v>12279</v>
      </c>
      <c r="CP100" t="s">
        <v>12279</v>
      </c>
      <c r="CQ100" t="s">
        <v>12280</v>
      </c>
      <c r="CR100" t="s">
        <v>12281</v>
      </c>
      <c r="CS100">
        <v>9</v>
      </c>
      <c r="CT100">
        <v>9</v>
      </c>
      <c r="CU100">
        <v>4</v>
      </c>
      <c r="CV100">
        <v>5</v>
      </c>
      <c r="CW100">
        <v>-99</v>
      </c>
      <c r="CX100">
        <v>0</v>
      </c>
      <c r="CY100">
        <v>5</v>
      </c>
      <c r="CZ100">
        <v>9.5</v>
      </c>
      <c r="DA100">
        <v>-5.3467000000000002</v>
      </c>
      <c r="DB100">
        <v>36.129426000000002</v>
      </c>
      <c r="DC100">
        <v>1159320719</v>
      </c>
      <c r="DD100" t="s">
        <v>14813</v>
      </c>
      <c r="DE100" t="s">
        <v>14814</v>
      </c>
      <c r="DF100" t="s">
        <v>14815</v>
      </c>
      <c r="DG100" t="s">
        <v>1211</v>
      </c>
      <c r="DH100" t="s">
        <v>1211</v>
      </c>
      <c r="DI100" t="s">
        <v>1211</v>
      </c>
      <c r="DJ100" t="s">
        <v>14814</v>
      </c>
      <c r="DK100" t="s">
        <v>1211</v>
      </c>
      <c r="DL100" t="s">
        <v>14816</v>
      </c>
      <c r="DM100" t="s">
        <v>14817</v>
      </c>
      <c r="DN100" t="s">
        <v>14818</v>
      </c>
      <c r="DO100" t="s">
        <v>14819</v>
      </c>
      <c r="DP100" t="s">
        <v>1211</v>
      </c>
      <c r="DQ100" t="s">
        <v>14820</v>
      </c>
      <c r="DR100" t="s">
        <v>14821</v>
      </c>
      <c r="DS100" t="s">
        <v>14822</v>
      </c>
      <c r="DT100" t="s">
        <v>1211</v>
      </c>
      <c r="DU100" t="s">
        <v>1211</v>
      </c>
      <c r="DV100" t="s">
        <v>1211</v>
      </c>
      <c r="DW100" t="s">
        <v>14823</v>
      </c>
      <c r="DX100" t="s">
        <v>1211</v>
      </c>
      <c r="DY100" t="s">
        <v>14824</v>
      </c>
      <c r="DZ100" t="s">
        <v>14825</v>
      </c>
      <c r="EA100" t="s">
        <v>14826</v>
      </c>
      <c r="EB100" t="s">
        <v>1211</v>
      </c>
      <c r="EC100" t="s">
        <v>14827</v>
      </c>
      <c r="ED100" t="s">
        <v>14828</v>
      </c>
      <c r="EE100" t="s">
        <v>12397</v>
      </c>
      <c r="EG100" t="s">
        <v>12397</v>
      </c>
      <c r="EK100" t="s">
        <v>12505</v>
      </c>
    </row>
    <row r="101" spans="1:253" x14ac:dyDescent="0.25">
      <c r="A101" t="s">
        <v>64</v>
      </c>
      <c r="B101" t="s">
        <v>12247</v>
      </c>
      <c r="C101">
        <v>0</v>
      </c>
      <c r="D101">
        <v>3</v>
      </c>
      <c r="E101" t="s">
        <v>64</v>
      </c>
      <c r="F101" t="s">
        <v>14456</v>
      </c>
      <c r="G101">
        <v>0</v>
      </c>
      <c r="H101">
        <v>2</v>
      </c>
      <c r="I101" t="s">
        <v>12249</v>
      </c>
      <c r="J101">
        <v>1</v>
      </c>
      <c r="K101" t="s">
        <v>64</v>
      </c>
      <c r="L101" t="s">
        <v>14456</v>
      </c>
      <c r="M101">
        <v>0</v>
      </c>
      <c r="N101" t="s">
        <v>64</v>
      </c>
      <c r="O101" t="s">
        <v>14456</v>
      </c>
      <c r="P101">
        <v>0</v>
      </c>
      <c r="Q101" t="s">
        <v>64</v>
      </c>
      <c r="R101" t="s">
        <v>14456</v>
      </c>
      <c r="S101">
        <v>0</v>
      </c>
      <c r="T101" t="s">
        <v>64</v>
      </c>
      <c r="U101" t="s">
        <v>14456</v>
      </c>
      <c r="V101" t="s">
        <v>64</v>
      </c>
      <c r="X101" t="s">
        <v>64</v>
      </c>
      <c r="Y101" t="s">
        <v>1517</v>
      </c>
      <c r="Z101" t="s">
        <v>14457</v>
      </c>
      <c r="AB101" t="s">
        <v>64</v>
      </c>
      <c r="AE101" t="s">
        <v>64</v>
      </c>
      <c r="AG101">
        <v>2</v>
      </c>
      <c r="AH101">
        <v>2</v>
      </c>
      <c r="AI101">
        <v>2</v>
      </c>
      <c r="AJ101">
        <v>9</v>
      </c>
      <c r="AK101">
        <v>10716322</v>
      </c>
      <c r="AL101">
        <v>14</v>
      </c>
      <c r="AM101">
        <v>2019</v>
      </c>
      <c r="AN101">
        <v>209852</v>
      </c>
      <c r="AO101">
        <v>2019</v>
      </c>
      <c r="AP101" t="s">
        <v>12334</v>
      </c>
      <c r="AQ101" t="s">
        <v>12513</v>
      </c>
      <c r="AR101" t="s">
        <v>1517</v>
      </c>
      <c r="AS101" t="s">
        <v>1517</v>
      </c>
      <c r="AT101" t="s">
        <v>1517</v>
      </c>
      <c r="AU101" t="s">
        <v>14456</v>
      </c>
      <c r="AV101" t="s">
        <v>14456</v>
      </c>
      <c r="AW101">
        <v>300</v>
      </c>
      <c r="AX101">
        <v>300</v>
      </c>
      <c r="AY101">
        <v>300</v>
      </c>
      <c r="AZ101" t="s">
        <v>1517</v>
      </c>
      <c r="BA101" t="s">
        <v>14456</v>
      </c>
      <c r="BB101">
        <v>23424833</v>
      </c>
      <c r="BC101">
        <v>23424833</v>
      </c>
      <c r="BD101" t="s">
        <v>12254</v>
      </c>
      <c r="BE101" t="s">
        <v>14456</v>
      </c>
      <c r="BG101" t="s">
        <v>14456</v>
      </c>
      <c r="BH101" t="s">
        <v>14456</v>
      </c>
      <c r="BI101" t="s">
        <v>14456</v>
      </c>
      <c r="BJ101" t="s">
        <v>14456</v>
      </c>
      <c r="BK101" t="s">
        <v>14456</v>
      </c>
      <c r="BL101" t="s">
        <v>14456</v>
      </c>
      <c r="BM101" t="s">
        <v>14456</v>
      </c>
      <c r="BN101" t="s">
        <v>14456</v>
      </c>
      <c r="BO101" t="s">
        <v>14456</v>
      </c>
      <c r="BP101" t="s">
        <v>14456</v>
      </c>
      <c r="BQ101" t="s">
        <v>14456</v>
      </c>
      <c r="BR101" t="s">
        <v>14456</v>
      </c>
      <c r="BS101" t="s">
        <v>14456</v>
      </c>
      <c r="BT101" t="s">
        <v>14456</v>
      </c>
      <c r="BU101" t="s">
        <v>14456</v>
      </c>
      <c r="BV101" t="s">
        <v>14456</v>
      </c>
      <c r="BW101" t="s">
        <v>14456</v>
      </c>
      <c r="BX101" t="s">
        <v>14456</v>
      </c>
      <c r="BY101" t="s">
        <v>14456</v>
      </c>
      <c r="BZ101" t="s">
        <v>14456</v>
      </c>
      <c r="CA101" t="s">
        <v>14456</v>
      </c>
      <c r="CB101" t="s">
        <v>14456</v>
      </c>
      <c r="CC101" t="s">
        <v>14456</v>
      </c>
      <c r="CD101" t="s">
        <v>14456</v>
      </c>
      <c r="CE101" t="s">
        <v>14456</v>
      </c>
      <c r="CF101" t="s">
        <v>14456</v>
      </c>
      <c r="CG101" t="s">
        <v>14456</v>
      </c>
      <c r="CH101" t="s">
        <v>14456</v>
      </c>
      <c r="CI101" t="s">
        <v>14456</v>
      </c>
      <c r="CJ101" t="s">
        <v>14456</v>
      </c>
      <c r="CK101" t="s">
        <v>14456</v>
      </c>
      <c r="CL101" t="s">
        <v>14456</v>
      </c>
      <c r="CM101">
        <v>-99</v>
      </c>
      <c r="CN101">
        <v>-99</v>
      </c>
      <c r="CO101" t="s">
        <v>12279</v>
      </c>
      <c r="CP101" t="s">
        <v>12279</v>
      </c>
      <c r="CQ101" t="s">
        <v>12280</v>
      </c>
      <c r="CR101" t="s">
        <v>12281</v>
      </c>
      <c r="CS101">
        <v>6</v>
      </c>
      <c r="CT101">
        <v>6</v>
      </c>
      <c r="CU101">
        <v>6</v>
      </c>
      <c r="CV101">
        <v>-99</v>
      </c>
      <c r="CW101">
        <v>1</v>
      </c>
      <c r="CX101">
        <v>0</v>
      </c>
      <c r="CY101">
        <v>2.7</v>
      </c>
      <c r="CZ101">
        <v>8</v>
      </c>
      <c r="DA101">
        <v>21.725680000000001</v>
      </c>
      <c r="DB101">
        <v>39.492762999999997</v>
      </c>
      <c r="DC101">
        <v>1159320811</v>
      </c>
      <c r="DD101" t="s">
        <v>14458</v>
      </c>
      <c r="DE101" t="s">
        <v>14459</v>
      </c>
      <c r="DF101" t="s">
        <v>14460</v>
      </c>
      <c r="DG101" t="s">
        <v>14461</v>
      </c>
      <c r="DH101" t="s">
        <v>64</v>
      </c>
      <c r="DI101" t="s">
        <v>14462</v>
      </c>
      <c r="DJ101" t="s">
        <v>14463</v>
      </c>
      <c r="DK101" t="s">
        <v>14464</v>
      </c>
      <c r="DL101" t="s">
        <v>14465</v>
      </c>
      <c r="DM101" t="s">
        <v>14466</v>
      </c>
      <c r="DN101" t="s">
        <v>14467</v>
      </c>
      <c r="DO101" t="s">
        <v>14468</v>
      </c>
      <c r="DP101" t="s">
        <v>14469</v>
      </c>
      <c r="DQ101" t="s">
        <v>14462</v>
      </c>
      <c r="DR101" t="s">
        <v>14470</v>
      </c>
      <c r="DS101" t="s">
        <v>14471</v>
      </c>
      <c r="DT101" t="s">
        <v>14472</v>
      </c>
      <c r="DU101" t="s">
        <v>14473</v>
      </c>
      <c r="DV101" t="s">
        <v>14474</v>
      </c>
      <c r="DW101" t="s">
        <v>14475</v>
      </c>
      <c r="DX101" t="s">
        <v>14476</v>
      </c>
      <c r="DY101" t="s">
        <v>14477</v>
      </c>
      <c r="DZ101" t="s">
        <v>14478</v>
      </c>
      <c r="EA101" t="s">
        <v>14463</v>
      </c>
      <c r="EB101" t="s">
        <v>14479</v>
      </c>
      <c r="EC101" t="s">
        <v>14480</v>
      </c>
      <c r="ED101" t="s">
        <v>14481</v>
      </c>
      <c r="EE101" t="s">
        <v>12247</v>
      </c>
      <c r="EG101" t="s">
        <v>12247</v>
      </c>
    </row>
    <row r="102" spans="1:253" x14ac:dyDescent="0.25">
      <c r="A102" t="s">
        <v>1212</v>
      </c>
      <c r="B102" t="s">
        <v>12247</v>
      </c>
      <c r="C102">
        <v>0</v>
      </c>
      <c r="D102">
        <v>3</v>
      </c>
      <c r="E102" t="s">
        <v>45</v>
      </c>
      <c r="F102" t="s">
        <v>14147</v>
      </c>
      <c r="G102">
        <v>1</v>
      </c>
      <c r="H102">
        <v>2</v>
      </c>
      <c r="I102" t="s">
        <v>12507</v>
      </c>
      <c r="J102">
        <v>1</v>
      </c>
      <c r="K102" t="s">
        <v>1212</v>
      </c>
      <c r="L102" t="s">
        <v>14988</v>
      </c>
      <c r="M102">
        <v>0</v>
      </c>
      <c r="N102" t="s">
        <v>1212</v>
      </c>
      <c r="O102" t="s">
        <v>14988</v>
      </c>
      <c r="P102">
        <v>0</v>
      </c>
      <c r="Q102" t="s">
        <v>1212</v>
      </c>
      <c r="R102" t="s">
        <v>14988</v>
      </c>
      <c r="S102">
        <v>0</v>
      </c>
      <c r="T102" t="s">
        <v>1212</v>
      </c>
      <c r="U102" t="s">
        <v>14988</v>
      </c>
      <c r="V102" t="s">
        <v>1212</v>
      </c>
      <c r="X102" t="s">
        <v>14989</v>
      </c>
      <c r="Y102" t="s">
        <v>1501</v>
      </c>
      <c r="Z102" t="s">
        <v>1212</v>
      </c>
      <c r="AB102" t="s">
        <v>1212</v>
      </c>
      <c r="AC102" t="s">
        <v>14149</v>
      </c>
      <c r="AE102" t="s">
        <v>1212</v>
      </c>
      <c r="AG102">
        <v>4</v>
      </c>
      <c r="AH102">
        <v>1</v>
      </c>
      <c r="AI102">
        <v>3</v>
      </c>
      <c r="AJ102">
        <v>12</v>
      </c>
      <c r="AK102">
        <v>56225</v>
      </c>
      <c r="AL102">
        <v>8</v>
      </c>
      <c r="AM102">
        <v>2019</v>
      </c>
      <c r="AN102">
        <v>3051</v>
      </c>
      <c r="AO102">
        <v>2018</v>
      </c>
      <c r="AP102" t="s">
        <v>12334</v>
      </c>
      <c r="AQ102" t="s">
        <v>12335</v>
      </c>
      <c r="AR102" t="s">
        <v>1501</v>
      </c>
      <c r="AS102" t="s">
        <v>1501</v>
      </c>
      <c r="AT102" t="s">
        <v>1501</v>
      </c>
      <c r="AU102" t="s">
        <v>14988</v>
      </c>
      <c r="AV102" t="s">
        <v>14988</v>
      </c>
      <c r="AW102">
        <v>304</v>
      </c>
      <c r="AX102">
        <v>304</v>
      </c>
      <c r="AY102">
        <v>304</v>
      </c>
      <c r="AZ102" t="s">
        <v>1501</v>
      </c>
      <c r="BA102" t="s">
        <v>14988</v>
      </c>
      <c r="BB102">
        <v>23424828</v>
      </c>
      <c r="BC102">
        <v>23424828</v>
      </c>
      <c r="BD102" t="s">
        <v>12254</v>
      </c>
      <c r="BE102" t="s">
        <v>14988</v>
      </c>
      <c r="BG102" t="s">
        <v>14988</v>
      </c>
      <c r="BH102" t="s">
        <v>14988</v>
      </c>
      <c r="BI102" t="s">
        <v>14988</v>
      </c>
      <c r="BJ102" t="s">
        <v>14988</v>
      </c>
      <c r="BK102" t="s">
        <v>14988</v>
      </c>
      <c r="BL102" t="s">
        <v>14988</v>
      </c>
      <c r="BM102" t="s">
        <v>14988</v>
      </c>
      <c r="BN102" t="s">
        <v>14988</v>
      </c>
      <c r="BO102" t="s">
        <v>14988</v>
      </c>
      <c r="BP102" t="s">
        <v>14988</v>
      </c>
      <c r="BQ102" t="s">
        <v>14988</v>
      </c>
      <c r="BR102" t="s">
        <v>14988</v>
      </c>
      <c r="BS102" t="s">
        <v>14988</v>
      </c>
      <c r="BT102" t="s">
        <v>14988</v>
      </c>
      <c r="BU102" t="s">
        <v>14988</v>
      </c>
      <c r="BV102" t="s">
        <v>14988</v>
      </c>
      <c r="BW102" t="s">
        <v>14988</v>
      </c>
      <c r="BX102" t="s">
        <v>14988</v>
      </c>
      <c r="BY102" t="s">
        <v>14988</v>
      </c>
      <c r="BZ102" t="s">
        <v>14988</v>
      </c>
      <c r="CA102" t="s">
        <v>14988</v>
      </c>
      <c r="CB102" t="s">
        <v>14988</v>
      </c>
      <c r="CC102" t="s">
        <v>14988</v>
      </c>
      <c r="CD102" t="s">
        <v>14988</v>
      </c>
      <c r="CE102" t="s">
        <v>14988</v>
      </c>
      <c r="CF102" t="s">
        <v>14988</v>
      </c>
      <c r="CG102" t="s">
        <v>14988</v>
      </c>
      <c r="CH102" t="s">
        <v>14988</v>
      </c>
      <c r="CI102" t="s">
        <v>14988</v>
      </c>
      <c r="CJ102" t="s">
        <v>14988</v>
      </c>
      <c r="CK102" t="s">
        <v>14988</v>
      </c>
      <c r="CL102" t="s">
        <v>14988</v>
      </c>
      <c r="CM102">
        <v>-99</v>
      </c>
      <c r="CN102">
        <v>-99</v>
      </c>
      <c r="CO102" t="s">
        <v>12402</v>
      </c>
      <c r="CP102" t="s">
        <v>12403</v>
      </c>
      <c r="CQ102" t="s">
        <v>13178</v>
      </c>
      <c r="CR102" t="s">
        <v>12281</v>
      </c>
      <c r="CS102">
        <v>9</v>
      </c>
      <c r="CT102">
        <v>9</v>
      </c>
      <c r="CU102">
        <v>6</v>
      </c>
      <c r="CV102">
        <v>-99</v>
      </c>
      <c r="CW102">
        <v>-99</v>
      </c>
      <c r="CX102">
        <v>0</v>
      </c>
      <c r="CY102">
        <v>1.7</v>
      </c>
      <c r="CZ102">
        <v>6.7</v>
      </c>
      <c r="DA102">
        <v>-39.335251</v>
      </c>
      <c r="DB102">
        <v>74.319387000000006</v>
      </c>
      <c r="DC102">
        <v>1159320551</v>
      </c>
      <c r="DD102" t="s">
        <v>14990</v>
      </c>
      <c r="DE102" t="s">
        <v>14991</v>
      </c>
      <c r="DF102" t="s">
        <v>14992</v>
      </c>
      <c r="DG102" t="s">
        <v>14993</v>
      </c>
      <c r="DH102" t="s">
        <v>1212</v>
      </c>
      <c r="DI102" t="s">
        <v>14994</v>
      </c>
      <c r="DJ102" t="s">
        <v>14995</v>
      </c>
      <c r="DK102" t="s">
        <v>14996</v>
      </c>
      <c r="DL102" t="s">
        <v>14997</v>
      </c>
      <c r="DM102" t="s">
        <v>14998</v>
      </c>
      <c r="DN102" t="s">
        <v>14999</v>
      </c>
      <c r="DO102" t="s">
        <v>14993</v>
      </c>
      <c r="DP102" t="s">
        <v>1212</v>
      </c>
      <c r="DQ102" t="s">
        <v>14994</v>
      </c>
      <c r="DR102" t="s">
        <v>15000</v>
      </c>
      <c r="DS102" t="s">
        <v>15001</v>
      </c>
      <c r="DT102" t="s">
        <v>14996</v>
      </c>
      <c r="DU102" t="s">
        <v>15002</v>
      </c>
      <c r="DV102" t="s">
        <v>15003</v>
      </c>
      <c r="DW102" t="s">
        <v>15004</v>
      </c>
      <c r="DX102" t="s">
        <v>14993</v>
      </c>
      <c r="DY102" t="s">
        <v>14993</v>
      </c>
      <c r="DZ102" t="s">
        <v>15005</v>
      </c>
      <c r="EA102" t="s">
        <v>15006</v>
      </c>
      <c r="EB102" t="s">
        <v>1212</v>
      </c>
      <c r="EC102" t="s">
        <v>15007</v>
      </c>
      <c r="ED102" t="s">
        <v>15008</v>
      </c>
      <c r="EE102" t="s">
        <v>12397</v>
      </c>
      <c r="EG102" t="s">
        <v>12397</v>
      </c>
    </row>
    <row r="103" spans="1:253" x14ac:dyDescent="0.25">
      <c r="A103" t="s">
        <v>65</v>
      </c>
      <c r="B103" t="s">
        <v>12247</v>
      </c>
      <c r="C103">
        <v>3</v>
      </c>
      <c r="D103">
        <v>6</v>
      </c>
      <c r="E103" t="s">
        <v>65</v>
      </c>
      <c r="F103" t="s">
        <v>14482</v>
      </c>
      <c r="G103">
        <v>0</v>
      </c>
      <c r="H103">
        <v>2</v>
      </c>
      <c r="I103" t="s">
        <v>12249</v>
      </c>
      <c r="J103">
        <v>1</v>
      </c>
      <c r="K103" t="s">
        <v>65</v>
      </c>
      <c r="L103" t="s">
        <v>14482</v>
      </c>
      <c r="M103">
        <v>0</v>
      </c>
      <c r="N103" t="s">
        <v>65</v>
      </c>
      <c r="O103" t="s">
        <v>14482</v>
      </c>
      <c r="P103">
        <v>0</v>
      </c>
      <c r="Q103" t="s">
        <v>65</v>
      </c>
      <c r="R103" t="s">
        <v>14482</v>
      </c>
      <c r="S103">
        <v>0</v>
      </c>
      <c r="T103" t="s">
        <v>65</v>
      </c>
      <c r="U103" t="s">
        <v>14482</v>
      </c>
      <c r="V103" t="s">
        <v>65</v>
      </c>
      <c r="X103" t="s">
        <v>14483</v>
      </c>
      <c r="Y103" t="s">
        <v>1484</v>
      </c>
      <c r="Z103" t="s">
        <v>65</v>
      </c>
      <c r="AB103" t="s">
        <v>65</v>
      </c>
      <c r="AE103" t="s">
        <v>65</v>
      </c>
      <c r="AG103">
        <v>2</v>
      </c>
      <c r="AH103">
        <v>4</v>
      </c>
      <c r="AI103">
        <v>3</v>
      </c>
      <c r="AJ103">
        <v>6</v>
      </c>
      <c r="AK103">
        <v>112003</v>
      </c>
      <c r="AL103">
        <v>9</v>
      </c>
      <c r="AM103">
        <v>2019</v>
      </c>
      <c r="AN103">
        <v>1210</v>
      </c>
      <c r="AO103">
        <v>2019</v>
      </c>
      <c r="AP103" t="s">
        <v>12277</v>
      </c>
      <c r="AQ103" t="s">
        <v>12305</v>
      </c>
      <c r="AR103" t="s">
        <v>14484</v>
      </c>
      <c r="AS103" t="s">
        <v>1484</v>
      </c>
      <c r="AT103" t="s">
        <v>1484</v>
      </c>
      <c r="AU103" t="s">
        <v>14482</v>
      </c>
      <c r="AV103" t="s">
        <v>14482</v>
      </c>
      <c r="AW103">
        <v>308</v>
      </c>
      <c r="AX103">
        <v>308</v>
      </c>
      <c r="AY103">
        <v>308</v>
      </c>
      <c r="AZ103" t="s">
        <v>1484</v>
      </c>
      <c r="BA103" t="s">
        <v>14482</v>
      </c>
      <c r="BB103">
        <v>23424826</v>
      </c>
      <c r="BC103">
        <v>23424826</v>
      </c>
      <c r="BD103" t="s">
        <v>12254</v>
      </c>
      <c r="BE103" t="s">
        <v>14482</v>
      </c>
      <c r="BG103" t="s">
        <v>14482</v>
      </c>
      <c r="BH103" t="s">
        <v>14482</v>
      </c>
      <c r="BI103" t="s">
        <v>14482</v>
      </c>
      <c r="BJ103" t="s">
        <v>14482</v>
      </c>
      <c r="BK103" t="s">
        <v>14482</v>
      </c>
      <c r="BL103" t="s">
        <v>14482</v>
      </c>
      <c r="BM103" t="s">
        <v>14482</v>
      </c>
      <c r="BN103" t="s">
        <v>14482</v>
      </c>
      <c r="BO103" t="s">
        <v>14482</v>
      </c>
      <c r="BP103" t="s">
        <v>14482</v>
      </c>
      <c r="BQ103" t="s">
        <v>14482</v>
      </c>
      <c r="BR103" t="s">
        <v>14482</v>
      </c>
      <c r="BS103" t="s">
        <v>14482</v>
      </c>
      <c r="BT103" t="s">
        <v>14482</v>
      </c>
      <c r="BU103" t="s">
        <v>14482</v>
      </c>
      <c r="BV103" t="s">
        <v>14482</v>
      </c>
      <c r="BW103" t="s">
        <v>14482</v>
      </c>
      <c r="BX103" t="s">
        <v>14482</v>
      </c>
      <c r="BY103" t="s">
        <v>14482</v>
      </c>
      <c r="BZ103" t="s">
        <v>14482</v>
      </c>
      <c r="CA103" t="s">
        <v>14482</v>
      </c>
      <c r="CB103" t="s">
        <v>14482</v>
      </c>
      <c r="CC103" t="s">
        <v>14482</v>
      </c>
      <c r="CD103" t="s">
        <v>14482</v>
      </c>
      <c r="CE103" t="s">
        <v>14482</v>
      </c>
      <c r="CF103" t="s">
        <v>14482</v>
      </c>
      <c r="CG103" t="s">
        <v>14482</v>
      </c>
      <c r="CH103" t="s">
        <v>14482</v>
      </c>
      <c r="CI103" t="s">
        <v>14482</v>
      </c>
      <c r="CJ103" t="s">
        <v>14482</v>
      </c>
      <c r="CK103" t="s">
        <v>14482</v>
      </c>
      <c r="CL103" t="s">
        <v>14482</v>
      </c>
      <c r="CM103">
        <v>-99</v>
      </c>
      <c r="CN103">
        <v>-99</v>
      </c>
      <c r="CO103" t="s">
        <v>12402</v>
      </c>
      <c r="CP103" t="s">
        <v>12403</v>
      </c>
      <c r="CQ103" t="s">
        <v>12404</v>
      </c>
      <c r="CR103" t="s">
        <v>12405</v>
      </c>
      <c r="CS103">
        <v>7</v>
      </c>
      <c r="CT103">
        <v>7</v>
      </c>
      <c r="CU103">
        <v>5</v>
      </c>
      <c r="CV103">
        <v>-99</v>
      </c>
      <c r="CW103">
        <v>1</v>
      </c>
      <c r="CX103">
        <v>0</v>
      </c>
      <c r="CY103">
        <v>4</v>
      </c>
      <c r="CZ103">
        <v>9</v>
      </c>
      <c r="DA103">
        <v>-61.680461000000001</v>
      </c>
      <c r="DB103">
        <v>12.113156</v>
      </c>
      <c r="DC103">
        <v>1159320813</v>
      </c>
      <c r="DD103" t="s">
        <v>14485</v>
      </c>
      <c r="DE103" t="s">
        <v>14486</v>
      </c>
      <c r="DF103" t="s">
        <v>14487</v>
      </c>
      <c r="DG103" t="s">
        <v>65</v>
      </c>
      <c r="DH103" t="s">
        <v>65</v>
      </c>
      <c r="DI103" t="s">
        <v>4595</v>
      </c>
      <c r="DJ103" t="s">
        <v>14488</v>
      </c>
      <c r="DK103" t="s">
        <v>14489</v>
      </c>
      <c r="DL103" t="s">
        <v>14490</v>
      </c>
      <c r="DM103" t="s">
        <v>14491</v>
      </c>
      <c r="DN103" t="s">
        <v>14492</v>
      </c>
      <c r="DO103" t="s">
        <v>65</v>
      </c>
      <c r="DP103" t="s">
        <v>65</v>
      </c>
      <c r="DQ103" t="s">
        <v>65</v>
      </c>
      <c r="DR103" t="s">
        <v>14493</v>
      </c>
      <c r="DS103" t="s">
        <v>14494</v>
      </c>
      <c r="DT103" t="s">
        <v>65</v>
      </c>
      <c r="DU103" t="s">
        <v>65</v>
      </c>
      <c r="DV103" t="s">
        <v>4595</v>
      </c>
      <c r="DW103" t="s">
        <v>14495</v>
      </c>
      <c r="DX103" t="s">
        <v>65</v>
      </c>
      <c r="DY103" t="s">
        <v>65</v>
      </c>
      <c r="DZ103" t="s">
        <v>14495</v>
      </c>
      <c r="EA103" t="s">
        <v>14496</v>
      </c>
      <c r="EB103" t="s">
        <v>65</v>
      </c>
      <c r="EC103" t="s">
        <v>14497</v>
      </c>
      <c r="ED103" t="s">
        <v>14498</v>
      </c>
      <c r="EE103" t="s">
        <v>12247</v>
      </c>
      <c r="EG103" t="s">
        <v>12247</v>
      </c>
    </row>
    <row r="104" spans="1:253" x14ac:dyDescent="0.25">
      <c r="A104" t="s">
        <v>1213</v>
      </c>
      <c r="B104" t="s">
        <v>17202</v>
      </c>
      <c r="C104">
        <v>9</v>
      </c>
      <c r="L104" t="s">
        <v>12078</v>
      </c>
      <c r="FN104" t="s">
        <v>18639</v>
      </c>
      <c r="FO104">
        <v>4603</v>
      </c>
      <c r="FQ104" t="s">
        <v>1471</v>
      </c>
      <c r="FR104">
        <v>4</v>
      </c>
      <c r="FU104" t="s">
        <v>18603</v>
      </c>
      <c r="FV104" t="s">
        <v>18604</v>
      </c>
      <c r="FW104">
        <v>971</v>
      </c>
      <c r="FX104" t="s">
        <v>18640</v>
      </c>
      <c r="GA104" t="s">
        <v>1213</v>
      </c>
      <c r="GB104">
        <v>0</v>
      </c>
      <c r="GC104">
        <v>0</v>
      </c>
      <c r="GD104">
        <v>20</v>
      </c>
      <c r="GE104">
        <v>9</v>
      </c>
      <c r="GH104">
        <v>0</v>
      </c>
      <c r="GI104">
        <v>-99</v>
      </c>
      <c r="GJ104">
        <v>20</v>
      </c>
      <c r="GK104">
        <v>10</v>
      </c>
      <c r="GL104">
        <v>9</v>
      </c>
      <c r="GM104">
        <v>11</v>
      </c>
      <c r="GP104">
        <v>23424831</v>
      </c>
      <c r="GR104" t="s">
        <v>1213</v>
      </c>
      <c r="GS104">
        <v>16.188099999999999</v>
      </c>
      <c r="GT104">
        <v>-61.682200000000002</v>
      </c>
      <c r="GU104" t="s">
        <v>13674</v>
      </c>
      <c r="GV104" t="s">
        <v>12078</v>
      </c>
      <c r="GW104">
        <v>7</v>
      </c>
      <c r="GX104" t="s">
        <v>58</v>
      </c>
      <c r="GY104" t="s">
        <v>1213</v>
      </c>
      <c r="GZ104" t="s">
        <v>18641</v>
      </c>
      <c r="HA104">
        <v>6690364</v>
      </c>
      <c r="HB104" t="s">
        <v>1213</v>
      </c>
      <c r="HC104">
        <v>-1203022</v>
      </c>
      <c r="HD104" t="s">
        <v>18642</v>
      </c>
      <c r="HE104">
        <v>2</v>
      </c>
      <c r="HG104" t="s">
        <v>18643</v>
      </c>
      <c r="HJ104">
        <v>1</v>
      </c>
      <c r="HK104" t="s">
        <v>18611</v>
      </c>
      <c r="HM104" t="s">
        <v>18644</v>
      </c>
      <c r="HN104">
        <v>8</v>
      </c>
      <c r="HO104">
        <v>11</v>
      </c>
      <c r="HP104">
        <v>8</v>
      </c>
      <c r="HQ104" t="s">
        <v>18645</v>
      </c>
      <c r="HR104" t="s">
        <v>18646</v>
      </c>
      <c r="HS104" t="s">
        <v>18647</v>
      </c>
      <c r="HT104" t="s">
        <v>1213</v>
      </c>
      <c r="HU104" t="s">
        <v>1213</v>
      </c>
      <c r="HV104" t="s">
        <v>18648</v>
      </c>
      <c r="HW104" t="s">
        <v>1213</v>
      </c>
      <c r="HX104" t="s">
        <v>18649</v>
      </c>
      <c r="HY104" t="s">
        <v>18650</v>
      </c>
      <c r="HZ104" t="s">
        <v>1213</v>
      </c>
      <c r="IA104" t="s">
        <v>1213</v>
      </c>
      <c r="IB104" t="s">
        <v>18651</v>
      </c>
      <c r="IC104" t="s">
        <v>18652</v>
      </c>
      <c r="ID104" t="s">
        <v>18653</v>
      </c>
      <c r="IE104" t="s">
        <v>1213</v>
      </c>
      <c r="IF104" t="s">
        <v>18654</v>
      </c>
      <c r="IG104" t="s">
        <v>18648</v>
      </c>
      <c r="IH104" t="s">
        <v>18655</v>
      </c>
      <c r="II104" t="s">
        <v>1213</v>
      </c>
      <c r="IJ104" t="s">
        <v>1213</v>
      </c>
      <c r="IK104" t="s">
        <v>1213</v>
      </c>
      <c r="IL104" t="s">
        <v>18656</v>
      </c>
      <c r="IM104">
        <v>1159315647</v>
      </c>
      <c r="IN104" t="s">
        <v>18657</v>
      </c>
      <c r="IO104" t="s">
        <v>18655</v>
      </c>
      <c r="IP104" t="s">
        <v>18658</v>
      </c>
      <c r="IQ104" t="s">
        <v>18659</v>
      </c>
      <c r="IR104" t="s">
        <v>18660</v>
      </c>
      <c r="IS104" t="s">
        <v>18661</v>
      </c>
    </row>
    <row r="105" spans="1:253" x14ac:dyDescent="0.25">
      <c r="A105" t="s">
        <v>1214</v>
      </c>
      <c r="B105" t="s">
        <v>12247</v>
      </c>
      <c r="C105">
        <v>5</v>
      </c>
      <c r="D105">
        <v>6</v>
      </c>
      <c r="E105" t="s">
        <v>12532</v>
      </c>
      <c r="F105" t="s">
        <v>12533</v>
      </c>
      <c r="G105">
        <v>1</v>
      </c>
      <c r="H105">
        <v>2</v>
      </c>
      <c r="I105" t="s">
        <v>12480</v>
      </c>
      <c r="J105">
        <v>1</v>
      </c>
      <c r="K105" t="s">
        <v>1214</v>
      </c>
      <c r="L105" t="s">
        <v>15009</v>
      </c>
      <c r="M105">
        <v>0</v>
      </c>
      <c r="N105" t="s">
        <v>1214</v>
      </c>
      <c r="O105" t="s">
        <v>15009</v>
      </c>
      <c r="P105">
        <v>0</v>
      </c>
      <c r="Q105" t="s">
        <v>1214</v>
      </c>
      <c r="R105" t="s">
        <v>15009</v>
      </c>
      <c r="S105">
        <v>0</v>
      </c>
      <c r="T105" t="s">
        <v>1214</v>
      </c>
      <c r="U105" t="s">
        <v>15009</v>
      </c>
      <c r="V105" t="s">
        <v>1214</v>
      </c>
      <c r="X105" t="s">
        <v>1214</v>
      </c>
      <c r="Y105" t="s">
        <v>1527</v>
      </c>
      <c r="Z105" t="s">
        <v>15010</v>
      </c>
      <c r="AB105" t="s">
        <v>1214</v>
      </c>
      <c r="AC105" t="s">
        <v>12536</v>
      </c>
      <c r="AE105" t="s">
        <v>1214</v>
      </c>
      <c r="AG105">
        <v>4</v>
      </c>
      <c r="AH105">
        <v>5</v>
      </c>
      <c r="AI105">
        <v>1</v>
      </c>
      <c r="AJ105">
        <v>1</v>
      </c>
      <c r="AK105">
        <v>167294</v>
      </c>
      <c r="AL105">
        <v>9</v>
      </c>
      <c r="AM105">
        <v>2019</v>
      </c>
      <c r="AN105">
        <v>5920</v>
      </c>
      <c r="AO105">
        <v>2018</v>
      </c>
      <c r="AP105" t="s">
        <v>12277</v>
      </c>
      <c r="AQ105" t="s">
        <v>12335</v>
      </c>
      <c r="AR105" t="s">
        <v>1514</v>
      </c>
      <c r="AS105" t="s">
        <v>1527</v>
      </c>
      <c r="AT105" t="s">
        <v>1527</v>
      </c>
      <c r="AU105" t="s">
        <v>15009</v>
      </c>
      <c r="AV105" t="s">
        <v>15009</v>
      </c>
      <c r="AW105">
        <v>316</v>
      </c>
      <c r="AX105">
        <v>316</v>
      </c>
      <c r="AY105">
        <v>316</v>
      </c>
      <c r="AZ105" t="s">
        <v>1527</v>
      </c>
      <c r="BA105" t="s">
        <v>15009</v>
      </c>
      <c r="BB105">
        <v>23424832</v>
      </c>
      <c r="BC105">
        <v>23424832</v>
      </c>
      <c r="BD105" t="s">
        <v>12254</v>
      </c>
      <c r="BE105" t="s">
        <v>15009</v>
      </c>
      <c r="BG105" t="s">
        <v>15009</v>
      </c>
      <c r="BH105" t="s">
        <v>15009</v>
      </c>
      <c r="BI105" t="s">
        <v>15009</v>
      </c>
      <c r="BJ105" t="s">
        <v>15009</v>
      </c>
      <c r="BK105" t="s">
        <v>15009</v>
      </c>
      <c r="BL105" t="s">
        <v>15009</v>
      </c>
      <c r="BM105" t="s">
        <v>15009</v>
      </c>
      <c r="BN105" t="s">
        <v>15009</v>
      </c>
      <c r="BO105" t="s">
        <v>15009</v>
      </c>
      <c r="BP105" t="s">
        <v>15009</v>
      </c>
      <c r="BQ105" t="s">
        <v>15009</v>
      </c>
      <c r="BR105" t="s">
        <v>15009</v>
      </c>
      <c r="BS105" t="s">
        <v>15009</v>
      </c>
      <c r="BT105" t="s">
        <v>15009</v>
      </c>
      <c r="BU105" t="s">
        <v>15009</v>
      </c>
      <c r="BV105" t="s">
        <v>15009</v>
      </c>
      <c r="BW105" t="s">
        <v>15009</v>
      </c>
      <c r="BX105" t="s">
        <v>15009</v>
      </c>
      <c r="BY105" t="s">
        <v>15009</v>
      </c>
      <c r="BZ105" t="s">
        <v>15009</v>
      </c>
      <c r="CA105" t="s">
        <v>15009</v>
      </c>
      <c r="CB105" t="s">
        <v>15009</v>
      </c>
      <c r="CC105" t="s">
        <v>15009</v>
      </c>
      <c r="CD105" t="s">
        <v>15009</v>
      </c>
      <c r="CE105" t="s">
        <v>15009</v>
      </c>
      <c r="CF105" t="s">
        <v>15009</v>
      </c>
      <c r="CG105" t="s">
        <v>15009</v>
      </c>
      <c r="CH105" t="s">
        <v>15009</v>
      </c>
      <c r="CI105" t="s">
        <v>15009</v>
      </c>
      <c r="CJ105" t="s">
        <v>15009</v>
      </c>
      <c r="CK105" t="s">
        <v>15009</v>
      </c>
      <c r="CL105" t="s">
        <v>15009</v>
      </c>
      <c r="CM105">
        <v>-99</v>
      </c>
      <c r="CN105">
        <v>-99</v>
      </c>
      <c r="CO105" t="s">
        <v>12537</v>
      </c>
      <c r="CP105" t="s">
        <v>12537</v>
      </c>
      <c r="CQ105" t="s">
        <v>13998</v>
      </c>
      <c r="CR105" t="s">
        <v>12539</v>
      </c>
      <c r="CS105">
        <v>4</v>
      </c>
      <c r="CT105">
        <v>4</v>
      </c>
      <c r="CU105">
        <v>4</v>
      </c>
      <c r="CV105">
        <v>2</v>
      </c>
      <c r="CW105">
        <v>-99</v>
      </c>
      <c r="CX105">
        <v>0</v>
      </c>
      <c r="CY105">
        <v>3</v>
      </c>
      <c r="CZ105">
        <v>10</v>
      </c>
      <c r="DA105">
        <v>144.70361399999999</v>
      </c>
      <c r="DB105">
        <v>13.354172999999999</v>
      </c>
      <c r="DC105">
        <v>1159321359</v>
      </c>
      <c r="DD105" t="s">
        <v>15011</v>
      </c>
      <c r="DE105" t="s">
        <v>15012</v>
      </c>
      <c r="DF105" t="s">
        <v>15013</v>
      </c>
      <c r="DG105" t="s">
        <v>1214</v>
      </c>
      <c r="DH105" t="s">
        <v>1214</v>
      </c>
      <c r="DI105" t="s">
        <v>1214</v>
      </c>
      <c r="DJ105" t="s">
        <v>15014</v>
      </c>
      <c r="DK105" t="s">
        <v>1214</v>
      </c>
      <c r="DL105" t="s">
        <v>15015</v>
      </c>
      <c r="DM105" t="s">
        <v>15016</v>
      </c>
      <c r="DN105" t="s">
        <v>15017</v>
      </c>
      <c r="DO105" t="s">
        <v>1214</v>
      </c>
      <c r="DP105" t="s">
        <v>1214</v>
      </c>
      <c r="DQ105" t="s">
        <v>1214</v>
      </c>
      <c r="DR105" t="s">
        <v>15018</v>
      </c>
      <c r="DS105" t="s">
        <v>15019</v>
      </c>
      <c r="DT105" t="s">
        <v>1214</v>
      </c>
      <c r="DU105" t="s">
        <v>1214</v>
      </c>
      <c r="DV105" t="s">
        <v>1214</v>
      </c>
      <c r="DW105" t="s">
        <v>15020</v>
      </c>
      <c r="DX105" t="s">
        <v>1214</v>
      </c>
      <c r="DY105" t="s">
        <v>1214</v>
      </c>
      <c r="DZ105" t="s">
        <v>15020</v>
      </c>
      <c r="EA105" t="s">
        <v>15021</v>
      </c>
      <c r="EB105" t="s">
        <v>1214</v>
      </c>
      <c r="EC105" t="s">
        <v>15022</v>
      </c>
      <c r="ED105" t="s">
        <v>15023</v>
      </c>
      <c r="EE105" t="s">
        <v>12397</v>
      </c>
      <c r="EG105" t="s">
        <v>12397</v>
      </c>
    </row>
    <row r="106" spans="1:253" x14ac:dyDescent="0.25">
      <c r="A106" t="s">
        <v>66</v>
      </c>
      <c r="B106" t="s">
        <v>12247</v>
      </c>
      <c r="C106">
        <v>0</v>
      </c>
      <c r="D106">
        <v>3</v>
      </c>
      <c r="E106" t="s">
        <v>66</v>
      </c>
      <c r="F106" t="s">
        <v>14499</v>
      </c>
      <c r="G106">
        <v>0</v>
      </c>
      <c r="H106">
        <v>2</v>
      </c>
      <c r="I106" t="s">
        <v>12249</v>
      </c>
      <c r="J106">
        <v>1</v>
      </c>
      <c r="K106" t="s">
        <v>66</v>
      </c>
      <c r="L106" t="s">
        <v>14499</v>
      </c>
      <c r="M106">
        <v>0</v>
      </c>
      <c r="N106" t="s">
        <v>66</v>
      </c>
      <c r="O106" t="s">
        <v>14499</v>
      </c>
      <c r="P106">
        <v>0</v>
      </c>
      <c r="Q106" t="s">
        <v>66</v>
      </c>
      <c r="R106" t="s">
        <v>14499</v>
      </c>
      <c r="S106">
        <v>0</v>
      </c>
      <c r="T106" t="s">
        <v>66</v>
      </c>
      <c r="U106" t="s">
        <v>14499</v>
      </c>
      <c r="V106" t="s">
        <v>66</v>
      </c>
      <c r="X106" t="s">
        <v>14500</v>
      </c>
      <c r="Y106" t="s">
        <v>1524</v>
      </c>
      <c r="Z106" t="s">
        <v>14501</v>
      </c>
      <c r="AB106" t="s">
        <v>66</v>
      </c>
      <c r="AE106" t="s">
        <v>66</v>
      </c>
      <c r="AG106">
        <v>3</v>
      </c>
      <c r="AH106">
        <v>3</v>
      </c>
      <c r="AI106">
        <v>3</v>
      </c>
      <c r="AJ106">
        <v>6</v>
      </c>
      <c r="AK106">
        <v>16604026</v>
      </c>
      <c r="AL106">
        <v>14</v>
      </c>
      <c r="AM106">
        <v>2019</v>
      </c>
      <c r="AN106">
        <v>76710</v>
      </c>
      <c r="AO106">
        <v>2019</v>
      </c>
      <c r="AP106" t="s">
        <v>12277</v>
      </c>
      <c r="AQ106" t="s">
        <v>12278</v>
      </c>
      <c r="AR106" t="s">
        <v>1524</v>
      </c>
      <c r="AS106" t="s">
        <v>1524</v>
      </c>
      <c r="AT106" t="s">
        <v>1524</v>
      </c>
      <c r="AU106" t="s">
        <v>14499</v>
      </c>
      <c r="AV106" t="s">
        <v>14499</v>
      </c>
      <c r="AW106">
        <v>320</v>
      </c>
      <c r="AX106">
        <v>320</v>
      </c>
      <c r="AY106">
        <v>320</v>
      </c>
      <c r="AZ106" t="s">
        <v>1524</v>
      </c>
      <c r="BA106" t="s">
        <v>14499</v>
      </c>
      <c r="BB106">
        <v>23424834</v>
      </c>
      <c r="BC106">
        <v>23424834</v>
      </c>
      <c r="BD106" t="s">
        <v>12254</v>
      </c>
      <c r="BE106" t="s">
        <v>14499</v>
      </c>
      <c r="BG106" t="s">
        <v>14499</v>
      </c>
      <c r="BH106" t="s">
        <v>14499</v>
      </c>
      <c r="BI106" t="s">
        <v>14499</v>
      </c>
      <c r="BJ106" t="s">
        <v>14499</v>
      </c>
      <c r="BK106" t="s">
        <v>14499</v>
      </c>
      <c r="BL106" t="s">
        <v>14499</v>
      </c>
      <c r="BM106" t="s">
        <v>14499</v>
      </c>
      <c r="BN106" t="s">
        <v>14499</v>
      </c>
      <c r="BO106" t="s">
        <v>14499</v>
      </c>
      <c r="BP106" t="s">
        <v>14499</v>
      </c>
      <c r="BQ106" t="s">
        <v>14499</v>
      </c>
      <c r="BR106" t="s">
        <v>14499</v>
      </c>
      <c r="BS106" t="s">
        <v>14499</v>
      </c>
      <c r="BT106" t="s">
        <v>14499</v>
      </c>
      <c r="BU106" t="s">
        <v>14499</v>
      </c>
      <c r="BV106" t="s">
        <v>14499</v>
      </c>
      <c r="BW106" t="s">
        <v>14499</v>
      </c>
      <c r="BX106" t="s">
        <v>14499</v>
      </c>
      <c r="BY106" t="s">
        <v>14499</v>
      </c>
      <c r="BZ106" t="s">
        <v>14499</v>
      </c>
      <c r="CA106" t="s">
        <v>14499</v>
      </c>
      <c r="CB106" t="s">
        <v>14499</v>
      </c>
      <c r="CC106" t="s">
        <v>14499</v>
      </c>
      <c r="CD106" t="s">
        <v>14499</v>
      </c>
      <c r="CE106" t="s">
        <v>14499</v>
      </c>
      <c r="CF106" t="s">
        <v>14499</v>
      </c>
      <c r="CG106" t="s">
        <v>14499</v>
      </c>
      <c r="CH106" t="s">
        <v>14499</v>
      </c>
      <c r="CI106" t="s">
        <v>14499</v>
      </c>
      <c r="CJ106" t="s">
        <v>14499</v>
      </c>
      <c r="CK106" t="s">
        <v>14499</v>
      </c>
      <c r="CL106" t="s">
        <v>14499</v>
      </c>
      <c r="CM106">
        <v>-99</v>
      </c>
      <c r="CN106">
        <v>-99</v>
      </c>
      <c r="CO106" t="s">
        <v>12402</v>
      </c>
      <c r="CP106" t="s">
        <v>12403</v>
      </c>
      <c r="CQ106" t="s">
        <v>12829</v>
      </c>
      <c r="CR106" t="s">
        <v>12405</v>
      </c>
      <c r="CS106">
        <v>9</v>
      </c>
      <c r="CT106">
        <v>9</v>
      </c>
      <c r="CU106">
        <v>5</v>
      </c>
      <c r="CV106">
        <v>4</v>
      </c>
      <c r="CW106">
        <v>1</v>
      </c>
      <c r="CX106">
        <v>0</v>
      </c>
      <c r="CY106">
        <v>3</v>
      </c>
      <c r="CZ106">
        <v>8</v>
      </c>
      <c r="DA106">
        <v>-90.497134000000003</v>
      </c>
      <c r="DB106">
        <v>14.982132999999999</v>
      </c>
      <c r="DC106">
        <v>1159320815</v>
      </c>
      <c r="DD106" t="s">
        <v>14502</v>
      </c>
      <c r="DE106" t="s">
        <v>14503</v>
      </c>
      <c r="DF106" t="s">
        <v>14504</v>
      </c>
      <c r="DG106" t="s">
        <v>66</v>
      </c>
      <c r="DH106" t="s">
        <v>66</v>
      </c>
      <c r="DI106" t="s">
        <v>66</v>
      </c>
      <c r="DJ106" t="s">
        <v>14505</v>
      </c>
      <c r="DK106" t="s">
        <v>66</v>
      </c>
      <c r="DL106" t="s">
        <v>14506</v>
      </c>
      <c r="DM106" t="s">
        <v>14507</v>
      </c>
      <c r="DN106" t="s">
        <v>14508</v>
      </c>
      <c r="DO106" t="s">
        <v>66</v>
      </c>
      <c r="DP106" t="s">
        <v>66</v>
      </c>
      <c r="DQ106" t="s">
        <v>66</v>
      </c>
      <c r="DR106" t="s">
        <v>14509</v>
      </c>
      <c r="DS106" t="s">
        <v>14510</v>
      </c>
      <c r="DT106" t="s">
        <v>66</v>
      </c>
      <c r="DU106" t="s">
        <v>14511</v>
      </c>
      <c r="DV106" t="s">
        <v>66</v>
      </c>
      <c r="DW106" t="s">
        <v>14512</v>
      </c>
      <c r="DX106" t="s">
        <v>66</v>
      </c>
      <c r="DY106" t="s">
        <v>66</v>
      </c>
      <c r="DZ106" t="s">
        <v>14512</v>
      </c>
      <c r="EA106" t="s">
        <v>14513</v>
      </c>
      <c r="EB106" t="s">
        <v>66</v>
      </c>
      <c r="EC106" t="s">
        <v>14514</v>
      </c>
      <c r="ED106" t="s">
        <v>14515</v>
      </c>
      <c r="EE106" t="s">
        <v>12247</v>
      </c>
      <c r="EG106" t="s">
        <v>12247</v>
      </c>
    </row>
    <row r="107" spans="1:253" x14ac:dyDescent="0.25">
      <c r="A107" t="s">
        <v>1215</v>
      </c>
      <c r="B107" t="s">
        <v>12247</v>
      </c>
      <c r="C107">
        <v>5</v>
      </c>
      <c r="D107">
        <v>6</v>
      </c>
      <c r="E107" t="s">
        <v>182</v>
      </c>
      <c r="F107" t="s">
        <v>12479</v>
      </c>
      <c r="G107">
        <v>1</v>
      </c>
      <c r="H107">
        <v>2</v>
      </c>
      <c r="I107" t="s">
        <v>12507</v>
      </c>
      <c r="J107">
        <v>1</v>
      </c>
      <c r="K107" t="s">
        <v>1215</v>
      </c>
      <c r="L107" t="s">
        <v>15738</v>
      </c>
      <c r="M107">
        <v>0</v>
      </c>
      <c r="N107" t="s">
        <v>1215</v>
      </c>
      <c r="O107" t="s">
        <v>15738</v>
      </c>
      <c r="P107">
        <v>0</v>
      </c>
      <c r="Q107" t="s">
        <v>1215</v>
      </c>
      <c r="R107" t="s">
        <v>15738</v>
      </c>
      <c r="S107">
        <v>0</v>
      </c>
      <c r="T107" t="s">
        <v>1215</v>
      </c>
      <c r="U107" t="s">
        <v>15738</v>
      </c>
      <c r="V107" t="s">
        <v>1215</v>
      </c>
      <c r="W107" t="s">
        <v>15739</v>
      </c>
      <c r="X107" t="s">
        <v>15740</v>
      </c>
      <c r="Y107" t="s">
        <v>1493</v>
      </c>
      <c r="Z107" t="s">
        <v>15741</v>
      </c>
      <c r="AB107" t="s">
        <v>1215</v>
      </c>
      <c r="AC107" t="s">
        <v>12486</v>
      </c>
      <c r="AD107" t="s">
        <v>15742</v>
      </c>
      <c r="AE107" t="s">
        <v>1215</v>
      </c>
      <c r="AG107">
        <v>6</v>
      </c>
      <c r="AH107">
        <v>6</v>
      </c>
      <c r="AI107">
        <v>6</v>
      </c>
      <c r="AJ107">
        <v>3</v>
      </c>
      <c r="AK107">
        <v>62792</v>
      </c>
      <c r="AL107">
        <v>8</v>
      </c>
      <c r="AM107">
        <v>2019</v>
      </c>
      <c r="AN107">
        <v>3465</v>
      </c>
      <c r="AO107">
        <v>2015</v>
      </c>
      <c r="AP107" t="s">
        <v>12334</v>
      </c>
      <c r="AQ107" t="s">
        <v>12335</v>
      </c>
      <c r="AR107" t="s">
        <v>15743</v>
      </c>
      <c r="AS107" t="s">
        <v>1493</v>
      </c>
      <c r="AT107" t="s">
        <v>1493</v>
      </c>
      <c r="AU107" t="s">
        <v>15738</v>
      </c>
      <c r="AV107" t="s">
        <v>15738</v>
      </c>
      <c r="AW107">
        <v>831</v>
      </c>
      <c r="AX107">
        <v>831</v>
      </c>
      <c r="AY107">
        <v>831</v>
      </c>
      <c r="AZ107" t="s">
        <v>15744</v>
      </c>
      <c r="BA107" t="s">
        <v>15745</v>
      </c>
      <c r="BB107">
        <v>23424827</v>
      </c>
      <c r="BC107">
        <v>23424827</v>
      </c>
      <c r="BD107" t="s">
        <v>12254</v>
      </c>
      <c r="BE107" t="s">
        <v>15738</v>
      </c>
      <c r="BG107" t="s">
        <v>15738</v>
      </c>
      <c r="BH107" t="s">
        <v>15738</v>
      </c>
      <c r="BI107" t="s">
        <v>15738</v>
      </c>
      <c r="BJ107" t="s">
        <v>15738</v>
      </c>
      <c r="BK107" t="s">
        <v>15738</v>
      </c>
      <c r="BL107" t="s">
        <v>15738</v>
      </c>
      <c r="BM107" t="s">
        <v>15738</v>
      </c>
      <c r="BN107" t="s">
        <v>15738</v>
      </c>
      <c r="BO107" t="s">
        <v>15738</v>
      </c>
      <c r="BP107" t="s">
        <v>15738</v>
      </c>
      <c r="BQ107" t="s">
        <v>15738</v>
      </c>
      <c r="BR107" t="s">
        <v>15738</v>
      </c>
      <c r="BS107" t="s">
        <v>15738</v>
      </c>
      <c r="BT107" t="s">
        <v>15738</v>
      </c>
      <c r="BU107" t="s">
        <v>15738</v>
      </c>
      <c r="BV107" t="s">
        <v>15738</v>
      </c>
      <c r="BW107" t="s">
        <v>15738</v>
      </c>
      <c r="BX107" t="s">
        <v>15738</v>
      </c>
      <c r="BY107" t="s">
        <v>15738</v>
      </c>
      <c r="BZ107" t="s">
        <v>15738</v>
      </c>
      <c r="CA107" t="s">
        <v>15738</v>
      </c>
      <c r="CB107" t="s">
        <v>15738</v>
      </c>
      <c r="CC107" t="s">
        <v>15738</v>
      </c>
      <c r="CD107" t="s">
        <v>15738</v>
      </c>
      <c r="CE107" t="s">
        <v>15738</v>
      </c>
      <c r="CF107" t="s">
        <v>15738</v>
      </c>
      <c r="CG107" t="s">
        <v>15738</v>
      </c>
      <c r="CH107" t="s">
        <v>15738</v>
      </c>
      <c r="CI107" t="s">
        <v>15738</v>
      </c>
      <c r="CJ107" t="s">
        <v>15738</v>
      </c>
      <c r="CK107" t="s">
        <v>15738</v>
      </c>
      <c r="CL107" t="s">
        <v>15738</v>
      </c>
      <c r="CM107">
        <v>-99</v>
      </c>
      <c r="CN107">
        <v>-99</v>
      </c>
      <c r="CO107" t="s">
        <v>12279</v>
      </c>
      <c r="CP107" t="s">
        <v>12279</v>
      </c>
      <c r="CQ107" t="s">
        <v>12515</v>
      </c>
      <c r="CR107" t="s">
        <v>12281</v>
      </c>
      <c r="CS107">
        <v>8</v>
      </c>
      <c r="CT107">
        <v>8</v>
      </c>
      <c r="CU107">
        <v>6</v>
      </c>
      <c r="CV107">
        <v>-99</v>
      </c>
      <c r="CW107">
        <v>-99</v>
      </c>
      <c r="CX107">
        <v>0</v>
      </c>
      <c r="CY107">
        <v>5</v>
      </c>
      <c r="CZ107">
        <v>10</v>
      </c>
      <c r="DA107">
        <v>-2.5617359999999998</v>
      </c>
      <c r="DB107">
        <v>49.463532999999998</v>
      </c>
      <c r="DC107">
        <v>1159320715</v>
      </c>
      <c r="DD107" t="s">
        <v>15746</v>
      </c>
      <c r="DE107" t="s">
        <v>15747</v>
      </c>
      <c r="DF107" t="s">
        <v>15748</v>
      </c>
      <c r="DG107" t="s">
        <v>1215</v>
      </c>
      <c r="DH107" t="s">
        <v>1215</v>
      </c>
      <c r="DI107" t="s">
        <v>1215</v>
      </c>
      <c r="DJ107" t="s">
        <v>15749</v>
      </c>
      <c r="DK107" t="s">
        <v>15750</v>
      </c>
      <c r="DL107" t="s">
        <v>15751</v>
      </c>
      <c r="DM107" t="s">
        <v>15752</v>
      </c>
      <c r="DN107" t="s">
        <v>15753</v>
      </c>
      <c r="DO107" t="s">
        <v>15754</v>
      </c>
      <c r="DP107" t="s">
        <v>1215</v>
      </c>
      <c r="DQ107" t="s">
        <v>1215</v>
      </c>
      <c r="DR107" t="s">
        <v>15755</v>
      </c>
      <c r="DS107" t="s">
        <v>15756</v>
      </c>
      <c r="DT107" t="s">
        <v>1215</v>
      </c>
      <c r="DU107" t="s">
        <v>1215</v>
      </c>
      <c r="DV107" t="s">
        <v>1215</v>
      </c>
      <c r="DW107" t="s">
        <v>15757</v>
      </c>
      <c r="DX107" t="s">
        <v>1215</v>
      </c>
      <c r="DY107" t="s">
        <v>1215</v>
      </c>
      <c r="DZ107" t="s">
        <v>15758</v>
      </c>
      <c r="EA107" t="s">
        <v>15749</v>
      </c>
      <c r="EB107" t="s">
        <v>1215</v>
      </c>
      <c r="EC107" t="s">
        <v>15759</v>
      </c>
      <c r="ED107" t="s">
        <v>15759</v>
      </c>
      <c r="EE107" t="s">
        <v>12247</v>
      </c>
      <c r="EG107" t="s">
        <v>12247</v>
      </c>
    </row>
    <row r="108" spans="1:253" x14ac:dyDescent="0.25">
      <c r="A108" t="s">
        <v>67</v>
      </c>
      <c r="B108" t="s">
        <v>12247</v>
      </c>
      <c r="C108">
        <v>0</v>
      </c>
      <c r="D108">
        <v>3</v>
      </c>
      <c r="E108" t="s">
        <v>67</v>
      </c>
      <c r="F108" t="s">
        <v>14516</v>
      </c>
      <c r="G108">
        <v>0</v>
      </c>
      <c r="H108">
        <v>2</v>
      </c>
      <c r="I108" t="s">
        <v>12249</v>
      </c>
      <c r="J108">
        <v>1</v>
      </c>
      <c r="K108" t="s">
        <v>67</v>
      </c>
      <c r="L108" t="s">
        <v>14516</v>
      </c>
      <c r="M108">
        <v>0</v>
      </c>
      <c r="N108" t="s">
        <v>67</v>
      </c>
      <c r="O108" t="s">
        <v>14516</v>
      </c>
      <c r="P108">
        <v>0</v>
      </c>
      <c r="Q108" t="s">
        <v>67</v>
      </c>
      <c r="R108" t="s">
        <v>14516</v>
      </c>
      <c r="S108">
        <v>0</v>
      </c>
      <c r="T108" t="s">
        <v>67</v>
      </c>
      <c r="U108" t="s">
        <v>14516</v>
      </c>
      <c r="V108" t="s">
        <v>67</v>
      </c>
      <c r="X108" t="s">
        <v>14517</v>
      </c>
      <c r="Y108" t="s">
        <v>1508</v>
      </c>
      <c r="Z108" t="s">
        <v>14518</v>
      </c>
      <c r="AB108" t="s">
        <v>67</v>
      </c>
      <c r="AE108" t="s">
        <v>67</v>
      </c>
      <c r="AG108">
        <v>6</v>
      </c>
      <c r="AH108">
        <v>3</v>
      </c>
      <c r="AI108">
        <v>7</v>
      </c>
      <c r="AJ108">
        <v>2</v>
      </c>
      <c r="AK108">
        <v>12771246</v>
      </c>
      <c r="AL108">
        <v>14</v>
      </c>
      <c r="AM108">
        <v>2019</v>
      </c>
      <c r="AN108">
        <v>12296</v>
      </c>
      <c r="AO108">
        <v>2019</v>
      </c>
      <c r="AP108" t="s">
        <v>12252</v>
      </c>
      <c r="AQ108" t="s">
        <v>12253</v>
      </c>
      <c r="AR108" t="s">
        <v>14519</v>
      </c>
      <c r="AS108" t="s">
        <v>1508</v>
      </c>
      <c r="AT108" t="s">
        <v>1508</v>
      </c>
      <c r="AU108" t="s">
        <v>14516</v>
      </c>
      <c r="AV108" t="s">
        <v>14516</v>
      </c>
      <c r="AW108">
        <v>324</v>
      </c>
      <c r="AX108">
        <v>324</v>
      </c>
      <c r="AY108">
        <v>324</v>
      </c>
      <c r="AZ108" t="s">
        <v>1508</v>
      </c>
      <c r="BA108" t="s">
        <v>14516</v>
      </c>
      <c r="BB108">
        <v>23424835</v>
      </c>
      <c r="BC108">
        <v>23424835</v>
      </c>
      <c r="BD108" t="s">
        <v>12254</v>
      </c>
      <c r="BE108" t="s">
        <v>14516</v>
      </c>
      <c r="BG108" t="s">
        <v>14516</v>
      </c>
      <c r="BH108" t="s">
        <v>14516</v>
      </c>
      <c r="BI108" t="s">
        <v>14516</v>
      </c>
      <c r="BJ108" t="s">
        <v>14516</v>
      </c>
      <c r="BK108" t="s">
        <v>14516</v>
      </c>
      <c r="BL108" t="s">
        <v>14516</v>
      </c>
      <c r="BM108" t="s">
        <v>14516</v>
      </c>
      <c r="BN108" t="s">
        <v>14516</v>
      </c>
      <c r="BO108" t="s">
        <v>14516</v>
      </c>
      <c r="BP108" t="s">
        <v>14516</v>
      </c>
      <c r="BQ108" t="s">
        <v>14516</v>
      </c>
      <c r="BR108" t="s">
        <v>14516</v>
      </c>
      <c r="BS108" t="s">
        <v>14516</v>
      </c>
      <c r="BT108" t="s">
        <v>14516</v>
      </c>
      <c r="BU108" t="s">
        <v>14516</v>
      </c>
      <c r="BV108" t="s">
        <v>14516</v>
      </c>
      <c r="BW108" t="s">
        <v>14516</v>
      </c>
      <c r="BX108" t="s">
        <v>14516</v>
      </c>
      <c r="BY108" t="s">
        <v>14516</v>
      </c>
      <c r="BZ108" t="s">
        <v>14516</v>
      </c>
      <c r="CA108" t="s">
        <v>14516</v>
      </c>
      <c r="CB108" t="s">
        <v>14516</v>
      </c>
      <c r="CC108" t="s">
        <v>14516</v>
      </c>
      <c r="CD108" t="s">
        <v>14516</v>
      </c>
      <c r="CE108" t="s">
        <v>14516</v>
      </c>
      <c r="CF108" t="s">
        <v>14516</v>
      </c>
      <c r="CG108" t="s">
        <v>14516</v>
      </c>
      <c r="CH108" t="s">
        <v>14516</v>
      </c>
      <c r="CI108" t="s">
        <v>14516</v>
      </c>
      <c r="CJ108" t="s">
        <v>14516</v>
      </c>
      <c r="CK108" t="s">
        <v>14516</v>
      </c>
      <c r="CL108" t="s">
        <v>14516</v>
      </c>
      <c r="CM108">
        <v>-99</v>
      </c>
      <c r="CN108">
        <v>-99</v>
      </c>
      <c r="CO108" t="s">
        <v>12306</v>
      </c>
      <c r="CP108" t="s">
        <v>12306</v>
      </c>
      <c r="CQ108" t="s">
        <v>12847</v>
      </c>
      <c r="CR108" t="s">
        <v>12357</v>
      </c>
      <c r="CS108">
        <v>6</v>
      </c>
      <c r="CT108">
        <v>6</v>
      </c>
      <c r="CU108">
        <v>4</v>
      </c>
      <c r="CV108">
        <v>-99</v>
      </c>
      <c r="CW108">
        <v>1</v>
      </c>
      <c r="CX108">
        <v>0</v>
      </c>
      <c r="CY108">
        <v>3</v>
      </c>
      <c r="CZ108">
        <v>8</v>
      </c>
      <c r="DA108">
        <v>-10.016401999999999</v>
      </c>
      <c r="DB108">
        <v>10.618516</v>
      </c>
      <c r="DC108">
        <v>1159320795</v>
      </c>
      <c r="DD108" t="s">
        <v>14520</v>
      </c>
      <c r="DE108" t="s">
        <v>14521</v>
      </c>
      <c r="DF108" t="s">
        <v>14522</v>
      </c>
      <c r="DG108" t="s">
        <v>67</v>
      </c>
      <c r="DH108" t="s">
        <v>67</v>
      </c>
      <c r="DI108" t="s">
        <v>67</v>
      </c>
      <c r="DJ108" t="s">
        <v>14523</v>
      </c>
      <c r="DK108" t="s">
        <v>14524</v>
      </c>
      <c r="DL108" t="s">
        <v>14525</v>
      </c>
      <c r="DM108" t="s">
        <v>14526</v>
      </c>
      <c r="DN108" t="s">
        <v>14527</v>
      </c>
      <c r="DO108" t="s">
        <v>67</v>
      </c>
      <c r="DP108" t="s">
        <v>67</v>
      </c>
      <c r="DQ108" t="s">
        <v>67</v>
      </c>
      <c r="DR108" t="s">
        <v>14528</v>
      </c>
      <c r="DS108" t="s">
        <v>14529</v>
      </c>
      <c r="DT108" t="s">
        <v>14530</v>
      </c>
      <c r="DU108" t="s">
        <v>14531</v>
      </c>
      <c r="DV108" t="s">
        <v>14532</v>
      </c>
      <c r="DW108" t="s">
        <v>14533</v>
      </c>
      <c r="DX108" t="s">
        <v>67</v>
      </c>
      <c r="DY108" t="s">
        <v>14534</v>
      </c>
      <c r="DZ108" t="s">
        <v>14535</v>
      </c>
      <c r="EA108" t="s">
        <v>14536</v>
      </c>
      <c r="EB108" t="s">
        <v>14524</v>
      </c>
      <c r="EC108" t="s">
        <v>14537</v>
      </c>
      <c r="ED108" t="s">
        <v>14538</v>
      </c>
      <c r="EE108" t="s">
        <v>12247</v>
      </c>
      <c r="EG108" t="s">
        <v>12247</v>
      </c>
    </row>
    <row r="109" spans="1:253" x14ac:dyDescent="0.25">
      <c r="A109" t="s">
        <v>68</v>
      </c>
      <c r="B109" t="s">
        <v>12247</v>
      </c>
      <c r="C109">
        <v>0</v>
      </c>
      <c r="D109">
        <v>6</v>
      </c>
      <c r="E109" t="s">
        <v>68</v>
      </c>
      <c r="F109" t="s">
        <v>14539</v>
      </c>
      <c r="G109">
        <v>0</v>
      </c>
      <c r="H109">
        <v>2</v>
      </c>
      <c r="I109" t="s">
        <v>12249</v>
      </c>
      <c r="J109">
        <v>1</v>
      </c>
      <c r="K109" t="s">
        <v>68</v>
      </c>
      <c r="L109" t="s">
        <v>14539</v>
      </c>
      <c r="M109">
        <v>0</v>
      </c>
      <c r="N109" t="s">
        <v>68</v>
      </c>
      <c r="O109" t="s">
        <v>14539</v>
      </c>
      <c r="P109">
        <v>0</v>
      </c>
      <c r="Q109" t="s">
        <v>68</v>
      </c>
      <c r="R109" t="s">
        <v>14539</v>
      </c>
      <c r="S109">
        <v>0</v>
      </c>
      <c r="T109" t="s">
        <v>68</v>
      </c>
      <c r="U109" t="s">
        <v>14539</v>
      </c>
      <c r="V109" t="s">
        <v>68</v>
      </c>
      <c r="X109" t="s">
        <v>14540</v>
      </c>
      <c r="Y109" t="s">
        <v>1531</v>
      </c>
      <c r="Z109" t="s">
        <v>14541</v>
      </c>
      <c r="AB109" t="s">
        <v>68</v>
      </c>
      <c r="AE109" t="s">
        <v>68</v>
      </c>
      <c r="AG109">
        <v>3</v>
      </c>
      <c r="AH109">
        <v>5</v>
      </c>
      <c r="AI109">
        <v>3</v>
      </c>
      <c r="AJ109">
        <v>4</v>
      </c>
      <c r="AK109">
        <v>1920922</v>
      </c>
      <c r="AL109">
        <v>12</v>
      </c>
      <c r="AM109">
        <v>2019</v>
      </c>
      <c r="AN109">
        <v>1339</v>
      </c>
      <c r="AO109">
        <v>2019</v>
      </c>
      <c r="AP109" t="s">
        <v>12252</v>
      </c>
      <c r="AQ109" t="s">
        <v>12253</v>
      </c>
      <c r="AR109" t="s">
        <v>14542</v>
      </c>
      <c r="AS109" t="s">
        <v>1531</v>
      </c>
      <c r="AT109" t="s">
        <v>1531</v>
      </c>
      <c r="AU109" t="s">
        <v>14539</v>
      </c>
      <c r="AV109" t="s">
        <v>14539</v>
      </c>
      <c r="AW109">
        <v>624</v>
      </c>
      <c r="AX109">
        <v>624</v>
      </c>
      <c r="AY109">
        <v>624</v>
      </c>
      <c r="AZ109" t="s">
        <v>1531</v>
      </c>
      <c r="BA109" t="s">
        <v>14539</v>
      </c>
      <c r="BB109">
        <v>23424929</v>
      </c>
      <c r="BC109">
        <v>23424929</v>
      </c>
      <c r="BD109" t="s">
        <v>12254</v>
      </c>
      <c r="BE109" t="s">
        <v>14539</v>
      </c>
      <c r="BG109" t="s">
        <v>14539</v>
      </c>
      <c r="BH109" t="s">
        <v>14539</v>
      </c>
      <c r="BI109" t="s">
        <v>14539</v>
      </c>
      <c r="BJ109" t="s">
        <v>14539</v>
      </c>
      <c r="BK109" t="s">
        <v>14539</v>
      </c>
      <c r="BL109" t="s">
        <v>14539</v>
      </c>
      <c r="BM109" t="s">
        <v>14539</v>
      </c>
      <c r="BN109" t="s">
        <v>14539</v>
      </c>
      <c r="BO109" t="s">
        <v>14539</v>
      </c>
      <c r="BP109" t="s">
        <v>14539</v>
      </c>
      <c r="BQ109" t="s">
        <v>14539</v>
      </c>
      <c r="BR109" t="s">
        <v>14539</v>
      </c>
      <c r="BS109" t="s">
        <v>14539</v>
      </c>
      <c r="BT109" t="s">
        <v>14539</v>
      </c>
      <c r="BU109" t="s">
        <v>14539</v>
      </c>
      <c r="BV109" t="s">
        <v>14539</v>
      </c>
      <c r="BW109" t="s">
        <v>14539</v>
      </c>
      <c r="BX109" t="s">
        <v>14539</v>
      </c>
      <c r="BY109" t="s">
        <v>14539</v>
      </c>
      <c r="BZ109" t="s">
        <v>14539</v>
      </c>
      <c r="CA109" t="s">
        <v>14539</v>
      </c>
      <c r="CB109" t="s">
        <v>14539</v>
      </c>
      <c r="CC109" t="s">
        <v>14539</v>
      </c>
      <c r="CD109" t="s">
        <v>14539</v>
      </c>
      <c r="CE109" t="s">
        <v>14539</v>
      </c>
      <c r="CF109" t="s">
        <v>14539</v>
      </c>
      <c r="CG109" t="s">
        <v>14539</v>
      </c>
      <c r="CH109" t="s">
        <v>14539</v>
      </c>
      <c r="CI109" t="s">
        <v>14539</v>
      </c>
      <c r="CJ109" t="s">
        <v>14539</v>
      </c>
      <c r="CK109" t="s">
        <v>14539</v>
      </c>
      <c r="CL109" t="s">
        <v>14539</v>
      </c>
      <c r="CM109">
        <v>-99</v>
      </c>
      <c r="CN109">
        <v>-99</v>
      </c>
      <c r="CO109" t="s">
        <v>12306</v>
      </c>
      <c r="CP109" t="s">
        <v>12306</v>
      </c>
      <c r="CQ109" t="s">
        <v>12847</v>
      </c>
      <c r="CR109" t="s">
        <v>12357</v>
      </c>
      <c r="CS109">
        <v>13</v>
      </c>
      <c r="CT109">
        <v>13</v>
      </c>
      <c r="CU109">
        <v>4</v>
      </c>
      <c r="CV109">
        <v>-99</v>
      </c>
      <c r="CW109">
        <v>1</v>
      </c>
      <c r="CX109">
        <v>0</v>
      </c>
      <c r="CY109">
        <v>5</v>
      </c>
      <c r="CZ109">
        <v>10</v>
      </c>
      <c r="DA109">
        <v>-14.52413</v>
      </c>
      <c r="DB109">
        <v>12.163712</v>
      </c>
      <c r="DC109">
        <v>1159320799</v>
      </c>
      <c r="DD109" t="s">
        <v>14543</v>
      </c>
      <c r="DE109" t="s">
        <v>14544</v>
      </c>
      <c r="DF109" t="s">
        <v>14545</v>
      </c>
      <c r="DG109" t="s">
        <v>68</v>
      </c>
      <c r="DH109" t="s">
        <v>68</v>
      </c>
      <c r="DI109" t="s">
        <v>14546</v>
      </c>
      <c r="DJ109" t="s">
        <v>14547</v>
      </c>
      <c r="DK109" t="s">
        <v>14548</v>
      </c>
      <c r="DL109" t="s">
        <v>14549</v>
      </c>
      <c r="DM109" t="s">
        <v>14550</v>
      </c>
      <c r="DN109" t="s">
        <v>14551</v>
      </c>
      <c r="DO109" t="s">
        <v>14552</v>
      </c>
      <c r="DP109" t="s">
        <v>68</v>
      </c>
      <c r="DQ109" t="s">
        <v>68</v>
      </c>
      <c r="DR109" t="s">
        <v>14553</v>
      </c>
      <c r="DS109" t="s">
        <v>14554</v>
      </c>
      <c r="DT109" t="s">
        <v>14555</v>
      </c>
      <c r="DU109" t="s">
        <v>14556</v>
      </c>
      <c r="DV109" t="s">
        <v>14557</v>
      </c>
      <c r="DW109" t="s">
        <v>14558</v>
      </c>
      <c r="DX109" t="s">
        <v>68</v>
      </c>
      <c r="DY109" t="s">
        <v>14559</v>
      </c>
      <c r="DZ109" t="s">
        <v>14560</v>
      </c>
      <c r="EA109" t="s">
        <v>14561</v>
      </c>
      <c r="EB109" t="s">
        <v>14557</v>
      </c>
      <c r="EC109" t="s">
        <v>14562</v>
      </c>
      <c r="ED109" t="s">
        <v>14563</v>
      </c>
      <c r="EE109" t="s">
        <v>12247</v>
      </c>
      <c r="EG109" t="s">
        <v>12247</v>
      </c>
    </row>
    <row r="110" spans="1:253" x14ac:dyDescent="0.25">
      <c r="A110" t="s">
        <v>69</v>
      </c>
      <c r="B110" t="s">
        <v>12247</v>
      </c>
      <c r="C110">
        <v>0</v>
      </c>
      <c r="D110">
        <v>4</v>
      </c>
      <c r="E110" t="s">
        <v>69</v>
      </c>
      <c r="F110" t="s">
        <v>14564</v>
      </c>
      <c r="G110">
        <v>0</v>
      </c>
      <c r="H110">
        <v>2</v>
      </c>
      <c r="I110" t="s">
        <v>12249</v>
      </c>
      <c r="J110">
        <v>1</v>
      </c>
      <c r="K110" t="s">
        <v>69</v>
      </c>
      <c r="L110" t="s">
        <v>14564</v>
      </c>
      <c r="M110">
        <v>0</v>
      </c>
      <c r="N110" t="s">
        <v>69</v>
      </c>
      <c r="O110" t="s">
        <v>14564</v>
      </c>
      <c r="P110">
        <v>0</v>
      </c>
      <c r="Q110" t="s">
        <v>69</v>
      </c>
      <c r="R110" t="s">
        <v>14564</v>
      </c>
      <c r="S110">
        <v>0</v>
      </c>
      <c r="T110" t="s">
        <v>69</v>
      </c>
      <c r="U110" t="s">
        <v>14564</v>
      </c>
      <c r="V110" t="s">
        <v>69</v>
      </c>
      <c r="X110" t="s">
        <v>14565</v>
      </c>
      <c r="Y110" t="s">
        <v>1534</v>
      </c>
      <c r="Z110" t="s">
        <v>14566</v>
      </c>
      <c r="AB110" t="s">
        <v>69</v>
      </c>
      <c r="AE110" t="s">
        <v>69</v>
      </c>
      <c r="AG110">
        <v>3</v>
      </c>
      <c r="AH110">
        <v>1</v>
      </c>
      <c r="AI110">
        <v>4</v>
      </c>
      <c r="AJ110">
        <v>8</v>
      </c>
      <c r="AK110">
        <v>782766</v>
      </c>
      <c r="AL110">
        <v>11</v>
      </c>
      <c r="AM110">
        <v>2019</v>
      </c>
      <c r="AN110">
        <v>5173</v>
      </c>
      <c r="AO110">
        <v>2019</v>
      </c>
      <c r="AP110" t="s">
        <v>12277</v>
      </c>
      <c r="AQ110" t="s">
        <v>12278</v>
      </c>
      <c r="AR110" t="s">
        <v>1534</v>
      </c>
      <c r="AS110" t="s">
        <v>1534</v>
      </c>
      <c r="AT110" t="s">
        <v>1534</v>
      </c>
      <c r="AU110" t="s">
        <v>14564</v>
      </c>
      <c r="AV110" t="s">
        <v>14564</v>
      </c>
      <c r="AW110">
        <v>328</v>
      </c>
      <c r="AX110">
        <v>328</v>
      </c>
      <c r="AY110">
        <v>328</v>
      </c>
      <c r="AZ110" t="s">
        <v>1534</v>
      </c>
      <c r="BA110" t="s">
        <v>14564</v>
      </c>
      <c r="BB110">
        <v>23424836</v>
      </c>
      <c r="BC110">
        <v>23424836</v>
      </c>
      <c r="BD110" t="s">
        <v>12254</v>
      </c>
      <c r="BE110" t="s">
        <v>14564</v>
      </c>
      <c r="BG110" t="s">
        <v>14564</v>
      </c>
      <c r="BH110" t="s">
        <v>14564</v>
      </c>
      <c r="BI110" t="s">
        <v>14564</v>
      </c>
      <c r="BJ110" t="s">
        <v>14564</v>
      </c>
      <c r="BK110" t="s">
        <v>14564</v>
      </c>
      <c r="BL110" t="s">
        <v>14564</v>
      </c>
      <c r="BM110" t="s">
        <v>14564</v>
      </c>
      <c r="BN110" t="s">
        <v>14564</v>
      </c>
      <c r="BO110" t="s">
        <v>14564</v>
      </c>
      <c r="BP110" t="s">
        <v>14564</v>
      </c>
      <c r="BQ110" t="s">
        <v>14564</v>
      </c>
      <c r="BR110" t="s">
        <v>14564</v>
      </c>
      <c r="BS110" t="s">
        <v>14564</v>
      </c>
      <c r="BT110" t="s">
        <v>14564</v>
      </c>
      <c r="BU110" t="s">
        <v>14564</v>
      </c>
      <c r="BV110" t="s">
        <v>14564</v>
      </c>
      <c r="BW110" t="s">
        <v>14564</v>
      </c>
      <c r="BX110" t="s">
        <v>14564</v>
      </c>
      <c r="BY110" t="s">
        <v>14564</v>
      </c>
      <c r="BZ110" t="s">
        <v>14564</v>
      </c>
      <c r="CA110" t="s">
        <v>14564</v>
      </c>
      <c r="CB110" t="s">
        <v>14564</v>
      </c>
      <c r="CC110" t="s">
        <v>14564</v>
      </c>
      <c r="CD110" t="s">
        <v>14564</v>
      </c>
      <c r="CE110" t="s">
        <v>14564</v>
      </c>
      <c r="CF110" t="s">
        <v>14564</v>
      </c>
      <c r="CG110" t="s">
        <v>14564</v>
      </c>
      <c r="CH110" t="s">
        <v>14564</v>
      </c>
      <c r="CI110" t="s">
        <v>14564</v>
      </c>
      <c r="CJ110" t="s">
        <v>14564</v>
      </c>
      <c r="CK110" t="s">
        <v>14564</v>
      </c>
      <c r="CL110" t="s">
        <v>14564</v>
      </c>
      <c r="CM110">
        <v>-99</v>
      </c>
      <c r="CN110">
        <v>-99</v>
      </c>
      <c r="CO110" t="s">
        <v>12436</v>
      </c>
      <c r="CP110" t="s">
        <v>12403</v>
      </c>
      <c r="CQ110" t="s">
        <v>12436</v>
      </c>
      <c r="CR110" t="s">
        <v>12405</v>
      </c>
      <c r="CS110">
        <v>6</v>
      </c>
      <c r="CT110">
        <v>6</v>
      </c>
      <c r="CU110">
        <v>4</v>
      </c>
      <c r="CV110">
        <v>-99</v>
      </c>
      <c r="CW110">
        <v>1</v>
      </c>
      <c r="CX110">
        <v>0</v>
      </c>
      <c r="CY110">
        <v>4</v>
      </c>
      <c r="CZ110">
        <v>9</v>
      </c>
      <c r="DA110">
        <v>-58.942642999999997</v>
      </c>
      <c r="DB110">
        <v>5.1243169999999996</v>
      </c>
      <c r="DC110">
        <v>1159320817</v>
      </c>
      <c r="DD110" t="s">
        <v>14567</v>
      </c>
      <c r="DE110" t="s">
        <v>14568</v>
      </c>
      <c r="DF110" t="s">
        <v>14569</v>
      </c>
      <c r="DG110" t="s">
        <v>69</v>
      </c>
      <c r="DH110" t="s">
        <v>69</v>
      </c>
      <c r="DI110" t="s">
        <v>69</v>
      </c>
      <c r="DJ110" t="s">
        <v>14570</v>
      </c>
      <c r="DK110" t="s">
        <v>69</v>
      </c>
      <c r="DL110" t="s">
        <v>14571</v>
      </c>
      <c r="DM110" t="s">
        <v>14572</v>
      </c>
      <c r="DN110" t="s">
        <v>14573</v>
      </c>
      <c r="DO110" t="s">
        <v>69</v>
      </c>
      <c r="DP110" t="s">
        <v>69</v>
      </c>
      <c r="DQ110" t="s">
        <v>69</v>
      </c>
      <c r="DR110" t="s">
        <v>14574</v>
      </c>
      <c r="DS110" t="s">
        <v>14575</v>
      </c>
      <c r="DT110" t="s">
        <v>69</v>
      </c>
      <c r="DU110" t="s">
        <v>14576</v>
      </c>
      <c r="DV110" t="s">
        <v>14577</v>
      </c>
      <c r="DW110" t="s">
        <v>14578</v>
      </c>
      <c r="DX110" t="s">
        <v>69</v>
      </c>
      <c r="DY110" t="s">
        <v>69</v>
      </c>
      <c r="DZ110" t="s">
        <v>14579</v>
      </c>
      <c r="EA110" t="s">
        <v>14580</v>
      </c>
      <c r="EB110" t="s">
        <v>69</v>
      </c>
      <c r="EC110" t="s">
        <v>14581</v>
      </c>
      <c r="ED110" t="s">
        <v>14582</v>
      </c>
      <c r="EE110" t="s">
        <v>12247</v>
      </c>
      <c r="EG110" t="s">
        <v>12247</v>
      </c>
    </row>
    <row r="111" spans="1:253" x14ac:dyDescent="0.25">
      <c r="A111" t="s">
        <v>70</v>
      </c>
      <c r="B111" t="s">
        <v>12247</v>
      </c>
      <c r="C111">
        <v>0</v>
      </c>
      <c r="D111">
        <v>5</v>
      </c>
      <c r="E111" t="s">
        <v>70</v>
      </c>
      <c r="F111" t="s">
        <v>14583</v>
      </c>
      <c r="G111">
        <v>0</v>
      </c>
      <c r="H111">
        <v>2</v>
      </c>
      <c r="I111" t="s">
        <v>12249</v>
      </c>
      <c r="J111">
        <v>1</v>
      </c>
      <c r="K111" t="s">
        <v>70</v>
      </c>
      <c r="L111" t="s">
        <v>14583</v>
      </c>
      <c r="M111">
        <v>0</v>
      </c>
      <c r="N111" t="s">
        <v>70</v>
      </c>
      <c r="O111" t="s">
        <v>14583</v>
      </c>
      <c r="P111">
        <v>0</v>
      </c>
      <c r="Q111" t="s">
        <v>70</v>
      </c>
      <c r="R111" t="s">
        <v>14583</v>
      </c>
      <c r="S111">
        <v>0</v>
      </c>
      <c r="T111" t="s">
        <v>70</v>
      </c>
      <c r="U111" t="s">
        <v>14583</v>
      </c>
      <c r="V111" t="s">
        <v>70</v>
      </c>
      <c r="X111" t="s">
        <v>70</v>
      </c>
      <c r="Y111" t="s">
        <v>1547</v>
      </c>
      <c r="Z111" t="s">
        <v>14584</v>
      </c>
      <c r="AB111" t="s">
        <v>70</v>
      </c>
      <c r="AE111" t="s">
        <v>70</v>
      </c>
      <c r="AG111">
        <v>2</v>
      </c>
      <c r="AH111">
        <v>1</v>
      </c>
      <c r="AI111">
        <v>7</v>
      </c>
      <c r="AJ111">
        <v>2</v>
      </c>
      <c r="AK111">
        <v>11263077</v>
      </c>
      <c r="AL111">
        <v>14</v>
      </c>
      <c r="AM111">
        <v>2019</v>
      </c>
      <c r="AN111">
        <v>14332</v>
      </c>
      <c r="AO111">
        <v>2019</v>
      </c>
      <c r="AP111" t="s">
        <v>12252</v>
      </c>
      <c r="AQ111" t="s">
        <v>12253</v>
      </c>
      <c r="AR111" t="s">
        <v>14585</v>
      </c>
      <c r="AS111" t="s">
        <v>1547</v>
      </c>
      <c r="AT111" t="s">
        <v>1547</v>
      </c>
      <c r="AU111" t="s">
        <v>14583</v>
      </c>
      <c r="AV111" t="s">
        <v>14583</v>
      </c>
      <c r="AW111">
        <v>332</v>
      </c>
      <c r="AX111">
        <v>332</v>
      </c>
      <c r="AY111">
        <v>332</v>
      </c>
      <c r="AZ111" t="s">
        <v>1547</v>
      </c>
      <c r="BA111" t="s">
        <v>14583</v>
      </c>
      <c r="BB111">
        <v>23424839</v>
      </c>
      <c r="BC111">
        <v>23424839</v>
      </c>
      <c r="BD111" t="s">
        <v>12254</v>
      </c>
      <c r="BE111" t="s">
        <v>14583</v>
      </c>
      <c r="BG111" t="s">
        <v>14583</v>
      </c>
      <c r="BH111" t="s">
        <v>14583</v>
      </c>
      <c r="BI111" t="s">
        <v>14583</v>
      </c>
      <c r="BJ111" t="s">
        <v>14583</v>
      </c>
      <c r="BK111" t="s">
        <v>14583</v>
      </c>
      <c r="BL111" t="s">
        <v>14583</v>
      </c>
      <c r="BM111" t="s">
        <v>14583</v>
      </c>
      <c r="BN111" t="s">
        <v>14583</v>
      </c>
      <c r="BO111" t="s">
        <v>14583</v>
      </c>
      <c r="BP111" t="s">
        <v>14583</v>
      </c>
      <c r="BQ111" t="s">
        <v>14583</v>
      </c>
      <c r="BR111" t="s">
        <v>14583</v>
      </c>
      <c r="BS111" t="s">
        <v>14583</v>
      </c>
      <c r="BT111" t="s">
        <v>14583</v>
      </c>
      <c r="BU111" t="s">
        <v>14583</v>
      </c>
      <c r="BV111" t="s">
        <v>14583</v>
      </c>
      <c r="BW111" t="s">
        <v>14583</v>
      </c>
      <c r="BX111" t="s">
        <v>14583</v>
      </c>
      <c r="BY111" t="s">
        <v>14583</v>
      </c>
      <c r="BZ111" t="s">
        <v>14583</v>
      </c>
      <c r="CA111" t="s">
        <v>14583</v>
      </c>
      <c r="CB111" t="s">
        <v>14583</v>
      </c>
      <c r="CC111" t="s">
        <v>14583</v>
      </c>
      <c r="CD111" t="s">
        <v>14583</v>
      </c>
      <c r="CE111" t="s">
        <v>14583</v>
      </c>
      <c r="CF111" t="s">
        <v>14583</v>
      </c>
      <c r="CG111" t="s">
        <v>14583</v>
      </c>
      <c r="CH111" t="s">
        <v>14583</v>
      </c>
      <c r="CI111" t="s">
        <v>14583</v>
      </c>
      <c r="CJ111" t="s">
        <v>14583</v>
      </c>
      <c r="CK111" t="s">
        <v>14583</v>
      </c>
      <c r="CL111" t="s">
        <v>14583</v>
      </c>
      <c r="CM111">
        <v>-99</v>
      </c>
      <c r="CN111">
        <v>-99</v>
      </c>
      <c r="CO111" t="s">
        <v>12402</v>
      </c>
      <c r="CP111" t="s">
        <v>12403</v>
      </c>
      <c r="CQ111" t="s">
        <v>12404</v>
      </c>
      <c r="CR111" t="s">
        <v>12405</v>
      </c>
      <c r="CS111">
        <v>5</v>
      </c>
      <c r="CT111">
        <v>5</v>
      </c>
      <c r="CU111">
        <v>5</v>
      </c>
      <c r="CV111">
        <v>-99</v>
      </c>
      <c r="CW111">
        <v>1</v>
      </c>
      <c r="CX111">
        <v>0</v>
      </c>
      <c r="CY111">
        <v>4</v>
      </c>
      <c r="CZ111">
        <v>9</v>
      </c>
      <c r="DA111">
        <v>-72.224051000000003</v>
      </c>
      <c r="DB111">
        <v>19.263784000000001</v>
      </c>
      <c r="DC111">
        <v>1159320839</v>
      </c>
      <c r="DD111" t="s">
        <v>14586</v>
      </c>
      <c r="DE111" t="s">
        <v>14587</v>
      </c>
      <c r="DF111" t="s">
        <v>14588</v>
      </c>
      <c r="DG111" t="s">
        <v>70</v>
      </c>
      <c r="DH111" t="s">
        <v>70</v>
      </c>
      <c r="DI111" t="s">
        <v>14589</v>
      </c>
      <c r="DJ111" t="s">
        <v>14590</v>
      </c>
      <c r="DK111" t="s">
        <v>14591</v>
      </c>
      <c r="DL111" t="s">
        <v>14592</v>
      </c>
      <c r="DM111" t="s">
        <v>14593</v>
      </c>
      <c r="DN111" t="s">
        <v>14594</v>
      </c>
      <c r="DO111" t="s">
        <v>70</v>
      </c>
      <c r="DP111" t="s">
        <v>70</v>
      </c>
      <c r="DQ111" t="s">
        <v>70</v>
      </c>
      <c r="DR111" t="s">
        <v>14595</v>
      </c>
      <c r="DS111" t="s">
        <v>14596</v>
      </c>
      <c r="DT111" t="s">
        <v>14591</v>
      </c>
      <c r="DU111" t="s">
        <v>70</v>
      </c>
      <c r="DV111" t="s">
        <v>70</v>
      </c>
      <c r="DW111" t="s">
        <v>14597</v>
      </c>
      <c r="DX111" t="s">
        <v>70</v>
      </c>
      <c r="DY111" t="s">
        <v>70</v>
      </c>
      <c r="DZ111" t="s">
        <v>14598</v>
      </c>
      <c r="EA111" t="s">
        <v>14599</v>
      </c>
      <c r="EB111" t="s">
        <v>70</v>
      </c>
      <c r="EC111" t="s">
        <v>14600</v>
      </c>
      <c r="ED111" t="s">
        <v>14600</v>
      </c>
      <c r="EE111" t="s">
        <v>12247</v>
      </c>
      <c r="EG111" t="s">
        <v>12247</v>
      </c>
    </row>
    <row r="112" spans="1:253" x14ac:dyDescent="0.25">
      <c r="A112" t="s">
        <v>15760</v>
      </c>
      <c r="B112" t="s">
        <v>12247</v>
      </c>
      <c r="C112">
        <v>5</v>
      </c>
      <c r="D112">
        <v>5</v>
      </c>
      <c r="E112" t="s">
        <v>8</v>
      </c>
      <c r="F112" t="s">
        <v>12600</v>
      </c>
      <c r="G112">
        <v>1</v>
      </c>
      <c r="H112">
        <v>2</v>
      </c>
      <c r="I112" t="s">
        <v>12480</v>
      </c>
      <c r="J112">
        <v>1</v>
      </c>
      <c r="K112" t="s">
        <v>15760</v>
      </c>
      <c r="L112" t="s">
        <v>15761</v>
      </c>
      <c r="M112">
        <v>0</v>
      </c>
      <c r="N112" t="s">
        <v>15760</v>
      </c>
      <c r="O112" t="s">
        <v>15761</v>
      </c>
      <c r="P112">
        <v>0</v>
      </c>
      <c r="Q112" t="s">
        <v>15760</v>
      </c>
      <c r="R112" t="s">
        <v>15761</v>
      </c>
      <c r="S112">
        <v>0</v>
      </c>
      <c r="T112" t="s">
        <v>15763</v>
      </c>
      <c r="U112" t="s">
        <v>15761</v>
      </c>
      <c r="V112" t="s">
        <v>15762</v>
      </c>
      <c r="X112" t="s">
        <v>15764</v>
      </c>
      <c r="Y112" t="s">
        <v>2153</v>
      </c>
      <c r="Z112" t="s">
        <v>15765</v>
      </c>
      <c r="AC112" t="s">
        <v>12606</v>
      </c>
      <c r="AE112" t="s">
        <v>15760</v>
      </c>
      <c r="AG112">
        <v>1</v>
      </c>
      <c r="AH112">
        <v>2</v>
      </c>
      <c r="AI112">
        <v>2</v>
      </c>
      <c r="AJ112">
        <v>7</v>
      </c>
      <c r="AK112">
        <v>0</v>
      </c>
      <c r="AL112">
        <v>1</v>
      </c>
      <c r="AM112">
        <v>2019</v>
      </c>
      <c r="AN112">
        <v>0</v>
      </c>
      <c r="AO112">
        <v>2016</v>
      </c>
      <c r="AP112" t="s">
        <v>12252</v>
      </c>
      <c r="AQ112" t="s">
        <v>12253</v>
      </c>
      <c r="AR112" t="s">
        <v>2153</v>
      </c>
      <c r="AS112" t="s">
        <v>2153</v>
      </c>
      <c r="AT112" t="s">
        <v>2153</v>
      </c>
      <c r="AU112" t="s">
        <v>15761</v>
      </c>
      <c r="AV112" t="s">
        <v>15761</v>
      </c>
      <c r="AW112">
        <v>334</v>
      </c>
      <c r="AX112">
        <v>334</v>
      </c>
      <c r="AY112">
        <v>-99</v>
      </c>
      <c r="AZ112">
        <v>-99</v>
      </c>
      <c r="BA112">
        <v>-99</v>
      </c>
      <c r="BB112">
        <v>28289411</v>
      </c>
      <c r="BC112">
        <v>28289411</v>
      </c>
      <c r="BD112" t="s">
        <v>12254</v>
      </c>
      <c r="BE112" t="s">
        <v>15761</v>
      </c>
      <c r="BG112" t="s">
        <v>15761</v>
      </c>
      <c r="BH112" t="s">
        <v>15761</v>
      </c>
      <c r="BI112" t="s">
        <v>15761</v>
      </c>
      <c r="BJ112" t="s">
        <v>15761</v>
      </c>
      <c r="BK112" t="s">
        <v>15761</v>
      </c>
      <c r="BL112" t="s">
        <v>15761</v>
      </c>
      <c r="BM112" t="s">
        <v>15761</v>
      </c>
      <c r="BN112" t="s">
        <v>15761</v>
      </c>
      <c r="BO112" t="s">
        <v>15761</v>
      </c>
      <c r="BP112" t="s">
        <v>15761</v>
      </c>
      <c r="BQ112" t="s">
        <v>15761</v>
      </c>
      <c r="BR112" t="s">
        <v>15761</v>
      </c>
      <c r="BS112" t="s">
        <v>15761</v>
      </c>
      <c r="BT112" t="s">
        <v>15761</v>
      </c>
      <c r="BU112" t="s">
        <v>15761</v>
      </c>
      <c r="BV112" t="s">
        <v>15761</v>
      </c>
      <c r="BW112" t="s">
        <v>15761</v>
      </c>
      <c r="BX112" t="s">
        <v>15761</v>
      </c>
      <c r="BY112" t="s">
        <v>15761</v>
      </c>
      <c r="BZ112" t="s">
        <v>15761</v>
      </c>
      <c r="CA112" t="s">
        <v>15761</v>
      </c>
      <c r="CB112" t="s">
        <v>15761</v>
      </c>
      <c r="CC112" t="s">
        <v>15761</v>
      </c>
      <c r="CD112" t="s">
        <v>15761</v>
      </c>
      <c r="CE112" t="s">
        <v>15761</v>
      </c>
      <c r="CF112" t="s">
        <v>15761</v>
      </c>
      <c r="CG112" t="s">
        <v>15761</v>
      </c>
      <c r="CH112" t="s">
        <v>15761</v>
      </c>
      <c r="CI112" t="s">
        <v>15761</v>
      </c>
      <c r="CJ112" t="s">
        <v>15761</v>
      </c>
      <c r="CK112" t="s">
        <v>15761</v>
      </c>
      <c r="CL112" t="s">
        <v>15761</v>
      </c>
      <c r="CM112">
        <v>-99</v>
      </c>
      <c r="CN112">
        <v>-99</v>
      </c>
      <c r="CO112" t="s">
        <v>13437</v>
      </c>
      <c r="CP112" t="s">
        <v>12306</v>
      </c>
      <c r="CQ112" t="s">
        <v>13437</v>
      </c>
      <c r="CR112" t="s">
        <v>12357</v>
      </c>
      <c r="CS112">
        <v>25</v>
      </c>
      <c r="CT112">
        <v>29</v>
      </c>
      <c r="CU112">
        <v>7</v>
      </c>
      <c r="CV112">
        <v>-99</v>
      </c>
      <c r="CW112">
        <v>-99</v>
      </c>
      <c r="CX112">
        <v>0</v>
      </c>
      <c r="CY112">
        <v>4.5</v>
      </c>
      <c r="CZ112">
        <v>9.5</v>
      </c>
      <c r="DA112">
        <v>73.505210000000005</v>
      </c>
      <c r="DB112">
        <v>-53.103462</v>
      </c>
      <c r="DC112">
        <v>1159320361</v>
      </c>
      <c r="DD112" t="s">
        <v>15766</v>
      </c>
      <c r="DE112" t="s">
        <v>15767</v>
      </c>
      <c r="DF112" t="s">
        <v>15768</v>
      </c>
      <c r="DG112" t="s">
        <v>15769</v>
      </c>
      <c r="DH112" t="s">
        <v>15760</v>
      </c>
      <c r="DI112" t="s">
        <v>15770</v>
      </c>
      <c r="DJ112" t="s">
        <v>15771</v>
      </c>
      <c r="DK112" t="s">
        <v>15772</v>
      </c>
      <c r="DL112" t="s">
        <v>15773</v>
      </c>
      <c r="DM112" t="s">
        <v>15774</v>
      </c>
      <c r="DN112" t="s">
        <v>15775</v>
      </c>
      <c r="DO112" t="s">
        <v>15776</v>
      </c>
      <c r="DP112" t="s">
        <v>15777</v>
      </c>
      <c r="DQ112" t="s">
        <v>15778</v>
      </c>
      <c r="DR112" t="s">
        <v>15779</v>
      </c>
      <c r="DS112" t="s">
        <v>15780</v>
      </c>
      <c r="DT112" t="s">
        <v>15781</v>
      </c>
      <c r="DU112" t="s">
        <v>15782</v>
      </c>
      <c r="DV112" t="s">
        <v>15783</v>
      </c>
      <c r="DW112" t="s">
        <v>15784</v>
      </c>
      <c r="DX112" t="s">
        <v>15785</v>
      </c>
      <c r="DY112" t="s">
        <v>15786</v>
      </c>
      <c r="DZ112" t="s">
        <v>15787</v>
      </c>
      <c r="EA112" t="s">
        <v>15788</v>
      </c>
      <c r="EB112" t="s">
        <v>15789</v>
      </c>
      <c r="EC112" t="s">
        <v>15790</v>
      </c>
      <c r="ED112" t="s">
        <v>15791</v>
      </c>
      <c r="EE112" t="s">
        <v>12397</v>
      </c>
      <c r="EG112" t="s">
        <v>12397</v>
      </c>
    </row>
    <row r="113" spans="1:167" x14ac:dyDescent="0.25">
      <c r="A113" t="s">
        <v>72</v>
      </c>
      <c r="B113" t="s">
        <v>12247</v>
      </c>
      <c r="C113">
        <v>0</v>
      </c>
      <c r="D113">
        <v>5</v>
      </c>
      <c r="E113" t="s">
        <v>72</v>
      </c>
      <c r="F113" t="s">
        <v>14601</v>
      </c>
      <c r="G113">
        <v>0</v>
      </c>
      <c r="H113">
        <v>2</v>
      </c>
      <c r="I113" t="s">
        <v>12249</v>
      </c>
      <c r="J113">
        <v>1</v>
      </c>
      <c r="K113" t="s">
        <v>72</v>
      </c>
      <c r="L113" t="s">
        <v>14601</v>
      </c>
      <c r="M113">
        <v>0</v>
      </c>
      <c r="N113" t="s">
        <v>72</v>
      </c>
      <c r="O113" t="s">
        <v>14601</v>
      </c>
      <c r="P113">
        <v>0</v>
      </c>
      <c r="Q113" t="s">
        <v>72</v>
      </c>
      <c r="R113" t="s">
        <v>14601</v>
      </c>
      <c r="S113">
        <v>0</v>
      </c>
      <c r="T113" t="s">
        <v>72</v>
      </c>
      <c r="U113" t="s">
        <v>14601</v>
      </c>
      <c r="V113" t="s">
        <v>72</v>
      </c>
      <c r="X113" t="s">
        <v>14602</v>
      </c>
      <c r="Y113" t="s">
        <v>1540</v>
      </c>
      <c r="Z113" t="s">
        <v>14603</v>
      </c>
      <c r="AB113" t="s">
        <v>72</v>
      </c>
      <c r="AE113" t="s">
        <v>72</v>
      </c>
      <c r="AG113">
        <v>2</v>
      </c>
      <c r="AH113">
        <v>5</v>
      </c>
      <c r="AI113">
        <v>2</v>
      </c>
      <c r="AJ113">
        <v>5</v>
      </c>
      <c r="AK113">
        <v>9746117</v>
      </c>
      <c r="AL113">
        <v>13</v>
      </c>
      <c r="AM113">
        <v>2019</v>
      </c>
      <c r="AN113">
        <v>25095</v>
      </c>
      <c r="AO113">
        <v>2019</v>
      </c>
      <c r="AP113" t="s">
        <v>12277</v>
      </c>
      <c r="AQ113" t="s">
        <v>12278</v>
      </c>
      <c r="AR113" t="s">
        <v>14604</v>
      </c>
      <c r="AS113" t="s">
        <v>1540</v>
      </c>
      <c r="AT113" t="s">
        <v>1540</v>
      </c>
      <c r="AU113" t="s">
        <v>14601</v>
      </c>
      <c r="AV113" t="s">
        <v>14601</v>
      </c>
      <c r="AW113">
        <v>340</v>
      </c>
      <c r="AX113">
        <v>340</v>
      </c>
      <c r="AY113">
        <v>340</v>
      </c>
      <c r="AZ113" t="s">
        <v>1540</v>
      </c>
      <c r="BA113" t="s">
        <v>14601</v>
      </c>
      <c r="BB113">
        <v>23424841</v>
      </c>
      <c r="BC113">
        <v>23424841</v>
      </c>
      <c r="BD113" t="s">
        <v>12254</v>
      </c>
      <c r="BE113" t="s">
        <v>14601</v>
      </c>
      <c r="BG113" t="s">
        <v>14601</v>
      </c>
      <c r="BH113" t="s">
        <v>14601</v>
      </c>
      <c r="BI113" t="s">
        <v>14601</v>
      </c>
      <c r="BJ113" t="s">
        <v>14601</v>
      </c>
      <c r="BK113" t="s">
        <v>14601</v>
      </c>
      <c r="BL113" t="s">
        <v>14601</v>
      </c>
      <c r="BM113" t="s">
        <v>14601</v>
      </c>
      <c r="BN113" t="s">
        <v>14601</v>
      </c>
      <c r="BO113" t="s">
        <v>14601</v>
      </c>
      <c r="BP113" t="s">
        <v>14601</v>
      </c>
      <c r="BQ113" t="s">
        <v>14601</v>
      </c>
      <c r="BR113" t="s">
        <v>14601</v>
      </c>
      <c r="BS113" t="s">
        <v>14601</v>
      </c>
      <c r="BT113" t="s">
        <v>14601</v>
      </c>
      <c r="BU113" t="s">
        <v>14601</v>
      </c>
      <c r="BV113" t="s">
        <v>14601</v>
      </c>
      <c r="BW113" t="s">
        <v>14601</v>
      </c>
      <c r="BX113" t="s">
        <v>14601</v>
      </c>
      <c r="BY113" t="s">
        <v>14601</v>
      </c>
      <c r="BZ113" t="s">
        <v>14601</v>
      </c>
      <c r="CA113" t="s">
        <v>14601</v>
      </c>
      <c r="CB113" t="s">
        <v>14601</v>
      </c>
      <c r="CC113" t="s">
        <v>14601</v>
      </c>
      <c r="CD113" t="s">
        <v>14601</v>
      </c>
      <c r="CE113" t="s">
        <v>14601</v>
      </c>
      <c r="CF113" t="s">
        <v>14601</v>
      </c>
      <c r="CG113" t="s">
        <v>14601</v>
      </c>
      <c r="CH113" t="s">
        <v>14601</v>
      </c>
      <c r="CI113" t="s">
        <v>14601</v>
      </c>
      <c r="CJ113" t="s">
        <v>14601</v>
      </c>
      <c r="CK113" t="s">
        <v>14601</v>
      </c>
      <c r="CL113" t="s">
        <v>14601</v>
      </c>
      <c r="CM113">
        <v>-99</v>
      </c>
      <c r="CN113">
        <v>-99</v>
      </c>
      <c r="CO113" t="s">
        <v>12402</v>
      </c>
      <c r="CP113" t="s">
        <v>12403</v>
      </c>
      <c r="CQ113" t="s">
        <v>12829</v>
      </c>
      <c r="CR113" t="s">
        <v>12405</v>
      </c>
      <c r="CS113">
        <v>8</v>
      </c>
      <c r="CT113">
        <v>8</v>
      </c>
      <c r="CU113">
        <v>5</v>
      </c>
      <c r="CV113">
        <v>-99</v>
      </c>
      <c r="CW113">
        <v>1</v>
      </c>
      <c r="CX113">
        <v>0</v>
      </c>
      <c r="CY113">
        <v>4.5</v>
      </c>
      <c r="CZ113">
        <v>9.5</v>
      </c>
      <c r="DA113">
        <v>-86.887603999999996</v>
      </c>
      <c r="DB113">
        <v>14.794801</v>
      </c>
      <c r="DC113">
        <v>1159320827</v>
      </c>
      <c r="DD113" t="s">
        <v>14605</v>
      </c>
      <c r="DE113" t="s">
        <v>14606</v>
      </c>
      <c r="DF113" t="s">
        <v>14607</v>
      </c>
      <c r="DG113" t="s">
        <v>72</v>
      </c>
      <c r="DH113" t="s">
        <v>72</v>
      </c>
      <c r="DI113" t="s">
        <v>72</v>
      </c>
      <c r="DJ113" t="s">
        <v>14606</v>
      </c>
      <c r="DK113" t="s">
        <v>72</v>
      </c>
      <c r="DL113" t="s">
        <v>14608</v>
      </c>
      <c r="DM113" t="s">
        <v>14609</v>
      </c>
      <c r="DN113" t="s">
        <v>14610</v>
      </c>
      <c r="DO113" t="s">
        <v>72</v>
      </c>
      <c r="DP113" t="s">
        <v>72</v>
      </c>
      <c r="DQ113" t="s">
        <v>72</v>
      </c>
      <c r="DR113" t="s">
        <v>14611</v>
      </c>
      <c r="DS113" t="s">
        <v>14612</v>
      </c>
      <c r="DT113" t="s">
        <v>72</v>
      </c>
      <c r="DU113" t="s">
        <v>72</v>
      </c>
      <c r="DV113" t="s">
        <v>72</v>
      </c>
      <c r="DW113" t="s">
        <v>14613</v>
      </c>
      <c r="DX113" t="s">
        <v>72</v>
      </c>
      <c r="DY113" t="s">
        <v>72</v>
      </c>
      <c r="DZ113" t="s">
        <v>14613</v>
      </c>
      <c r="EA113" t="s">
        <v>14614</v>
      </c>
      <c r="EB113" t="s">
        <v>72</v>
      </c>
      <c r="EC113" t="s">
        <v>14615</v>
      </c>
      <c r="ED113" t="s">
        <v>14616</v>
      </c>
      <c r="EE113" t="s">
        <v>12247</v>
      </c>
      <c r="EG113" t="s">
        <v>12247</v>
      </c>
    </row>
    <row r="114" spans="1:167" x14ac:dyDescent="0.25">
      <c r="A114" t="s">
        <v>1216</v>
      </c>
      <c r="B114" t="s">
        <v>12247</v>
      </c>
      <c r="C114">
        <v>0</v>
      </c>
      <c r="D114">
        <v>4</v>
      </c>
      <c r="E114" t="s">
        <v>1205</v>
      </c>
      <c r="F114" t="s">
        <v>13645</v>
      </c>
      <c r="G114">
        <v>1</v>
      </c>
      <c r="H114">
        <v>2</v>
      </c>
      <c r="I114" t="s">
        <v>12507</v>
      </c>
      <c r="J114">
        <v>1</v>
      </c>
      <c r="K114" t="s">
        <v>15792</v>
      </c>
      <c r="L114" t="s">
        <v>15793</v>
      </c>
      <c r="M114">
        <v>0</v>
      </c>
      <c r="N114" t="s">
        <v>15792</v>
      </c>
      <c r="O114" t="s">
        <v>15793</v>
      </c>
      <c r="P114">
        <v>0</v>
      </c>
      <c r="Q114" t="s">
        <v>15792</v>
      </c>
      <c r="R114" t="s">
        <v>15793</v>
      </c>
      <c r="S114">
        <v>0</v>
      </c>
      <c r="T114" t="s">
        <v>1216</v>
      </c>
      <c r="U114" t="s">
        <v>15793</v>
      </c>
      <c r="V114" t="s">
        <v>1216</v>
      </c>
      <c r="X114" t="s">
        <v>15794</v>
      </c>
      <c r="Y114" t="s">
        <v>1536</v>
      </c>
      <c r="Z114" t="s">
        <v>15795</v>
      </c>
      <c r="AB114" t="s">
        <v>1216</v>
      </c>
      <c r="AC114" t="s">
        <v>15796</v>
      </c>
      <c r="AD114" t="s">
        <v>1205</v>
      </c>
      <c r="AE114" t="s">
        <v>15797</v>
      </c>
      <c r="AG114">
        <v>4</v>
      </c>
      <c r="AH114">
        <v>4</v>
      </c>
      <c r="AI114">
        <v>4</v>
      </c>
      <c r="AJ114">
        <v>3</v>
      </c>
      <c r="AK114">
        <v>7507400</v>
      </c>
      <c r="AL114">
        <v>13</v>
      </c>
      <c r="AM114">
        <v>2019</v>
      </c>
      <c r="AN114">
        <v>365711</v>
      </c>
      <c r="AO114">
        <v>2019</v>
      </c>
      <c r="AP114" t="s">
        <v>12277</v>
      </c>
      <c r="AQ114" t="s">
        <v>12335</v>
      </c>
      <c r="AR114" t="s">
        <v>1536</v>
      </c>
      <c r="AS114" t="s">
        <v>1536</v>
      </c>
      <c r="AT114" t="s">
        <v>1536</v>
      </c>
      <c r="AU114" t="s">
        <v>15793</v>
      </c>
      <c r="AV114" t="s">
        <v>15793</v>
      </c>
      <c r="AW114">
        <v>344</v>
      </c>
      <c r="AX114">
        <v>344</v>
      </c>
      <c r="AY114">
        <v>344</v>
      </c>
      <c r="AZ114" t="s">
        <v>1536</v>
      </c>
      <c r="BA114" t="s">
        <v>15793</v>
      </c>
      <c r="BB114">
        <v>24865698</v>
      </c>
      <c r="BC114">
        <v>24865698</v>
      </c>
      <c r="BD114" t="s">
        <v>12254</v>
      </c>
      <c r="BE114" t="s">
        <v>15793</v>
      </c>
      <c r="BG114" t="s">
        <v>15793</v>
      </c>
      <c r="BH114" t="s">
        <v>15793</v>
      </c>
      <c r="BI114" t="s">
        <v>15793</v>
      </c>
      <c r="BJ114" t="s">
        <v>15793</v>
      </c>
      <c r="BK114" t="s">
        <v>15793</v>
      </c>
      <c r="BL114" t="s">
        <v>15793</v>
      </c>
      <c r="BM114" t="s">
        <v>15793</v>
      </c>
      <c r="BN114" t="s">
        <v>15793</v>
      </c>
      <c r="BO114" t="s">
        <v>15793</v>
      </c>
      <c r="BP114" t="s">
        <v>15793</v>
      </c>
      <c r="BQ114" t="s">
        <v>15793</v>
      </c>
      <c r="BR114" t="s">
        <v>15793</v>
      </c>
      <c r="BS114" t="s">
        <v>15793</v>
      </c>
      <c r="BT114" t="s">
        <v>15793</v>
      </c>
      <c r="BU114" t="s">
        <v>15793</v>
      </c>
      <c r="BV114" t="s">
        <v>15793</v>
      </c>
      <c r="BW114" t="s">
        <v>15793</v>
      </c>
      <c r="BX114" t="s">
        <v>15793</v>
      </c>
      <c r="BY114" t="s">
        <v>15793</v>
      </c>
      <c r="BZ114" t="s">
        <v>15793</v>
      </c>
      <c r="CA114" t="s">
        <v>15793</v>
      </c>
      <c r="CB114" t="s">
        <v>15793</v>
      </c>
      <c r="CC114" t="s">
        <v>15793</v>
      </c>
      <c r="CD114" t="s">
        <v>15793</v>
      </c>
      <c r="CE114" t="s">
        <v>15793</v>
      </c>
      <c r="CF114" t="s">
        <v>15793</v>
      </c>
      <c r="CG114" t="s">
        <v>15793</v>
      </c>
      <c r="CH114" t="s">
        <v>15793</v>
      </c>
      <c r="CI114" t="s">
        <v>15793</v>
      </c>
      <c r="CJ114" t="s">
        <v>15793</v>
      </c>
      <c r="CK114" t="s">
        <v>15793</v>
      </c>
      <c r="CL114" t="s">
        <v>15793</v>
      </c>
      <c r="CM114">
        <v>-99</v>
      </c>
      <c r="CN114">
        <v>-99</v>
      </c>
      <c r="CO114" t="s">
        <v>12255</v>
      </c>
      <c r="CP114" t="s">
        <v>12255</v>
      </c>
      <c r="CQ114" t="s">
        <v>13649</v>
      </c>
      <c r="CR114" t="s">
        <v>12539</v>
      </c>
      <c r="CS114">
        <v>9</v>
      </c>
      <c r="CT114">
        <v>9</v>
      </c>
      <c r="CU114">
        <v>4</v>
      </c>
      <c r="CV114">
        <v>-99</v>
      </c>
      <c r="CW114">
        <v>-99</v>
      </c>
      <c r="CX114">
        <v>0</v>
      </c>
      <c r="CY114">
        <v>4</v>
      </c>
      <c r="CZ114">
        <v>9</v>
      </c>
      <c r="DA114">
        <v>114.097769</v>
      </c>
      <c r="DB114">
        <v>22.448829</v>
      </c>
      <c r="DC114">
        <v>1159320473</v>
      </c>
      <c r="DD114" t="s">
        <v>15798</v>
      </c>
      <c r="DE114" t="s">
        <v>15799</v>
      </c>
      <c r="DF114" t="s">
        <v>15800</v>
      </c>
      <c r="DG114" t="s">
        <v>15801</v>
      </c>
      <c r="DH114" t="s">
        <v>1216</v>
      </c>
      <c r="DI114" t="s">
        <v>1216</v>
      </c>
      <c r="DJ114" t="s">
        <v>15802</v>
      </c>
      <c r="DK114" t="s">
        <v>1216</v>
      </c>
      <c r="DL114" t="s">
        <v>15803</v>
      </c>
      <c r="DM114" t="s">
        <v>15804</v>
      </c>
      <c r="DN114" t="s">
        <v>15805</v>
      </c>
      <c r="DO114" t="s">
        <v>15801</v>
      </c>
      <c r="DP114" t="s">
        <v>1216</v>
      </c>
      <c r="DQ114" t="s">
        <v>1216</v>
      </c>
      <c r="DR114" t="s">
        <v>15806</v>
      </c>
      <c r="DS114" t="s">
        <v>15807</v>
      </c>
      <c r="DT114" t="s">
        <v>15801</v>
      </c>
      <c r="DU114" t="s">
        <v>15801</v>
      </c>
      <c r="DV114" t="s">
        <v>1216</v>
      </c>
      <c r="DW114" t="s">
        <v>15808</v>
      </c>
      <c r="DX114" t="s">
        <v>15801</v>
      </c>
      <c r="DY114" t="s">
        <v>1216</v>
      </c>
      <c r="DZ114" t="s">
        <v>15808</v>
      </c>
      <c r="EA114" t="s">
        <v>15809</v>
      </c>
      <c r="EB114" t="s">
        <v>15810</v>
      </c>
      <c r="EC114" t="s">
        <v>15806</v>
      </c>
      <c r="ED114" t="s">
        <v>15806</v>
      </c>
      <c r="EE114" t="s">
        <v>12397</v>
      </c>
      <c r="EG114" t="s">
        <v>12397</v>
      </c>
      <c r="EL114" t="s">
        <v>15083</v>
      </c>
    </row>
    <row r="115" spans="1:167" x14ac:dyDescent="0.25">
      <c r="A115" t="s">
        <v>73</v>
      </c>
      <c r="B115" t="s">
        <v>12247</v>
      </c>
      <c r="C115">
        <v>0</v>
      </c>
      <c r="D115">
        <v>5</v>
      </c>
      <c r="E115" t="s">
        <v>73</v>
      </c>
      <c r="F115" t="s">
        <v>14617</v>
      </c>
      <c r="G115">
        <v>0</v>
      </c>
      <c r="H115">
        <v>2</v>
      </c>
      <c r="I115" t="s">
        <v>12249</v>
      </c>
      <c r="J115">
        <v>1</v>
      </c>
      <c r="K115" t="s">
        <v>73</v>
      </c>
      <c r="L115" t="s">
        <v>14617</v>
      </c>
      <c r="M115">
        <v>0</v>
      </c>
      <c r="N115" t="s">
        <v>73</v>
      </c>
      <c r="O115" t="s">
        <v>14617</v>
      </c>
      <c r="P115">
        <v>0</v>
      </c>
      <c r="Q115" t="s">
        <v>73</v>
      </c>
      <c r="R115" t="s">
        <v>14617</v>
      </c>
      <c r="S115">
        <v>0</v>
      </c>
      <c r="T115" t="s">
        <v>73</v>
      </c>
      <c r="U115" t="s">
        <v>14617</v>
      </c>
      <c r="V115" t="s">
        <v>73</v>
      </c>
      <c r="X115" t="s">
        <v>14618</v>
      </c>
      <c r="Y115" t="s">
        <v>1550</v>
      </c>
      <c r="Z115" t="s">
        <v>14619</v>
      </c>
      <c r="AB115" t="s">
        <v>73</v>
      </c>
      <c r="AE115" t="s">
        <v>73</v>
      </c>
      <c r="AG115">
        <v>4</v>
      </c>
      <c r="AH115">
        <v>6</v>
      </c>
      <c r="AI115">
        <v>1</v>
      </c>
      <c r="AJ115">
        <v>5</v>
      </c>
      <c r="AK115">
        <v>9769949</v>
      </c>
      <c r="AL115">
        <v>13</v>
      </c>
      <c r="AM115">
        <v>2019</v>
      </c>
      <c r="AN115">
        <v>163469</v>
      </c>
      <c r="AO115">
        <v>2019</v>
      </c>
      <c r="AP115" t="s">
        <v>12334</v>
      </c>
      <c r="AQ115" t="s">
        <v>12513</v>
      </c>
      <c r="AR115" t="s">
        <v>1550</v>
      </c>
      <c r="AS115" t="s">
        <v>1550</v>
      </c>
      <c r="AT115" t="s">
        <v>1550</v>
      </c>
      <c r="AU115" t="s">
        <v>14617</v>
      </c>
      <c r="AV115" t="s">
        <v>14617</v>
      </c>
      <c r="AW115">
        <v>348</v>
      </c>
      <c r="AX115">
        <v>348</v>
      </c>
      <c r="AY115">
        <v>348</v>
      </c>
      <c r="AZ115" t="s">
        <v>1550</v>
      </c>
      <c r="BA115" t="s">
        <v>14617</v>
      </c>
      <c r="BB115">
        <v>23424844</v>
      </c>
      <c r="BC115">
        <v>23424844</v>
      </c>
      <c r="BD115" t="s">
        <v>12254</v>
      </c>
      <c r="BE115" t="s">
        <v>14617</v>
      </c>
      <c r="BG115" t="s">
        <v>14617</v>
      </c>
      <c r="BH115" t="s">
        <v>14617</v>
      </c>
      <c r="BI115" t="s">
        <v>14617</v>
      </c>
      <c r="BJ115" t="s">
        <v>14617</v>
      </c>
      <c r="BK115" t="s">
        <v>14617</v>
      </c>
      <c r="BL115" t="s">
        <v>14617</v>
      </c>
      <c r="BM115" t="s">
        <v>14617</v>
      </c>
      <c r="BN115" t="s">
        <v>14617</v>
      </c>
      <c r="BO115" t="s">
        <v>14617</v>
      </c>
      <c r="BP115" t="s">
        <v>14617</v>
      </c>
      <c r="BQ115" t="s">
        <v>14617</v>
      </c>
      <c r="BR115" t="s">
        <v>14617</v>
      </c>
      <c r="BS115" t="s">
        <v>14617</v>
      </c>
      <c r="BT115" t="s">
        <v>14617</v>
      </c>
      <c r="BU115" t="s">
        <v>14617</v>
      </c>
      <c r="BV115" t="s">
        <v>14617</v>
      </c>
      <c r="BW115" t="s">
        <v>14617</v>
      </c>
      <c r="BX115" t="s">
        <v>14617</v>
      </c>
      <c r="BY115" t="s">
        <v>14617</v>
      </c>
      <c r="BZ115" t="s">
        <v>14617</v>
      </c>
      <c r="CA115" t="s">
        <v>14617</v>
      </c>
      <c r="CB115" t="s">
        <v>14617</v>
      </c>
      <c r="CC115" t="s">
        <v>14617</v>
      </c>
      <c r="CD115" t="s">
        <v>14617</v>
      </c>
      <c r="CE115" t="s">
        <v>14617</v>
      </c>
      <c r="CF115" t="s">
        <v>14617</v>
      </c>
      <c r="CG115" t="s">
        <v>14617</v>
      </c>
      <c r="CH115" t="s">
        <v>14617</v>
      </c>
      <c r="CI115" t="s">
        <v>14617</v>
      </c>
      <c r="CJ115" t="s">
        <v>14617</v>
      </c>
      <c r="CK115" t="s">
        <v>14617</v>
      </c>
      <c r="CL115" t="s">
        <v>14617</v>
      </c>
      <c r="CM115">
        <v>-99</v>
      </c>
      <c r="CN115">
        <v>-99</v>
      </c>
      <c r="CO115" t="s">
        <v>12279</v>
      </c>
      <c r="CP115" t="s">
        <v>12279</v>
      </c>
      <c r="CQ115" t="s">
        <v>12779</v>
      </c>
      <c r="CR115" t="s">
        <v>12281</v>
      </c>
      <c r="CS115">
        <v>7</v>
      </c>
      <c r="CT115">
        <v>7</v>
      </c>
      <c r="CU115">
        <v>4</v>
      </c>
      <c r="CV115">
        <v>-99</v>
      </c>
      <c r="CW115">
        <v>1</v>
      </c>
      <c r="CX115">
        <v>0</v>
      </c>
      <c r="CY115">
        <v>4</v>
      </c>
      <c r="CZ115">
        <v>9</v>
      </c>
      <c r="DA115">
        <v>19.447866999999999</v>
      </c>
      <c r="DB115">
        <v>47.086841</v>
      </c>
      <c r="DC115">
        <v>1159320841</v>
      </c>
      <c r="DD115" t="s">
        <v>14620</v>
      </c>
      <c r="DE115" t="s">
        <v>14621</v>
      </c>
      <c r="DF115" t="s">
        <v>14622</v>
      </c>
      <c r="DG115" t="s">
        <v>14623</v>
      </c>
      <c r="DH115" t="s">
        <v>73</v>
      </c>
      <c r="DI115" t="s">
        <v>14624</v>
      </c>
      <c r="DJ115" t="s">
        <v>14625</v>
      </c>
      <c r="DK115" t="s">
        <v>14626</v>
      </c>
      <c r="DL115" t="s">
        <v>14627</v>
      </c>
      <c r="DM115" t="s">
        <v>14628</v>
      </c>
      <c r="DN115" t="s">
        <v>14629</v>
      </c>
      <c r="DO115" t="s">
        <v>14630</v>
      </c>
      <c r="DP115" t="s">
        <v>14631</v>
      </c>
      <c r="DQ115" t="s">
        <v>14632</v>
      </c>
      <c r="DR115" t="s">
        <v>14633</v>
      </c>
      <c r="DS115" t="s">
        <v>14634</v>
      </c>
      <c r="DT115" t="s">
        <v>14635</v>
      </c>
      <c r="DU115" t="s">
        <v>14636</v>
      </c>
      <c r="DV115" t="s">
        <v>14637</v>
      </c>
      <c r="DW115" t="s">
        <v>14638</v>
      </c>
      <c r="DX115" t="s">
        <v>14639</v>
      </c>
      <c r="DY115" t="s">
        <v>14640</v>
      </c>
      <c r="DZ115" t="s">
        <v>14641</v>
      </c>
      <c r="EA115" t="s">
        <v>14642</v>
      </c>
      <c r="EB115" t="s">
        <v>73</v>
      </c>
      <c r="EC115" t="s">
        <v>14643</v>
      </c>
      <c r="ED115" t="s">
        <v>14643</v>
      </c>
      <c r="EE115" t="s">
        <v>12247</v>
      </c>
      <c r="EG115" t="s">
        <v>12247</v>
      </c>
    </row>
    <row r="116" spans="1:167" x14ac:dyDescent="0.25">
      <c r="A116" t="s">
        <v>74</v>
      </c>
      <c r="B116" t="s">
        <v>12247</v>
      </c>
      <c r="C116">
        <v>0</v>
      </c>
      <c r="D116">
        <v>3</v>
      </c>
      <c r="E116" t="s">
        <v>74</v>
      </c>
      <c r="F116" t="s">
        <v>14644</v>
      </c>
      <c r="G116">
        <v>0</v>
      </c>
      <c r="H116">
        <v>2</v>
      </c>
      <c r="I116" t="s">
        <v>12249</v>
      </c>
      <c r="J116">
        <v>1</v>
      </c>
      <c r="K116" t="s">
        <v>74</v>
      </c>
      <c r="L116" t="s">
        <v>14644</v>
      </c>
      <c r="M116">
        <v>0</v>
      </c>
      <c r="N116" t="s">
        <v>74</v>
      </c>
      <c r="O116" t="s">
        <v>14644</v>
      </c>
      <c r="P116">
        <v>0</v>
      </c>
      <c r="Q116" t="s">
        <v>74</v>
      </c>
      <c r="R116" t="s">
        <v>14644</v>
      </c>
      <c r="S116">
        <v>0</v>
      </c>
      <c r="T116" t="s">
        <v>74</v>
      </c>
      <c r="U116" t="s">
        <v>14644</v>
      </c>
      <c r="V116" t="s">
        <v>74</v>
      </c>
      <c r="X116" t="s">
        <v>74</v>
      </c>
      <c r="Y116" t="s">
        <v>1575</v>
      </c>
      <c r="Z116" t="s">
        <v>14645</v>
      </c>
      <c r="AB116" t="s">
        <v>74</v>
      </c>
      <c r="AE116" t="s">
        <v>74</v>
      </c>
      <c r="AG116">
        <v>1</v>
      </c>
      <c r="AH116">
        <v>4</v>
      </c>
      <c r="AI116">
        <v>4</v>
      </c>
      <c r="AJ116">
        <v>9</v>
      </c>
      <c r="AK116">
        <v>361313</v>
      </c>
      <c r="AL116">
        <v>10</v>
      </c>
      <c r="AM116">
        <v>2019</v>
      </c>
      <c r="AN116">
        <v>24188</v>
      </c>
      <c r="AO116">
        <v>2019</v>
      </c>
      <c r="AP116" t="s">
        <v>12334</v>
      </c>
      <c r="AQ116" t="s">
        <v>12513</v>
      </c>
      <c r="AR116" t="s">
        <v>2156</v>
      </c>
      <c r="AS116" t="s">
        <v>1575</v>
      </c>
      <c r="AT116" t="s">
        <v>1575</v>
      </c>
      <c r="AU116" t="s">
        <v>14644</v>
      </c>
      <c r="AV116" t="s">
        <v>14644</v>
      </c>
      <c r="AW116">
        <v>352</v>
      </c>
      <c r="AX116">
        <v>352</v>
      </c>
      <c r="AY116">
        <v>352</v>
      </c>
      <c r="AZ116" t="s">
        <v>1575</v>
      </c>
      <c r="BA116" t="s">
        <v>14644</v>
      </c>
      <c r="BB116">
        <v>23424845</v>
      </c>
      <c r="BC116">
        <v>23424845</v>
      </c>
      <c r="BD116" t="s">
        <v>12254</v>
      </c>
      <c r="BE116" t="s">
        <v>14644</v>
      </c>
      <c r="BG116" t="s">
        <v>14644</v>
      </c>
      <c r="BH116" t="s">
        <v>14644</v>
      </c>
      <c r="BI116" t="s">
        <v>14644</v>
      </c>
      <c r="BJ116" t="s">
        <v>14644</v>
      </c>
      <c r="BK116" t="s">
        <v>14644</v>
      </c>
      <c r="BL116" t="s">
        <v>14644</v>
      </c>
      <c r="BM116" t="s">
        <v>14644</v>
      </c>
      <c r="BN116" t="s">
        <v>14644</v>
      </c>
      <c r="BO116" t="s">
        <v>14644</v>
      </c>
      <c r="BP116" t="s">
        <v>14644</v>
      </c>
      <c r="BQ116" t="s">
        <v>14644</v>
      </c>
      <c r="BR116" t="s">
        <v>14644</v>
      </c>
      <c r="BS116" t="s">
        <v>14644</v>
      </c>
      <c r="BT116" t="s">
        <v>14644</v>
      </c>
      <c r="BU116" t="s">
        <v>14644</v>
      </c>
      <c r="BV116" t="s">
        <v>14644</v>
      </c>
      <c r="BW116" t="s">
        <v>14644</v>
      </c>
      <c r="BX116" t="s">
        <v>14644</v>
      </c>
      <c r="BY116" t="s">
        <v>14644</v>
      </c>
      <c r="BZ116" t="s">
        <v>14644</v>
      </c>
      <c r="CA116" t="s">
        <v>14644</v>
      </c>
      <c r="CB116" t="s">
        <v>14644</v>
      </c>
      <c r="CC116" t="s">
        <v>14644</v>
      </c>
      <c r="CD116" t="s">
        <v>14644</v>
      </c>
      <c r="CE116" t="s">
        <v>14644</v>
      </c>
      <c r="CF116" t="s">
        <v>14644</v>
      </c>
      <c r="CG116" t="s">
        <v>14644</v>
      </c>
      <c r="CH116" t="s">
        <v>14644</v>
      </c>
      <c r="CI116" t="s">
        <v>14644</v>
      </c>
      <c r="CJ116" t="s">
        <v>14644</v>
      </c>
      <c r="CK116" t="s">
        <v>14644</v>
      </c>
      <c r="CL116" t="s">
        <v>14644</v>
      </c>
      <c r="CM116">
        <v>-99</v>
      </c>
      <c r="CN116">
        <v>-99</v>
      </c>
      <c r="CO116" t="s">
        <v>12279</v>
      </c>
      <c r="CP116" t="s">
        <v>12279</v>
      </c>
      <c r="CQ116" t="s">
        <v>12515</v>
      </c>
      <c r="CR116" t="s">
        <v>12281</v>
      </c>
      <c r="CS116">
        <v>7</v>
      </c>
      <c r="CT116">
        <v>7</v>
      </c>
      <c r="CU116">
        <v>7</v>
      </c>
      <c r="CV116">
        <v>-99</v>
      </c>
      <c r="CW116">
        <v>1</v>
      </c>
      <c r="CX116">
        <v>0</v>
      </c>
      <c r="CY116">
        <v>2</v>
      </c>
      <c r="CZ116">
        <v>7</v>
      </c>
      <c r="DA116">
        <v>-18.673711000000001</v>
      </c>
      <c r="DB116">
        <v>64.779285999999999</v>
      </c>
      <c r="DC116">
        <v>1159320917</v>
      </c>
      <c r="DD116" t="s">
        <v>14646</v>
      </c>
      <c r="DE116" t="s">
        <v>14647</v>
      </c>
      <c r="DF116" t="s">
        <v>14648</v>
      </c>
      <c r="DG116" t="s">
        <v>14649</v>
      </c>
      <c r="DH116" t="s">
        <v>74</v>
      </c>
      <c r="DI116" t="s">
        <v>14650</v>
      </c>
      <c r="DJ116" t="s">
        <v>14651</v>
      </c>
      <c r="DK116" t="s">
        <v>14652</v>
      </c>
      <c r="DL116" t="s">
        <v>14653</v>
      </c>
      <c r="DM116" t="s">
        <v>14654</v>
      </c>
      <c r="DN116" t="s">
        <v>14655</v>
      </c>
      <c r="DO116" t="s">
        <v>14656</v>
      </c>
      <c r="DP116" t="s">
        <v>14650</v>
      </c>
      <c r="DQ116" t="s">
        <v>14657</v>
      </c>
      <c r="DR116" t="s">
        <v>14658</v>
      </c>
      <c r="DS116" t="s">
        <v>14659</v>
      </c>
      <c r="DT116" t="s">
        <v>14660</v>
      </c>
      <c r="DU116" t="s">
        <v>14650</v>
      </c>
      <c r="DV116" t="s">
        <v>14661</v>
      </c>
      <c r="DW116" t="s">
        <v>14662</v>
      </c>
      <c r="DX116" t="s">
        <v>14649</v>
      </c>
      <c r="DY116" t="s">
        <v>14663</v>
      </c>
      <c r="DZ116" t="s">
        <v>14664</v>
      </c>
      <c r="EA116" t="s">
        <v>14665</v>
      </c>
      <c r="EB116" t="s">
        <v>74</v>
      </c>
      <c r="EC116" t="s">
        <v>14666</v>
      </c>
      <c r="ED116" t="s">
        <v>14667</v>
      </c>
      <c r="EE116" t="s">
        <v>12247</v>
      </c>
      <c r="EG116" t="s">
        <v>12247</v>
      </c>
    </row>
    <row r="117" spans="1:167" x14ac:dyDescent="0.25">
      <c r="A117" t="s">
        <v>75</v>
      </c>
      <c r="B117" t="s">
        <v>12247</v>
      </c>
      <c r="C117">
        <v>0</v>
      </c>
      <c r="D117">
        <v>2</v>
      </c>
      <c r="E117" t="s">
        <v>75</v>
      </c>
      <c r="F117" t="s">
        <v>14668</v>
      </c>
      <c r="G117">
        <v>0</v>
      </c>
      <c r="H117">
        <v>2</v>
      </c>
      <c r="I117" t="s">
        <v>12249</v>
      </c>
      <c r="J117">
        <v>1</v>
      </c>
      <c r="K117" t="s">
        <v>75</v>
      </c>
      <c r="L117" t="s">
        <v>14668</v>
      </c>
      <c r="M117">
        <v>0</v>
      </c>
      <c r="N117" t="s">
        <v>75</v>
      </c>
      <c r="O117" t="s">
        <v>14668</v>
      </c>
      <c r="P117">
        <v>0</v>
      </c>
      <c r="Q117" t="s">
        <v>75</v>
      </c>
      <c r="R117" t="s">
        <v>14668</v>
      </c>
      <c r="S117">
        <v>0</v>
      </c>
      <c r="T117" t="s">
        <v>75</v>
      </c>
      <c r="U117" t="s">
        <v>14668</v>
      </c>
      <c r="V117" t="s">
        <v>75</v>
      </c>
      <c r="X117" t="s">
        <v>75</v>
      </c>
      <c r="Y117" t="s">
        <v>14668</v>
      </c>
      <c r="Z117" t="s">
        <v>14669</v>
      </c>
      <c r="AB117" t="s">
        <v>75</v>
      </c>
      <c r="AE117" t="s">
        <v>75</v>
      </c>
      <c r="AG117">
        <v>1</v>
      </c>
      <c r="AH117">
        <v>3</v>
      </c>
      <c r="AI117">
        <v>2</v>
      </c>
      <c r="AJ117">
        <v>2</v>
      </c>
      <c r="AK117">
        <v>1366417754</v>
      </c>
      <c r="AL117">
        <v>18</v>
      </c>
      <c r="AM117">
        <v>2019</v>
      </c>
      <c r="AN117">
        <v>2868929</v>
      </c>
      <c r="AO117">
        <v>2019</v>
      </c>
      <c r="AP117" t="s">
        <v>12973</v>
      </c>
      <c r="AQ117" t="s">
        <v>12278</v>
      </c>
      <c r="AR117" t="s">
        <v>1566</v>
      </c>
      <c r="AS117" t="s">
        <v>1566</v>
      </c>
      <c r="AT117" t="s">
        <v>1566</v>
      </c>
      <c r="AU117" t="s">
        <v>14668</v>
      </c>
      <c r="AV117" t="s">
        <v>14668</v>
      </c>
      <c r="AW117">
        <v>356</v>
      </c>
      <c r="AX117">
        <v>356</v>
      </c>
      <c r="AY117">
        <v>356</v>
      </c>
      <c r="AZ117" t="s">
        <v>1566</v>
      </c>
      <c r="BA117" t="s">
        <v>14668</v>
      </c>
      <c r="BB117">
        <v>23424848</v>
      </c>
      <c r="BC117">
        <v>23424848</v>
      </c>
      <c r="BD117" t="s">
        <v>12254</v>
      </c>
      <c r="BE117" t="s">
        <v>14668</v>
      </c>
      <c r="BG117" t="s">
        <v>14668</v>
      </c>
      <c r="BH117" t="s">
        <v>14668</v>
      </c>
      <c r="BI117" t="s">
        <v>14668</v>
      </c>
      <c r="BJ117" t="s">
        <v>14668</v>
      </c>
      <c r="BK117" t="s">
        <v>14668</v>
      </c>
      <c r="BL117" t="s">
        <v>14668</v>
      </c>
      <c r="BM117" t="s">
        <v>14668</v>
      </c>
      <c r="BN117" t="s">
        <v>14668</v>
      </c>
      <c r="BO117" t="s">
        <v>14668</v>
      </c>
      <c r="BP117" t="s">
        <v>14668</v>
      </c>
      <c r="BQ117" t="s">
        <v>14668</v>
      </c>
      <c r="BR117" t="s">
        <v>14668</v>
      </c>
      <c r="BS117" t="s">
        <v>14668</v>
      </c>
      <c r="BT117" t="s">
        <v>14668</v>
      </c>
      <c r="BU117" t="s">
        <v>14668</v>
      </c>
      <c r="BV117" t="s">
        <v>14668</v>
      </c>
      <c r="BW117" t="s">
        <v>14668</v>
      </c>
      <c r="BX117" t="s">
        <v>14668</v>
      </c>
      <c r="BY117" t="s">
        <v>14668</v>
      </c>
      <c r="BZ117" t="s">
        <v>14668</v>
      </c>
      <c r="CA117" t="s">
        <v>14668</v>
      </c>
      <c r="CB117" t="s">
        <v>14668</v>
      </c>
      <c r="CC117" t="s">
        <v>14668</v>
      </c>
      <c r="CD117" t="s">
        <v>14668</v>
      </c>
      <c r="CE117" t="s">
        <v>14668</v>
      </c>
      <c r="CF117" t="s">
        <v>14668</v>
      </c>
      <c r="CG117" t="s">
        <v>14668</v>
      </c>
      <c r="CH117" t="s">
        <v>14668</v>
      </c>
      <c r="CI117" t="s">
        <v>14668</v>
      </c>
      <c r="CJ117" t="s">
        <v>14668</v>
      </c>
      <c r="CK117" t="s">
        <v>14668</v>
      </c>
      <c r="CL117" t="s">
        <v>14668</v>
      </c>
      <c r="CM117">
        <v>-99</v>
      </c>
      <c r="CN117">
        <v>-99</v>
      </c>
      <c r="CO117" t="s">
        <v>12255</v>
      </c>
      <c r="CP117" t="s">
        <v>12255</v>
      </c>
      <c r="CQ117" t="s">
        <v>12256</v>
      </c>
      <c r="CR117" t="s">
        <v>12257</v>
      </c>
      <c r="CS117">
        <v>5</v>
      </c>
      <c r="CT117">
        <v>5</v>
      </c>
      <c r="CU117">
        <v>5</v>
      </c>
      <c r="CV117">
        <v>-99</v>
      </c>
      <c r="CW117">
        <v>1</v>
      </c>
      <c r="CX117">
        <v>0</v>
      </c>
      <c r="CY117">
        <v>1.7</v>
      </c>
      <c r="CZ117">
        <v>6.7</v>
      </c>
      <c r="DA117">
        <v>79.358104999999995</v>
      </c>
      <c r="DB117">
        <v>22.686851999999998</v>
      </c>
      <c r="DC117">
        <v>1159320847</v>
      </c>
      <c r="DD117" t="s">
        <v>14670</v>
      </c>
      <c r="DE117" t="s">
        <v>14671</v>
      </c>
      <c r="DF117" t="s">
        <v>14672</v>
      </c>
      <c r="DG117" t="s">
        <v>14673</v>
      </c>
      <c r="DH117" t="s">
        <v>75</v>
      </c>
      <c r="DI117" t="s">
        <v>75</v>
      </c>
      <c r="DJ117" t="s">
        <v>14674</v>
      </c>
      <c r="DK117" t="s">
        <v>14675</v>
      </c>
      <c r="DL117" t="s">
        <v>14676</v>
      </c>
      <c r="DM117" t="s">
        <v>14677</v>
      </c>
      <c r="DN117" t="s">
        <v>14678</v>
      </c>
      <c r="DO117" t="s">
        <v>75</v>
      </c>
      <c r="DP117" t="s">
        <v>75</v>
      </c>
      <c r="DQ117" t="s">
        <v>75</v>
      </c>
      <c r="DR117" t="s">
        <v>14679</v>
      </c>
      <c r="DS117" t="s">
        <v>14680</v>
      </c>
      <c r="DT117" t="s">
        <v>75</v>
      </c>
      <c r="DU117" t="s">
        <v>14681</v>
      </c>
      <c r="DV117" t="s">
        <v>14682</v>
      </c>
      <c r="DW117" t="s">
        <v>14683</v>
      </c>
      <c r="DX117" t="s">
        <v>14673</v>
      </c>
      <c r="DY117" t="s">
        <v>14684</v>
      </c>
      <c r="DZ117" t="s">
        <v>14685</v>
      </c>
      <c r="EA117" t="s">
        <v>14686</v>
      </c>
      <c r="EB117" t="s">
        <v>14687</v>
      </c>
      <c r="EC117" t="s">
        <v>14688</v>
      </c>
      <c r="ED117" t="s">
        <v>14688</v>
      </c>
      <c r="EE117" t="s">
        <v>12247</v>
      </c>
      <c r="EG117" t="s">
        <v>12247</v>
      </c>
    </row>
    <row r="118" spans="1:167" x14ac:dyDescent="0.25">
      <c r="A118" t="s">
        <v>15813</v>
      </c>
      <c r="B118" t="s">
        <v>12247</v>
      </c>
      <c r="C118">
        <v>5</v>
      </c>
      <c r="D118">
        <v>5</v>
      </c>
      <c r="E118" t="s">
        <v>8</v>
      </c>
      <c r="F118" t="s">
        <v>12600</v>
      </c>
      <c r="G118">
        <v>1</v>
      </c>
      <c r="H118">
        <v>2</v>
      </c>
      <c r="I118" t="s">
        <v>12480</v>
      </c>
      <c r="J118">
        <v>1</v>
      </c>
      <c r="K118" t="s">
        <v>15811</v>
      </c>
      <c r="L118" t="s">
        <v>15812</v>
      </c>
      <c r="M118">
        <v>0</v>
      </c>
      <c r="N118" t="s">
        <v>15811</v>
      </c>
      <c r="O118" t="s">
        <v>15812</v>
      </c>
      <c r="P118">
        <v>0</v>
      </c>
      <c r="Q118" t="s">
        <v>15811</v>
      </c>
      <c r="R118" t="s">
        <v>15812</v>
      </c>
      <c r="S118">
        <v>0</v>
      </c>
      <c r="T118" t="s">
        <v>15811</v>
      </c>
      <c r="U118" t="s">
        <v>15812</v>
      </c>
      <c r="V118" t="s">
        <v>15813</v>
      </c>
      <c r="X118" t="s">
        <v>15814</v>
      </c>
      <c r="Y118" t="s">
        <v>13432</v>
      </c>
      <c r="AC118" t="s">
        <v>12606</v>
      </c>
      <c r="AE118" t="s">
        <v>15811</v>
      </c>
      <c r="AG118">
        <v>1</v>
      </c>
      <c r="AH118">
        <v>2</v>
      </c>
      <c r="AI118">
        <v>2</v>
      </c>
      <c r="AJ118">
        <v>7</v>
      </c>
      <c r="AK118">
        <v>2387</v>
      </c>
      <c r="AL118">
        <v>4</v>
      </c>
      <c r="AM118">
        <v>2016</v>
      </c>
      <c r="AN118">
        <v>35</v>
      </c>
      <c r="AO118">
        <v>2016</v>
      </c>
      <c r="AP118" t="s">
        <v>12334</v>
      </c>
      <c r="AQ118" t="s">
        <v>12335</v>
      </c>
      <c r="AR118">
        <v>-99</v>
      </c>
      <c r="AS118">
        <v>-99</v>
      </c>
      <c r="AT118" t="s">
        <v>1279</v>
      </c>
      <c r="AU118">
        <v>-99</v>
      </c>
      <c r="AV118" t="s">
        <v>12607</v>
      </c>
      <c r="AW118">
        <v>-99</v>
      </c>
      <c r="AX118">
        <v>36</v>
      </c>
      <c r="AY118">
        <v>-99</v>
      </c>
      <c r="AZ118">
        <v>-99</v>
      </c>
      <c r="BA118">
        <v>-99</v>
      </c>
      <c r="BB118">
        <v>-90</v>
      </c>
      <c r="BC118">
        <v>23424869</v>
      </c>
      <c r="BD118" t="s">
        <v>15815</v>
      </c>
      <c r="BE118" t="s">
        <v>12607</v>
      </c>
      <c r="BF118">
        <v>1</v>
      </c>
      <c r="BG118" t="s">
        <v>15812</v>
      </c>
      <c r="BH118" t="s">
        <v>15812</v>
      </c>
      <c r="BI118" t="s">
        <v>15812</v>
      </c>
      <c r="BJ118" t="s">
        <v>15812</v>
      </c>
      <c r="BK118" t="s">
        <v>15812</v>
      </c>
      <c r="BL118" t="s">
        <v>15812</v>
      </c>
      <c r="BM118" t="s">
        <v>15812</v>
      </c>
      <c r="BN118" t="s">
        <v>15812</v>
      </c>
      <c r="BO118" t="s">
        <v>15812</v>
      </c>
      <c r="BP118" t="s">
        <v>15812</v>
      </c>
      <c r="BQ118" t="s">
        <v>15812</v>
      </c>
      <c r="BR118" t="s">
        <v>15812</v>
      </c>
      <c r="BS118" t="s">
        <v>15812</v>
      </c>
      <c r="BT118" t="s">
        <v>15812</v>
      </c>
      <c r="BU118" t="s">
        <v>15812</v>
      </c>
      <c r="BV118" t="s">
        <v>15812</v>
      </c>
      <c r="BW118" t="s">
        <v>15812</v>
      </c>
      <c r="BX118" t="s">
        <v>15812</v>
      </c>
      <c r="BY118" t="s">
        <v>15812</v>
      </c>
      <c r="BZ118" t="s">
        <v>15812</v>
      </c>
      <c r="CA118" t="s">
        <v>15812</v>
      </c>
      <c r="CB118" t="s">
        <v>15812</v>
      </c>
      <c r="CC118" t="s">
        <v>15812</v>
      </c>
      <c r="CD118" t="s">
        <v>15812</v>
      </c>
      <c r="CE118" t="s">
        <v>15812</v>
      </c>
      <c r="CF118" t="s">
        <v>15812</v>
      </c>
      <c r="CG118" t="s">
        <v>15812</v>
      </c>
      <c r="CH118" t="s">
        <v>15812</v>
      </c>
      <c r="CI118" t="s">
        <v>15812</v>
      </c>
      <c r="CJ118" t="s">
        <v>15812</v>
      </c>
      <c r="CK118" t="s">
        <v>15812</v>
      </c>
      <c r="CL118" t="s">
        <v>15812</v>
      </c>
      <c r="CM118">
        <v>-99</v>
      </c>
      <c r="CN118">
        <v>-99</v>
      </c>
      <c r="CO118" t="s">
        <v>12255</v>
      </c>
      <c r="CP118" t="s">
        <v>12306</v>
      </c>
      <c r="CQ118" t="s">
        <v>13437</v>
      </c>
      <c r="CR118" t="s">
        <v>12539</v>
      </c>
      <c r="CS118">
        <v>17</v>
      </c>
      <c r="CT118">
        <v>24</v>
      </c>
      <c r="CU118">
        <v>13</v>
      </c>
      <c r="CV118">
        <v>-99</v>
      </c>
      <c r="CW118">
        <v>-99</v>
      </c>
      <c r="CX118">
        <v>0</v>
      </c>
      <c r="CY118">
        <v>5</v>
      </c>
      <c r="CZ118">
        <v>9.5</v>
      </c>
      <c r="DA118">
        <v>105.67259</v>
      </c>
      <c r="DB118">
        <v>-10.490788999999999</v>
      </c>
      <c r="DC118">
        <v>1159320363</v>
      </c>
      <c r="DD118" t="s">
        <v>15816</v>
      </c>
      <c r="DE118" t="s">
        <v>15817</v>
      </c>
      <c r="DF118" t="s">
        <v>15818</v>
      </c>
      <c r="DG118" t="s">
        <v>15819</v>
      </c>
      <c r="DH118" t="s">
        <v>15820</v>
      </c>
      <c r="DI118" t="s">
        <v>15821</v>
      </c>
      <c r="DJ118" t="s">
        <v>15822</v>
      </c>
      <c r="DK118" t="s">
        <v>15823</v>
      </c>
      <c r="DL118" t="s">
        <v>15824</v>
      </c>
      <c r="DM118" t="s">
        <v>15825</v>
      </c>
      <c r="DN118" t="s">
        <v>15826</v>
      </c>
      <c r="DO118" t="s">
        <v>15827</v>
      </c>
      <c r="DP118" t="s">
        <v>15828</v>
      </c>
      <c r="DQ118" t="s">
        <v>15820</v>
      </c>
      <c r="DR118" t="s">
        <v>15829</v>
      </c>
      <c r="DS118" t="s">
        <v>15830</v>
      </c>
      <c r="DT118" t="s">
        <v>15831</v>
      </c>
      <c r="DU118" t="s">
        <v>15832</v>
      </c>
      <c r="DV118" t="s">
        <v>15833</v>
      </c>
      <c r="DW118" t="s">
        <v>15834</v>
      </c>
      <c r="DX118" t="s">
        <v>15835</v>
      </c>
      <c r="DY118" t="s">
        <v>15820</v>
      </c>
      <c r="DZ118" t="s">
        <v>15836</v>
      </c>
      <c r="EA118" t="s">
        <v>15837</v>
      </c>
      <c r="EB118" t="s">
        <v>15838</v>
      </c>
      <c r="EC118" t="s">
        <v>15839</v>
      </c>
      <c r="ED118" t="s">
        <v>15839</v>
      </c>
      <c r="EE118" t="s">
        <v>12505</v>
      </c>
      <c r="EF118">
        <v>1</v>
      </c>
      <c r="EG118" t="s">
        <v>12397</v>
      </c>
    </row>
    <row r="119" spans="1:167" x14ac:dyDescent="0.25">
      <c r="A119" t="s">
        <v>76</v>
      </c>
      <c r="B119" t="s">
        <v>12247</v>
      </c>
      <c r="C119">
        <v>0</v>
      </c>
      <c r="D119">
        <v>2</v>
      </c>
      <c r="E119" t="s">
        <v>76</v>
      </c>
      <c r="F119" t="s">
        <v>14689</v>
      </c>
      <c r="G119">
        <v>0</v>
      </c>
      <c r="H119">
        <v>2</v>
      </c>
      <c r="I119" t="s">
        <v>12249</v>
      </c>
      <c r="J119">
        <v>1</v>
      </c>
      <c r="K119" t="s">
        <v>76</v>
      </c>
      <c r="L119" t="s">
        <v>14689</v>
      </c>
      <c r="M119">
        <v>0</v>
      </c>
      <c r="N119" t="s">
        <v>76</v>
      </c>
      <c r="O119" t="s">
        <v>14689</v>
      </c>
      <c r="P119">
        <v>0</v>
      </c>
      <c r="Q119" t="s">
        <v>76</v>
      </c>
      <c r="R119" t="s">
        <v>14689</v>
      </c>
      <c r="S119">
        <v>0</v>
      </c>
      <c r="T119" t="s">
        <v>76</v>
      </c>
      <c r="U119" t="s">
        <v>14689</v>
      </c>
      <c r="V119" t="s">
        <v>76</v>
      </c>
      <c r="X119" t="s">
        <v>14690</v>
      </c>
      <c r="Y119" t="s">
        <v>14691</v>
      </c>
      <c r="Z119" t="s">
        <v>14692</v>
      </c>
      <c r="AB119" t="s">
        <v>76</v>
      </c>
      <c r="AE119" t="s">
        <v>76</v>
      </c>
      <c r="AG119">
        <v>6</v>
      </c>
      <c r="AH119">
        <v>6</v>
      </c>
      <c r="AI119">
        <v>6</v>
      </c>
      <c r="AJ119">
        <v>11</v>
      </c>
      <c r="AK119">
        <v>270625568</v>
      </c>
      <c r="AL119">
        <v>17</v>
      </c>
      <c r="AM119">
        <v>2019</v>
      </c>
      <c r="AN119">
        <v>1119190</v>
      </c>
      <c r="AO119">
        <v>2019</v>
      </c>
      <c r="AP119" t="s">
        <v>14693</v>
      </c>
      <c r="AQ119" t="s">
        <v>12278</v>
      </c>
      <c r="AR119" t="s">
        <v>1553</v>
      </c>
      <c r="AS119" t="s">
        <v>1553</v>
      </c>
      <c r="AT119" t="s">
        <v>1553</v>
      </c>
      <c r="AU119" t="s">
        <v>14689</v>
      </c>
      <c r="AV119" t="s">
        <v>14689</v>
      </c>
      <c r="AW119">
        <v>360</v>
      </c>
      <c r="AX119">
        <v>360</v>
      </c>
      <c r="AY119">
        <v>360</v>
      </c>
      <c r="AZ119" t="s">
        <v>1553</v>
      </c>
      <c r="BA119" t="s">
        <v>14689</v>
      </c>
      <c r="BB119">
        <v>23424846</v>
      </c>
      <c r="BC119">
        <v>23424846</v>
      </c>
      <c r="BD119" t="s">
        <v>12254</v>
      </c>
      <c r="BE119" t="s">
        <v>14689</v>
      </c>
      <c r="BG119" t="s">
        <v>14689</v>
      </c>
      <c r="BH119" t="s">
        <v>14689</v>
      </c>
      <c r="BI119" t="s">
        <v>14689</v>
      </c>
      <c r="BJ119" t="s">
        <v>14689</v>
      </c>
      <c r="BK119" t="s">
        <v>14689</v>
      </c>
      <c r="BL119" t="s">
        <v>14689</v>
      </c>
      <c r="BM119" t="s">
        <v>14689</v>
      </c>
      <c r="BN119" t="s">
        <v>14689</v>
      </c>
      <c r="BO119" t="s">
        <v>14689</v>
      </c>
      <c r="BP119" t="s">
        <v>14689</v>
      </c>
      <c r="BQ119" t="s">
        <v>14689</v>
      </c>
      <c r="BR119" t="s">
        <v>14689</v>
      </c>
      <c r="BS119" t="s">
        <v>14689</v>
      </c>
      <c r="BT119" t="s">
        <v>14689</v>
      </c>
      <c r="BU119" t="s">
        <v>14689</v>
      </c>
      <c r="BV119" t="s">
        <v>14689</v>
      </c>
      <c r="BW119" t="s">
        <v>14689</v>
      </c>
      <c r="BX119" t="s">
        <v>14689</v>
      </c>
      <c r="BY119" t="s">
        <v>14689</v>
      </c>
      <c r="BZ119" t="s">
        <v>14689</v>
      </c>
      <c r="CA119" t="s">
        <v>14689</v>
      </c>
      <c r="CB119" t="s">
        <v>14689</v>
      </c>
      <c r="CC119" t="s">
        <v>14689</v>
      </c>
      <c r="CD119" t="s">
        <v>14689</v>
      </c>
      <c r="CE119" t="s">
        <v>14689</v>
      </c>
      <c r="CF119" t="s">
        <v>14689</v>
      </c>
      <c r="CG119" t="s">
        <v>14689</v>
      </c>
      <c r="CH119" t="s">
        <v>14689</v>
      </c>
      <c r="CI119" t="s">
        <v>14689</v>
      </c>
      <c r="CJ119" t="s">
        <v>14689</v>
      </c>
      <c r="CK119" t="s">
        <v>14689</v>
      </c>
      <c r="CL119" t="s">
        <v>14689</v>
      </c>
      <c r="CM119">
        <v>-99</v>
      </c>
      <c r="CN119">
        <v>-99</v>
      </c>
      <c r="CO119" t="s">
        <v>12255</v>
      </c>
      <c r="CP119" t="s">
        <v>12255</v>
      </c>
      <c r="CQ119" t="s">
        <v>13026</v>
      </c>
      <c r="CR119" t="s">
        <v>12539</v>
      </c>
      <c r="CS119">
        <v>9</v>
      </c>
      <c r="CT119">
        <v>9</v>
      </c>
      <c r="CU119">
        <v>5</v>
      </c>
      <c r="CV119">
        <v>-99</v>
      </c>
      <c r="CW119">
        <v>1</v>
      </c>
      <c r="CX119">
        <v>0</v>
      </c>
      <c r="CY119">
        <v>1.7</v>
      </c>
      <c r="CZ119">
        <v>6.7</v>
      </c>
      <c r="DA119">
        <v>101.892949</v>
      </c>
      <c r="DB119">
        <v>-0.95440399999999903</v>
      </c>
      <c r="DC119">
        <v>1159320845</v>
      </c>
      <c r="DD119" t="s">
        <v>14694</v>
      </c>
      <c r="DE119" t="s">
        <v>14695</v>
      </c>
      <c r="DF119" t="s">
        <v>14696</v>
      </c>
      <c r="DG119" t="s">
        <v>14697</v>
      </c>
      <c r="DH119" t="s">
        <v>76</v>
      </c>
      <c r="DI119" t="s">
        <v>76</v>
      </c>
      <c r="DJ119" t="s">
        <v>14698</v>
      </c>
      <c r="DK119" t="s">
        <v>14699</v>
      </c>
      <c r="DL119" t="s">
        <v>14700</v>
      </c>
      <c r="DM119" t="s">
        <v>14701</v>
      </c>
      <c r="DN119" t="s">
        <v>14702</v>
      </c>
      <c r="DO119" t="s">
        <v>14703</v>
      </c>
      <c r="DP119" t="s">
        <v>76</v>
      </c>
      <c r="DQ119" t="s">
        <v>76</v>
      </c>
      <c r="DR119" t="s">
        <v>14704</v>
      </c>
      <c r="DS119" t="s">
        <v>14705</v>
      </c>
      <c r="DT119" t="s">
        <v>14706</v>
      </c>
      <c r="DU119" t="s">
        <v>14707</v>
      </c>
      <c r="DV119" t="s">
        <v>14708</v>
      </c>
      <c r="DW119" t="s">
        <v>14709</v>
      </c>
      <c r="DX119" t="s">
        <v>14697</v>
      </c>
      <c r="DY119" t="s">
        <v>14710</v>
      </c>
      <c r="DZ119" t="s">
        <v>14711</v>
      </c>
      <c r="EA119" t="s">
        <v>14712</v>
      </c>
      <c r="EB119" t="s">
        <v>76</v>
      </c>
      <c r="EC119" t="s">
        <v>14713</v>
      </c>
      <c r="ED119" t="s">
        <v>14714</v>
      </c>
      <c r="EE119" t="s">
        <v>12247</v>
      </c>
      <c r="EG119" t="s">
        <v>12247</v>
      </c>
    </row>
    <row r="120" spans="1:167" x14ac:dyDescent="0.25">
      <c r="A120" t="s">
        <v>77</v>
      </c>
      <c r="B120" t="s">
        <v>12247</v>
      </c>
      <c r="C120">
        <v>0</v>
      </c>
      <c r="D120">
        <v>2</v>
      </c>
      <c r="E120" t="s">
        <v>77</v>
      </c>
      <c r="F120" t="s">
        <v>14715</v>
      </c>
      <c r="G120">
        <v>0</v>
      </c>
      <c r="H120">
        <v>2</v>
      </c>
      <c r="I120" t="s">
        <v>12249</v>
      </c>
      <c r="J120">
        <v>1</v>
      </c>
      <c r="K120" t="s">
        <v>77</v>
      </c>
      <c r="L120" t="s">
        <v>14715</v>
      </c>
      <c r="M120">
        <v>0</v>
      </c>
      <c r="N120" t="s">
        <v>77</v>
      </c>
      <c r="O120" t="s">
        <v>14715</v>
      </c>
      <c r="P120">
        <v>0</v>
      </c>
      <c r="Q120" t="s">
        <v>77</v>
      </c>
      <c r="R120" t="s">
        <v>14715</v>
      </c>
      <c r="S120">
        <v>0</v>
      </c>
      <c r="T120" t="s">
        <v>77</v>
      </c>
      <c r="U120" t="s">
        <v>14715</v>
      </c>
      <c r="V120" t="s">
        <v>77</v>
      </c>
      <c r="X120" t="s">
        <v>77</v>
      </c>
      <c r="Y120" t="s">
        <v>14715</v>
      </c>
      <c r="Z120" t="s">
        <v>14716</v>
      </c>
      <c r="AB120" t="s">
        <v>77</v>
      </c>
      <c r="AE120" t="s">
        <v>14717</v>
      </c>
      <c r="AG120">
        <v>4</v>
      </c>
      <c r="AH120">
        <v>3</v>
      </c>
      <c r="AI120">
        <v>4</v>
      </c>
      <c r="AJ120">
        <v>13</v>
      </c>
      <c r="AK120">
        <v>82913906</v>
      </c>
      <c r="AL120">
        <v>16</v>
      </c>
      <c r="AM120">
        <v>2019</v>
      </c>
      <c r="AN120">
        <v>453996</v>
      </c>
      <c r="AO120">
        <v>2018</v>
      </c>
      <c r="AP120" t="s">
        <v>12435</v>
      </c>
      <c r="AQ120" t="s">
        <v>12305</v>
      </c>
      <c r="AR120" t="s">
        <v>1572</v>
      </c>
      <c r="AS120" t="s">
        <v>1572</v>
      </c>
      <c r="AT120" t="s">
        <v>1572</v>
      </c>
      <c r="AU120" t="s">
        <v>14715</v>
      </c>
      <c r="AV120" t="s">
        <v>14715</v>
      </c>
      <c r="AW120">
        <v>364</v>
      </c>
      <c r="AX120">
        <v>364</v>
      </c>
      <c r="AY120">
        <v>364</v>
      </c>
      <c r="AZ120" t="s">
        <v>1572</v>
      </c>
      <c r="BA120" t="s">
        <v>14715</v>
      </c>
      <c r="BB120">
        <v>23424851</v>
      </c>
      <c r="BC120">
        <v>23424851</v>
      </c>
      <c r="BD120" t="s">
        <v>12254</v>
      </c>
      <c r="BE120" t="s">
        <v>14715</v>
      </c>
      <c r="BG120" t="s">
        <v>14715</v>
      </c>
      <c r="BH120" t="s">
        <v>14715</v>
      </c>
      <c r="BI120" t="s">
        <v>14715</v>
      </c>
      <c r="BJ120" t="s">
        <v>14715</v>
      </c>
      <c r="BK120" t="s">
        <v>14715</v>
      </c>
      <c r="BL120" t="s">
        <v>14715</v>
      </c>
      <c r="BM120" t="s">
        <v>14715</v>
      </c>
      <c r="BN120" t="s">
        <v>14715</v>
      </c>
      <c r="BO120" t="s">
        <v>14715</v>
      </c>
      <c r="BP120" t="s">
        <v>14715</v>
      </c>
      <c r="BQ120" t="s">
        <v>14715</v>
      </c>
      <c r="BR120" t="s">
        <v>14715</v>
      </c>
      <c r="BS120" t="s">
        <v>14715</v>
      </c>
      <c r="BT120" t="s">
        <v>14715</v>
      </c>
      <c r="BU120" t="s">
        <v>14715</v>
      </c>
      <c r="BV120" t="s">
        <v>14715</v>
      </c>
      <c r="BW120" t="s">
        <v>14715</v>
      </c>
      <c r="BX120" t="s">
        <v>14715</v>
      </c>
      <c r="BY120" t="s">
        <v>14715</v>
      </c>
      <c r="BZ120" t="s">
        <v>14715</v>
      </c>
      <c r="CA120" t="s">
        <v>14715</v>
      </c>
      <c r="CB120" t="s">
        <v>14715</v>
      </c>
      <c r="CC120" t="s">
        <v>14715</v>
      </c>
      <c r="CD120" t="s">
        <v>14715</v>
      </c>
      <c r="CE120" t="s">
        <v>14715</v>
      </c>
      <c r="CF120" t="s">
        <v>14715</v>
      </c>
      <c r="CG120" t="s">
        <v>14715</v>
      </c>
      <c r="CH120" t="s">
        <v>14715</v>
      </c>
      <c r="CI120" t="s">
        <v>14715</v>
      </c>
      <c r="CJ120" t="s">
        <v>14715</v>
      </c>
      <c r="CK120" t="s">
        <v>14715</v>
      </c>
      <c r="CL120" t="s">
        <v>14715</v>
      </c>
      <c r="CM120">
        <v>-99</v>
      </c>
      <c r="CN120">
        <v>-99</v>
      </c>
      <c r="CO120" t="s">
        <v>12255</v>
      </c>
      <c r="CP120" t="s">
        <v>12255</v>
      </c>
      <c r="CQ120" t="s">
        <v>12256</v>
      </c>
      <c r="CR120" t="s">
        <v>12308</v>
      </c>
      <c r="CS120">
        <v>4</v>
      </c>
      <c r="CT120">
        <v>4</v>
      </c>
      <c r="CU120">
        <v>4</v>
      </c>
      <c r="CV120">
        <v>-99</v>
      </c>
      <c r="CW120">
        <v>1</v>
      </c>
      <c r="CX120">
        <v>0</v>
      </c>
      <c r="CY120">
        <v>2.5</v>
      </c>
      <c r="CZ120">
        <v>6.7</v>
      </c>
      <c r="DA120">
        <v>54.931494999999998</v>
      </c>
      <c r="DB120">
        <v>32.166224999999997</v>
      </c>
      <c r="DC120">
        <v>1159320881</v>
      </c>
      <c r="DD120" t="s">
        <v>14718</v>
      </c>
      <c r="DE120" t="s">
        <v>14719</v>
      </c>
      <c r="DF120" t="s">
        <v>14720</v>
      </c>
      <c r="DG120" t="s">
        <v>77</v>
      </c>
      <c r="DH120" t="s">
        <v>77</v>
      </c>
      <c r="DI120" t="s">
        <v>14721</v>
      </c>
      <c r="DJ120" t="s">
        <v>14722</v>
      </c>
      <c r="DK120" t="s">
        <v>77</v>
      </c>
      <c r="DL120" t="s">
        <v>14723</v>
      </c>
      <c r="DM120" t="s">
        <v>14724</v>
      </c>
      <c r="DN120" t="s">
        <v>14725</v>
      </c>
      <c r="DO120" t="s">
        <v>14721</v>
      </c>
      <c r="DP120" t="s">
        <v>77</v>
      </c>
      <c r="DQ120" t="s">
        <v>77</v>
      </c>
      <c r="DR120" t="s">
        <v>14726</v>
      </c>
      <c r="DS120" t="s">
        <v>14727</v>
      </c>
      <c r="DT120" t="s">
        <v>77</v>
      </c>
      <c r="DU120" t="s">
        <v>77</v>
      </c>
      <c r="DV120" t="s">
        <v>14728</v>
      </c>
      <c r="DW120" t="s">
        <v>14729</v>
      </c>
      <c r="DX120" t="s">
        <v>77</v>
      </c>
      <c r="DY120" t="s">
        <v>14730</v>
      </c>
      <c r="DZ120" t="s">
        <v>14731</v>
      </c>
      <c r="EA120" t="s">
        <v>14722</v>
      </c>
      <c r="EB120" t="s">
        <v>77</v>
      </c>
      <c r="EC120" t="s">
        <v>14732</v>
      </c>
      <c r="ED120" t="s">
        <v>14732</v>
      </c>
      <c r="EE120" t="s">
        <v>12247</v>
      </c>
      <c r="EG120" t="s">
        <v>12247</v>
      </c>
    </row>
    <row r="121" spans="1:167" x14ac:dyDescent="0.25">
      <c r="A121" t="s">
        <v>78</v>
      </c>
      <c r="B121" t="s">
        <v>12247</v>
      </c>
      <c r="C121">
        <v>0</v>
      </c>
      <c r="D121">
        <v>3</v>
      </c>
      <c r="E121" t="s">
        <v>78</v>
      </c>
      <c r="F121" t="s">
        <v>14733</v>
      </c>
      <c r="G121">
        <v>0</v>
      </c>
      <c r="H121">
        <v>2</v>
      </c>
      <c r="I121" t="s">
        <v>12249</v>
      </c>
      <c r="J121">
        <v>1</v>
      </c>
      <c r="K121" t="s">
        <v>78</v>
      </c>
      <c r="L121" t="s">
        <v>14733</v>
      </c>
      <c r="M121">
        <v>0</v>
      </c>
      <c r="N121" t="s">
        <v>78</v>
      </c>
      <c r="O121" t="s">
        <v>14733</v>
      </c>
      <c r="P121">
        <v>0</v>
      </c>
      <c r="Q121" t="s">
        <v>78</v>
      </c>
      <c r="R121" t="s">
        <v>14733</v>
      </c>
      <c r="S121">
        <v>0</v>
      </c>
      <c r="T121" t="s">
        <v>78</v>
      </c>
      <c r="U121" t="s">
        <v>14733</v>
      </c>
      <c r="V121" t="s">
        <v>78</v>
      </c>
      <c r="X121" t="s">
        <v>78</v>
      </c>
      <c r="Y121" t="s">
        <v>14733</v>
      </c>
      <c r="Z121" t="s">
        <v>14734</v>
      </c>
      <c r="AB121" t="s">
        <v>78</v>
      </c>
      <c r="AE121" t="s">
        <v>78</v>
      </c>
      <c r="AG121">
        <v>1</v>
      </c>
      <c r="AH121">
        <v>4</v>
      </c>
      <c r="AI121">
        <v>3</v>
      </c>
      <c r="AJ121">
        <v>1</v>
      </c>
      <c r="AK121">
        <v>39309783</v>
      </c>
      <c r="AL121">
        <v>15</v>
      </c>
      <c r="AM121">
        <v>2019</v>
      </c>
      <c r="AN121">
        <v>234094</v>
      </c>
      <c r="AO121">
        <v>2019</v>
      </c>
      <c r="AP121" t="s">
        <v>12277</v>
      </c>
      <c r="AQ121" t="s">
        <v>12278</v>
      </c>
      <c r="AR121" t="s">
        <v>14735</v>
      </c>
      <c r="AS121" t="s">
        <v>1569</v>
      </c>
      <c r="AT121" t="s">
        <v>1569</v>
      </c>
      <c r="AU121" t="s">
        <v>14733</v>
      </c>
      <c r="AV121" t="s">
        <v>14733</v>
      </c>
      <c r="AW121">
        <v>368</v>
      </c>
      <c r="AX121">
        <v>368</v>
      </c>
      <c r="AY121">
        <v>368</v>
      </c>
      <c r="AZ121" t="s">
        <v>1569</v>
      </c>
      <c r="BA121" t="s">
        <v>14733</v>
      </c>
      <c r="BB121">
        <v>23424855</v>
      </c>
      <c r="BC121">
        <v>23424855</v>
      </c>
      <c r="BD121" t="s">
        <v>12254</v>
      </c>
      <c r="BE121" t="s">
        <v>14733</v>
      </c>
      <c r="BG121" t="s">
        <v>14733</v>
      </c>
      <c r="BH121" t="s">
        <v>14733</v>
      </c>
      <c r="BI121" t="s">
        <v>14733</v>
      </c>
      <c r="BJ121" t="s">
        <v>14733</v>
      </c>
      <c r="BK121" t="s">
        <v>14733</v>
      </c>
      <c r="BL121" t="s">
        <v>14733</v>
      </c>
      <c r="BM121" t="s">
        <v>14733</v>
      </c>
      <c r="BN121" t="s">
        <v>14733</v>
      </c>
      <c r="BO121" t="s">
        <v>14733</v>
      </c>
      <c r="BP121" t="s">
        <v>14733</v>
      </c>
      <c r="BQ121" t="s">
        <v>14733</v>
      </c>
      <c r="BR121" t="s">
        <v>14733</v>
      </c>
      <c r="BS121" t="s">
        <v>14733</v>
      </c>
      <c r="BT121" t="s">
        <v>14733</v>
      </c>
      <c r="BU121" t="s">
        <v>14733</v>
      </c>
      <c r="BV121" t="s">
        <v>14733</v>
      </c>
      <c r="BW121" t="s">
        <v>14733</v>
      </c>
      <c r="BX121" t="s">
        <v>14733</v>
      </c>
      <c r="BY121" t="s">
        <v>14733</v>
      </c>
      <c r="BZ121" t="s">
        <v>14733</v>
      </c>
      <c r="CA121" t="s">
        <v>14733</v>
      </c>
      <c r="CB121" t="s">
        <v>14733</v>
      </c>
      <c r="CC121" t="s">
        <v>14733</v>
      </c>
      <c r="CD121" t="s">
        <v>14733</v>
      </c>
      <c r="CE121" t="s">
        <v>14733</v>
      </c>
      <c r="CF121" t="s">
        <v>14733</v>
      </c>
      <c r="CG121" t="s">
        <v>14733</v>
      </c>
      <c r="CH121" t="s">
        <v>14733</v>
      </c>
      <c r="CI121" t="s">
        <v>14733</v>
      </c>
      <c r="CJ121" t="s">
        <v>14733</v>
      </c>
      <c r="CK121" t="s">
        <v>14733</v>
      </c>
      <c r="CL121" t="s">
        <v>14733</v>
      </c>
      <c r="CM121">
        <v>-99</v>
      </c>
      <c r="CN121">
        <v>-99</v>
      </c>
      <c r="CO121" t="s">
        <v>12255</v>
      </c>
      <c r="CP121" t="s">
        <v>12255</v>
      </c>
      <c r="CQ121" t="s">
        <v>12458</v>
      </c>
      <c r="CR121" t="s">
        <v>12308</v>
      </c>
      <c r="CS121">
        <v>4</v>
      </c>
      <c r="CT121">
        <v>4</v>
      </c>
      <c r="CU121">
        <v>4</v>
      </c>
      <c r="CV121">
        <v>-99</v>
      </c>
      <c r="CW121">
        <v>1</v>
      </c>
      <c r="CX121">
        <v>0</v>
      </c>
      <c r="CY121">
        <v>3</v>
      </c>
      <c r="CZ121">
        <v>7.5</v>
      </c>
      <c r="DA121">
        <v>43.261809999999997</v>
      </c>
      <c r="DB121">
        <v>33.094029999999997</v>
      </c>
      <c r="DC121">
        <v>1159320887</v>
      </c>
      <c r="DD121" t="s">
        <v>14736</v>
      </c>
      <c r="DE121" t="s">
        <v>14737</v>
      </c>
      <c r="DF121" t="s">
        <v>14738</v>
      </c>
      <c r="DG121" t="s">
        <v>14739</v>
      </c>
      <c r="DH121" t="s">
        <v>78</v>
      </c>
      <c r="DI121" t="s">
        <v>14739</v>
      </c>
      <c r="DJ121" t="s">
        <v>14740</v>
      </c>
      <c r="DK121" t="s">
        <v>14739</v>
      </c>
      <c r="DL121" t="s">
        <v>14741</v>
      </c>
      <c r="DM121" t="s">
        <v>14742</v>
      </c>
      <c r="DN121" t="s">
        <v>14743</v>
      </c>
      <c r="DO121" t="s">
        <v>14739</v>
      </c>
      <c r="DP121" t="s">
        <v>14739</v>
      </c>
      <c r="DQ121" t="s">
        <v>78</v>
      </c>
      <c r="DR121" t="s">
        <v>14744</v>
      </c>
      <c r="DS121" t="s">
        <v>14745</v>
      </c>
      <c r="DT121" t="s">
        <v>14739</v>
      </c>
      <c r="DU121" t="s">
        <v>14739</v>
      </c>
      <c r="DV121" t="s">
        <v>14746</v>
      </c>
      <c r="DW121" t="s">
        <v>14747</v>
      </c>
      <c r="DX121" t="s">
        <v>14739</v>
      </c>
      <c r="DY121" t="s">
        <v>14739</v>
      </c>
      <c r="DZ121" t="s">
        <v>14748</v>
      </c>
      <c r="EA121" t="s">
        <v>14740</v>
      </c>
      <c r="EB121" t="s">
        <v>78</v>
      </c>
      <c r="EC121" t="s">
        <v>14749</v>
      </c>
      <c r="ED121" t="s">
        <v>14749</v>
      </c>
      <c r="EE121" t="s">
        <v>12247</v>
      </c>
      <c r="EG121" t="s">
        <v>12247</v>
      </c>
    </row>
    <row r="122" spans="1:167" x14ac:dyDescent="0.25">
      <c r="A122" t="s">
        <v>79</v>
      </c>
      <c r="B122" t="s">
        <v>12247</v>
      </c>
      <c r="C122">
        <v>0</v>
      </c>
      <c r="D122">
        <v>3</v>
      </c>
      <c r="E122" t="s">
        <v>79</v>
      </c>
      <c r="F122" t="s">
        <v>14750</v>
      </c>
      <c r="G122">
        <v>0</v>
      </c>
      <c r="H122">
        <v>2</v>
      </c>
      <c r="I122" t="s">
        <v>12249</v>
      </c>
      <c r="J122">
        <v>1</v>
      </c>
      <c r="K122" t="s">
        <v>79</v>
      </c>
      <c r="L122" t="s">
        <v>14750</v>
      </c>
      <c r="M122">
        <v>0</v>
      </c>
      <c r="N122" t="s">
        <v>79</v>
      </c>
      <c r="O122" t="s">
        <v>14750</v>
      </c>
      <c r="P122">
        <v>0</v>
      </c>
      <c r="Q122" t="s">
        <v>79</v>
      </c>
      <c r="R122" t="s">
        <v>14750</v>
      </c>
      <c r="S122">
        <v>0</v>
      </c>
      <c r="T122" t="s">
        <v>79</v>
      </c>
      <c r="U122" t="s">
        <v>14750</v>
      </c>
      <c r="V122" t="s">
        <v>79</v>
      </c>
      <c r="X122" t="s">
        <v>14751</v>
      </c>
      <c r="Y122" t="s">
        <v>14750</v>
      </c>
      <c r="Z122" t="s">
        <v>79</v>
      </c>
      <c r="AB122" t="s">
        <v>79</v>
      </c>
      <c r="AE122" t="s">
        <v>79</v>
      </c>
      <c r="AG122">
        <v>2</v>
      </c>
      <c r="AH122">
        <v>3</v>
      </c>
      <c r="AI122">
        <v>2</v>
      </c>
      <c r="AJ122">
        <v>2</v>
      </c>
      <c r="AK122">
        <v>4941444</v>
      </c>
      <c r="AL122">
        <v>12</v>
      </c>
      <c r="AM122">
        <v>2019</v>
      </c>
      <c r="AN122">
        <v>388698</v>
      </c>
      <c r="AO122">
        <v>2019</v>
      </c>
      <c r="AP122" t="s">
        <v>12334</v>
      </c>
      <c r="AQ122" t="s">
        <v>12513</v>
      </c>
      <c r="AR122" t="s">
        <v>14752</v>
      </c>
      <c r="AS122" t="s">
        <v>1556</v>
      </c>
      <c r="AT122" t="s">
        <v>1556</v>
      </c>
      <c r="AU122" t="s">
        <v>14750</v>
      </c>
      <c r="AV122" t="s">
        <v>14750</v>
      </c>
      <c r="AW122">
        <v>372</v>
      </c>
      <c r="AX122">
        <v>372</v>
      </c>
      <c r="AY122">
        <v>372</v>
      </c>
      <c r="AZ122" t="s">
        <v>1556</v>
      </c>
      <c r="BA122" t="s">
        <v>14750</v>
      </c>
      <c r="BB122">
        <v>23424803</v>
      </c>
      <c r="BC122">
        <v>23424803</v>
      </c>
      <c r="BD122" t="s">
        <v>12254</v>
      </c>
      <c r="BE122" t="s">
        <v>14750</v>
      </c>
      <c r="BG122" t="s">
        <v>14750</v>
      </c>
      <c r="BH122" t="s">
        <v>14750</v>
      </c>
      <c r="BI122" t="s">
        <v>14750</v>
      </c>
      <c r="BJ122" t="s">
        <v>14750</v>
      </c>
      <c r="BK122" t="s">
        <v>14750</v>
      </c>
      <c r="BL122" t="s">
        <v>14750</v>
      </c>
      <c r="BM122" t="s">
        <v>14750</v>
      </c>
      <c r="BN122" t="s">
        <v>14750</v>
      </c>
      <c r="BO122" t="s">
        <v>14750</v>
      </c>
      <c r="BP122" t="s">
        <v>14750</v>
      </c>
      <c r="BQ122" t="s">
        <v>14750</v>
      </c>
      <c r="BR122" t="s">
        <v>14750</v>
      </c>
      <c r="BS122" t="s">
        <v>14750</v>
      </c>
      <c r="BT122" t="s">
        <v>14750</v>
      </c>
      <c r="BU122" t="s">
        <v>14750</v>
      </c>
      <c r="BV122" t="s">
        <v>14750</v>
      </c>
      <c r="BW122" t="s">
        <v>14750</v>
      </c>
      <c r="BX122" t="s">
        <v>14750</v>
      </c>
      <c r="BY122" t="s">
        <v>14750</v>
      </c>
      <c r="BZ122" t="s">
        <v>14750</v>
      </c>
      <c r="CA122" t="s">
        <v>14750</v>
      </c>
      <c r="CB122" t="s">
        <v>14750</v>
      </c>
      <c r="CC122" t="s">
        <v>14750</v>
      </c>
      <c r="CD122" t="s">
        <v>14750</v>
      </c>
      <c r="CE122" t="s">
        <v>14750</v>
      </c>
      <c r="CF122" t="s">
        <v>14750</v>
      </c>
      <c r="CG122" t="s">
        <v>14750</v>
      </c>
      <c r="CH122" t="s">
        <v>14750</v>
      </c>
      <c r="CI122" t="s">
        <v>14750</v>
      </c>
      <c r="CJ122" t="s">
        <v>14750</v>
      </c>
      <c r="CK122" t="s">
        <v>14750</v>
      </c>
      <c r="CL122" t="s">
        <v>14750</v>
      </c>
      <c r="CM122">
        <v>-99</v>
      </c>
      <c r="CN122">
        <v>-99</v>
      </c>
      <c r="CO122" t="s">
        <v>12279</v>
      </c>
      <c r="CP122" t="s">
        <v>12279</v>
      </c>
      <c r="CQ122" t="s">
        <v>12515</v>
      </c>
      <c r="CR122" t="s">
        <v>12281</v>
      </c>
      <c r="CS122">
        <v>7</v>
      </c>
      <c r="CT122">
        <v>7</v>
      </c>
      <c r="CU122">
        <v>4</v>
      </c>
      <c r="CV122">
        <v>-99</v>
      </c>
      <c r="CW122">
        <v>1</v>
      </c>
      <c r="CX122">
        <v>0</v>
      </c>
      <c r="CY122">
        <v>3</v>
      </c>
      <c r="CZ122">
        <v>8</v>
      </c>
      <c r="DA122">
        <v>-7.7985879999999996</v>
      </c>
      <c r="DB122">
        <v>53.078726000000003</v>
      </c>
      <c r="DC122">
        <v>1159320877</v>
      </c>
      <c r="DD122" t="s">
        <v>14753</v>
      </c>
      <c r="DE122" t="s">
        <v>14754</v>
      </c>
      <c r="DF122" t="s">
        <v>14755</v>
      </c>
      <c r="DG122" t="s">
        <v>14756</v>
      </c>
      <c r="DH122" t="s">
        <v>79</v>
      </c>
      <c r="DI122" t="s">
        <v>14757</v>
      </c>
      <c r="DJ122" t="s">
        <v>14758</v>
      </c>
      <c r="DK122" t="s">
        <v>14759</v>
      </c>
      <c r="DL122" t="s">
        <v>14760</v>
      </c>
      <c r="DM122" t="s">
        <v>14761</v>
      </c>
      <c r="DN122" t="s">
        <v>14762</v>
      </c>
      <c r="DO122" t="s">
        <v>14763</v>
      </c>
      <c r="DP122" t="s">
        <v>14764</v>
      </c>
      <c r="DQ122" t="s">
        <v>14757</v>
      </c>
      <c r="DR122" t="s">
        <v>14765</v>
      </c>
      <c r="DS122" t="s">
        <v>14766</v>
      </c>
      <c r="DT122" t="s">
        <v>14767</v>
      </c>
      <c r="DU122" t="s">
        <v>14768</v>
      </c>
      <c r="DV122" t="s">
        <v>14769</v>
      </c>
      <c r="DW122" t="s">
        <v>14770</v>
      </c>
      <c r="DX122" t="s">
        <v>14756</v>
      </c>
      <c r="DY122" t="s">
        <v>14771</v>
      </c>
      <c r="DZ122" t="s">
        <v>14772</v>
      </c>
      <c r="EA122" t="s">
        <v>14773</v>
      </c>
      <c r="EB122" t="s">
        <v>14774</v>
      </c>
      <c r="EC122" t="s">
        <v>14775</v>
      </c>
      <c r="ED122" t="s">
        <v>14776</v>
      </c>
      <c r="EE122" t="s">
        <v>12247</v>
      </c>
      <c r="EG122" t="s">
        <v>12247</v>
      </c>
    </row>
    <row r="123" spans="1:167" x14ac:dyDescent="0.25">
      <c r="A123" t="s">
        <v>1217</v>
      </c>
      <c r="B123" t="s">
        <v>12247</v>
      </c>
      <c r="C123">
        <v>6</v>
      </c>
      <c r="D123">
        <v>6</v>
      </c>
      <c r="E123" t="s">
        <v>182</v>
      </c>
      <c r="F123" t="s">
        <v>12479</v>
      </c>
      <c r="G123">
        <v>1</v>
      </c>
      <c r="H123">
        <v>2</v>
      </c>
      <c r="I123" t="s">
        <v>12507</v>
      </c>
      <c r="J123">
        <v>1</v>
      </c>
      <c r="K123" t="s">
        <v>1217</v>
      </c>
      <c r="L123" t="s">
        <v>15840</v>
      </c>
      <c r="M123">
        <v>0</v>
      </c>
      <c r="N123" t="s">
        <v>1217</v>
      </c>
      <c r="O123" t="s">
        <v>15840</v>
      </c>
      <c r="P123">
        <v>0</v>
      </c>
      <c r="Q123" t="s">
        <v>1217</v>
      </c>
      <c r="R123" t="s">
        <v>15840</v>
      </c>
      <c r="S123">
        <v>0</v>
      </c>
      <c r="T123" t="s">
        <v>1217</v>
      </c>
      <c r="U123" t="s">
        <v>15840</v>
      </c>
      <c r="V123" t="s">
        <v>1217</v>
      </c>
      <c r="X123" t="s">
        <v>15841</v>
      </c>
      <c r="Y123" t="s">
        <v>1563</v>
      </c>
      <c r="AB123" t="s">
        <v>1217</v>
      </c>
      <c r="AC123" t="s">
        <v>12486</v>
      </c>
      <c r="AD123" t="s">
        <v>15742</v>
      </c>
      <c r="AE123" t="s">
        <v>1217</v>
      </c>
      <c r="AG123">
        <v>6</v>
      </c>
      <c r="AH123">
        <v>6</v>
      </c>
      <c r="AI123">
        <v>6</v>
      </c>
      <c r="AJ123">
        <v>3</v>
      </c>
      <c r="AK123">
        <v>84584</v>
      </c>
      <c r="AL123">
        <v>8</v>
      </c>
      <c r="AM123">
        <v>2019</v>
      </c>
      <c r="AN123">
        <v>7491</v>
      </c>
      <c r="AO123">
        <v>2018</v>
      </c>
      <c r="AP123" t="s">
        <v>12334</v>
      </c>
      <c r="AQ123" t="s">
        <v>12335</v>
      </c>
      <c r="AR123" t="s">
        <v>1563</v>
      </c>
      <c r="AS123" t="s">
        <v>1563</v>
      </c>
      <c r="AT123" t="s">
        <v>1563</v>
      </c>
      <c r="AU123" t="s">
        <v>15840</v>
      </c>
      <c r="AV123" t="s">
        <v>15840</v>
      </c>
      <c r="AW123">
        <v>833</v>
      </c>
      <c r="AX123">
        <v>833</v>
      </c>
      <c r="AY123">
        <v>833</v>
      </c>
      <c r="AZ123" t="s">
        <v>1563</v>
      </c>
      <c r="BA123" t="s">
        <v>15842</v>
      </c>
      <c r="BB123">
        <v>23424847</v>
      </c>
      <c r="BC123">
        <v>23424847</v>
      </c>
      <c r="BD123" t="s">
        <v>12254</v>
      </c>
      <c r="BE123" t="s">
        <v>15840</v>
      </c>
      <c r="BG123" t="s">
        <v>15840</v>
      </c>
      <c r="BH123" t="s">
        <v>15840</v>
      </c>
      <c r="BI123" t="s">
        <v>15840</v>
      </c>
      <c r="BJ123" t="s">
        <v>15840</v>
      </c>
      <c r="BK123" t="s">
        <v>15840</v>
      </c>
      <c r="BL123" t="s">
        <v>15840</v>
      </c>
      <c r="BM123" t="s">
        <v>15840</v>
      </c>
      <c r="BN123" t="s">
        <v>15840</v>
      </c>
      <c r="BO123" t="s">
        <v>15840</v>
      </c>
      <c r="BP123" t="s">
        <v>15840</v>
      </c>
      <c r="BQ123" t="s">
        <v>15840</v>
      </c>
      <c r="BR123" t="s">
        <v>15840</v>
      </c>
      <c r="BS123" t="s">
        <v>15840</v>
      </c>
      <c r="BT123" t="s">
        <v>15840</v>
      </c>
      <c r="BU123" t="s">
        <v>15840</v>
      </c>
      <c r="BV123" t="s">
        <v>15840</v>
      </c>
      <c r="BW123" t="s">
        <v>15840</v>
      </c>
      <c r="BX123" t="s">
        <v>15840</v>
      </c>
      <c r="BY123" t="s">
        <v>15840</v>
      </c>
      <c r="BZ123" t="s">
        <v>15840</v>
      </c>
      <c r="CA123" t="s">
        <v>15840</v>
      </c>
      <c r="CB123" t="s">
        <v>15840</v>
      </c>
      <c r="CC123" t="s">
        <v>15840</v>
      </c>
      <c r="CD123" t="s">
        <v>15840</v>
      </c>
      <c r="CE123" t="s">
        <v>15840</v>
      </c>
      <c r="CF123" t="s">
        <v>15840</v>
      </c>
      <c r="CG123" t="s">
        <v>15840</v>
      </c>
      <c r="CH123" t="s">
        <v>15840</v>
      </c>
      <c r="CI123" t="s">
        <v>15840</v>
      </c>
      <c r="CJ123" t="s">
        <v>15840</v>
      </c>
      <c r="CK123" t="s">
        <v>15840</v>
      </c>
      <c r="CL123" t="s">
        <v>15840</v>
      </c>
      <c r="CM123">
        <v>-99</v>
      </c>
      <c r="CN123">
        <v>-99</v>
      </c>
      <c r="CO123" t="s">
        <v>12279</v>
      </c>
      <c r="CP123" t="s">
        <v>12279</v>
      </c>
      <c r="CQ123" t="s">
        <v>12515</v>
      </c>
      <c r="CR123" t="s">
        <v>12281</v>
      </c>
      <c r="CS123">
        <v>11</v>
      </c>
      <c r="CT123">
        <v>11</v>
      </c>
      <c r="CU123">
        <v>5</v>
      </c>
      <c r="CV123">
        <v>-99</v>
      </c>
      <c r="CW123">
        <v>-99</v>
      </c>
      <c r="CX123">
        <v>0</v>
      </c>
      <c r="CY123">
        <v>5</v>
      </c>
      <c r="CZ123">
        <v>10</v>
      </c>
      <c r="DA123">
        <v>-4.5300690000000001</v>
      </c>
      <c r="DB123">
        <v>54.220832999999999</v>
      </c>
      <c r="DC123">
        <v>1159320721</v>
      </c>
      <c r="DD123" t="s">
        <v>15843</v>
      </c>
      <c r="DE123" t="s">
        <v>15844</v>
      </c>
      <c r="DF123" t="s">
        <v>15845</v>
      </c>
      <c r="DG123" t="s">
        <v>1217</v>
      </c>
      <c r="DH123" t="s">
        <v>1217</v>
      </c>
      <c r="DI123" t="s">
        <v>15846</v>
      </c>
      <c r="DJ123" t="s">
        <v>15847</v>
      </c>
      <c r="DK123" t="s">
        <v>15848</v>
      </c>
      <c r="DL123" t="s">
        <v>15849</v>
      </c>
      <c r="DM123" t="s">
        <v>15850</v>
      </c>
      <c r="DN123" t="s">
        <v>15851</v>
      </c>
      <c r="DO123" t="s">
        <v>15852</v>
      </c>
      <c r="DP123" t="s">
        <v>15853</v>
      </c>
      <c r="DQ123" t="s">
        <v>15854</v>
      </c>
      <c r="DR123" t="s">
        <v>15855</v>
      </c>
      <c r="DS123" t="s">
        <v>15856</v>
      </c>
      <c r="DT123" t="s">
        <v>15852</v>
      </c>
      <c r="DU123" t="s">
        <v>15857</v>
      </c>
      <c r="DV123" t="s">
        <v>15858</v>
      </c>
      <c r="DW123" t="s">
        <v>15859</v>
      </c>
      <c r="DX123" t="s">
        <v>1217</v>
      </c>
      <c r="DY123" t="s">
        <v>15860</v>
      </c>
      <c r="DZ123" t="s">
        <v>15861</v>
      </c>
      <c r="EA123" t="s">
        <v>15862</v>
      </c>
      <c r="EB123" t="s">
        <v>15863</v>
      </c>
      <c r="EC123" t="s">
        <v>15864</v>
      </c>
      <c r="ED123" t="s">
        <v>15865</v>
      </c>
      <c r="EE123" t="s">
        <v>12247</v>
      </c>
      <c r="EG123" t="s">
        <v>12247</v>
      </c>
    </row>
    <row r="124" spans="1:167" x14ac:dyDescent="0.25">
      <c r="A124" t="s">
        <v>80</v>
      </c>
      <c r="B124" t="s">
        <v>12247</v>
      </c>
      <c r="C124">
        <v>0</v>
      </c>
      <c r="D124">
        <v>4</v>
      </c>
      <c r="E124" t="s">
        <v>80</v>
      </c>
      <c r="F124" t="s">
        <v>15866</v>
      </c>
      <c r="G124">
        <v>1</v>
      </c>
      <c r="H124">
        <v>2</v>
      </c>
      <c r="I124" t="s">
        <v>12714</v>
      </c>
      <c r="J124">
        <v>1</v>
      </c>
      <c r="K124" t="s">
        <v>80</v>
      </c>
      <c r="L124" t="s">
        <v>15867</v>
      </c>
      <c r="M124">
        <v>0</v>
      </c>
      <c r="N124" t="s">
        <v>80</v>
      </c>
      <c r="O124" t="s">
        <v>15867</v>
      </c>
      <c r="P124">
        <v>0</v>
      </c>
      <c r="Q124" t="s">
        <v>80</v>
      </c>
      <c r="R124" t="s">
        <v>15867</v>
      </c>
      <c r="S124">
        <v>1</v>
      </c>
      <c r="T124" t="s">
        <v>80</v>
      </c>
      <c r="U124" t="s">
        <v>15867</v>
      </c>
      <c r="V124" t="s">
        <v>80</v>
      </c>
      <c r="X124" t="s">
        <v>15868</v>
      </c>
      <c r="Y124" t="s">
        <v>1575</v>
      </c>
      <c r="Z124" t="s">
        <v>15869</v>
      </c>
      <c r="AB124" t="s">
        <v>80</v>
      </c>
      <c r="AE124" t="s">
        <v>80</v>
      </c>
      <c r="AG124">
        <v>3</v>
      </c>
      <c r="AH124">
        <v>2</v>
      </c>
      <c r="AI124">
        <v>5</v>
      </c>
      <c r="AJ124">
        <v>9</v>
      </c>
      <c r="AK124">
        <v>9053300</v>
      </c>
      <c r="AL124">
        <v>13</v>
      </c>
      <c r="AM124">
        <v>2019</v>
      </c>
      <c r="AN124">
        <v>394652</v>
      </c>
      <c r="AO124">
        <v>2019</v>
      </c>
      <c r="AP124" t="s">
        <v>12334</v>
      </c>
      <c r="AQ124" t="s">
        <v>12513</v>
      </c>
      <c r="AR124">
        <v>-99</v>
      </c>
      <c r="AS124" t="s">
        <v>1560</v>
      </c>
      <c r="AT124" t="s">
        <v>1560</v>
      </c>
      <c r="AU124" t="s">
        <v>15867</v>
      </c>
      <c r="AV124" t="s">
        <v>15867</v>
      </c>
      <c r="AW124">
        <v>376</v>
      </c>
      <c r="AX124">
        <v>376</v>
      </c>
      <c r="AY124">
        <v>376</v>
      </c>
      <c r="AZ124" t="s">
        <v>1560</v>
      </c>
      <c r="BA124" t="s">
        <v>15867</v>
      </c>
      <c r="BB124">
        <v>23424852</v>
      </c>
      <c r="BC124">
        <v>23424852</v>
      </c>
      <c r="BD124" t="s">
        <v>12254</v>
      </c>
      <c r="BE124" t="s">
        <v>15867</v>
      </c>
      <c r="BG124" t="s">
        <v>15867</v>
      </c>
      <c r="BH124" t="s">
        <v>15867</v>
      </c>
      <c r="BI124" t="s">
        <v>15867</v>
      </c>
      <c r="BJ124" t="s">
        <v>15867</v>
      </c>
      <c r="BK124" t="s">
        <v>15867</v>
      </c>
      <c r="BL124" t="s">
        <v>15867</v>
      </c>
      <c r="BM124" t="s">
        <v>15867</v>
      </c>
      <c r="BN124" t="s">
        <v>15867</v>
      </c>
      <c r="BO124" t="s">
        <v>15867</v>
      </c>
      <c r="BP124" t="s">
        <v>15870</v>
      </c>
      <c r="BQ124" t="s">
        <v>15867</v>
      </c>
      <c r="BR124" t="s">
        <v>15867</v>
      </c>
      <c r="BS124" t="s">
        <v>15867</v>
      </c>
      <c r="BT124" t="s">
        <v>15867</v>
      </c>
      <c r="BU124" t="s">
        <v>15867</v>
      </c>
      <c r="BV124" t="s">
        <v>15870</v>
      </c>
      <c r="BW124" t="s">
        <v>15867</v>
      </c>
      <c r="BX124" t="s">
        <v>15867</v>
      </c>
      <c r="BY124" t="s">
        <v>15867</v>
      </c>
      <c r="BZ124" t="s">
        <v>15867</v>
      </c>
      <c r="CA124" t="s">
        <v>15867</v>
      </c>
      <c r="CB124" t="s">
        <v>15867</v>
      </c>
      <c r="CC124" t="s">
        <v>15867</v>
      </c>
      <c r="CD124" t="s">
        <v>15867</v>
      </c>
      <c r="CE124" t="s">
        <v>15867</v>
      </c>
      <c r="CF124" t="s">
        <v>15867</v>
      </c>
      <c r="CG124" t="s">
        <v>15867</v>
      </c>
      <c r="CH124" t="s">
        <v>15867</v>
      </c>
      <c r="CI124" t="s">
        <v>15867</v>
      </c>
      <c r="CJ124" t="s">
        <v>15867</v>
      </c>
      <c r="CK124" t="s">
        <v>15870</v>
      </c>
      <c r="CL124" t="s">
        <v>15867</v>
      </c>
      <c r="CM124">
        <v>-99</v>
      </c>
      <c r="CN124">
        <v>-99</v>
      </c>
      <c r="CO124" t="s">
        <v>12255</v>
      </c>
      <c r="CP124" t="s">
        <v>12255</v>
      </c>
      <c r="CQ124" t="s">
        <v>12458</v>
      </c>
      <c r="CR124" t="s">
        <v>12308</v>
      </c>
      <c r="CS124">
        <v>6</v>
      </c>
      <c r="CT124">
        <v>6</v>
      </c>
      <c r="CU124">
        <v>4</v>
      </c>
      <c r="CV124">
        <v>-99</v>
      </c>
      <c r="CW124">
        <v>1</v>
      </c>
      <c r="CX124">
        <v>0</v>
      </c>
      <c r="CY124">
        <v>3</v>
      </c>
      <c r="CZ124">
        <v>8</v>
      </c>
      <c r="DA124">
        <v>34.847915</v>
      </c>
      <c r="DB124">
        <v>30.911148000000001</v>
      </c>
      <c r="DC124">
        <v>1159320895</v>
      </c>
      <c r="DD124" t="s">
        <v>15871</v>
      </c>
      <c r="DE124" t="s">
        <v>15872</v>
      </c>
      <c r="DF124" t="s">
        <v>15873</v>
      </c>
      <c r="DG124" t="s">
        <v>80</v>
      </c>
      <c r="DH124" t="s">
        <v>80</v>
      </c>
      <c r="DI124" t="s">
        <v>80</v>
      </c>
      <c r="DJ124" t="s">
        <v>15874</v>
      </c>
      <c r="DK124" t="s">
        <v>15875</v>
      </c>
      <c r="DL124" t="s">
        <v>15876</v>
      </c>
      <c r="DM124" t="s">
        <v>15877</v>
      </c>
      <c r="DN124" t="s">
        <v>15878</v>
      </c>
      <c r="DO124" t="s">
        <v>15879</v>
      </c>
      <c r="DP124" t="s">
        <v>80</v>
      </c>
      <c r="DQ124" t="s">
        <v>15880</v>
      </c>
      <c r="DR124" t="s">
        <v>15881</v>
      </c>
      <c r="DS124" t="s">
        <v>15882</v>
      </c>
      <c r="DT124" t="s">
        <v>15875</v>
      </c>
      <c r="DU124" t="s">
        <v>15879</v>
      </c>
      <c r="DV124" t="s">
        <v>80</v>
      </c>
      <c r="DW124" t="s">
        <v>15883</v>
      </c>
      <c r="DX124" t="s">
        <v>80</v>
      </c>
      <c r="DY124" t="s">
        <v>15884</v>
      </c>
      <c r="DZ124" t="s">
        <v>15885</v>
      </c>
      <c r="EA124" t="s">
        <v>15874</v>
      </c>
      <c r="EB124" t="s">
        <v>80</v>
      </c>
      <c r="EC124" t="s">
        <v>15886</v>
      </c>
      <c r="ED124" t="s">
        <v>15886</v>
      </c>
      <c r="EE124" t="s">
        <v>12247</v>
      </c>
      <c r="EG124" t="s">
        <v>12247</v>
      </c>
      <c r="EP124" t="s">
        <v>12505</v>
      </c>
      <c r="EV124" t="s">
        <v>12505</v>
      </c>
      <c r="FK124" t="s">
        <v>12505</v>
      </c>
    </row>
    <row r="125" spans="1:167" x14ac:dyDescent="0.25">
      <c r="A125" t="s">
        <v>81</v>
      </c>
      <c r="B125" t="s">
        <v>12247</v>
      </c>
      <c r="C125">
        <v>0</v>
      </c>
      <c r="D125">
        <v>2</v>
      </c>
      <c r="E125" t="s">
        <v>81</v>
      </c>
      <c r="F125" t="s">
        <v>14829</v>
      </c>
      <c r="G125">
        <v>0</v>
      </c>
      <c r="H125">
        <v>2</v>
      </c>
      <c r="I125" t="s">
        <v>12249</v>
      </c>
      <c r="J125">
        <v>1</v>
      </c>
      <c r="K125" t="s">
        <v>81</v>
      </c>
      <c r="L125" t="s">
        <v>14829</v>
      </c>
      <c r="M125">
        <v>0</v>
      </c>
      <c r="N125" t="s">
        <v>81</v>
      </c>
      <c r="O125" t="s">
        <v>14829</v>
      </c>
      <c r="P125">
        <v>0</v>
      </c>
      <c r="Q125" t="s">
        <v>81</v>
      </c>
      <c r="R125" t="s">
        <v>14829</v>
      </c>
      <c r="S125">
        <v>0</v>
      </c>
      <c r="T125" t="s">
        <v>81</v>
      </c>
      <c r="U125" t="s">
        <v>14829</v>
      </c>
      <c r="V125" t="s">
        <v>81</v>
      </c>
      <c r="X125" t="s">
        <v>81</v>
      </c>
      <c r="Y125" t="s">
        <v>14830</v>
      </c>
      <c r="Z125" t="s">
        <v>14831</v>
      </c>
      <c r="AB125" t="s">
        <v>81</v>
      </c>
      <c r="AE125" t="s">
        <v>81</v>
      </c>
      <c r="AG125">
        <v>6</v>
      </c>
      <c r="AH125">
        <v>7</v>
      </c>
      <c r="AI125">
        <v>8</v>
      </c>
      <c r="AJ125">
        <v>7</v>
      </c>
      <c r="AK125">
        <v>60297396</v>
      </c>
      <c r="AL125">
        <v>16</v>
      </c>
      <c r="AM125">
        <v>2019</v>
      </c>
      <c r="AN125">
        <v>2003576</v>
      </c>
      <c r="AO125">
        <v>2019</v>
      </c>
      <c r="AP125" t="s">
        <v>13177</v>
      </c>
      <c r="AQ125" t="s">
        <v>12513</v>
      </c>
      <c r="AR125" t="s">
        <v>1578</v>
      </c>
      <c r="AS125" t="s">
        <v>1578</v>
      </c>
      <c r="AT125" t="s">
        <v>1578</v>
      </c>
      <c r="AU125" t="s">
        <v>14829</v>
      </c>
      <c r="AV125" t="s">
        <v>14829</v>
      </c>
      <c r="AW125">
        <v>380</v>
      </c>
      <c r="AX125">
        <v>380</v>
      </c>
      <c r="AY125">
        <v>380</v>
      </c>
      <c r="AZ125" t="s">
        <v>1578</v>
      </c>
      <c r="BA125" t="s">
        <v>14829</v>
      </c>
      <c r="BB125">
        <v>23424853</v>
      </c>
      <c r="BC125">
        <v>23424853</v>
      </c>
      <c r="BD125" t="s">
        <v>12254</v>
      </c>
      <c r="BE125" t="s">
        <v>14829</v>
      </c>
      <c r="BG125" t="s">
        <v>14829</v>
      </c>
      <c r="BH125" t="s">
        <v>14829</v>
      </c>
      <c r="BI125" t="s">
        <v>14829</v>
      </c>
      <c r="BJ125" t="s">
        <v>14829</v>
      </c>
      <c r="BK125" t="s">
        <v>14829</v>
      </c>
      <c r="BL125" t="s">
        <v>14829</v>
      </c>
      <c r="BM125" t="s">
        <v>14829</v>
      </c>
      <c r="BN125" t="s">
        <v>14829</v>
      </c>
      <c r="BO125" t="s">
        <v>14829</v>
      </c>
      <c r="BP125" t="s">
        <v>14829</v>
      </c>
      <c r="BQ125" t="s">
        <v>14829</v>
      </c>
      <c r="BR125" t="s">
        <v>14829</v>
      </c>
      <c r="BS125" t="s">
        <v>14829</v>
      </c>
      <c r="BT125" t="s">
        <v>14829</v>
      </c>
      <c r="BU125" t="s">
        <v>14829</v>
      </c>
      <c r="BV125" t="s">
        <v>14829</v>
      </c>
      <c r="BW125" t="s">
        <v>14829</v>
      </c>
      <c r="BX125" t="s">
        <v>14829</v>
      </c>
      <c r="BY125" t="s">
        <v>14829</v>
      </c>
      <c r="BZ125" t="s">
        <v>14829</v>
      </c>
      <c r="CA125" t="s">
        <v>14829</v>
      </c>
      <c r="CB125" t="s">
        <v>14829</v>
      </c>
      <c r="CC125" t="s">
        <v>14829</v>
      </c>
      <c r="CD125" t="s">
        <v>14829</v>
      </c>
      <c r="CE125" t="s">
        <v>14829</v>
      </c>
      <c r="CF125" t="s">
        <v>14829</v>
      </c>
      <c r="CG125" t="s">
        <v>14829</v>
      </c>
      <c r="CH125" t="s">
        <v>14829</v>
      </c>
      <c r="CI125" t="s">
        <v>14829</v>
      </c>
      <c r="CJ125" t="s">
        <v>14829</v>
      </c>
      <c r="CK125" t="s">
        <v>14829</v>
      </c>
      <c r="CL125" t="s">
        <v>14829</v>
      </c>
      <c r="CM125">
        <v>-99</v>
      </c>
      <c r="CN125">
        <v>-99</v>
      </c>
      <c r="CO125" t="s">
        <v>12279</v>
      </c>
      <c r="CP125" t="s">
        <v>12279</v>
      </c>
      <c r="CQ125" t="s">
        <v>12280</v>
      </c>
      <c r="CR125" t="s">
        <v>12281</v>
      </c>
      <c r="CS125">
        <v>5</v>
      </c>
      <c r="CT125">
        <v>5</v>
      </c>
      <c r="CU125">
        <v>5</v>
      </c>
      <c r="CV125">
        <v>-99</v>
      </c>
      <c r="CW125">
        <v>1</v>
      </c>
      <c r="CX125">
        <v>0</v>
      </c>
      <c r="CY125">
        <v>2</v>
      </c>
      <c r="CZ125">
        <v>7</v>
      </c>
      <c r="DA125">
        <v>11.076907</v>
      </c>
      <c r="DB125">
        <v>44.732481999999997</v>
      </c>
      <c r="DC125">
        <v>1159320919</v>
      </c>
      <c r="DD125" t="s">
        <v>14832</v>
      </c>
      <c r="DE125" t="s">
        <v>14833</v>
      </c>
      <c r="DF125" t="s">
        <v>14834</v>
      </c>
      <c r="DG125" t="s">
        <v>14835</v>
      </c>
      <c r="DH125" t="s">
        <v>81</v>
      </c>
      <c r="DI125" t="s">
        <v>14836</v>
      </c>
      <c r="DJ125" t="s">
        <v>14837</v>
      </c>
      <c r="DK125" t="s">
        <v>14838</v>
      </c>
      <c r="DL125" t="s">
        <v>14839</v>
      </c>
      <c r="DM125" t="s">
        <v>14840</v>
      </c>
      <c r="DN125" t="s">
        <v>14841</v>
      </c>
      <c r="DO125" t="s">
        <v>14842</v>
      </c>
      <c r="DP125" t="s">
        <v>14836</v>
      </c>
      <c r="DQ125" t="s">
        <v>14836</v>
      </c>
      <c r="DR125" t="s">
        <v>14843</v>
      </c>
      <c r="DS125" t="s">
        <v>14844</v>
      </c>
      <c r="DT125" t="s">
        <v>14845</v>
      </c>
      <c r="DU125" t="s">
        <v>14846</v>
      </c>
      <c r="DV125" t="s">
        <v>14847</v>
      </c>
      <c r="DW125" t="s">
        <v>14848</v>
      </c>
      <c r="DX125" t="s">
        <v>14835</v>
      </c>
      <c r="DY125" t="s">
        <v>14849</v>
      </c>
      <c r="DZ125" t="s">
        <v>14850</v>
      </c>
      <c r="EA125" t="s">
        <v>14851</v>
      </c>
      <c r="EB125" t="s">
        <v>14852</v>
      </c>
      <c r="EC125" t="s">
        <v>14853</v>
      </c>
      <c r="ED125" t="s">
        <v>14854</v>
      </c>
      <c r="EE125" t="s">
        <v>12247</v>
      </c>
      <c r="EG125" t="s">
        <v>12247</v>
      </c>
    </row>
    <row r="126" spans="1:167" x14ac:dyDescent="0.25">
      <c r="A126" t="s">
        <v>82</v>
      </c>
      <c r="B126" t="s">
        <v>12247</v>
      </c>
      <c r="C126">
        <v>1</v>
      </c>
      <c r="D126">
        <v>4</v>
      </c>
      <c r="E126" t="s">
        <v>82</v>
      </c>
      <c r="F126" t="s">
        <v>14888</v>
      </c>
      <c r="G126">
        <v>0</v>
      </c>
      <c r="H126">
        <v>2</v>
      </c>
      <c r="I126" t="s">
        <v>12249</v>
      </c>
      <c r="J126">
        <v>1</v>
      </c>
      <c r="K126" t="s">
        <v>82</v>
      </c>
      <c r="L126" t="s">
        <v>14888</v>
      </c>
      <c r="M126">
        <v>0</v>
      </c>
      <c r="N126" t="s">
        <v>82</v>
      </c>
      <c r="O126" t="s">
        <v>14888</v>
      </c>
      <c r="P126">
        <v>0</v>
      </c>
      <c r="Q126" t="s">
        <v>82</v>
      </c>
      <c r="R126" t="s">
        <v>14888</v>
      </c>
      <c r="S126">
        <v>0</v>
      </c>
      <c r="T126" t="s">
        <v>82</v>
      </c>
      <c r="U126" t="s">
        <v>14888</v>
      </c>
      <c r="V126" t="s">
        <v>82</v>
      </c>
      <c r="X126" t="s">
        <v>14889</v>
      </c>
      <c r="Y126" t="s">
        <v>14890</v>
      </c>
      <c r="Z126" t="s">
        <v>82</v>
      </c>
      <c r="AB126" t="s">
        <v>82</v>
      </c>
      <c r="AE126" t="s">
        <v>82</v>
      </c>
      <c r="AG126">
        <v>1</v>
      </c>
      <c r="AH126">
        <v>2</v>
      </c>
      <c r="AI126">
        <v>4</v>
      </c>
      <c r="AJ126">
        <v>10</v>
      </c>
      <c r="AK126">
        <v>2948279</v>
      </c>
      <c r="AL126">
        <v>12</v>
      </c>
      <c r="AM126">
        <v>2019</v>
      </c>
      <c r="AN126">
        <v>16458</v>
      </c>
      <c r="AO126">
        <v>2019</v>
      </c>
      <c r="AP126" t="s">
        <v>12277</v>
      </c>
      <c r="AQ126" t="s">
        <v>12305</v>
      </c>
      <c r="AR126" t="s">
        <v>1585</v>
      </c>
      <c r="AS126" t="s">
        <v>1585</v>
      </c>
      <c r="AT126" t="s">
        <v>1585</v>
      </c>
      <c r="AU126" t="s">
        <v>14888</v>
      </c>
      <c r="AV126" t="s">
        <v>14888</v>
      </c>
      <c r="AW126">
        <v>388</v>
      </c>
      <c r="AX126">
        <v>388</v>
      </c>
      <c r="AY126">
        <v>388</v>
      </c>
      <c r="AZ126" t="s">
        <v>1585</v>
      </c>
      <c r="BA126" t="s">
        <v>14888</v>
      </c>
      <c r="BB126">
        <v>23424858</v>
      </c>
      <c r="BC126">
        <v>23424858</v>
      </c>
      <c r="BD126" t="s">
        <v>12254</v>
      </c>
      <c r="BE126" t="s">
        <v>14888</v>
      </c>
      <c r="BG126" t="s">
        <v>14888</v>
      </c>
      <c r="BH126" t="s">
        <v>14888</v>
      </c>
      <c r="BI126" t="s">
        <v>14888</v>
      </c>
      <c r="BJ126" t="s">
        <v>14888</v>
      </c>
      <c r="BK126" t="s">
        <v>14888</v>
      </c>
      <c r="BL126" t="s">
        <v>14888</v>
      </c>
      <c r="BM126" t="s">
        <v>14888</v>
      </c>
      <c r="BN126" t="s">
        <v>14888</v>
      </c>
      <c r="BO126" t="s">
        <v>14888</v>
      </c>
      <c r="BP126" t="s">
        <v>14888</v>
      </c>
      <c r="BQ126" t="s">
        <v>14888</v>
      </c>
      <c r="BR126" t="s">
        <v>14888</v>
      </c>
      <c r="BS126" t="s">
        <v>14888</v>
      </c>
      <c r="BT126" t="s">
        <v>14888</v>
      </c>
      <c r="BU126" t="s">
        <v>14888</v>
      </c>
      <c r="BV126" t="s">
        <v>14888</v>
      </c>
      <c r="BW126" t="s">
        <v>14888</v>
      </c>
      <c r="BX126" t="s">
        <v>14888</v>
      </c>
      <c r="BY126" t="s">
        <v>14888</v>
      </c>
      <c r="BZ126" t="s">
        <v>14888</v>
      </c>
      <c r="CA126" t="s">
        <v>14888</v>
      </c>
      <c r="CB126" t="s">
        <v>14888</v>
      </c>
      <c r="CC126" t="s">
        <v>14888</v>
      </c>
      <c r="CD126" t="s">
        <v>14888</v>
      </c>
      <c r="CE126" t="s">
        <v>14888</v>
      </c>
      <c r="CF126" t="s">
        <v>14888</v>
      </c>
      <c r="CG126" t="s">
        <v>14888</v>
      </c>
      <c r="CH126" t="s">
        <v>14888</v>
      </c>
      <c r="CI126" t="s">
        <v>14888</v>
      </c>
      <c r="CJ126" t="s">
        <v>14888</v>
      </c>
      <c r="CK126" t="s">
        <v>14888</v>
      </c>
      <c r="CL126" t="s">
        <v>14888</v>
      </c>
      <c r="CM126">
        <v>-99</v>
      </c>
      <c r="CN126">
        <v>-99</v>
      </c>
      <c r="CO126" t="s">
        <v>12402</v>
      </c>
      <c r="CP126" t="s">
        <v>12403</v>
      </c>
      <c r="CQ126" t="s">
        <v>12404</v>
      </c>
      <c r="CR126" t="s">
        <v>12405</v>
      </c>
      <c r="CS126">
        <v>7</v>
      </c>
      <c r="CT126">
        <v>7</v>
      </c>
      <c r="CU126">
        <v>4</v>
      </c>
      <c r="CV126">
        <v>-99</v>
      </c>
      <c r="CW126">
        <v>1</v>
      </c>
      <c r="CX126">
        <v>0</v>
      </c>
      <c r="CY126">
        <v>4</v>
      </c>
      <c r="CZ126">
        <v>9</v>
      </c>
      <c r="DA126">
        <v>-77.318766999999994</v>
      </c>
      <c r="DB126">
        <v>18.137124</v>
      </c>
      <c r="DC126">
        <v>1159320931</v>
      </c>
      <c r="DD126" t="s">
        <v>14891</v>
      </c>
      <c r="DE126" t="s">
        <v>14892</v>
      </c>
      <c r="DF126" t="s">
        <v>14893</v>
      </c>
      <c r="DG126" t="s">
        <v>14894</v>
      </c>
      <c r="DH126" t="s">
        <v>82</v>
      </c>
      <c r="DI126" t="s">
        <v>82</v>
      </c>
      <c r="DJ126" t="s">
        <v>14895</v>
      </c>
      <c r="DK126" t="s">
        <v>14896</v>
      </c>
      <c r="DL126" t="s">
        <v>14897</v>
      </c>
      <c r="DM126" t="s">
        <v>14898</v>
      </c>
      <c r="DN126" t="s">
        <v>14899</v>
      </c>
      <c r="DO126" t="s">
        <v>82</v>
      </c>
      <c r="DP126" t="s">
        <v>14894</v>
      </c>
      <c r="DQ126" t="s">
        <v>14900</v>
      </c>
      <c r="DR126" t="s">
        <v>14901</v>
      </c>
      <c r="DS126" t="s">
        <v>14902</v>
      </c>
      <c r="DT126" t="s">
        <v>82</v>
      </c>
      <c r="DU126" t="s">
        <v>14903</v>
      </c>
      <c r="DV126" t="s">
        <v>82</v>
      </c>
      <c r="DW126" t="s">
        <v>14904</v>
      </c>
      <c r="DX126" t="s">
        <v>82</v>
      </c>
      <c r="DY126" t="s">
        <v>14894</v>
      </c>
      <c r="DZ126" t="s">
        <v>14904</v>
      </c>
      <c r="EA126" t="s">
        <v>14905</v>
      </c>
      <c r="EB126" t="s">
        <v>82</v>
      </c>
      <c r="EC126" t="s">
        <v>14906</v>
      </c>
      <c r="ED126" t="s">
        <v>14907</v>
      </c>
      <c r="EE126" t="s">
        <v>12247</v>
      </c>
      <c r="EG126" t="s">
        <v>12247</v>
      </c>
    </row>
    <row r="127" spans="1:167" x14ac:dyDescent="0.25">
      <c r="A127" t="s">
        <v>83</v>
      </c>
      <c r="B127" t="s">
        <v>12247</v>
      </c>
      <c r="C127">
        <v>0</v>
      </c>
      <c r="D127">
        <v>2</v>
      </c>
      <c r="E127" t="s">
        <v>83</v>
      </c>
      <c r="F127" t="s">
        <v>14908</v>
      </c>
      <c r="G127">
        <v>0</v>
      </c>
      <c r="H127">
        <v>2</v>
      </c>
      <c r="I127" t="s">
        <v>12249</v>
      </c>
      <c r="J127">
        <v>1</v>
      </c>
      <c r="K127" t="s">
        <v>83</v>
      </c>
      <c r="L127" t="s">
        <v>14908</v>
      </c>
      <c r="M127">
        <v>0</v>
      </c>
      <c r="N127" t="s">
        <v>83</v>
      </c>
      <c r="O127" t="s">
        <v>14908</v>
      </c>
      <c r="P127">
        <v>0</v>
      </c>
      <c r="Q127" t="s">
        <v>83</v>
      </c>
      <c r="R127" t="s">
        <v>14908</v>
      </c>
      <c r="S127">
        <v>0</v>
      </c>
      <c r="T127" t="s">
        <v>83</v>
      </c>
      <c r="U127" t="s">
        <v>14908</v>
      </c>
      <c r="V127" t="s">
        <v>83</v>
      </c>
      <c r="X127" t="s">
        <v>83</v>
      </c>
      <c r="Y127" t="s">
        <v>14890</v>
      </c>
      <c r="Z127" t="s">
        <v>83</v>
      </c>
      <c r="AB127" t="s">
        <v>83</v>
      </c>
      <c r="AE127" t="s">
        <v>83</v>
      </c>
      <c r="AG127">
        <v>5</v>
      </c>
      <c r="AH127">
        <v>3</v>
      </c>
      <c r="AI127">
        <v>5</v>
      </c>
      <c r="AJ127">
        <v>4</v>
      </c>
      <c r="AK127">
        <v>126264931</v>
      </c>
      <c r="AL127">
        <v>17</v>
      </c>
      <c r="AM127">
        <v>2019</v>
      </c>
      <c r="AN127">
        <v>5081769</v>
      </c>
      <c r="AO127">
        <v>2019</v>
      </c>
      <c r="AP127" t="s">
        <v>13177</v>
      </c>
      <c r="AQ127" t="s">
        <v>12513</v>
      </c>
      <c r="AR127" t="s">
        <v>14909</v>
      </c>
      <c r="AS127" t="s">
        <v>1591</v>
      </c>
      <c r="AT127" t="s">
        <v>1591</v>
      </c>
      <c r="AU127" t="s">
        <v>14908</v>
      </c>
      <c r="AV127" t="s">
        <v>14908</v>
      </c>
      <c r="AW127">
        <v>392</v>
      </c>
      <c r="AX127">
        <v>392</v>
      </c>
      <c r="AY127">
        <v>392</v>
      </c>
      <c r="AZ127" t="s">
        <v>1591</v>
      </c>
      <c r="BA127" t="s">
        <v>14908</v>
      </c>
      <c r="BB127">
        <v>23424856</v>
      </c>
      <c r="BC127">
        <v>23424856</v>
      </c>
      <c r="BD127" t="s">
        <v>12254</v>
      </c>
      <c r="BE127" t="s">
        <v>14908</v>
      </c>
      <c r="BG127" t="s">
        <v>14908</v>
      </c>
      <c r="BH127" t="s">
        <v>14908</v>
      </c>
      <c r="BI127" t="s">
        <v>14908</v>
      </c>
      <c r="BJ127" t="s">
        <v>14908</v>
      </c>
      <c r="BK127" t="s">
        <v>14908</v>
      </c>
      <c r="BL127" t="s">
        <v>14908</v>
      </c>
      <c r="BM127" t="s">
        <v>14908</v>
      </c>
      <c r="BN127" t="s">
        <v>14908</v>
      </c>
      <c r="BO127" t="s">
        <v>14908</v>
      </c>
      <c r="BP127" t="s">
        <v>14908</v>
      </c>
      <c r="BQ127" t="s">
        <v>14908</v>
      </c>
      <c r="BR127" t="s">
        <v>14908</v>
      </c>
      <c r="BS127" t="s">
        <v>14908</v>
      </c>
      <c r="BT127" t="s">
        <v>14908</v>
      </c>
      <c r="BU127" t="s">
        <v>14908</v>
      </c>
      <c r="BV127" t="s">
        <v>14908</v>
      </c>
      <c r="BW127" t="s">
        <v>14908</v>
      </c>
      <c r="BX127" t="s">
        <v>14908</v>
      </c>
      <c r="BY127" t="s">
        <v>14908</v>
      </c>
      <c r="BZ127" t="s">
        <v>14908</v>
      </c>
      <c r="CA127" t="s">
        <v>14908</v>
      </c>
      <c r="CB127" t="s">
        <v>14908</v>
      </c>
      <c r="CC127" t="s">
        <v>14908</v>
      </c>
      <c r="CD127" t="s">
        <v>14908</v>
      </c>
      <c r="CE127" t="s">
        <v>14908</v>
      </c>
      <c r="CF127" t="s">
        <v>14908</v>
      </c>
      <c r="CG127" t="s">
        <v>14908</v>
      </c>
      <c r="CH127" t="s">
        <v>14908</v>
      </c>
      <c r="CI127" t="s">
        <v>14908</v>
      </c>
      <c r="CJ127" t="s">
        <v>14908</v>
      </c>
      <c r="CK127" t="s">
        <v>14908</v>
      </c>
      <c r="CL127" t="s">
        <v>14908</v>
      </c>
      <c r="CM127">
        <v>-99</v>
      </c>
      <c r="CN127">
        <v>-99</v>
      </c>
      <c r="CO127" t="s">
        <v>12255</v>
      </c>
      <c r="CP127" t="s">
        <v>12255</v>
      </c>
      <c r="CQ127" t="s">
        <v>13649</v>
      </c>
      <c r="CR127" t="s">
        <v>12539</v>
      </c>
      <c r="CS127">
        <v>5</v>
      </c>
      <c r="CT127">
        <v>5</v>
      </c>
      <c r="CU127">
        <v>5</v>
      </c>
      <c r="CV127">
        <v>-99</v>
      </c>
      <c r="CW127">
        <v>1</v>
      </c>
      <c r="CX127">
        <v>0</v>
      </c>
      <c r="CY127">
        <v>1.7</v>
      </c>
      <c r="CZ127">
        <v>7</v>
      </c>
      <c r="DA127">
        <v>138.44217</v>
      </c>
      <c r="DB127">
        <v>36.142538000000002</v>
      </c>
      <c r="DC127">
        <v>1159320937</v>
      </c>
      <c r="DD127" t="s">
        <v>14910</v>
      </c>
      <c r="DE127" t="s">
        <v>14911</v>
      </c>
      <c r="DF127" t="s">
        <v>14912</v>
      </c>
      <c r="DG127" t="s">
        <v>83</v>
      </c>
      <c r="DH127" t="s">
        <v>83</v>
      </c>
      <c r="DI127" t="s">
        <v>14913</v>
      </c>
      <c r="DJ127" t="s">
        <v>14914</v>
      </c>
      <c r="DK127" t="s">
        <v>14915</v>
      </c>
      <c r="DL127" t="s">
        <v>14916</v>
      </c>
      <c r="DM127" t="s">
        <v>14917</v>
      </c>
      <c r="DN127" t="s">
        <v>14918</v>
      </c>
      <c r="DO127" t="s">
        <v>14919</v>
      </c>
      <c r="DP127" t="s">
        <v>14920</v>
      </c>
      <c r="DQ127" t="s">
        <v>14921</v>
      </c>
      <c r="DR127" t="s">
        <v>14922</v>
      </c>
      <c r="DS127" t="s">
        <v>14923</v>
      </c>
      <c r="DT127" t="s">
        <v>83</v>
      </c>
      <c r="DU127" t="s">
        <v>14924</v>
      </c>
      <c r="DV127" t="s">
        <v>14925</v>
      </c>
      <c r="DW127" t="s">
        <v>14926</v>
      </c>
      <c r="DX127" t="s">
        <v>83</v>
      </c>
      <c r="DY127" t="s">
        <v>14927</v>
      </c>
      <c r="DZ127" t="s">
        <v>14928</v>
      </c>
      <c r="EA127" t="s">
        <v>14929</v>
      </c>
      <c r="EB127" t="s">
        <v>14930</v>
      </c>
      <c r="EC127" t="s">
        <v>14922</v>
      </c>
      <c r="ED127" t="s">
        <v>14922</v>
      </c>
      <c r="EE127" t="s">
        <v>12247</v>
      </c>
      <c r="EG127" t="s">
        <v>12247</v>
      </c>
    </row>
    <row r="128" spans="1:167" x14ac:dyDescent="0.25">
      <c r="A128" t="s">
        <v>1218</v>
      </c>
      <c r="B128" t="s">
        <v>12247</v>
      </c>
      <c r="C128">
        <v>5</v>
      </c>
      <c r="D128">
        <v>6</v>
      </c>
      <c r="E128" t="s">
        <v>182</v>
      </c>
      <c r="F128" t="s">
        <v>12479</v>
      </c>
      <c r="G128">
        <v>1</v>
      </c>
      <c r="H128">
        <v>2</v>
      </c>
      <c r="I128" t="s">
        <v>12507</v>
      </c>
      <c r="J128">
        <v>1</v>
      </c>
      <c r="K128" t="s">
        <v>1218</v>
      </c>
      <c r="L128" t="s">
        <v>15887</v>
      </c>
      <c r="M128">
        <v>0</v>
      </c>
      <c r="N128" t="s">
        <v>1218</v>
      </c>
      <c r="O128" t="s">
        <v>15887</v>
      </c>
      <c r="P128">
        <v>0</v>
      </c>
      <c r="Q128" t="s">
        <v>1218</v>
      </c>
      <c r="R128" t="s">
        <v>15887</v>
      </c>
      <c r="S128">
        <v>0</v>
      </c>
      <c r="T128" t="s">
        <v>1218</v>
      </c>
      <c r="U128" t="s">
        <v>15887</v>
      </c>
      <c r="V128" t="s">
        <v>1218</v>
      </c>
      <c r="W128" t="s">
        <v>15739</v>
      </c>
      <c r="X128" t="s">
        <v>15888</v>
      </c>
      <c r="Y128" t="s">
        <v>1582</v>
      </c>
      <c r="Z128" t="s">
        <v>15889</v>
      </c>
      <c r="AB128" t="s">
        <v>1218</v>
      </c>
      <c r="AC128" t="s">
        <v>12486</v>
      </c>
      <c r="AD128" t="s">
        <v>15742</v>
      </c>
      <c r="AE128" t="s">
        <v>1218</v>
      </c>
      <c r="AG128">
        <v>6</v>
      </c>
      <c r="AH128">
        <v>6</v>
      </c>
      <c r="AI128">
        <v>6</v>
      </c>
      <c r="AJ128">
        <v>3</v>
      </c>
      <c r="AK128">
        <v>107800</v>
      </c>
      <c r="AL128">
        <v>9</v>
      </c>
      <c r="AM128">
        <v>2019</v>
      </c>
      <c r="AN128">
        <v>5080</v>
      </c>
      <c r="AO128">
        <v>2015</v>
      </c>
      <c r="AP128" t="s">
        <v>12334</v>
      </c>
      <c r="AQ128" t="s">
        <v>12335</v>
      </c>
      <c r="AR128" t="s">
        <v>1582</v>
      </c>
      <c r="AS128" t="s">
        <v>1582</v>
      </c>
      <c r="AT128" t="s">
        <v>1582</v>
      </c>
      <c r="AU128" t="s">
        <v>15887</v>
      </c>
      <c r="AV128" t="s">
        <v>15887</v>
      </c>
      <c r="AW128">
        <v>832</v>
      </c>
      <c r="AX128">
        <v>832</v>
      </c>
      <c r="AY128">
        <v>832</v>
      </c>
      <c r="AZ128" t="s">
        <v>15744</v>
      </c>
      <c r="BA128" t="s">
        <v>15745</v>
      </c>
      <c r="BB128">
        <v>23424857</v>
      </c>
      <c r="BC128">
        <v>23424857</v>
      </c>
      <c r="BD128" t="s">
        <v>12254</v>
      </c>
      <c r="BE128" t="s">
        <v>15887</v>
      </c>
      <c r="BG128" t="s">
        <v>15887</v>
      </c>
      <c r="BH128" t="s">
        <v>15887</v>
      </c>
      <c r="BI128" t="s">
        <v>15887</v>
      </c>
      <c r="BJ128" t="s">
        <v>15887</v>
      </c>
      <c r="BK128" t="s">
        <v>15887</v>
      </c>
      <c r="BL128" t="s">
        <v>15887</v>
      </c>
      <c r="BM128" t="s">
        <v>15887</v>
      </c>
      <c r="BN128" t="s">
        <v>15887</v>
      </c>
      <c r="BO128" t="s">
        <v>15887</v>
      </c>
      <c r="BP128" t="s">
        <v>15887</v>
      </c>
      <c r="BQ128" t="s">
        <v>15887</v>
      </c>
      <c r="BR128" t="s">
        <v>15887</v>
      </c>
      <c r="BS128" t="s">
        <v>15887</v>
      </c>
      <c r="BT128" t="s">
        <v>15887</v>
      </c>
      <c r="BU128" t="s">
        <v>15887</v>
      </c>
      <c r="BV128" t="s">
        <v>15887</v>
      </c>
      <c r="BW128" t="s">
        <v>15887</v>
      </c>
      <c r="BX128" t="s">
        <v>15887</v>
      </c>
      <c r="BY128" t="s">
        <v>15887</v>
      </c>
      <c r="BZ128" t="s">
        <v>15887</v>
      </c>
      <c r="CA128" t="s">
        <v>15887</v>
      </c>
      <c r="CB128" t="s">
        <v>15887</v>
      </c>
      <c r="CC128" t="s">
        <v>15887</v>
      </c>
      <c r="CD128" t="s">
        <v>15887</v>
      </c>
      <c r="CE128" t="s">
        <v>15887</v>
      </c>
      <c r="CF128" t="s">
        <v>15887</v>
      </c>
      <c r="CG128" t="s">
        <v>15887</v>
      </c>
      <c r="CH128" t="s">
        <v>15887</v>
      </c>
      <c r="CI128" t="s">
        <v>15887</v>
      </c>
      <c r="CJ128" t="s">
        <v>15887</v>
      </c>
      <c r="CK128" t="s">
        <v>15887</v>
      </c>
      <c r="CL128" t="s">
        <v>15887</v>
      </c>
      <c r="CM128">
        <v>-99</v>
      </c>
      <c r="CN128">
        <v>-99</v>
      </c>
      <c r="CO128" t="s">
        <v>12279</v>
      </c>
      <c r="CP128" t="s">
        <v>12279</v>
      </c>
      <c r="CQ128" t="s">
        <v>12515</v>
      </c>
      <c r="CR128" t="s">
        <v>12281</v>
      </c>
      <c r="CS128">
        <v>6</v>
      </c>
      <c r="CT128">
        <v>6</v>
      </c>
      <c r="CU128">
        <v>4</v>
      </c>
      <c r="CV128">
        <v>-99</v>
      </c>
      <c r="CW128">
        <v>-99</v>
      </c>
      <c r="CX128">
        <v>0</v>
      </c>
      <c r="CY128">
        <v>5</v>
      </c>
      <c r="CZ128">
        <v>10</v>
      </c>
      <c r="DA128">
        <v>-2.0901459999999998</v>
      </c>
      <c r="DB128">
        <v>49.220807999999998</v>
      </c>
      <c r="DC128">
        <v>1159320725</v>
      </c>
      <c r="DD128" t="s">
        <v>15890</v>
      </c>
      <c r="DE128" t="s">
        <v>15891</v>
      </c>
      <c r="DF128" t="s">
        <v>15892</v>
      </c>
      <c r="DG128" t="s">
        <v>1218</v>
      </c>
      <c r="DH128" t="s">
        <v>1218</v>
      </c>
      <c r="DI128" t="s">
        <v>1218</v>
      </c>
      <c r="DJ128" t="s">
        <v>15893</v>
      </c>
      <c r="DK128" t="s">
        <v>1218</v>
      </c>
      <c r="DL128" t="s">
        <v>15894</v>
      </c>
      <c r="DM128" t="s">
        <v>15895</v>
      </c>
      <c r="DN128" t="s">
        <v>15896</v>
      </c>
      <c r="DO128" t="s">
        <v>1218</v>
      </c>
      <c r="DP128" t="s">
        <v>1218</v>
      </c>
      <c r="DQ128" t="s">
        <v>15897</v>
      </c>
      <c r="DR128" t="s">
        <v>15898</v>
      </c>
      <c r="DS128" t="s">
        <v>15899</v>
      </c>
      <c r="DT128" t="s">
        <v>1218</v>
      </c>
      <c r="DU128" t="s">
        <v>1218</v>
      </c>
      <c r="DV128" t="s">
        <v>1218</v>
      </c>
      <c r="DW128" t="s">
        <v>15900</v>
      </c>
      <c r="DX128" t="s">
        <v>1218</v>
      </c>
      <c r="DY128" t="s">
        <v>1218</v>
      </c>
      <c r="DZ128" t="s">
        <v>15901</v>
      </c>
      <c r="EA128" t="s">
        <v>15893</v>
      </c>
      <c r="EB128" t="s">
        <v>1218</v>
      </c>
      <c r="EC128" t="s">
        <v>15902</v>
      </c>
      <c r="ED128" t="s">
        <v>15903</v>
      </c>
      <c r="EE128" t="s">
        <v>12247</v>
      </c>
      <c r="EG128" t="s">
        <v>12247</v>
      </c>
    </row>
    <row r="129" spans="1:253" x14ac:dyDescent="0.25">
      <c r="A129" t="s">
        <v>84</v>
      </c>
      <c r="B129" t="s">
        <v>12247</v>
      </c>
      <c r="C129">
        <v>0</v>
      </c>
      <c r="D129">
        <v>4</v>
      </c>
      <c r="E129" t="s">
        <v>84</v>
      </c>
      <c r="F129" t="s">
        <v>14931</v>
      </c>
      <c r="G129">
        <v>0</v>
      </c>
      <c r="H129">
        <v>2</v>
      </c>
      <c r="I129" t="s">
        <v>12249</v>
      </c>
      <c r="J129">
        <v>1</v>
      </c>
      <c r="K129" t="s">
        <v>84</v>
      </c>
      <c r="L129" t="s">
        <v>14931</v>
      </c>
      <c r="M129">
        <v>0</v>
      </c>
      <c r="N129" t="s">
        <v>84</v>
      </c>
      <c r="O129" t="s">
        <v>14931</v>
      </c>
      <c r="P129">
        <v>0</v>
      </c>
      <c r="Q129" t="s">
        <v>84</v>
      </c>
      <c r="R129" t="s">
        <v>14931</v>
      </c>
      <c r="S129">
        <v>0</v>
      </c>
      <c r="T129" t="s">
        <v>84</v>
      </c>
      <c r="U129" t="s">
        <v>14931</v>
      </c>
      <c r="V129" t="s">
        <v>84</v>
      </c>
      <c r="X129" t="s">
        <v>14932</v>
      </c>
      <c r="Y129" t="s">
        <v>14890</v>
      </c>
      <c r="Z129" t="s">
        <v>14933</v>
      </c>
      <c r="AB129" t="s">
        <v>84</v>
      </c>
      <c r="AE129" t="s">
        <v>84</v>
      </c>
      <c r="AG129">
        <v>5</v>
      </c>
      <c r="AH129">
        <v>3</v>
      </c>
      <c r="AI129">
        <v>4</v>
      </c>
      <c r="AJ129">
        <v>4</v>
      </c>
      <c r="AK129">
        <v>10101694</v>
      </c>
      <c r="AL129">
        <v>14</v>
      </c>
      <c r="AM129">
        <v>2019</v>
      </c>
      <c r="AN129">
        <v>44502</v>
      </c>
      <c r="AO129">
        <v>2019</v>
      </c>
      <c r="AP129" t="s">
        <v>12277</v>
      </c>
      <c r="AQ129" t="s">
        <v>12305</v>
      </c>
      <c r="AR129" t="s">
        <v>1588</v>
      </c>
      <c r="AS129" t="s">
        <v>1588</v>
      </c>
      <c r="AT129" t="s">
        <v>1588</v>
      </c>
      <c r="AU129" t="s">
        <v>14931</v>
      </c>
      <c r="AV129" t="s">
        <v>14931</v>
      </c>
      <c r="AW129">
        <v>400</v>
      </c>
      <c r="AX129">
        <v>400</v>
      </c>
      <c r="AY129">
        <v>400</v>
      </c>
      <c r="AZ129" t="s">
        <v>1588</v>
      </c>
      <c r="BA129" t="s">
        <v>14931</v>
      </c>
      <c r="BB129">
        <v>23424860</v>
      </c>
      <c r="BC129">
        <v>23424860</v>
      </c>
      <c r="BD129" t="s">
        <v>12254</v>
      </c>
      <c r="BE129" t="s">
        <v>14931</v>
      </c>
      <c r="BG129" t="s">
        <v>14931</v>
      </c>
      <c r="BH129" t="s">
        <v>14931</v>
      </c>
      <c r="BI129" t="s">
        <v>14931</v>
      </c>
      <c r="BJ129" t="s">
        <v>14931</v>
      </c>
      <c r="BK129" t="s">
        <v>14931</v>
      </c>
      <c r="BL129" t="s">
        <v>14931</v>
      </c>
      <c r="BM129" t="s">
        <v>14931</v>
      </c>
      <c r="BN129" t="s">
        <v>14931</v>
      </c>
      <c r="BO129" t="s">
        <v>14931</v>
      </c>
      <c r="BP129" t="s">
        <v>14931</v>
      </c>
      <c r="BQ129" t="s">
        <v>14931</v>
      </c>
      <c r="BR129" t="s">
        <v>14931</v>
      </c>
      <c r="BS129" t="s">
        <v>14931</v>
      </c>
      <c r="BT129" t="s">
        <v>14931</v>
      </c>
      <c r="BU129" t="s">
        <v>14931</v>
      </c>
      <c r="BV129" t="s">
        <v>14931</v>
      </c>
      <c r="BW129" t="s">
        <v>14931</v>
      </c>
      <c r="BX129" t="s">
        <v>14931</v>
      </c>
      <c r="BY129" t="s">
        <v>14931</v>
      </c>
      <c r="BZ129" t="s">
        <v>14931</v>
      </c>
      <c r="CA129" t="s">
        <v>14931</v>
      </c>
      <c r="CB129" t="s">
        <v>14931</v>
      </c>
      <c r="CC129" t="s">
        <v>14931</v>
      </c>
      <c r="CD129" t="s">
        <v>14931</v>
      </c>
      <c r="CE129" t="s">
        <v>14931</v>
      </c>
      <c r="CF129" t="s">
        <v>14931</v>
      </c>
      <c r="CG129" t="s">
        <v>14931</v>
      </c>
      <c r="CH129" t="s">
        <v>14931</v>
      </c>
      <c r="CI129" t="s">
        <v>14931</v>
      </c>
      <c r="CJ129" t="s">
        <v>14931</v>
      </c>
      <c r="CK129" t="s">
        <v>14931</v>
      </c>
      <c r="CL129" t="s">
        <v>14931</v>
      </c>
      <c r="CM129">
        <v>-99</v>
      </c>
      <c r="CN129">
        <v>-99</v>
      </c>
      <c r="CO129" t="s">
        <v>12255</v>
      </c>
      <c r="CP129" t="s">
        <v>12255</v>
      </c>
      <c r="CQ129" t="s">
        <v>12458</v>
      </c>
      <c r="CR129" t="s">
        <v>12308</v>
      </c>
      <c r="CS129">
        <v>6</v>
      </c>
      <c r="CT129">
        <v>6</v>
      </c>
      <c r="CU129">
        <v>5</v>
      </c>
      <c r="CV129">
        <v>-99</v>
      </c>
      <c r="CW129">
        <v>1</v>
      </c>
      <c r="CX129">
        <v>0</v>
      </c>
      <c r="CY129">
        <v>4</v>
      </c>
      <c r="CZ129">
        <v>9</v>
      </c>
      <c r="DA129">
        <v>36.375990999999999</v>
      </c>
      <c r="DB129">
        <v>30.805025000000001</v>
      </c>
      <c r="DC129">
        <v>1159320935</v>
      </c>
      <c r="DD129" t="s">
        <v>14934</v>
      </c>
      <c r="DE129" t="s">
        <v>14935</v>
      </c>
      <c r="DF129" t="s">
        <v>14936</v>
      </c>
      <c r="DG129" t="s">
        <v>14937</v>
      </c>
      <c r="DH129" t="s">
        <v>84</v>
      </c>
      <c r="DI129" t="s">
        <v>14938</v>
      </c>
      <c r="DJ129" t="s">
        <v>14939</v>
      </c>
      <c r="DK129" t="s">
        <v>14940</v>
      </c>
      <c r="DL129" t="s">
        <v>14941</v>
      </c>
      <c r="DM129" t="s">
        <v>14942</v>
      </c>
      <c r="DN129" t="s">
        <v>14943</v>
      </c>
      <c r="DO129" t="s">
        <v>14944</v>
      </c>
      <c r="DP129" t="s">
        <v>14945</v>
      </c>
      <c r="DQ129" t="s">
        <v>14946</v>
      </c>
      <c r="DR129" t="s">
        <v>14947</v>
      </c>
      <c r="DS129" t="s">
        <v>14948</v>
      </c>
      <c r="DT129" t="s">
        <v>14949</v>
      </c>
      <c r="DU129" t="s">
        <v>14938</v>
      </c>
      <c r="DV129" t="s">
        <v>14950</v>
      </c>
      <c r="DW129" t="s">
        <v>14951</v>
      </c>
      <c r="DX129" t="s">
        <v>14937</v>
      </c>
      <c r="DY129" t="s">
        <v>14952</v>
      </c>
      <c r="DZ129" t="s">
        <v>14953</v>
      </c>
      <c r="EA129" t="s">
        <v>14939</v>
      </c>
      <c r="EB129" t="s">
        <v>84</v>
      </c>
      <c r="EC129" t="s">
        <v>14954</v>
      </c>
      <c r="ED129" t="s">
        <v>14955</v>
      </c>
      <c r="EE129" t="s">
        <v>12247</v>
      </c>
      <c r="EG129" t="s">
        <v>12247</v>
      </c>
    </row>
    <row r="130" spans="1:253" x14ac:dyDescent="0.25">
      <c r="A130" t="s">
        <v>85</v>
      </c>
      <c r="B130" t="s">
        <v>12247</v>
      </c>
      <c r="C130">
        <v>0</v>
      </c>
      <c r="D130">
        <v>3</v>
      </c>
      <c r="E130" t="s">
        <v>85</v>
      </c>
      <c r="F130" t="s">
        <v>13287</v>
      </c>
      <c r="G130">
        <v>1</v>
      </c>
      <c r="H130">
        <v>1</v>
      </c>
      <c r="I130" t="s">
        <v>14110</v>
      </c>
      <c r="J130">
        <v>1</v>
      </c>
      <c r="K130" t="s">
        <v>85</v>
      </c>
      <c r="L130" t="s">
        <v>13297</v>
      </c>
      <c r="M130">
        <v>0</v>
      </c>
      <c r="N130" t="s">
        <v>85</v>
      </c>
      <c r="O130" t="s">
        <v>13297</v>
      </c>
      <c r="P130">
        <v>0</v>
      </c>
      <c r="Q130" t="s">
        <v>85</v>
      </c>
      <c r="R130" t="s">
        <v>13297</v>
      </c>
      <c r="S130">
        <v>0</v>
      </c>
      <c r="T130" t="s">
        <v>85</v>
      </c>
      <c r="U130" t="s">
        <v>13297</v>
      </c>
      <c r="V130" t="s">
        <v>85</v>
      </c>
      <c r="X130" t="s">
        <v>17498</v>
      </c>
      <c r="Y130" t="s">
        <v>1625</v>
      </c>
      <c r="Z130" t="s">
        <v>17499</v>
      </c>
      <c r="AB130" t="s">
        <v>85</v>
      </c>
      <c r="AE130" t="s">
        <v>85</v>
      </c>
      <c r="AG130">
        <v>6</v>
      </c>
      <c r="AH130">
        <v>1</v>
      </c>
      <c r="AI130">
        <v>6</v>
      </c>
      <c r="AJ130">
        <v>1</v>
      </c>
      <c r="AK130">
        <v>18513930</v>
      </c>
      <c r="AL130">
        <v>14</v>
      </c>
      <c r="AM130">
        <v>2019</v>
      </c>
      <c r="AN130">
        <v>181665</v>
      </c>
      <c r="AO130">
        <v>2019</v>
      </c>
      <c r="AP130" t="s">
        <v>12277</v>
      </c>
      <c r="AQ130" t="s">
        <v>12305</v>
      </c>
      <c r="AR130" t="s">
        <v>1625</v>
      </c>
      <c r="AS130" t="s">
        <v>1625</v>
      </c>
      <c r="AT130" t="s">
        <v>1625</v>
      </c>
      <c r="AU130" t="s">
        <v>13297</v>
      </c>
      <c r="AV130" t="s">
        <v>13297</v>
      </c>
      <c r="AW130">
        <v>398</v>
      </c>
      <c r="AX130">
        <v>398</v>
      </c>
      <c r="AY130">
        <v>398</v>
      </c>
      <c r="AZ130" t="s">
        <v>1625</v>
      </c>
      <c r="BA130" t="s">
        <v>13297</v>
      </c>
      <c r="BB130">
        <v>-90</v>
      </c>
      <c r="BC130">
        <v>23424871</v>
      </c>
      <c r="BD130" t="s">
        <v>17500</v>
      </c>
      <c r="BE130" t="s">
        <v>13297</v>
      </c>
      <c r="BG130" t="s">
        <v>13297</v>
      </c>
      <c r="BH130" t="s">
        <v>13297</v>
      </c>
      <c r="BI130" t="s">
        <v>13297</v>
      </c>
      <c r="BJ130" t="s">
        <v>13297</v>
      </c>
      <c r="BK130" t="s">
        <v>13297</v>
      </c>
      <c r="BL130" t="s">
        <v>13297</v>
      </c>
      <c r="BM130" t="s">
        <v>13297</v>
      </c>
      <c r="BN130" t="s">
        <v>13297</v>
      </c>
      <c r="BO130" t="s">
        <v>13297</v>
      </c>
      <c r="BP130" t="s">
        <v>13297</v>
      </c>
      <c r="BQ130" t="s">
        <v>13297</v>
      </c>
      <c r="BR130" t="s">
        <v>13297</v>
      </c>
      <c r="BS130" t="s">
        <v>13297</v>
      </c>
      <c r="BT130" t="s">
        <v>13297</v>
      </c>
      <c r="BU130" t="s">
        <v>13297</v>
      </c>
      <c r="BV130" t="s">
        <v>13297</v>
      </c>
      <c r="BW130" t="s">
        <v>13297</v>
      </c>
      <c r="BX130" t="s">
        <v>13297</v>
      </c>
      <c r="BY130" t="s">
        <v>13297</v>
      </c>
      <c r="BZ130" t="s">
        <v>13297</v>
      </c>
      <c r="CA130" t="s">
        <v>13297</v>
      </c>
      <c r="CB130" t="s">
        <v>13297</v>
      </c>
      <c r="CC130" t="s">
        <v>13297</v>
      </c>
      <c r="CD130" t="s">
        <v>13297</v>
      </c>
      <c r="CE130" t="s">
        <v>13297</v>
      </c>
      <c r="CF130" t="s">
        <v>13297</v>
      </c>
      <c r="CG130" t="s">
        <v>13297</v>
      </c>
      <c r="CH130" t="s">
        <v>13297</v>
      </c>
      <c r="CI130" t="s">
        <v>13297</v>
      </c>
      <c r="CJ130" t="s">
        <v>13297</v>
      </c>
      <c r="CK130" t="s">
        <v>13297</v>
      </c>
      <c r="CL130" t="s">
        <v>13297</v>
      </c>
      <c r="CM130">
        <v>-99</v>
      </c>
      <c r="CN130">
        <v>-99</v>
      </c>
      <c r="CO130" t="s">
        <v>12255</v>
      </c>
      <c r="CP130" t="s">
        <v>12255</v>
      </c>
      <c r="CQ130" t="s">
        <v>13299</v>
      </c>
      <c r="CR130" t="s">
        <v>12281</v>
      </c>
      <c r="CS130">
        <v>10</v>
      </c>
      <c r="CT130">
        <v>10</v>
      </c>
      <c r="CU130">
        <v>4</v>
      </c>
      <c r="CV130">
        <v>-99</v>
      </c>
      <c r="CW130">
        <v>1</v>
      </c>
      <c r="CX130">
        <v>0</v>
      </c>
      <c r="CY130">
        <v>2.7</v>
      </c>
      <c r="CZ130">
        <v>7</v>
      </c>
      <c r="DA130">
        <v>68.685547999999997</v>
      </c>
      <c r="DB130">
        <v>49.054149000000002</v>
      </c>
      <c r="DC130">
        <v>1159320967</v>
      </c>
      <c r="DD130" t="s">
        <v>17501</v>
      </c>
      <c r="DE130" t="s">
        <v>17502</v>
      </c>
      <c r="DF130" t="s">
        <v>17503</v>
      </c>
      <c r="DG130" t="s">
        <v>17504</v>
      </c>
      <c r="DH130" t="s">
        <v>85</v>
      </c>
      <c r="DI130" t="s">
        <v>17505</v>
      </c>
      <c r="DJ130" t="s">
        <v>17506</v>
      </c>
      <c r="DK130" t="s">
        <v>85</v>
      </c>
      <c r="DL130" t="s">
        <v>17507</v>
      </c>
      <c r="DM130" t="s">
        <v>17508</v>
      </c>
      <c r="DN130" t="s">
        <v>17509</v>
      </c>
      <c r="DO130" t="s">
        <v>17510</v>
      </c>
      <c r="DP130" t="s">
        <v>85</v>
      </c>
      <c r="DQ130" t="s">
        <v>17511</v>
      </c>
      <c r="DR130" t="s">
        <v>17512</v>
      </c>
      <c r="DS130" t="s">
        <v>17513</v>
      </c>
      <c r="DT130" t="s">
        <v>17514</v>
      </c>
      <c r="DU130" t="s">
        <v>17514</v>
      </c>
      <c r="DV130" t="s">
        <v>17515</v>
      </c>
      <c r="DW130" t="s">
        <v>17516</v>
      </c>
      <c r="DX130" t="s">
        <v>17517</v>
      </c>
      <c r="DY130" t="s">
        <v>17511</v>
      </c>
      <c r="DZ130" t="s">
        <v>17516</v>
      </c>
      <c r="EA130" t="s">
        <v>17518</v>
      </c>
      <c r="EB130" t="s">
        <v>85</v>
      </c>
      <c r="EC130" t="s">
        <v>17519</v>
      </c>
      <c r="ED130" t="s">
        <v>17520</v>
      </c>
      <c r="EE130" t="s">
        <v>12247</v>
      </c>
      <c r="EG130" t="s">
        <v>12247</v>
      </c>
    </row>
    <row r="131" spans="1:253" x14ac:dyDescent="0.25">
      <c r="A131" t="s">
        <v>86</v>
      </c>
      <c r="B131" t="s">
        <v>12247</v>
      </c>
      <c r="C131">
        <v>0</v>
      </c>
      <c r="D131">
        <v>2</v>
      </c>
      <c r="E131" t="s">
        <v>86</v>
      </c>
      <c r="F131" t="s">
        <v>15024</v>
      </c>
      <c r="G131">
        <v>0</v>
      </c>
      <c r="H131">
        <v>2</v>
      </c>
      <c r="I131" t="s">
        <v>12249</v>
      </c>
      <c r="J131">
        <v>1</v>
      </c>
      <c r="K131" t="s">
        <v>86</v>
      </c>
      <c r="L131" t="s">
        <v>15024</v>
      </c>
      <c r="M131">
        <v>0</v>
      </c>
      <c r="N131" t="s">
        <v>86</v>
      </c>
      <c r="O131" t="s">
        <v>15024</v>
      </c>
      <c r="P131">
        <v>0</v>
      </c>
      <c r="Q131" t="s">
        <v>86</v>
      </c>
      <c r="R131" t="s">
        <v>15024</v>
      </c>
      <c r="S131">
        <v>0</v>
      </c>
      <c r="T131" t="s">
        <v>86</v>
      </c>
      <c r="U131" t="s">
        <v>15024</v>
      </c>
      <c r="V131" t="s">
        <v>86</v>
      </c>
      <c r="X131" t="s">
        <v>15025</v>
      </c>
      <c r="Y131" t="s">
        <v>1594</v>
      </c>
      <c r="Z131" t="s">
        <v>15026</v>
      </c>
      <c r="AB131" t="s">
        <v>86</v>
      </c>
      <c r="AE131" t="s">
        <v>86</v>
      </c>
      <c r="AG131">
        <v>5</v>
      </c>
      <c r="AH131">
        <v>2</v>
      </c>
      <c r="AI131">
        <v>7</v>
      </c>
      <c r="AJ131">
        <v>3</v>
      </c>
      <c r="AK131">
        <v>52573973</v>
      </c>
      <c r="AL131">
        <v>16</v>
      </c>
      <c r="AM131">
        <v>2019</v>
      </c>
      <c r="AN131">
        <v>95503</v>
      </c>
      <c r="AO131">
        <v>2019</v>
      </c>
      <c r="AP131" t="s">
        <v>12435</v>
      </c>
      <c r="AQ131" t="s">
        <v>12253</v>
      </c>
      <c r="AR131" t="s">
        <v>1594</v>
      </c>
      <c r="AS131" t="s">
        <v>1594</v>
      </c>
      <c r="AT131" t="s">
        <v>1594</v>
      </c>
      <c r="AU131" t="s">
        <v>15024</v>
      </c>
      <c r="AV131" t="s">
        <v>15024</v>
      </c>
      <c r="AW131">
        <v>404</v>
      </c>
      <c r="AX131">
        <v>404</v>
      </c>
      <c r="AY131">
        <v>404</v>
      </c>
      <c r="AZ131" t="s">
        <v>1594</v>
      </c>
      <c r="BA131" t="s">
        <v>15024</v>
      </c>
      <c r="BB131">
        <v>23424863</v>
      </c>
      <c r="BC131">
        <v>23424863</v>
      </c>
      <c r="BD131" t="s">
        <v>12254</v>
      </c>
      <c r="BE131" t="s">
        <v>15024</v>
      </c>
      <c r="BG131" t="s">
        <v>15024</v>
      </c>
      <c r="BH131" t="s">
        <v>15024</v>
      </c>
      <c r="BI131" t="s">
        <v>15024</v>
      </c>
      <c r="BJ131" t="s">
        <v>15024</v>
      </c>
      <c r="BK131" t="s">
        <v>15024</v>
      </c>
      <c r="BL131" t="s">
        <v>15024</v>
      </c>
      <c r="BM131" t="s">
        <v>15024</v>
      </c>
      <c r="BN131" t="s">
        <v>15024</v>
      </c>
      <c r="BO131" t="s">
        <v>15024</v>
      </c>
      <c r="BP131" t="s">
        <v>15024</v>
      </c>
      <c r="BQ131" t="s">
        <v>15024</v>
      </c>
      <c r="BR131" t="s">
        <v>15024</v>
      </c>
      <c r="BS131" t="s">
        <v>15024</v>
      </c>
      <c r="BT131" t="s">
        <v>15024</v>
      </c>
      <c r="BU131" t="s">
        <v>15024</v>
      </c>
      <c r="BV131" t="s">
        <v>15024</v>
      </c>
      <c r="BW131" t="s">
        <v>15024</v>
      </c>
      <c r="BX131" t="s">
        <v>15024</v>
      </c>
      <c r="BY131" t="s">
        <v>15024</v>
      </c>
      <c r="BZ131" t="s">
        <v>15024</v>
      </c>
      <c r="CA131" t="s">
        <v>15024</v>
      </c>
      <c r="CB131" t="s">
        <v>15024</v>
      </c>
      <c r="CC131" t="s">
        <v>15024</v>
      </c>
      <c r="CD131" t="s">
        <v>15024</v>
      </c>
      <c r="CE131" t="s">
        <v>15024</v>
      </c>
      <c r="CF131" t="s">
        <v>15024</v>
      </c>
      <c r="CG131" t="s">
        <v>15024</v>
      </c>
      <c r="CH131" t="s">
        <v>15024</v>
      </c>
      <c r="CI131" t="s">
        <v>15024</v>
      </c>
      <c r="CJ131" t="s">
        <v>15024</v>
      </c>
      <c r="CK131" t="s">
        <v>15024</v>
      </c>
      <c r="CL131" t="s">
        <v>15024</v>
      </c>
      <c r="CM131">
        <v>-99</v>
      </c>
      <c r="CN131">
        <v>-99</v>
      </c>
      <c r="CO131" t="s">
        <v>12306</v>
      </c>
      <c r="CP131" t="s">
        <v>12306</v>
      </c>
      <c r="CQ131" t="s">
        <v>13085</v>
      </c>
      <c r="CR131" t="s">
        <v>12357</v>
      </c>
      <c r="CS131">
        <v>5</v>
      </c>
      <c r="CT131">
        <v>5</v>
      </c>
      <c r="CU131">
        <v>4</v>
      </c>
      <c r="CV131">
        <v>-99</v>
      </c>
      <c r="CW131">
        <v>1</v>
      </c>
      <c r="CX131">
        <v>0</v>
      </c>
      <c r="CY131">
        <v>1.7</v>
      </c>
      <c r="CZ131">
        <v>6.7</v>
      </c>
      <c r="DA131">
        <v>37.907632</v>
      </c>
      <c r="DB131">
        <v>0.54904299999999995</v>
      </c>
      <c r="DC131">
        <v>1159320971</v>
      </c>
      <c r="DD131" t="s">
        <v>15027</v>
      </c>
      <c r="DE131" t="s">
        <v>15028</v>
      </c>
      <c r="DF131" t="s">
        <v>15029</v>
      </c>
      <c r="DG131" t="s">
        <v>15030</v>
      </c>
      <c r="DH131" t="s">
        <v>86</v>
      </c>
      <c r="DI131" t="s">
        <v>15030</v>
      </c>
      <c r="DJ131" t="s">
        <v>15031</v>
      </c>
      <c r="DK131" t="s">
        <v>86</v>
      </c>
      <c r="DL131" t="s">
        <v>15032</v>
      </c>
      <c r="DM131" t="s">
        <v>15033</v>
      </c>
      <c r="DN131" t="s">
        <v>15034</v>
      </c>
      <c r="DO131" t="s">
        <v>86</v>
      </c>
      <c r="DP131" t="s">
        <v>86</v>
      </c>
      <c r="DQ131" t="s">
        <v>86</v>
      </c>
      <c r="DR131" t="s">
        <v>15035</v>
      </c>
      <c r="DS131" t="s">
        <v>15036</v>
      </c>
      <c r="DT131" t="s">
        <v>15030</v>
      </c>
      <c r="DU131" t="s">
        <v>15030</v>
      </c>
      <c r="DV131" t="s">
        <v>15037</v>
      </c>
      <c r="DW131" t="s">
        <v>15038</v>
      </c>
      <c r="DX131" t="s">
        <v>86</v>
      </c>
      <c r="DY131" t="s">
        <v>86</v>
      </c>
      <c r="DZ131" t="s">
        <v>15039</v>
      </c>
      <c r="EA131" t="s">
        <v>15040</v>
      </c>
      <c r="EB131" t="s">
        <v>86</v>
      </c>
      <c r="EC131" t="s">
        <v>15041</v>
      </c>
      <c r="ED131" t="s">
        <v>15042</v>
      </c>
      <c r="EE131" t="s">
        <v>12247</v>
      </c>
      <c r="EG131" t="s">
        <v>12247</v>
      </c>
    </row>
    <row r="132" spans="1:253" x14ac:dyDescent="0.25">
      <c r="A132" t="s">
        <v>87</v>
      </c>
      <c r="B132" t="s">
        <v>12247</v>
      </c>
      <c r="C132">
        <v>3</v>
      </c>
      <c r="D132">
        <v>6</v>
      </c>
      <c r="E132" t="s">
        <v>87</v>
      </c>
      <c r="F132" t="s">
        <v>15043</v>
      </c>
      <c r="G132">
        <v>0</v>
      </c>
      <c r="H132">
        <v>2</v>
      </c>
      <c r="I132" t="s">
        <v>12249</v>
      </c>
      <c r="J132">
        <v>1</v>
      </c>
      <c r="K132" t="s">
        <v>87</v>
      </c>
      <c r="L132" t="s">
        <v>15043</v>
      </c>
      <c r="M132">
        <v>0</v>
      </c>
      <c r="N132" t="s">
        <v>87</v>
      </c>
      <c r="O132" t="s">
        <v>15043</v>
      </c>
      <c r="P132">
        <v>0</v>
      </c>
      <c r="Q132" t="s">
        <v>87</v>
      </c>
      <c r="R132" t="s">
        <v>15043</v>
      </c>
      <c r="S132">
        <v>0</v>
      </c>
      <c r="T132" t="s">
        <v>87</v>
      </c>
      <c r="U132" t="s">
        <v>15043</v>
      </c>
      <c r="V132" t="s">
        <v>87</v>
      </c>
      <c r="X132" t="s">
        <v>15044</v>
      </c>
      <c r="Y132" t="s">
        <v>1603</v>
      </c>
      <c r="Z132" t="s">
        <v>15045</v>
      </c>
      <c r="AB132" t="s">
        <v>87</v>
      </c>
      <c r="AE132" t="s">
        <v>87</v>
      </c>
      <c r="AG132">
        <v>5</v>
      </c>
      <c r="AH132">
        <v>7</v>
      </c>
      <c r="AI132">
        <v>6</v>
      </c>
      <c r="AJ132">
        <v>12</v>
      </c>
      <c r="AK132">
        <v>117606</v>
      </c>
      <c r="AL132">
        <v>9</v>
      </c>
      <c r="AM132">
        <v>2019</v>
      </c>
      <c r="AN132">
        <v>194</v>
      </c>
      <c r="AO132">
        <v>2019</v>
      </c>
      <c r="AP132" t="s">
        <v>12252</v>
      </c>
      <c r="AQ132" t="s">
        <v>12278</v>
      </c>
      <c r="AR132" t="s">
        <v>1616</v>
      </c>
      <c r="AS132" t="s">
        <v>1603</v>
      </c>
      <c r="AT132" t="s">
        <v>1603</v>
      </c>
      <c r="AU132" t="s">
        <v>15043</v>
      </c>
      <c r="AV132" t="s">
        <v>15043</v>
      </c>
      <c r="AW132">
        <v>296</v>
      </c>
      <c r="AX132">
        <v>296</v>
      </c>
      <c r="AY132">
        <v>296</v>
      </c>
      <c r="AZ132" t="s">
        <v>1603</v>
      </c>
      <c r="BA132" t="s">
        <v>15043</v>
      </c>
      <c r="BB132">
        <v>23424867</v>
      </c>
      <c r="BC132">
        <v>23424867</v>
      </c>
      <c r="BD132" t="s">
        <v>12254</v>
      </c>
      <c r="BE132" t="s">
        <v>15043</v>
      </c>
      <c r="BG132" t="s">
        <v>15043</v>
      </c>
      <c r="BH132" t="s">
        <v>15043</v>
      </c>
      <c r="BI132" t="s">
        <v>15043</v>
      </c>
      <c r="BJ132" t="s">
        <v>15043</v>
      </c>
      <c r="BK132" t="s">
        <v>15043</v>
      </c>
      <c r="BL132" t="s">
        <v>15043</v>
      </c>
      <c r="BM132" t="s">
        <v>15043</v>
      </c>
      <c r="BN132" t="s">
        <v>15043</v>
      </c>
      <c r="BO132" t="s">
        <v>15043</v>
      </c>
      <c r="BP132" t="s">
        <v>15043</v>
      </c>
      <c r="BQ132" t="s">
        <v>15043</v>
      </c>
      <c r="BR132" t="s">
        <v>15043</v>
      </c>
      <c r="BS132" t="s">
        <v>15043</v>
      </c>
      <c r="BT132" t="s">
        <v>15043</v>
      </c>
      <c r="BU132" t="s">
        <v>15043</v>
      </c>
      <c r="BV132" t="s">
        <v>15043</v>
      </c>
      <c r="BW132" t="s">
        <v>15043</v>
      </c>
      <c r="BX132" t="s">
        <v>15043</v>
      </c>
      <c r="BY132" t="s">
        <v>15043</v>
      </c>
      <c r="BZ132" t="s">
        <v>15043</v>
      </c>
      <c r="CA132" t="s">
        <v>15043</v>
      </c>
      <c r="CB132" t="s">
        <v>15043</v>
      </c>
      <c r="CC132" t="s">
        <v>15043</v>
      </c>
      <c r="CD132" t="s">
        <v>15043</v>
      </c>
      <c r="CE132" t="s">
        <v>15043</v>
      </c>
      <c r="CF132" t="s">
        <v>15043</v>
      </c>
      <c r="CG132" t="s">
        <v>15043</v>
      </c>
      <c r="CH132" t="s">
        <v>15043</v>
      </c>
      <c r="CI132" t="s">
        <v>15043</v>
      </c>
      <c r="CJ132" t="s">
        <v>15043</v>
      </c>
      <c r="CK132" t="s">
        <v>15043</v>
      </c>
      <c r="CL132" t="s">
        <v>15043</v>
      </c>
      <c r="CM132">
        <v>-99</v>
      </c>
      <c r="CN132">
        <v>-99</v>
      </c>
      <c r="CO132" t="s">
        <v>12537</v>
      </c>
      <c r="CP132" t="s">
        <v>12537</v>
      </c>
      <c r="CQ132" t="s">
        <v>13998</v>
      </c>
      <c r="CR132" t="s">
        <v>12539</v>
      </c>
      <c r="CS132">
        <v>8</v>
      </c>
      <c r="CT132">
        <v>8</v>
      </c>
      <c r="CU132">
        <v>4</v>
      </c>
      <c r="CV132">
        <v>2</v>
      </c>
      <c r="CW132">
        <v>1</v>
      </c>
      <c r="CX132">
        <v>0</v>
      </c>
      <c r="CY132">
        <v>5</v>
      </c>
      <c r="CZ132">
        <v>10</v>
      </c>
      <c r="DA132">
        <v>-157.38457700000001</v>
      </c>
      <c r="DB132">
        <v>1.8204370000000001</v>
      </c>
      <c r="DC132">
        <v>1159320981</v>
      </c>
      <c r="DD132" t="s">
        <v>15046</v>
      </c>
      <c r="DE132" t="s">
        <v>15047</v>
      </c>
      <c r="DF132" t="s">
        <v>15048</v>
      </c>
      <c r="DG132" t="s">
        <v>87</v>
      </c>
      <c r="DH132" t="s">
        <v>87</v>
      </c>
      <c r="DI132" t="s">
        <v>87</v>
      </c>
      <c r="DJ132" t="s">
        <v>15049</v>
      </c>
      <c r="DK132" t="s">
        <v>87</v>
      </c>
      <c r="DL132" t="s">
        <v>15050</v>
      </c>
      <c r="DM132" t="s">
        <v>15051</v>
      </c>
      <c r="DN132" t="s">
        <v>15052</v>
      </c>
      <c r="DO132" t="s">
        <v>87</v>
      </c>
      <c r="DP132" t="s">
        <v>87</v>
      </c>
      <c r="DQ132" t="s">
        <v>87</v>
      </c>
      <c r="DR132" t="s">
        <v>15053</v>
      </c>
      <c r="DS132" t="s">
        <v>15054</v>
      </c>
      <c r="DT132" t="s">
        <v>87</v>
      </c>
      <c r="DU132" t="s">
        <v>87</v>
      </c>
      <c r="DV132" t="s">
        <v>87</v>
      </c>
      <c r="DW132" t="s">
        <v>15055</v>
      </c>
      <c r="DX132" t="s">
        <v>87</v>
      </c>
      <c r="DY132" t="s">
        <v>87</v>
      </c>
      <c r="DZ132" t="s">
        <v>15056</v>
      </c>
      <c r="EA132" t="s">
        <v>15049</v>
      </c>
      <c r="EB132" t="s">
        <v>87</v>
      </c>
      <c r="EC132" t="s">
        <v>15057</v>
      </c>
      <c r="ED132" t="s">
        <v>15058</v>
      </c>
      <c r="EE132" t="s">
        <v>12247</v>
      </c>
      <c r="EG132" t="s">
        <v>12247</v>
      </c>
    </row>
    <row r="133" spans="1:253" x14ac:dyDescent="0.25">
      <c r="A133" t="s">
        <v>12071</v>
      </c>
      <c r="B133" t="s">
        <v>12247</v>
      </c>
      <c r="C133">
        <v>0</v>
      </c>
      <c r="D133">
        <v>6</v>
      </c>
      <c r="E133" t="s">
        <v>12071</v>
      </c>
      <c r="F133" t="s">
        <v>15059</v>
      </c>
      <c r="G133">
        <v>0</v>
      </c>
      <c r="H133">
        <v>2</v>
      </c>
      <c r="I133" t="s">
        <v>12714</v>
      </c>
      <c r="J133">
        <v>1</v>
      </c>
      <c r="K133" t="s">
        <v>12071</v>
      </c>
      <c r="L133" t="s">
        <v>15059</v>
      </c>
      <c r="M133">
        <v>0</v>
      </c>
      <c r="N133" t="s">
        <v>12071</v>
      </c>
      <c r="O133" t="s">
        <v>15059</v>
      </c>
      <c r="P133">
        <v>0</v>
      </c>
      <c r="Q133" t="s">
        <v>12071</v>
      </c>
      <c r="R133" t="s">
        <v>15059</v>
      </c>
      <c r="S133">
        <v>0</v>
      </c>
      <c r="T133" t="s">
        <v>12071</v>
      </c>
      <c r="U133" t="s">
        <v>15059</v>
      </c>
      <c r="V133" t="s">
        <v>12071</v>
      </c>
      <c r="X133" t="s">
        <v>15060</v>
      </c>
      <c r="Y133" t="s">
        <v>15061</v>
      </c>
      <c r="Z133" t="s">
        <v>15062</v>
      </c>
      <c r="AB133" t="s">
        <v>12071</v>
      </c>
      <c r="AE133" t="s">
        <v>12071</v>
      </c>
      <c r="AG133">
        <v>2</v>
      </c>
      <c r="AH133">
        <v>2</v>
      </c>
      <c r="AI133">
        <v>3</v>
      </c>
      <c r="AJ133">
        <v>11</v>
      </c>
      <c r="AK133">
        <v>1794248</v>
      </c>
      <c r="AL133">
        <v>12</v>
      </c>
      <c r="AM133">
        <v>2019</v>
      </c>
      <c r="AN133">
        <v>7926</v>
      </c>
      <c r="AO133">
        <v>2019</v>
      </c>
      <c r="AP133" t="s">
        <v>12277</v>
      </c>
      <c r="AQ133" t="s">
        <v>12278</v>
      </c>
      <c r="AR133" t="s">
        <v>15063</v>
      </c>
      <c r="AS133">
        <v>-99</v>
      </c>
      <c r="AT133" t="s">
        <v>1240</v>
      </c>
      <c r="AU133">
        <v>-99</v>
      </c>
      <c r="AV133">
        <v>-99</v>
      </c>
      <c r="AW133">
        <v>-99</v>
      </c>
      <c r="AX133">
        <v>-99</v>
      </c>
      <c r="AY133">
        <v>-99</v>
      </c>
      <c r="AZ133" t="s">
        <v>15063</v>
      </c>
      <c r="BA133" t="s">
        <v>15064</v>
      </c>
      <c r="BB133">
        <v>-90</v>
      </c>
      <c r="BC133">
        <v>29389201</v>
      </c>
      <c r="BD133" t="s">
        <v>15065</v>
      </c>
      <c r="BE133" t="s">
        <v>15066</v>
      </c>
      <c r="BF133">
        <v>1</v>
      </c>
      <c r="BG133" t="s">
        <v>15059</v>
      </c>
      <c r="BH133" t="s">
        <v>15059</v>
      </c>
      <c r="BI133" t="s">
        <v>15059</v>
      </c>
      <c r="BJ133" t="s">
        <v>15066</v>
      </c>
      <c r="BK133" t="s">
        <v>15066</v>
      </c>
      <c r="BL133" t="s">
        <v>15066</v>
      </c>
      <c r="BM133" t="s">
        <v>15059</v>
      </c>
      <c r="BN133" t="s">
        <v>15066</v>
      </c>
      <c r="BO133" t="s">
        <v>15066</v>
      </c>
      <c r="BP133" t="s">
        <v>15059</v>
      </c>
      <c r="BQ133" t="s">
        <v>15059</v>
      </c>
      <c r="BR133" t="s">
        <v>15066</v>
      </c>
      <c r="BS133" t="s">
        <v>15059</v>
      </c>
      <c r="BT133" t="s">
        <v>15059</v>
      </c>
      <c r="BU133" t="s">
        <v>15066</v>
      </c>
      <c r="BV133" t="s">
        <v>15059</v>
      </c>
      <c r="BW133" t="s">
        <v>15059</v>
      </c>
      <c r="BX133" t="s">
        <v>15066</v>
      </c>
      <c r="BY133" t="s">
        <v>15059</v>
      </c>
      <c r="BZ133" t="s">
        <v>15066</v>
      </c>
      <c r="CA133" t="s">
        <v>15059</v>
      </c>
      <c r="CB133" t="s">
        <v>15059</v>
      </c>
      <c r="CC133" t="s">
        <v>15066</v>
      </c>
      <c r="CD133" t="s">
        <v>15059</v>
      </c>
      <c r="CE133" t="s">
        <v>15066</v>
      </c>
      <c r="CF133" t="s">
        <v>15059</v>
      </c>
      <c r="CG133" t="s">
        <v>15066</v>
      </c>
      <c r="CH133" t="s">
        <v>15059</v>
      </c>
      <c r="CI133" t="s">
        <v>15059</v>
      </c>
      <c r="CJ133" t="s">
        <v>15059</v>
      </c>
      <c r="CK133" t="s">
        <v>15059</v>
      </c>
      <c r="CL133" t="s">
        <v>15066</v>
      </c>
      <c r="CM133">
        <v>-99</v>
      </c>
      <c r="CN133">
        <v>-99</v>
      </c>
      <c r="CO133" t="s">
        <v>12279</v>
      </c>
      <c r="CP133" t="s">
        <v>12279</v>
      </c>
      <c r="CQ133" t="s">
        <v>12280</v>
      </c>
      <c r="CR133" t="s">
        <v>12281</v>
      </c>
      <c r="CS133">
        <v>6</v>
      </c>
      <c r="CT133">
        <v>6</v>
      </c>
      <c r="CU133">
        <v>4</v>
      </c>
      <c r="CV133">
        <v>-99</v>
      </c>
      <c r="CW133">
        <v>1</v>
      </c>
      <c r="CX133">
        <v>0</v>
      </c>
      <c r="CY133">
        <v>5</v>
      </c>
      <c r="CZ133">
        <v>10</v>
      </c>
      <c r="DA133">
        <v>20.860719</v>
      </c>
      <c r="DB133">
        <v>42.593586999999999</v>
      </c>
      <c r="DC133">
        <v>1159321007</v>
      </c>
      <c r="DD133" t="s">
        <v>15067</v>
      </c>
      <c r="DE133" t="s">
        <v>15068</v>
      </c>
      <c r="DF133" t="s">
        <v>15069</v>
      </c>
      <c r="DG133" t="s">
        <v>12071</v>
      </c>
      <c r="DH133" t="s">
        <v>12071</v>
      </c>
      <c r="DI133" t="s">
        <v>12071</v>
      </c>
      <c r="DJ133" t="s">
        <v>15070</v>
      </c>
      <c r="DK133" t="s">
        <v>12071</v>
      </c>
      <c r="DL133" t="s">
        <v>15071</v>
      </c>
      <c r="DM133" t="s">
        <v>15072</v>
      </c>
      <c r="DN133" t="s">
        <v>15073</v>
      </c>
      <c r="DO133" t="s">
        <v>15074</v>
      </c>
      <c r="DP133" t="s">
        <v>12071</v>
      </c>
      <c r="DQ133" t="s">
        <v>12071</v>
      </c>
      <c r="DR133" t="s">
        <v>15075</v>
      </c>
      <c r="DS133" t="s">
        <v>15076</v>
      </c>
      <c r="DT133" t="s">
        <v>12071</v>
      </c>
      <c r="DU133" t="s">
        <v>15077</v>
      </c>
      <c r="DV133" t="s">
        <v>12071</v>
      </c>
      <c r="DW133" t="s">
        <v>15078</v>
      </c>
      <c r="DX133" t="s">
        <v>12071</v>
      </c>
      <c r="DY133" t="s">
        <v>15079</v>
      </c>
      <c r="DZ133" t="s">
        <v>15080</v>
      </c>
      <c r="EA133" t="s">
        <v>15081</v>
      </c>
      <c r="EB133" t="s">
        <v>12071</v>
      </c>
      <c r="EC133" t="s">
        <v>15082</v>
      </c>
      <c r="ED133" t="s">
        <v>15082</v>
      </c>
      <c r="EE133" t="s">
        <v>12505</v>
      </c>
      <c r="EF133">
        <v>1</v>
      </c>
      <c r="EG133" t="s">
        <v>12247</v>
      </c>
      <c r="EH133" t="s">
        <v>12247</v>
      </c>
      <c r="EI133" t="s">
        <v>12247</v>
      </c>
      <c r="EJ133" t="s">
        <v>15083</v>
      </c>
      <c r="EK133" t="s">
        <v>12505</v>
      </c>
      <c r="EL133" t="s">
        <v>12505</v>
      </c>
      <c r="EM133" t="s">
        <v>12247</v>
      </c>
      <c r="EN133" t="s">
        <v>15083</v>
      </c>
      <c r="EO133" t="s">
        <v>12505</v>
      </c>
      <c r="EP133" t="s">
        <v>12247</v>
      </c>
      <c r="EQ133" t="s">
        <v>12247</v>
      </c>
      <c r="ER133" t="s">
        <v>12247</v>
      </c>
      <c r="ES133" t="s">
        <v>12505</v>
      </c>
      <c r="ET133" t="s">
        <v>12247</v>
      </c>
      <c r="EU133" t="s">
        <v>12505</v>
      </c>
      <c r="EV133" t="s">
        <v>12247</v>
      </c>
      <c r="EW133" t="s">
        <v>12247</v>
      </c>
      <c r="EX133" t="s">
        <v>12505</v>
      </c>
      <c r="EY133" t="s">
        <v>12247</v>
      </c>
      <c r="EZ133" t="s">
        <v>12505</v>
      </c>
      <c r="FA133" t="s">
        <v>12247</v>
      </c>
      <c r="FB133" t="s">
        <v>12247</v>
      </c>
      <c r="FC133" t="s">
        <v>12505</v>
      </c>
      <c r="FD133" t="s">
        <v>12247</v>
      </c>
      <c r="FE133" t="s">
        <v>12505</v>
      </c>
      <c r="FF133" t="s">
        <v>12247</v>
      </c>
      <c r="FG133" t="s">
        <v>12505</v>
      </c>
      <c r="FH133" t="s">
        <v>12247</v>
      </c>
      <c r="FI133" t="s">
        <v>12247</v>
      </c>
      <c r="FJ133" t="s">
        <v>12247</v>
      </c>
      <c r="FK133" t="s">
        <v>12247</v>
      </c>
      <c r="FL133" t="s">
        <v>12505</v>
      </c>
    </row>
    <row r="134" spans="1:253" x14ac:dyDescent="0.25">
      <c r="A134" t="s">
        <v>91</v>
      </c>
      <c r="B134" t="s">
        <v>12247</v>
      </c>
      <c r="C134">
        <v>0</v>
      </c>
      <c r="D134">
        <v>6</v>
      </c>
      <c r="E134" t="s">
        <v>91</v>
      </c>
      <c r="F134" t="s">
        <v>15084</v>
      </c>
      <c r="G134">
        <v>0</v>
      </c>
      <c r="H134">
        <v>2</v>
      </c>
      <c r="I134" t="s">
        <v>12249</v>
      </c>
      <c r="J134">
        <v>1</v>
      </c>
      <c r="K134" t="s">
        <v>91</v>
      </c>
      <c r="L134" t="s">
        <v>15084</v>
      </c>
      <c r="M134">
        <v>0</v>
      </c>
      <c r="N134" t="s">
        <v>91</v>
      </c>
      <c r="O134" t="s">
        <v>15084</v>
      </c>
      <c r="P134">
        <v>0</v>
      </c>
      <c r="Q134" t="s">
        <v>91</v>
      </c>
      <c r="R134" t="s">
        <v>15084</v>
      </c>
      <c r="S134">
        <v>0</v>
      </c>
      <c r="T134" t="s">
        <v>91</v>
      </c>
      <c r="U134" t="s">
        <v>15084</v>
      </c>
      <c r="V134" t="s">
        <v>91</v>
      </c>
      <c r="X134" t="s">
        <v>15085</v>
      </c>
      <c r="Y134" t="s">
        <v>1619</v>
      </c>
      <c r="Z134" t="s">
        <v>15086</v>
      </c>
      <c r="AB134" t="s">
        <v>91</v>
      </c>
      <c r="AE134" t="s">
        <v>91</v>
      </c>
      <c r="AG134">
        <v>2</v>
      </c>
      <c r="AH134">
        <v>2</v>
      </c>
      <c r="AI134">
        <v>2</v>
      </c>
      <c r="AJ134">
        <v>2</v>
      </c>
      <c r="AK134">
        <v>4207083</v>
      </c>
      <c r="AL134">
        <v>12</v>
      </c>
      <c r="AM134">
        <v>2019</v>
      </c>
      <c r="AN134">
        <v>134628</v>
      </c>
      <c r="AO134">
        <v>2019</v>
      </c>
      <c r="AP134" t="s">
        <v>12277</v>
      </c>
      <c r="AQ134" t="s">
        <v>12335</v>
      </c>
      <c r="AR134" t="s">
        <v>15087</v>
      </c>
      <c r="AS134" t="s">
        <v>1619</v>
      </c>
      <c r="AT134" t="s">
        <v>1619</v>
      </c>
      <c r="AU134" t="s">
        <v>15084</v>
      </c>
      <c r="AV134" t="s">
        <v>15084</v>
      </c>
      <c r="AW134">
        <v>414</v>
      </c>
      <c r="AX134">
        <v>414</v>
      </c>
      <c r="AY134">
        <v>414</v>
      </c>
      <c r="AZ134" t="s">
        <v>1619</v>
      </c>
      <c r="BA134" t="s">
        <v>15084</v>
      </c>
      <c r="BB134">
        <v>23424870</v>
      </c>
      <c r="BC134">
        <v>23424870</v>
      </c>
      <c r="BD134" t="s">
        <v>12254</v>
      </c>
      <c r="BE134" t="s">
        <v>15084</v>
      </c>
      <c r="BG134" t="s">
        <v>15084</v>
      </c>
      <c r="BH134" t="s">
        <v>15084</v>
      </c>
      <c r="BI134" t="s">
        <v>15084</v>
      </c>
      <c r="BJ134" t="s">
        <v>15084</v>
      </c>
      <c r="BK134" t="s">
        <v>15084</v>
      </c>
      <c r="BL134" t="s">
        <v>15084</v>
      </c>
      <c r="BM134" t="s">
        <v>15084</v>
      </c>
      <c r="BN134" t="s">
        <v>15084</v>
      </c>
      <c r="BO134" t="s">
        <v>15084</v>
      </c>
      <c r="BP134" t="s">
        <v>15084</v>
      </c>
      <c r="BQ134" t="s">
        <v>15084</v>
      </c>
      <c r="BR134" t="s">
        <v>15084</v>
      </c>
      <c r="BS134" t="s">
        <v>15084</v>
      </c>
      <c r="BT134" t="s">
        <v>15084</v>
      </c>
      <c r="BU134" t="s">
        <v>15084</v>
      </c>
      <c r="BV134" t="s">
        <v>15084</v>
      </c>
      <c r="BW134" t="s">
        <v>15084</v>
      </c>
      <c r="BX134" t="s">
        <v>15084</v>
      </c>
      <c r="BY134" t="s">
        <v>15084</v>
      </c>
      <c r="BZ134" t="s">
        <v>15084</v>
      </c>
      <c r="CA134" t="s">
        <v>15084</v>
      </c>
      <c r="CB134" t="s">
        <v>15084</v>
      </c>
      <c r="CC134" t="s">
        <v>15084</v>
      </c>
      <c r="CD134" t="s">
        <v>15084</v>
      </c>
      <c r="CE134" t="s">
        <v>15084</v>
      </c>
      <c r="CF134" t="s">
        <v>15084</v>
      </c>
      <c r="CG134" t="s">
        <v>15084</v>
      </c>
      <c r="CH134" t="s">
        <v>15084</v>
      </c>
      <c r="CI134" t="s">
        <v>15084</v>
      </c>
      <c r="CJ134" t="s">
        <v>15084</v>
      </c>
      <c r="CK134" t="s">
        <v>15084</v>
      </c>
      <c r="CL134" t="s">
        <v>15084</v>
      </c>
      <c r="CM134">
        <v>-99</v>
      </c>
      <c r="CN134">
        <v>-99</v>
      </c>
      <c r="CO134" t="s">
        <v>12255</v>
      </c>
      <c r="CP134" t="s">
        <v>12255</v>
      </c>
      <c r="CQ134" t="s">
        <v>12458</v>
      </c>
      <c r="CR134" t="s">
        <v>12308</v>
      </c>
      <c r="CS134">
        <v>6</v>
      </c>
      <c r="CT134">
        <v>6</v>
      </c>
      <c r="CU134">
        <v>4</v>
      </c>
      <c r="CV134">
        <v>-99</v>
      </c>
      <c r="CW134">
        <v>1</v>
      </c>
      <c r="CX134">
        <v>0</v>
      </c>
      <c r="CY134">
        <v>5</v>
      </c>
      <c r="CZ134">
        <v>10</v>
      </c>
      <c r="DA134">
        <v>47.313999000000003</v>
      </c>
      <c r="DB134">
        <v>29.413627999999999</v>
      </c>
      <c r="DC134">
        <v>1159321009</v>
      </c>
      <c r="DD134" t="s">
        <v>15088</v>
      </c>
      <c r="DE134" t="s">
        <v>15089</v>
      </c>
      <c r="DF134" t="s">
        <v>15090</v>
      </c>
      <c r="DG134" t="s">
        <v>91</v>
      </c>
      <c r="DH134" t="s">
        <v>91</v>
      </c>
      <c r="DI134" t="s">
        <v>91</v>
      </c>
      <c r="DJ134" t="s">
        <v>15091</v>
      </c>
      <c r="DK134" t="s">
        <v>15092</v>
      </c>
      <c r="DL134" t="s">
        <v>15093</v>
      </c>
      <c r="DM134" t="s">
        <v>15094</v>
      </c>
      <c r="DN134" t="s">
        <v>15095</v>
      </c>
      <c r="DO134" t="s">
        <v>15096</v>
      </c>
      <c r="DP134" t="s">
        <v>91</v>
      </c>
      <c r="DQ134" t="s">
        <v>91</v>
      </c>
      <c r="DR134" t="s">
        <v>15097</v>
      </c>
      <c r="DS134" t="s">
        <v>15098</v>
      </c>
      <c r="DT134" t="s">
        <v>15099</v>
      </c>
      <c r="DU134" t="s">
        <v>15100</v>
      </c>
      <c r="DV134" t="s">
        <v>91</v>
      </c>
      <c r="DW134" t="s">
        <v>15101</v>
      </c>
      <c r="DX134" t="s">
        <v>91</v>
      </c>
      <c r="DY134" t="s">
        <v>15102</v>
      </c>
      <c r="DZ134" t="s">
        <v>15101</v>
      </c>
      <c r="EA134" t="s">
        <v>15091</v>
      </c>
      <c r="EB134" t="s">
        <v>91</v>
      </c>
      <c r="EC134" t="s">
        <v>15103</v>
      </c>
      <c r="ED134" t="s">
        <v>15103</v>
      </c>
      <c r="EE134" t="s">
        <v>12247</v>
      </c>
      <c r="EG134" t="s">
        <v>12247</v>
      </c>
    </row>
    <row r="135" spans="1:253" x14ac:dyDescent="0.25">
      <c r="A135" t="s">
        <v>92</v>
      </c>
      <c r="B135" t="s">
        <v>12247</v>
      </c>
      <c r="C135">
        <v>0</v>
      </c>
      <c r="D135">
        <v>4</v>
      </c>
      <c r="E135" t="s">
        <v>92</v>
      </c>
      <c r="F135" t="s">
        <v>15104</v>
      </c>
      <c r="G135">
        <v>0</v>
      </c>
      <c r="H135">
        <v>2</v>
      </c>
      <c r="I135" t="s">
        <v>12249</v>
      </c>
      <c r="J135">
        <v>1</v>
      </c>
      <c r="K135" t="s">
        <v>92</v>
      </c>
      <c r="L135" t="s">
        <v>15104</v>
      </c>
      <c r="M135">
        <v>0</v>
      </c>
      <c r="N135" t="s">
        <v>92</v>
      </c>
      <c r="O135" t="s">
        <v>15104</v>
      </c>
      <c r="P135">
        <v>0</v>
      </c>
      <c r="Q135" t="s">
        <v>92</v>
      </c>
      <c r="R135" t="s">
        <v>15104</v>
      </c>
      <c r="S135">
        <v>0</v>
      </c>
      <c r="T135" t="s">
        <v>92</v>
      </c>
      <c r="U135" t="s">
        <v>15104</v>
      </c>
      <c r="V135" t="s">
        <v>92</v>
      </c>
      <c r="X135" t="s">
        <v>15105</v>
      </c>
      <c r="Y135" t="s">
        <v>1597</v>
      </c>
      <c r="Z135" t="s">
        <v>15106</v>
      </c>
      <c r="AB135" t="s">
        <v>92</v>
      </c>
      <c r="AE135" t="s">
        <v>15106</v>
      </c>
      <c r="AG135">
        <v>5</v>
      </c>
      <c r="AH135">
        <v>7</v>
      </c>
      <c r="AI135">
        <v>7</v>
      </c>
      <c r="AJ135">
        <v>6</v>
      </c>
      <c r="AK135">
        <v>6456900</v>
      </c>
      <c r="AL135">
        <v>13</v>
      </c>
      <c r="AM135">
        <v>2019</v>
      </c>
      <c r="AN135">
        <v>8454</v>
      </c>
      <c r="AO135">
        <v>2019</v>
      </c>
      <c r="AP135" t="s">
        <v>12277</v>
      </c>
      <c r="AQ135" t="s">
        <v>12253</v>
      </c>
      <c r="AR135" t="s">
        <v>1597</v>
      </c>
      <c r="AS135" t="s">
        <v>1597</v>
      </c>
      <c r="AT135" t="s">
        <v>1597</v>
      </c>
      <c r="AU135" t="s">
        <v>15104</v>
      </c>
      <c r="AV135" t="s">
        <v>15104</v>
      </c>
      <c r="AW135">
        <v>417</v>
      </c>
      <c r="AX135">
        <v>417</v>
      </c>
      <c r="AY135">
        <v>417</v>
      </c>
      <c r="AZ135" t="s">
        <v>1597</v>
      </c>
      <c r="BA135" t="s">
        <v>15104</v>
      </c>
      <c r="BB135">
        <v>23424864</v>
      </c>
      <c r="BC135">
        <v>23424864</v>
      </c>
      <c r="BD135" t="s">
        <v>12254</v>
      </c>
      <c r="BE135" t="s">
        <v>15104</v>
      </c>
      <c r="BG135" t="s">
        <v>15104</v>
      </c>
      <c r="BH135" t="s">
        <v>15104</v>
      </c>
      <c r="BI135" t="s">
        <v>15104</v>
      </c>
      <c r="BJ135" t="s">
        <v>15104</v>
      </c>
      <c r="BK135" t="s">
        <v>15104</v>
      </c>
      <c r="BL135" t="s">
        <v>15104</v>
      </c>
      <c r="BM135" t="s">
        <v>15104</v>
      </c>
      <c r="BN135" t="s">
        <v>15104</v>
      </c>
      <c r="BO135" t="s">
        <v>15104</v>
      </c>
      <c r="BP135" t="s">
        <v>15104</v>
      </c>
      <c r="BQ135" t="s">
        <v>15104</v>
      </c>
      <c r="BR135" t="s">
        <v>15104</v>
      </c>
      <c r="BS135" t="s">
        <v>15104</v>
      </c>
      <c r="BT135" t="s">
        <v>15104</v>
      </c>
      <c r="BU135" t="s">
        <v>15104</v>
      </c>
      <c r="BV135" t="s">
        <v>15104</v>
      </c>
      <c r="BW135" t="s">
        <v>15104</v>
      </c>
      <c r="BX135" t="s">
        <v>15104</v>
      </c>
      <c r="BY135" t="s">
        <v>15104</v>
      </c>
      <c r="BZ135" t="s">
        <v>15104</v>
      </c>
      <c r="CA135" t="s">
        <v>15104</v>
      </c>
      <c r="CB135" t="s">
        <v>15104</v>
      </c>
      <c r="CC135" t="s">
        <v>15104</v>
      </c>
      <c r="CD135" t="s">
        <v>15104</v>
      </c>
      <c r="CE135" t="s">
        <v>15104</v>
      </c>
      <c r="CF135" t="s">
        <v>15104</v>
      </c>
      <c r="CG135" t="s">
        <v>15104</v>
      </c>
      <c r="CH135" t="s">
        <v>15104</v>
      </c>
      <c r="CI135" t="s">
        <v>15104</v>
      </c>
      <c r="CJ135" t="s">
        <v>15104</v>
      </c>
      <c r="CK135" t="s">
        <v>15104</v>
      </c>
      <c r="CL135" t="s">
        <v>15104</v>
      </c>
      <c r="CM135">
        <v>-99</v>
      </c>
      <c r="CN135">
        <v>-99</v>
      </c>
      <c r="CO135" t="s">
        <v>12255</v>
      </c>
      <c r="CP135" t="s">
        <v>12255</v>
      </c>
      <c r="CQ135" t="s">
        <v>13299</v>
      </c>
      <c r="CR135" t="s">
        <v>12281</v>
      </c>
      <c r="CS135">
        <v>10</v>
      </c>
      <c r="CT135">
        <v>10</v>
      </c>
      <c r="CU135">
        <v>4</v>
      </c>
      <c r="CV135">
        <v>-99</v>
      </c>
      <c r="CW135">
        <v>1</v>
      </c>
      <c r="CX135">
        <v>0</v>
      </c>
      <c r="CY135">
        <v>3</v>
      </c>
      <c r="CZ135">
        <v>8</v>
      </c>
      <c r="DA135">
        <v>74.532636999999994</v>
      </c>
      <c r="DB135">
        <v>41.66854</v>
      </c>
      <c r="DC135">
        <v>1159320977</v>
      </c>
      <c r="DD135" t="s">
        <v>15107</v>
      </c>
      <c r="DE135" t="s">
        <v>15108</v>
      </c>
      <c r="DF135" t="s">
        <v>15109</v>
      </c>
      <c r="DG135" t="s">
        <v>15110</v>
      </c>
      <c r="DH135" t="s">
        <v>92</v>
      </c>
      <c r="DI135" t="s">
        <v>15111</v>
      </c>
      <c r="DJ135" t="s">
        <v>15112</v>
      </c>
      <c r="DK135" t="s">
        <v>15113</v>
      </c>
      <c r="DL135" t="s">
        <v>15114</v>
      </c>
      <c r="DM135" t="s">
        <v>15115</v>
      </c>
      <c r="DN135" t="s">
        <v>15116</v>
      </c>
      <c r="DO135" t="s">
        <v>15117</v>
      </c>
      <c r="DP135" t="s">
        <v>15118</v>
      </c>
      <c r="DQ135" t="s">
        <v>15113</v>
      </c>
      <c r="DR135" t="s">
        <v>15119</v>
      </c>
      <c r="DS135" t="s">
        <v>15120</v>
      </c>
      <c r="DT135" t="s">
        <v>15121</v>
      </c>
      <c r="DU135" t="s">
        <v>15122</v>
      </c>
      <c r="DV135" t="s">
        <v>15123</v>
      </c>
      <c r="DW135" t="s">
        <v>15124</v>
      </c>
      <c r="DX135" t="s">
        <v>15125</v>
      </c>
      <c r="DY135" t="s">
        <v>15126</v>
      </c>
      <c r="DZ135" t="s">
        <v>15127</v>
      </c>
      <c r="EA135" t="s">
        <v>15128</v>
      </c>
      <c r="EB135" t="s">
        <v>92</v>
      </c>
      <c r="EC135" t="s">
        <v>15129</v>
      </c>
      <c r="ED135" t="s">
        <v>15130</v>
      </c>
      <c r="EE135" t="s">
        <v>12247</v>
      </c>
      <c r="EG135" t="s">
        <v>12247</v>
      </c>
    </row>
    <row r="136" spans="1:253" x14ac:dyDescent="0.25">
      <c r="A136" t="s">
        <v>4892</v>
      </c>
      <c r="B136" t="s">
        <v>17202</v>
      </c>
      <c r="C136">
        <v>9</v>
      </c>
      <c r="L136" t="s">
        <v>12074</v>
      </c>
      <c r="EE136" t="s">
        <v>18470</v>
      </c>
      <c r="EG136" t="s">
        <v>18470</v>
      </c>
      <c r="EH136" t="s">
        <v>18470</v>
      </c>
      <c r="EI136" t="s">
        <v>18470</v>
      </c>
      <c r="EJ136" t="s">
        <v>18470</v>
      </c>
      <c r="EK136" t="s">
        <v>18470</v>
      </c>
      <c r="EL136" t="s">
        <v>18470</v>
      </c>
      <c r="EM136" t="s">
        <v>18470</v>
      </c>
      <c r="EN136" t="s">
        <v>18470</v>
      </c>
      <c r="EO136" t="s">
        <v>18470</v>
      </c>
      <c r="EP136" t="s">
        <v>18470</v>
      </c>
      <c r="EQ136" t="s">
        <v>18470</v>
      </c>
      <c r="ER136" t="s">
        <v>18470</v>
      </c>
      <c r="ES136" t="s">
        <v>18470</v>
      </c>
      <c r="ET136" t="s">
        <v>18470</v>
      </c>
      <c r="EU136" t="s">
        <v>18470</v>
      </c>
      <c r="EV136" t="s">
        <v>18470</v>
      </c>
      <c r="EW136" t="s">
        <v>18470</v>
      </c>
      <c r="EX136" t="s">
        <v>18470</v>
      </c>
      <c r="EY136" t="s">
        <v>18470</v>
      </c>
      <c r="EZ136" t="s">
        <v>18470</v>
      </c>
      <c r="FA136" t="s">
        <v>18470</v>
      </c>
      <c r="FB136" t="s">
        <v>18470</v>
      </c>
      <c r="FC136" t="s">
        <v>18470</v>
      </c>
      <c r="FD136" t="s">
        <v>18470</v>
      </c>
      <c r="FE136" t="s">
        <v>18470</v>
      </c>
      <c r="FF136" t="s">
        <v>18470</v>
      </c>
      <c r="FG136" t="s">
        <v>18470</v>
      </c>
      <c r="FH136" t="s">
        <v>18470</v>
      </c>
      <c r="FI136" t="s">
        <v>18470</v>
      </c>
      <c r="FJ136" t="s">
        <v>18470</v>
      </c>
      <c r="FK136" t="s">
        <v>18470</v>
      </c>
      <c r="FL136" t="s">
        <v>18470</v>
      </c>
      <c r="FN136" t="s">
        <v>18688</v>
      </c>
      <c r="FO136">
        <v>4601</v>
      </c>
      <c r="FP136" t="s">
        <v>18470</v>
      </c>
      <c r="FQ136" t="s">
        <v>1471</v>
      </c>
      <c r="FR136">
        <v>3</v>
      </c>
      <c r="FS136" t="s">
        <v>18470</v>
      </c>
      <c r="FT136" t="s">
        <v>18470</v>
      </c>
      <c r="FU136" t="s">
        <v>18603</v>
      </c>
      <c r="FV136" t="s">
        <v>18604</v>
      </c>
      <c r="FW136" t="s">
        <v>18470</v>
      </c>
      <c r="FX136" t="s">
        <v>18690</v>
      </c>
      <c r="FY136" t="s">
        <v>18470</v>
      </c>
      <c r="FZ136" t="s">
        <v>18470</v>
      </c>
      <c r="GA136" t="s">
        <v>18691</v>
      </c>
      <c r="GB136">
        <v>0</v>
      </c>
      <c r="GC136">
        <v>0</v>
      </c>
      <c r="GD136">
        <v>20</v>
      </c>
      <c r="GE136">
        <v>9</v>
      </c>
      <c r="GF136" t="s">
        <v>18470</v>
      </c>
      <c r="GG136" t="s">
        <v>18470</v>
      </c>
      <c r="GH136">
        <v>0</v>
      </c>
      <c r="GI136">
        <v>-99</v>
      </c>
      <c r="GJ136">
        <v>20</v>
      </c>
      <c r="GK136">
        <v>10</v>
      </c>
      <c r="GL136">
        <v>9</v>
      </c>
      <c r="GM136">
        <v>11</v>
      </c>
      <c r="GN136" t="s">
        <v>18470</v>
      </c>
      <c r="GO136" t="s">
        <v>18470</v>
      </c>
      <c r="GP136">
        <v>23424931</v>
      </c>
      <c r="GQ136" t="s">
        <v>18470</v>
      </c>
      <c r="GR136" t="s">
        <v>18689</v>
      </c>
      <c r="GS136">
        <v>-21.115500000000001</v>
      </c>
      <c r="GT136">
        <v>55.540500000000002</v>
      </c>
      <c r="GU136" t="s">
        <v>13674</v>
      </c>
      <c r="GV136" t="s">
        <v>12074</v>
      </c>
      <c r="GW136">
        <v>5</v>
      </c>
      <c r="GX136" t="s">
        <v>58</v>
      </c>
      <c r="GY136" t="s">
        <v>18692</v>
      </c>
      <c r="GZ136" t="s">
        <v>18693</v>
      </c>
      <c r="HA136">
        <v>6690284</v>
      </c>
      <c r="HB136" t="s">
        <v>18692</v>
      </c>
      <c r="HC136">
        <v>-1331308</v>
      </c>
      <c r="HD136" t="s">
        <v>18694</v>
      </c>
      <c r="HE136">
        <v>2</v>
      </c>
      <c r="HF136" t="s">
        <v>18470</v>
      </c>
      <c r="HG136" t="s">
        <v>18695</v>
      </c>
      <c r="HH136" t="s">
        <v>18470</v>
      </c>
      <c r="HI136" t="s">
        <v>18470</v>
      </c>
      <c r="HJ136">
        <v>1</v>
      </c>
      <c r="HK136" t="s">
        <v>18611</v>
      </c>
      <c r="HL136" t="s">
        <v>18470</v>
      </c>
      <c r="HM136" t="s">
        <v>18696</v>
      </c>
      <c r="HN136">
        <v>8</v>
      </c>
      <c r="HO136">
        <v>11</v>
      </c>
      <c r="HP136">
        <v>8</v>
      </c>
      <c r="HQ136" t="s">
        <v>18697</v>
      </c>
      <c r="HR136" t="s">
        <v>18698</v>
      </c>
      <c r="HS136" t="s">
        <v>18699</v>
      </c>
      <c r="HT136" t="s">
        <v>18691</v>
      </c>
      <c r="HU136" t="s">
        <v>18691</v>
      </c>
      <c r="HV136" t="s">
        <v>18700</v>
      </c>
      <c r="HW136" t="s">
        <v>18689</v>
      </c>
      <c r="HX136" t="s">
        <v>18701</v>
      </c>
      <c r="HY136" t="s">
        <v>18702</v>
      </c>
      <c r="HZ136" t="s">
        <v>18691</v>
      </c>
      <c r="IA136" t="s">
        <v>18691</v>
      </c>
      <c r="IB136" t="s">
        <v>18703</v>
      </c>
      <c r="IC136" t="s">
        <v>18704</v>
      </c>
      <c r="ID136" t="s">
        <v>18705</v>
      </c>
      <c r="IE136" t="s">
        <v>18691</v>
      </c>
      <c r="IF136" t="s">
        <v>18692</v>
      </c>
      <c r="IG136" t="s">
        <v>18706</v>
      </c>
      <c r="IH136" t="s">
        <v>18707</v>
      </c>
      <c r="II136" t="s">
        <v>18691</v>
      </c>
      <c r="IJ136" t="s">
        <v>18691</v>
      </c>
      <c r="IK136" t="s">
        <v>18691</v>
      </c>
      <c r="IL136" t="s">
        <v>18708</v>
      </c>
      <c r="IM136">
        <v>1159315617</v>
      </c>
      <c r="IN136" t="s">
        <v>18709</v>
      </c>
      <c r="IO136" t="s">
        <v>18710</v>
      </c>
      <c r="IP136" t="s">
        <v>18711</v>
      </c>
      <c r="IQ136" t="s">
        <v>18712</v>
      </c>
      <c r="IR136" t="s">
        <v>18713</v>
      </c>
      <c r="IS136" t="s">
        <v>18714</v>
      </c>
    </row>
    <row r="137" spans="1:253" x14ac:dyDescent="0.25">
      <c r="A137" t="s">
        <v>93</v>
      </c>
      <c r="B137" t="s">
        <v>12247</v>
      </c>
      <c r="C137">
        <v>0</v>
      </c>
      <c r="D137">
        <v>4</v>
      </c>
      <c r="E137" t="s">
        <v>93</v>
      </c>
      <c r="F137" t="s">
        <v>15131</v>
      </c>
      <c r="G137">
        <v>0</v>
      </c>
      <c r="H137">
        <v>2</v>
      </c>
      <c r="I137" t="s">
        <v>12249</v>
      </c>
      <c r="J137">
        <v>1</v>
      </c>
      <c r="K137" t="s">
        <v>93</v>
      </c>
      <c r="L137" t="s">
        <v>15131</v>
      </c>
      <c r="M137">
        <v>0</v>
      </c>
      <c r="N137" t="s">
        <v>93</v>
      </c>
      <c r="O137" t="s">
        <v>15131</v>
      </c>
      <c r="P137">
        <v>0</v>
      </c>
      <c r="Q137" t="s">
        <v>93</v>
      </c>
      <c r="R137" t="s">
        <v>15131</v>
      </c>
      <c r="S137">
        <v>0</v>
      </c>
      <c r="T137" t="s">
        <v>15132</v>
      </c>
      <c r="U137" t="s">
        <v>15131</v>
      </c>
      <c r="V137" t="s">
        <v>93</v>
      </c>
      <c r="X137" t="s">
        <v>93</v>
      </c>
      <c r="Y137" t="s">
        <v>1628</v>
      </c>
      <c r="Z137" t="s">
        <v>15133</v>
      </c>
      <c r="AB137" t="s">
        <v>93</v>
      </c>
      <c r="AE137" t="s">
        <v>15132</v>
      </c>
      <c r="AG137">
        <v>1</v>
      </c>
      <c r="AH137">
        <v>1</v>
      </c>
      <c r="AI137">
        <v>1</v>
      </c>
      <c r="AJ137">
        <v>9</v>
      </c>
      <c r="AK137">
        <v>7169455</v>
      </c>
      <c r="AL137">
        <v>13</v>
      </c>
      <c r="AM137">
        <v>2019</v>
      </c>
      <c r="AN137">
        <v>18173</v>
      </c>
      <c r="AO137">
        <v>2019</v>
      </c>
      <c r="AP137" t="s">
        <v>12252</v>
      </c>
      <c r="AQ137" t="s">
        <v>12278</v>
      </c>
      <c r="AR137" t="s">
        <v>1628</v>
      </c>
      <c r="AS137" t="s">
        <v>1628</v>
      </c>
      <c r="AT137" t="s">
        <v>1628</v>
      </c>
      <c r="AU137" t="s">
        <v>15131</v>
      </c>
      <c r="AV137" t="s">
        <v>15131</v>
      </c>
      <c r="AW137">
        <v>418</v>
      </c>
      <c r="AX137">
        <v>418</v>
      </c>
      <c r="AY137">
        <v>418</v>
      </c>
      <c r="AZ137" t="s">
        <v>1628</v>
      </c>
      <c r="BA137" t="s">
        <v>15131</v>
      </c>
      <c r="BB137">
        <v>23424872</v>
      </c>
      <c r="BC137">
        <v>23424872</v>
      </c>
      <c r="BD137" t="s">
        <v>12254</v>
      </c>
      <c r="BE137" t="s">
        <v>15131</v>
      </c>
      <c r="BG137" t="s">
        <v>15131</v>
      </c>
      <c r="BH137" t="s">
        <v>15131</v>
      </c>
      <c r="BI137" t="s">
        <v>15131</v>
      </c>
      <c r="BJ137" t="s">
        <v>15131</v>
      </c>
      <c r="BK137" t="s">
        <v>15131</v>
      </c>
      <c r="BL137" t="s">
        <v>15131</v>
      </c>
      <c r="BM137" t="s">
        <v>15131</v>
      </c>
      <c r="BN137" t="s">
        <v>15131</v>
      </c>
      <c r="BO137" t="s">
        <v>15131</v>
      </c>
      <c r="BP137" t="s">
        <v>15131</v>
      </c>
      <c r="BQ137" t="s">
        <v>15131</v>
      </c>
      <c r="BR137" t="s">
        <v>15131</v>
      </c>
      <c r="BS137" t="s">
        <v>15131</v>
      </c>
      <c r="BT137" t="s">
        <v>15131</v>
      </c>
      <c r="BU137" t="s">
        <v>15131</v>
      </c>
      <c r="BV137" t="s">
        <v>15131</v>
      </c>
      <c r="BW137" t="s">
        <v>15131</v>
      </c>
      <c r="BX137" t="s">
        <v>15131</v>
      </c>
      <c r="BY137" t="s">
        <v>15131</v>
      </c>
      <c r="BZ137" t="s">
        <v>15131</v>
      </c>
      <c r="CA137" t="s">
        <v>15131</v>
      </c>
      <c r="CB137" t="s">
        <v>15131</v>
      </c>
      <c r="CC137" t="s">
        <v>15131</v>
      </c>
      <c r="CD137" t="s">
        <v>15131</v>
      </c>
      <c r="CE137" t="s">
        <v>15131</v>
      </c>
      <c r="CF137" t="s">
        <v>15131</v>
      </c>
      <c r="CG137" t="s">
        <v>15131</v>
      </c>
      <c r="CH137" t="s">
        <v>15131</v>
      </c>
      <c r="CI137" t="s">
        <v>15131</v>
      </c>
      <c r="CJ137" t="s">
        <v>15131</v>
      </c>
      <c r="CK137" t="s">
        <v>15131</v>
      </c>
      <c r="CL137" t="s">
        <v>15131</v>
      </c>
      <c r="CM137">
        <v>-99</v>
      </c>
      <c r="CN137">
        <v>-99</v>
      </c>
      <c r="CO137" t="s">
        <v>12255</v>
      </c>
      <c r="CP137" t="s">
        <v>12255</v>
      </c>
      <c r="CQ137" t="s">
        <v>13026</v>
      </c>
      <c r="CR137" t="s">
        <v>12539</v>
      </c>
      <c r="CS137">
        <v>4</v>
      </c>
      <c r="CT137">
        <v>7</v>
      </c>
      <c r="CU137">
        <v>4</v>
      </c>
      <c r="CV137">
        <v>-99</v>
      </c>
      <c r="CW137">
        <v>1</v>
      </c>
      <c r="CX137">
        <v>0</v>
      </c>
      <c r="CY137">
        <v>4</v>
      </c>
      <c r="CZ137">
        <v>9</v>
      </c>
      <c r="DA137">
        <v>102.533912</v>
      </c>
      <c r="DB137">
        <v>19.431820999999999</v>
      </c>
      <c r="DC137">
        <v>1159321011</v>
      </c>
      <c r="DD137" t="s">
        <v>15134</v>
      </c>
      <c r="DE137" t="s">
        <v>15135</v>
      </c>
      <c r="DF137" t="s">
        <v>15136</v>
      </c>
      <c r="DG137" t="s">
        <v>93</v>
      </c>
      <c r="DH137" t="s">
        <v>93</v>
      </c>
      <c r="DI137" t="s">
        <v>93</v>
      </c>
      <c r="DJ137" t="s">
        <v>15137</v>
      </c>
      <c r="DK137" t="s">
        <v>93</v>
      </c>
      <c r="DL137" t="s">
        <v>15138</v>
      </c>
      <c r="DM137" t="s">
        <v>15139</v>
      </c>
      <c r="DN137" t="s">
        <v>15140</v>
      </c>
      <c r="DO137" t="s">
        <v>15141</v>
      </c>
      <c r="DP137" t="s">
        <v>93</v>
      </c>
      <c r="DQ137" t="s">
        <v>93</v>
      </c>
      <c r="DR137" t="s">
        <v>15142</v>
      </c>
      <c r="DS137" t="s">
        <v>15143</v>
      </c>
      <c r="DT137" t="s">
        <v>93</v>
      </c>
      <c r="DU137" t="s">
        <v>93</v>
      </c>
      <c r="DV137" t="s">
        <v>93</v>
      </c>
      <c r="DW137" t="s">
        <v>15144</v>
      </c>
      <c r="DX137" t="s">
        <v>93</v>
      </c>
      <c r="DY137" t="s">
        <v>93</v>
      </c>
      <c r="DZ137" t="s">
        <v>15144</v>
      </c>
      <c r="EA137" t="s">
        <v>15145</v>
      </c>
      <c r="EB137" t="s">
        <v>15146</v>
      </c>
      <c r="EC137" t="s">
        <v>15147</v>
      </c>
      <c r="ED137" t="s">
        <v>15148</v>
      </c>
      <c r="EE137" t="s">
        <v>12247</v>
      </c>
      <c r="EG137" t="s">
        <v>12247</v>
      </c>
    </row>
    <row r="138" spans="1:253" x14ac:dyDescent="0.25">
      <c r="A138" t="s">
        <v>94</v>
      </c>
      <c r="B138" t="s">
        <v>12247</v>
      </c>
      <c r="C138">
        <v>0</v>
      </c>
      <c r="D138">
        <v>5</v>
      </c>
      <c r="E138" t="s">
        <v>94</v>
      </c>
      <c r="F138" t="s">
        <v>15149</v>
      </c>
      <c r="G138">
        <v>0</v>
      </c>
      <c r="H138">
        <v>2</v>
      </c>
      <c r="I138" t="s">
        <v>12249</v>
      </c>
      <c r="J138">
        <v>1</v>
      </c>
      <c r="K138" t="s">
        <v>94</v>
      </c>
      <c r="L138" t="s">
        <v>15149</v>
      </c>
      <c r="M138">
        <v>0</v>
      </c>
      <c r="N138" t="s">
        <v>94</v>
      </c>
      <c r="O138" t="s">
        <v>15149</v>
      </c>
      <c r="P138">
        <v>0</v>
      </c>
      <c r="Q138" t="s">
        <v>94</v>
      </c>
      <c r="R138" t="s">
        <v>15149</v>
      </c>
      <c r="S138">
        <v>0</v>
      </c>
      <c r="T138" t="s">
        <v>94</v>
      </c>
      <c r="U138" t="s">
        <v>15149</v>
      </c>
      <c r="V138" t="s">
        <v>94</v>
      </c>
      <c r="X138" t="s">
        <v>15150</v>
      </c>
      <c r="Y138" t="s">
        <v>1654</v>
      </c>
      <c r="Z138" t="s">
        <v>15151</v>
      </c>
      <c r="AB138" t="s">
        <v>94</v>
      </c>
      <c r="AE138" t="s">
        <v>94</v>
      </c>
      <c r="AG138">
        <v>4</v>
      </c>
      <c r="AH138">
        <v>7</v>
      </c>
      <c r="AI138">
        <v>6</v>
      </c>
      <c r="AJ138">
        <v>13</v>
      </c>
      <c r="AK138">
        <v>1912789</v>
      </c>
      <c r="AL138">
        <v>12</v>
      </c>
      <c r="AM138">
        <v>2019</v>
      </c>
      <c r="AN138">
        <v>34102</v>
      </c>
      <c r="AO138">
        <v>2019</v>
      </c>
      <c r="AP138" t="s">
        <v>12334</v>
      </c>
      <c r="AQ138" t="s">
        <v>12305</v>
      </c>
      <c r="AR138" t="s">
        <v>15152</v>
      </c>
      <c r="AS138" t="s">
        <v>1654</v>
      </c>
      <c r="AT138" t="s">
        <v>1654</v>
      </c>
      <c r="AU138" t="s">
        <v>15149</v>
      </c>
      <c r="AV138" t="s">
        <v>15149</v>
      </c>
      <c r="AW138">
        <v>428</v>
      </c>
      <c r="AX138">
        <v>428</v>
      </c>
      <c r="AY138">
        <v>428</v>
      </c>
      <c r="AZ138" t="s">
        <v>1654</v>
      </c>
      <c r="BA138" t="s">
        <v>15149</v>
      </c>
      <c r="BB138">
        <v>23424874</v>
      </c>
      <c r="BC138">
        <v>23424874</v>
      </c>
      <c r="BD138" t="s">
        <v>12254</v>
      </c>
      <c r="BE138" t="s">
        <v>15149</v>
      </c>
      <c r="BG138" t="s">
        <v>15149</v>
      </c>
      <c r="BH138" t="s">
        <v>15149</v>
      </c>
      <c r="BI138" t="s">
        <v>15149</v>
      </c>
      <c r="BJ138" t="s">
        <v>15149</v>
      </c>
      <c r="BK138" t="s">
        <v>15149</v>
      </c>
      <c r="BL138" t="s">
        <v>15149</v>
      </c>
      <c r="BM138" t="s">
        <v>15149</v>
      </c>
      <c r="BN138" t="s">
        <v>15149</v>
      </c>
      <c r="BO138" t="s">
        <v>15149</v>
      </c>
      <c r="BP138" t="s">
        <v>15149</v>
      </c>
      <c r="BQ138" t="s">
        <v>15149</v>
      </c>
      <c r="BR138" t="s">
        <v>15149</v>
      </c>
      <c r="BS138" t="s">
        <v>15149</v>
      </c>
      <c r="BT138" t="s">
        <v>15149</v>
      </c>
      <c r="BU138" t="s">
        <v>15149</v>
      </c>
      <c r="BV138" t="s">
        <v>15149</v>
      </c>
      <c r="BW138" t="s">
        <v>15149</v>
      </c>
      <c r="BX138" t="s">
        <v>15149</v>
      </c>
      <c r="BY138" t="s">
        <v>15149</v>
      </c>
      <c r="BZ138" t="s">
        <v>15149</v>
      </c>
      <c r="CA138" t="s">
        <v>15149</v>
      </c>
      <c r="CB138" t="s">
        <v>15149</v>
      </c>
      <c r="CC138" t="s">
        <v>15149</v>
      </c>
      <c r="CD138" t="s">
        <v>15149</v>
      </c>
      <c r="CE138" t="s">
        <v>15149</v>
      </c>
      <c r="CF138" t="s">
        <v>15149</v>
      </c>
      <c r="CG138" t="s">
        <v>15149</v>
      </c>
      <c r="CH138" t="s">
        <v>15149</v>
      </c>
      <c r="CI138" t="s">
        <v>15149</v>
      </c>
      <c r="CJ138" t="s">
        <v>15149</v>
      </c>
      <c r="CK138" t="s">
        <v>15149</v>
      </c>
      <c r="CL138" t="s">
        <v>15149</v>
      </c>
      <c r="CM138">
        <v>-99</v>
      </c>
      <c r="CN138">
        <v>-99</v>
      </c>
      <c r="CO138" t="s">
        <v>12279</v>
      </c>
      <c r="CP138" t="s">
        <v>12279</v>
      </c>
      <c r="CQ138" t="s">
        <v>12515</v>
      </c>
      <c r="CR138" t="s">
        <v>12281</v>
      </c>
      <c r="CS138">
        <v>6</v>
      </c>
      <c r="CT138">
        <v>6</v>
      </c>
      <c r="CU138">
        <v>4</v>
      </c>
      <c r="CV138">
        <v>-99</v>
      </c>
      <c r="CW138">
        <v>1</v>
      </c>
      <c r="CX138">
        <v>0</v>
      </c>
      <c r="CY138">
        <v>4</v>
      </c>
      <c r="CZ138">
        <v>9</v>
      </c>
      <c r="DA138">
        <v>25.458722999999999</v>
      </c>
      <c r="DB138">
        <v>57.066871999999996</v>
      </c>
      <c r="DC138">
        <v>1159321033</v>
      </c>
      <c r="DD138" t="s">
        <v>15153</v>
      </c>
      <c r="DE138" t="s">
        <v>15154</v>
      </c>
      <c r="DF138" t="s">
        <v>15155</v>
      </c>
      <c r="DG138" t="s">
        <v>15156</v>
      </c>
      <c r="DH138" t="s">
        <v>94</v>
      </c>
      <c r="DI138" t="s">
        <v>15157</v>
      </c>
      <c r="DJ138" t="s">
        <v>15158</v>
      </c>
      <c r="DK138" t="s">
        <v>15159</v>
      </c>
      <c r="DL138" t="s">
        <v>15160</v>
      </c>
      <c r="DM138" t="s">
        <v>15161</v>
      </c>
      <c r="DN138" t="s">
        <v>15162</v>
      </c>
      <c r="DO138" t="s">
        <v>15163</v>
      </c>
      <c r="DP138" t="s">
        <v>94</v>
      </c>
      <c r="DQ138" t="s">
        <v>15164</v>
      </c>
      <c r="DR138" t="s">
        <v>15165</v>
      </c>
      <c r="DS138" t="s">
        <v>15166</v>
      </c>
      <c r="DT138" t="s">
        <v>15167</v>
      </c>
      <c r="DU138" t="s">
        <v>15168</v>
      </c>
      <c r="DV138" t="s">
        <v>15169</v>
      </c>
      <c r="DW138" t="s">
        <v>15170</v>
      </c>
      <c r="DX138" t="s">
        <v>15156</v>
      </c>
      <c r="DY138" t="s">
        <v>15171</v>
      </c>
      <c r="DZ138" t="s">
        <v>15172</v>
      </c>
      <c r="EA138" t="s">
        <v>15173</v>
      </c>
      <c r="EB138" t="s">
        <v>94</v>
      </c>
      <c r="EC138" t="s">
        <v>15174</v>
      </c>
      <c r="ED138" t="s">
        <v>15175</v>
      </c>
      <c r="EE138" t="s">
        <v>12247</v>
      </c>
      <c r="EG138" t="s">
        <v>12247</v>
      </c>
    </row>
    <row r="139" spans="1:253" x14ac:dyDescent="0.25">
      <c r="A139" t="s">
        <v>95</v>
      </c>
      <c r="B139" t="s">
        <v>12247</v>
      </c>
      <c r="C139">
        <v>0</v>
      </c>
      <c r="D139">
        <v>5</v>
      </c>
      <c r="E139" t="s">
        <v>95</v>
      </c>
      <c r="F139" t="s">
        <v>15176</v>
      </c>
      <c r="G139">
        <v>0</v>
      </c>
      <c r="H139">
        <v>2</v>
      </c>
      <c r="I139" t="s">
        <v>12249</v>
      </c>
      <c r="J139">
        <v>1</v>
      </c>
      <c r="K139" t="s">
        <v>95</v>
      </c>
      <c r="L139" t="s">
        <v>15176</v>
      </c>
      <c r="M139">
        <v>0</v>
      </c>
      <c r="N139" t="s">
        <v>95</v>
      </c>
      <c r="O139" t="s">
        <v>15176</v>
      </c>
      <c r="P139">
        <v>0</v>
      </c>
      <c r="Q139" t="s">
        <v>95</v>
      </c>
      <c r="R139" t="s">
        <v>15176</v>
      </c>
      <c r="S139">
        <v>0</v>
      </c>
      <c r="T139" t="s">
        <v>95</v>
      </c>
      <c r="U139" t="s">
        <v>15176</v>
      </c>
      <c r="V139" t="s">
        <v>95</v>
      </c>
      <c r="X139" t="s">
        <v>15177</v>
      </c>
      <c r="Y139" t="s">
        <v>1631</v>
      </c>
      <c r="Z139" t="s">
        <v>15178</v>
      </c>
      <c r="AB139" t="s">
        <v>95</v>
      </c>
      <c r="AE139" t="s">
        <v>95</v>
      </c>
      <c r="AG139">
        <v>4</v>
      </c>
      <c r="AH139">
        <v>4</v>
      </c>
      <c r="AI139">
        <v>4</v>
      </c>
      <c r="AJ139">
        <v>12</v>
      </c>
      <c r="AK139">
        <v>6855713</v>
      </c>
      <c r="AL139">
        <v>13</v>
      </c>
      <c r="AM139">
        <v>2019</v>
      </c>
      <c r="AN139">
        <v>51991</v>
      </c>
      <c r="AO139">
        <v>2019</v>
      </c>
      <c r="AP139" t="s">
        <v>12277</v>
      </c>
      <c r="AQ139" t="s">
        <v>12305</v>
      </c>
      <c r="AR139" t="s">
        <v>15179</v>
      </c>
      <c r="AS139" t="s">
        <v>1631</v>
      </c>
      <c r="AT139" t="s">
        <v>1631</v>
      </c>
      <c r="AU139" t="s">
        <v>15176</v>
      </c>
      <c r="AV139" t="s">
        <v>15176</v>
      </c>
      <c r="AW139">
        <v>422</v>
      </c>
      <c r="AX139">
        <v>422</v>
      </c>
      <c r="AY139">
        <v>422</v>
      </c>
      <c r="AZ139" t="s">
        <v>1631</v>
      </c>
      <c r="BA139" t="s">
        <v>15176</v>
      </c>
      <c r="BB139">
        <v>23424873</v>
      </c>
      <c r="BC139">
        <v>23424873</v>
      </c>
      <c r="BD139" t="s">
        <v>12254</v>
      </c>
      <c r="BE139" t="s">
        <v>15176</v>
      </c>
      <c r="BG139" t="s">
        <v>15176</v>
      </c>
      <c r="BH139" t="s">
        <v>15176</v>
      </c>
      <c r="BI139" t="s">
        <v>15176</v>
      </c>
      <c r="BJ139" t="s">
        <v>15176</v>
      </c>
      <c r="BK139" t="s">
        <v>15176</v>
      </c>
      <c r="BL139" t="s">
        <v>15176</v>
      </c>
      <c r="BM139" t="s">
        <v>15176</v>
      </c>
      <c r="BN139" t="s">
        <v>15176</v>
      </c>
      <c r="BO139" t="s">
        <v>15176</v>
      </c>
      <c r="BP139" t="s">
        <v>15176</v>
      </c>
      <c r="BQ139" t="s">
        <v>15176</v>
      </c>
      <c r="BR139" t="s">
        <v>15176</v>
      </c>
      <c r="BS139" t="s">
        <v>15176</v>
      </c>
      <c r="BT139" t="s">
        <v>15176</v>
      </c>
      <c r="BU139" t="s">
        <v>15176</v>
      </c>
      <c r="BV139" t="s">
        <v>15176</v>
      </c>
      <c r="BW139" t="s">
        <v>15176</v>
      </c>
      <c r="BX139" t="s">
        <v>15176</v>
      </c>
      <c r="BY139" t="s">
        <v>15176</v>
      </c>
      <c r="BZ139" t="s">
        <v>15176</v>
      </c>
      <c r="CA139" t="s">
        <v>15176</v>
      </c>
      <c r="CB139" t="s">
        <v>15176</v>
      </c>
      <c r="CC139" t="s">
        <v>15176</v>
      </c>
      <c r="CD139" t="s">
        <v>15176</v>
      </c>
      <c r="CE139" t="s">
        <v>15176</v>
      </c>
      <c r="CF139" t="s">
        <v>15176</v>
      </c>
      <c r="CG139" t="s">
        <v>15176</v>
      </c>
      <c r="CH139" t="s">
        <v>15176</v>
      </c>
      <c r="CI139" t="s">
        <v>15176</v>
      </c>
      <c r="CJ139" t="s">
        <v>15176</v>
      </c>
      <c r="CK139" t="s">
        <v>15176</v>
      </c>
      <c r="CL139" t="s">
        <v>15176</v>
      </c>
      <c r="CM139">
        <v>-99</v>
      </c>
      <c r="CN139">
        <v>-99</v>
      </c>
      <c r="CO139" t="s">
        <v>12255</v>
      </c>
      <c r="CP139" t="s">
        <v>12255</v>
      </c>
      <c r="CQ139" t="s">
        <v>12458</v>
      </c>
      <c r="CR139" t="s">
        <v>12308</v>
      </c>
      <c r="CS139">
        <v>7</v>
      </c>
      <c r="CT139">
        <v>7</v>
      </c>
      <c r="CU139">
        <v>4</v>
      </c>
      <c r="CV139">
        <v>4</v>
      </c>
      <c r="CW139">
        <v>1</v>
      </c>
      <c r="CX139">
        <v>0</v>
      </c>
      <c r="CY139">
        <v>4</v>
      </c>
      <c r="CZ139">
        <v>9</v>
      </c>
      <c r="DA139">
        <v>35.992891999999998</v>
      </c>
      <c r="DB139">
        <v>34.133367999999997</v>
      </c>
      <c r="DC139">
        <v>1159321013</v>
      </c>
      <c r="DD139" t="s">
        <v>15180</v>
      </c>
      <c r="DE139" t="s">
        <v>15181</v>
      </c>
      <c r="DF139" t="s">
        <v>15182</v>
      </c>
      <c r="DG139" t="s">
        <v>15183</v>
      </c>
      <c r="DH139" t="s">
        <v>95</v>
      </c>
      <c r="DI139" t="s">
        <v>15184</v>
      </c>
      <c r="DJ139" t="s">
        <v>15181</v>
      </c>
      <c r="DK139" t="s">
        <v>15185</v>
      </c>
      <c r="DL139" t="s">
        <v>15186</v>
      </c>
      <c r="DM139" t="s">
        <v>15187</v>
      </c>
      <c r="DN139" t="s">
        <v>15188</v>
      </c>
      <c r="DO139" t="s">
        <v>15183</v>
      </c>
      <c r="DP139" t="s">
        <v>95</v>
      </c>
      <c r="DQ139" t="s">
        <v>15189</v>
      </c>
      <c r="DR139" t="s">
        <v>15190</v>
      </c>
      <c r="DS139" t="s">
        <v>15191</v>
      </c>
      <c r="DT139" t="s">
        <v>15183</v>
      </c>
      <c r="DU139" t="s">
        <v>15185</v>
      </c>
      <c r="DV139" t="s">
        <v>15184</v>
      </c>
      <c r="DW139" t="s">
        <v>15192</v>
      </c>
      <c r="DX139" t="s">
        <v>15183</v>
      </c>
      <c r="DY139" t="s">
        <v>15193</v>
      </c>
      <c r="DZ139" t="s">
        <v>15194</v>
      </c>
      <c r="EA139" t="s">
        <v>15181</v>
      </c>
      <c r="EB139" t="s">
        <v>15185</v>
      </c>
      <c r="EC139" t="s">
        <v>15195</v>
      </c>
      <c r="ED139" t="s">
        <v>15195</v>
      </c>
      <c r="EE139" t="s">
        <v>12247</v>
      </c>
      <c r="EG139" t="s">
        <v>12247</v>
      </c>
    </row>
    <row r="140" spans="1:253" x14ac:dyDescent="0.25">
      <c r="A140" t="s">
        <v>96</v>
      </c>
      <c r="B140" t="s">
        <v>12247</v>
      </c>
      <c r="C140">
        <v>0</v>
      </c>
      <c r="D140">
        <v>6</v>
      </c>
      <c r="E140" t="s">
        <v>96</v>
      </c>
      <c r="F140" t="s">
        <v>15196</v>
      </c>
      <c r="G140">
        <v>0</v>
      </c>
      <c r="H140">
        <v>2</v>
      </c>
      <c r="I140" t="s">
        <v>12249</v>
      </c>
      <c r="J140">
        <v>1</v>
      </c>
      <c r="K140" t="s">
        <v>96</v>
      </c>
      <c r="L140" t="s">
        <v>15196</v>
      </c>
      <c r="M140">
        <v>0</v>
      </c>
      <c r="N140" t="s">
        <v>96</v>
      </c>
      <c r="O140" t="s">
        <v>15196</v>
      </c>
      <c r="P140">
        <v>0</v>
      </c>
      <c r="Q140" t="s">
        <v>96</v>
      </c>
      <c r="R140" t="s">
        <v>15196</v>
      </c>
      <c r="S140">
        <v>0</v>
      </c>
      <c r="T140" t="s">
        <v>96</v>
      </c>
      <c r="U140" t="s">
        <v>15196</v>
      </c>
      <c r="V140" t="s">
        <v>96</v>
      </c>
      <c r="X140" t="s">
        <v>15197</v>
      </c>
      <c r="Y140" t="s">
        <v>1646</v>
      </c>
      <c r="Z140" t="s">
        <v>15198</v>
      </c>
      <c r="AB140" t="s">
        <v>96</v>
      </c>
      <c r="AE140" t="s">
        <v>96</v>
      </c>
      <c r="AG140">
        <v>1</v>
      </c>
      <c r="AH140">
        <v>5</v>
      </c>
      <c r="AI140">
        <v>2</v>
      </c>
      <c r="AJ140">
        <v>8</v>
      </c>
      <c r="AK140">
        <v>2125268</v>
      </c>
      <c r="AL140">
        <v>12</v>
      </c>
      <c r="AM140">
        <v>2019</v>
      </c>
      <c r="AN140">
        <v>2376</v>
      </c>
      <c r="AO140">
        <v>2019</v>
      </c>
      <c r="AP140" t="s">
        <v>12252</v>
      </c>
      <c r="AQ140" t="s">
        <v>12278</v>
      </c>
      <c r="AR140" t="s">
        <v>1649</v>
      </c>
      <c r="AS140" t="s">
        <v>1646</v>
      </c>
      <c r="AT140" t="s">
        <v>1646</v>
      </c>
      <c r="AU140" t="s">
        <v>15196</v>
      </c>
      <c r="AV140" t="s">
        <v>15196</v>
      </c>
      <c r="AW140">
        <v>426</v>
      </c>
      <c r="AX140">
        <v>426</v>
      </c>
      <c r="AY140">
        <v>426</v>
      </c>
      <c r="AZ140" t="s">
        <v>1646</v>
      </c>
      <c r="BA140" t="s">
        <v>15196</v>
      </c>
      <c r="BB140">
        <v>23424880</v>
      </c>
      <c r="BC140">
        <v>23424880</v>
      </c>
      <c r="BD140" t="s">
        <v>12254</v>
      </c>
      <c r="BE140" t="s">
        <v>15196</v>
      </c>
      <c r="BG140" t="s">
        <v>15196</v>
      </c>
      <c r="BH140" t="s">
        <v>15196</v>
      </c>
      <c r="BI140" t="s">
        <v>15196</v>
      </c>
      <c r="BJ140" t="s">
        <v>15196</v>
      </c>
      <c r="BK140" t="s">
        <v>15196</v>
      </c>
      <c r="BL140" t="s">
        <v>15196</v>
      </c>
      <c r="BM140" t="s">
        <v>15196</v>
      </c>
      <c r="BN140" t="s">
        <v>15196</v>
      </c>
      <c r="BO140" t="s">
        <v>15196</v>
      </c>
      <c r="BP140" t="s">
        <v>15196</v>
      </c>
      <c r="BQ140" t="s">
        <v>15196</v>
      </c>
      <c r="BR140" t="s">
        <v>15196</v>
      </c>
      <c r="BS140" t="s">
        <v>15196</v>
      </c>
      <c r="BT140" t="s">
        <v>15196</v>
      </c>
      <c r="BU140" t="s">
        <v>15196</v>
      </c>
      <c r="BV140" t="s">
        <v>15196</v>
      </c>
      <c r="BW140" t="s">
        <v>15196</v>
      </c>
      <c r="BX140" t="s">
        <v>15196</v>
      </c>
      <c r="BY140" t="s">
        <v>15196</v>
      </c>
      <c r="BZ140" t="s">
        <v>15196</v>
      </c>
      <c r="CA140" t="s">
        <v>15196</v>
      </c>
      <c r="CB140" t="s">
        <v>15196</v>
      </c>
      <c r="CC140" t="s">
        <v>15196</v>
      </c>
      <c r="CD140" t="s">
        <v>15196</v>
      </c>
      <c r="CE140" t="s">
        <v>15196</v>
      </c>
      <c r="CF140" t="s">
        <v>15196</v>
      </c>
      <c r="CG140" t="s">
        <v>15196</v>
      </c>
      <c r="CH140" t="s">
        <v>15196</v>
      </c>
      <c r="CI140" t="s">
        <v>15196</v>
      </c>
      <c r="CJ140" t="s">
        <v>15196</v>
      </c>
      <c r="CK140" t="s">
        <v>15196</v>
      </c>
      <c r="CL140" t="s">
        <v>15196</v>
      </c>
      <c r="CM140">
        <v>-99</v>
      </c>
      <c r="CN140">
        <v>-99</v>
      </c>
      <c r="CO140" t="s">
        <v>12306</v>
      </c>
      <c r="CP140" t="s">
        <v>12306</v>
      </c>
      <c r="CQ140" t="s">
        <v>12956</v>
      </c>
      <c r="CR140" t="s">
        <v>12357</v>
      </c>
      <c r="CS140">
        <v>7</v>
      </c>
      <c r="CT140">
        <v>7</v>
      </c>
      <c r="CU140">
        <v>4</v>
      </c>
      <c r="CV140">
        <v>-99</v>
      </c>
      <c r="CW140">
        <v>1</v>
      </c>
      <c r="CX140">
        <v>0</v>
      </c>
      <c r="CY140">
        <v>4</v>
      </c>
      <c r="CZ140">
        <v>9</v>
      </c>
      <c r="DA140">
        <v>28.246638999999998</v>
      </c>
      <c r="DB140">
        <v>-29.480157999999999</v>
      </c>
      <c r="DC140">
        <v>1159321027</v>
      </c>
      <c r="DD140" t="s">
        <v>15199</v>
      </c>
      <c r="DE140" t="s">
        <v>15200</v>
      </c>
      <c r="DF140" t="s">
        <v>15201</v>
      </c>
      <c r="DG140" t="s">
        <v>96</v>
      </c>
      <c r="DH140" t="s">
        <v>96</v>
      </c>
      <c r="DI140" t="s">
        <v>15202</v>
      </c>
      <c r="DJ140" t="s">
        <v>15203</v>
      </c>
      <c r="DK140" t="s">
        <v>96</v>
      </c>
      <c r="DL140" t="s">
        <v>15204</v>
      </c>
      <c r="DM140" t="s">
        <v>15205</v>
      </c>
      <c r="DN140" t="s">
        <v>15206</v>
      </c>
      <c r="DO140" t="s">
        <v>96</v>
      </c>
      <c r="DP140" t="s">
        <v>96</v>
      </c>
      <c r="DQ140" t="s">
        <v>96</v>
      </c>
      <c r="DR140" t="s">
        <v>15207</v>
      </c>
      <c r="DS140" t="s">
        <v>15208</v>
      </c>
      <c r="DT140" t="s">
        <v>96</v>
      </c>
      <c r="DU140" t="s">
        <v>96</v>
      </c>
      <c r="DV140" t="s">
        <v>15202</v>
      </c>
      <c r="DW140" t="s">
        <v>15209</v>
      </c>
      <c r="DX140" t="s">
        <v>96</v>
      </c>
      <c r="DY140" t="s">
        <v>96</v>
      </c>
      <c r="DZ140" t="s">
        <v>15209</v>
      </c>
      <c r="EA140" t="s">
        <v>15210</v>
      </c>
      <c r="EB140" t="s">
        <v>96</v>
      </c>
      <c r="EC140" t="s">
        <v>15211</v>
      </c>
      <c r="ED140" t="s">
        <v>15212</v>
      </c>
      <c r="EE140" t="s">
        <v>12247</v>
      </c>
      <c r="EG140" t="s">
        <v>12247</v>
      </c>
    </row>
    <row r="141" spans="1:253" x14ac:dyDescent="0.25">
      <c r="A141" t="s">
        <v>97</v>
      </c>
      <c r="B141" t="s">
        <v>12247</v>
      </c>
      <c r="C141">
        <v>0</v>
      </c>
      <c r="D141">
        <v>4</v>
      </c>
      <c r="E141" t="s">
        <v>97</v>
      </c>
      <c r="F141" t="s">
        <v>15213</v>
      </c>
      <c r="G141">
        <v>0</v>
      </c>
      <c r="H141">
        <v>2</v>
      </c>
      <c r="I141" t="s">
        <v>12249</v>
      </c>
      <c r="J141">
        <v>1</v>
      </c>
      <c r="K141" t="s">
        <v>97</v>
      </c>
      <c r="L141" t="s">
        <v>15213</v>
      </c>
      <c r="M141">
        <v>0</v>
      </c>
      <c r="N141" t="s">
        <v>97</v>
      </c>
      <c r="O141" t="s">
        <v>15213</v>
      </c>
      <c r="P141">
        <v>0</v>
      </c>
      <c r="Q141" t="s">
        <v>97</v>
      </c>
      <c r="R141" t="s">
        <v>15213</v>
      </c>
      <c r="S141">
        <v>0</v>
      </c>
      <c r="T141" t="s">
        <v>97</v>
      </c>
      <c r="U141" t="s">
        <v>15213</v>
      </c>
      <c r="V141" t="s">
        <v>97</v>
      </c>
      <c r="X141" t="s">
        <v>97</v>
      </c>
      <c r="Y141" t="s">
        <v>1643</v>
      </c>
      <c r="Z141" t="s">
        <v>15214</v>
      </c>
      <c r="AB141" t="s">
        <v>97</v>
      </c>
      <c r="AE141" t="s">
        <v>97</v>
      </c>
      <c r="AG141">
        <v>2</v>
      </c>
      <c r="AH141">
        <v>3</v>
      </c>
      <c r="AI141">
        <v>4</v>
      </c>
      <c r="AJ141">
        <v>9</v>
      </c>
      <c r="AK141">
        <v>4937374</v>
      </c>
      <c r="AL141">
        <v>12</v>
      </c>
      <c r="AM141">
        <v>2019</v>
      </c>
      <c r="AN141">
        <v>3070</v>
      </c>
      <c r="AO141">
        <v>2019</v>
      </c>
      <c r="AP141" t="s">
        <v>12252</v>
      </c>
      <c r="AQ141" t="s">
        <v>12253</v>
      </c>
      <c r="AR141" t="s">
        <v>1637</v>
      </c>
      <c r="AS141" t="s">
        <v>1643</v>
      </c>
      <c r="AT141" t="s">
        <v>1643</v>
      </c>
      <c r="AU141" t="s">
        <v>15213</v>
      </c>
      <c r="AV141" t="s">
        <v>15213</v>
      </c>
      <c r="AW141">
        <v>430</v>
      </c>
      <c r="AX141">
        <v>430</v>
      </c>
      <c r="AY141">
        <v>430</v>
      </c>
      <c r="AZ141" t="s">
        <v>1643</v>
      </c>
      <c r="BA141" t="s">
        <v>15213</v>
      </c>
      <c r="BB141">
        <v>23424876</v>
      </c>
      <c r="BC141">
        <v>23424876</v>
      </c>
      <c r="BD141" t="s">
        <v>12254</v>
      </c>
      <c r="BE141" t="s">
        <v>15213</v>
      </c>
      <c r="BG141" t="s">
        <v>15213</v>
      </c>
      <c r="BH141" t="s">
        <v>15213</v>
      </c>
      <c r="BI141" t="s">
        <v>15213</v>
      </c>
      <c r="BJ141" t="s">
        <v>15213</v>
      </c>
      <c r="BK141" t="s">
        <v>15213</v>
      </c>
      <c r="BL141" t="s">
        <v>15213</v>
      </c>
      <c r="BM141" t="s">
        <v>15213</v>
      </c>
      <c r="BN141" t="s">
        <v>15213</v>
      </c>
      <c r="BO141" t="s">
        <v>15213</v>
      </c>
      <c r="BP141" t="s">
        <v>15213</v>
      </c>
      <c r="BQ141" t="s">
        <v>15213</v>
      </c>
      <c r="BR141" t="s">
        <v>15213</v>
      </c>
      <c r="BS141" t="s">
        <v>15213</v>
      </c>
      <c r="BT141" t="s">
        <v>15213</v>
      </c>
      <c r="BU141" t="s">
        <v>15213</v>
      </c>
      <c r="BV141" t="s">
        <v>15213</v>
      </c>
      <c r="BW141" t="s">
        <v>15213</v>
      </c>
      <c r="BX141" t="s">
        <v>15213</v>
      </c>
      <c r="BY141" t="s">
        <v>15213</v>
      </c>
      <c r="BZ141" t="s">
        <v>15213</v>
      </c>
      <c r="CA141" t="s">
        <v>15213</v>
      </c>
      <c r="CB141" t="s">
        <v>15213</v>
      </c>
      <c r="CC141" t="s">
        <v>15213</v>
      </c>
      <c r="CD141" t="s">
        <v>15213</v>
      </c>
      <c r="CE141" t="s">
        <v>15213</v>
      </c>
      <c r="CF141" t="s">
        <v>15213</v>
      </c>
      <c r="CG141" t="s">
        <v>15213</v>
      </c>
      <c r="CH141" t="s">
        <v>15213</v>
      </c>
      <c r="CI141" t="s">
        <v>15213</v>
      </c>
      <c r="CJ141" t="s">
        <v>15213</v>
      </c>
      <c r="CK141" t="s">
        <v>15213</v>
      </c>
      <c r="CL141" t="s">
        <v>15213</v>
      </c>
      <c r="CM141">
        <v>-99</v>
      </c>
      <c r="CN141">
        <v>-99</v>
      </c>
      <c r="CO141" t="s">
        <v>12306</v>
      </c>
      <c r="CP141" t="s">
        <v>12306</v>
      </c>
      <c r="CQ141" t="s">
        <v>12847</v>
      </c>
      <c r="CR141" t="s">
        <v>12357</v>
      </c>
      <c r="CS141">
        <v>7</v>
      </c>
      <c r="CT141">
        <v>7</v>
      </c>
      <c r="CU141">
        <v>7</v>
      </c>
      <c r="CV141">
        <v>-99</v>
      </c>
      <c r="CW141">
        <v>1</v>
      </c>
      <c r="CX141">
        <v>0</v>
      </c>
      <c r="CY141">
        <v>4</v>
      </c>
      <c r="CZ141">
        <v>9</v>
      </c>
      <c r="DA141">
        <v>-9.4603789999999996</v>
      </c>
      <c r="DB141">
        <v>6.4471769999999999</v>
      </c>
      <c r="DC141">
        <v>1159321015</v>
      </c>
      <c r="DD141" t="s">
        <v>15215</v>
      </c>
      <c r="DE141" t="s">
        <v>15216</v>
      </c>
      <c r="DF141" t="s">
        <v>15217</v>
      </c>
      <c r="DG141" t="s">
        <v>97</v>
      </c>
      <c r="DH141" t="s">
        <v>97</v>
      </c>
      <c r="DI141" t="s">
        <v>97</v>
      </c>
      <c r="DJ141" t="s">
        <v>15218</v>
      </c>
      <c r="DK141" t="s">
        <v>97</v>
      </c>
      <c r="DL141" t="s">
        <v>15219</v>
      </c>
      <c r="DM141" t="s">
        <v>15220</v>
      </c>
      <c r="DN141" t="s">
        <v>15221</v>
      </c>
      <c r="DO141" t="s">
        <v>15222</v>
      </c>
      <c r="DP141" t="s">
        <v>97</v>
      </c>
      <c r="DQ141" t="s">
        <v>97</v>
      </c>
      <c r="DR141" t="s">
        <v>15223</v>
      </c>
      <c r="DS141" t="s">
        <v>15224</v>
      </c>
      <c r="DT141" t="s">
        <v>97</v>
      </c>
      <c r="DU141" t="s">
        <v>97</v>
      </c>
      <c r="DV141" t="s">
        <v>15222</v>
      </c>
      <c r="DW141" t="s">
        <v>15225</v>
      </c>
      <c r="DX141" t="s">
        <v>97</v>
      </c>
      <c r="DY141" t="s">
        <v>15226</v>
      </c>
      <c r="DZ141" t="s">
        <v>15227</v>
      </c>
      <c r="EA141" t="s">
        <v>15228</v>
      </c>
      <c r="EB141" t="s">
        <v>97</v>
      </c>
      <c r="EC141" t="s">
        <v>15229</v>
      </c>
      <c r="ED141" t="s">
        <v>15230</v>
      </c>
      <c r="EE141" t="s">
        <v>12247</v>
      </c>
      <c r="EG141" t="s">
        <v>12247</v>
      </c>
    </row>
    <row r="142" spans="1:253" x14ac:dyDescent="0.25">
      <c r="A142" t="s">
        <v>98</v>
      </c>
      <c r="B142" t="s">
        <v>12247</v>
      </c>
      <c r="C142">
        <v>0</v>
      </c>
      <c r="D142">
        <v>3</v>
      </c>
      <c r="E142" t="s">
        <v>98</v>
      </c>
      <c r="F142" t="s">
        <v>15231</v>
      </c>
      <c r="G142">
        <v>0</v>
      </c>
      <c r="H142">
        <v>2</v>
      </c>
      <c r="I142" t="s">
        <v>12249</v>
      </c>
      <c r="J142">
        <v>1</v>
      </c>
      <c r="K142" t="s">
        <v>98</v>
      </c>
      <c r="L142" t="s">
        <v>15231</v>
      </c>
      <c r="M142">
        <v>0</v>
      </c>
      <c r="N142" t="s">
        <v>98</v>
      </c>
      <c r="O142" t="s">
        <v>15231</v>
      </c>
      <c r="P142">
        <v>0</v>
      </c>
      <c r="Q142" t="s">
        <v>98</v>
      </c>
      <c r="R142" t="s">
        <v>15231</v>
      </c>
      <c r="S142">
        <v>0</v>
      </c>
      <c r="T142" t="s">
        <v>98</v>
      </c>
      <c r="U142" t="s">
        <v>15231</v>
      </c>
      <c r="V142" t="s">
        <v>98</v>
      </c>
      <c r="X142" t="s">
        <v>98</v>
      </c>
      <c r="Y142" t="s">
        <v>1657</v>
      </c>
      <c r="Z142" t="s">
        <v>98</v>
      </c>
      <c r="AB142" t="s">
        <v>98</v>
      </c>
      <c r="AE142" t="s">
        <v>98</v>
      </c>
      <c r="AG142">
        <v>1</v>
      </c>
      <c r="AH142">
        <v>2</v>
      </c>
      <c r="AI142">
        <v>2</v>
      </c>
      <c r="AJ142">
        <v>11</v>
      </c>
      <c r="AK142">
        <v>6777452</v>
      </c>
      <c r="AL142">
        <v>13</v>
      </c>
      <c r="AM142">
        <v>2019</v>
      </c>
      <c r="AN142">
        <v>52091</v>
      </c>
      <c r="AO142">
        <v>2019</v>
      </c>
      <c r="AP142" t="s">
        <v>12277</v>
      </c>
      <c r="AQ142" t="s">
        <v>12305</v>
      </c>
      <c r="AR142" t="s">
        <v>1657</v>
      </c>
      <c r="AS142" t="s">
        <v>1657</v>
      </c>
      <c r="AT142" t="s">
        <v>1657</v>
      </c>
      <c r="AU142" t="s">
        <v>15231</v>
      </c>
      <c r="AV142" t="s">
        <v>15231</v>
      </c>
      <c r="AW142">
        <v>434</v>
      </c>
      <c r="AX142">
        <v>434</v>
      </c>
      <c r="AY142">
        <v>434</v>
      </c>
      <c r="AZ142" t="s">
        <v>1657</v>
      </c>
      <c r="BA142" t="s">
        <v>15231</v>
      </c>
      <c r="BB142">
        <v>23424882</v>
      </c>
      <c r="BC142">
        <v>23424882</v>
      </c>
      <c r="BD142" t="s">
        <v>12254</v>
      </c>
      <c r="BE142" t="s">
        <v>15231</v>
      </c>
      <c r="BG142" t="s">
        <v>15231</v>
      </c>
      <c r="BH142" t="s">
        <v>15231</v>
      </c>
      <c r="BI142" t="s">
        <v>15231</v>
      </c>
      <c r="BJ142" t="s">
        <v>15231</v>
      </c>
      <c r="BK142" t="s">
        <v>15231</v>
      </c>
      <c r="BL142" t="s">
        <v>15231</v>
      </c>
      <c r="BM142" t="s">
        <v>15231</v>
      </c>
      <c r="BN142" t="s">
        <v>15231</v>
      </c>
      <c r="BO142" t="s">
        <v>15231</v>
      </c>
      <c r="BP142" t="s">
        <v>15231</v>
      </c>
      <c r="BQ142" t="s">
        <v>15231</v>
      </c>
      <c r="BR142" t="s">
        <v>15231</v>
      </c>
      <c r="BS142" t="s">
        <v>15231</v>
      </c>
      <c r="BT142" t="s">
        <v>15231</v>
      </c>
      <c r="BU142" t="s">
        <v>15231</v>
      </c>
      <c r="BV142" t="s">
        <v>15231</v>
      </c>
      <c r="BW142" t="s">
        <v>15231</v>
      </c>
      <c r="BX142" t="s">
        <v>15231</v>
      </c>
      <c r="BY142" t="s">
        <v>15231</v>
      </c>
      <c r="BZ142" t="s">
        <v>15231</v>
      </c>
      <c r="CA142" t="s">
        <v>15231</v>
      </c>
      <c r="CB142" t="s">
        <v>15231</v>
      </c>
      <c r="CC142" t="s">
        <v>15231</v>
      </c>
      <c r="CD142" t="s">
        <v>15231</v>
      </c>
      <c r="CE142" t="s">
        <v>15231</v>
      </c>
      <c r="CF142" t="s">
        <v>15231</v>
      </c>
      <c r="CG142" t="s">
        <v>15231</v>
      </c>
      <c r="CH142" t="s">
        <v>15231</v>
      </c>
      <c r="CI142" t="s">
        <v>15231</v>
      </c>
      <c r="CJ142" t="s">
        <v>15231</v>
      </c>
      <c r="CK142" t="s">
        <v>15231</v>
      </c>
      <c r="CL142" t="s">
        <v>15231</v>
      </c>
      <c r="CM142">
        <v>-99</v>
      </c>
      <c r="CN142">
        <v>-99</v>
      </c>
      <c r="CO142" t="s">
        <v>12306</v>
      </c>
      <c r="CP142" t="s">
        <v>12306</v>
      </c>
      <c r="CQ142" t="s">
        <v>12307</v>
      </c>
      <c r="CR142" t="s">
        <v>12308</v>
      </c>
      <c r="CS142">
        <v>5</v>
      </c>
      <c r="CT142">
        <v>5</v>
      </c>
      <c r="CU142">
        <v>5</v>
      </c>
      <c r="CV142">
        <v>-99</v>
      </c>
      <c r="CW142">
        <v>1</v>
      </c>
      <c r="CX142">
        <v>0</v>
      </c>
      <c r="CY142">
        <v>3</v>
      </c>
      <c r="CZ142">
        <v>8</v>
      </c>
      <c r="DA142">
        <v>18.011015</v>
      </c>
      <c r="DB142">
        <v>26.638943999999999</v>
      </c>
      <c r="DC142">
        <v>1159321017</v>
      </c>
      <c r="DD142" t="s">
        <v>15232</v>
      </c>
      <c r="DE142" t="s">
        <v>15233</v>
      </c>
      <c r="DF142" t="s">
        <v>15234</v>
      </c>
      <c r="DG142" t="s">
        <v>15235</v>
      </c>
      <c r="DH142" t="s">
        <v>98</v>
      </c>
      <c r="DI142" t="s">
        <v>15236</v>
      </c>
      <c r="DJ142" t="s">
        <v>15237</v>
      </c>
      <c r="DK142" t="s">
        <v>15238</v>
      </c>
      <c r="DL142" t="s">
        <v>15239</v>
      </c>
      <c r="DM142" t="s">
        <v>15240</v>
      </c>
      <c r="DN142" t="s">
        <v>15241</v>
      </c>
      <c r="DO142" t="s">
        <v>15242</v>
      </c>
      <c r="DP142" t="s">
        <v>98</v>
      </c>
      <c r="DQ142" t="s">
        <v>15236</v>
      </c>
      <c r="DR142" t="s">
        <v>15243</v>
      </c>
      <c r="DS142" t="s">
        <v>15244</v>
      </c>
      <c r="DT142" t="s">
        <v>15245</v>
      </c>
      <c r="DU142" t="s">
        <v>15236</v>
      </c>
      <c r="DV142" t="s">
        <v>15242</v>
      </c>
      <c r="DW142" t="s">
        <v>15246</v>
      </c>
      <c r="DX142" t="s">
        <v>15235</v>
      </c>
      <c r="DY142" t="s">
        <v>98</v>
      </c>
      <c r="DZ142" t="s">
        <v>15247</v>
      </c>
      <c r="EA142" t="s">
        <v>15248</v>
      </c>
      <c r="EB142" t="s">
        <v>98</v>
      </c>
      <c r="EC142" t="s">
        <v>15249</v>
      </c>
      <c r="ED142" t="s">
        <v>15250</v>
      </c>
      <c r="EE142" t="s">
        <v>12247</v>
      </c>
      <c r="EG142" t="s">
        <v>12247</v>
      </c>
    </row>
    <row r="143" spans="1:253" x14ac:dyDescent="0.25">
      <c r="A143" t="s">
        <v>99</v>
      </c>
      <c r="B143" t="s">
        <v>12247</v>
      </c>
      <c r="C143">
        <v>0</v>
      </c>
      <c r="D143">
        <v>6</v>
      </c>
      <c r="E143" t="s">
        <v>99</v>
      </c>
      <c r="F143" t="s">
        <v>15251</v>
      </c>
      <c r="G143">
        <v>0</v>
      </c>
      <c r="H143">
        <v>2</v>
      </c>
      <c r="I143" t="s">
        <v>12249</v>
      </c>
      <c r="J143">
        <v>1</v>
      </c>
      <c r="K143" t="s">
        <v>99</v>
      </c>
      <c r="L143" t="s">
        <v>15251</v>
      </c>
      <c r="M143">
        <v>0</v>
      </c>
      <c r="N143" t="s">
        <v>99</v>
      </c>
      <c r="O143" t="s">
        <v>15251</v>
      </c>
      <c r="P143">
        <v>0</v>
      </c>
      <c r="Q143" t="s">
        <v>99</v>
      </c>
      <c r="R143" t="s">
        <v>15251</v>
      </c>
      <c r="S143">
        <v>0</v>
      </c>
      <c r="T143" t="s">
        <v>99</v>
      </c>
      <c r="U143" t="s">
        <v>15251</v>
      </c>
      <c r="V143" t="s">
        <v>99</v>
      </c>
      <c r="X143" t="s">
        <v>15252</v>
      </c>
      <c r="Y143" t="s">
        <v>15253</v>
      </c>
      <c r="Z143" t="s">
        <v>15254</v>
      </c>
      <c r="AB143" t="s">
        <v>99</v>
      </c>
      <c r="AE143" t="s">
        <v>99</v>
      </c>
      <c r="AG143">
        <v>2</v>
      </c>
      <c r="AH143">
        <v>4</v>
      </c>
      <c r="AI143">
        <v>2</v>
      </c>
      <c r="AJ143">
        <v>9</v>
      </c>
      <c r="AK143">
        <v>38019</v>
      </c>
      <c r="AL143">
        <v>7</v>
      </c>
      <c r="AM143">
        <v>2019</v>
      </c>
      <c r="AN143">
        <v>6876</v>
      </c>
      <c r="AO143">
        <v>2018</v>
      </c>
      <c r="AP143" t="s">
        <v>12334</v>
      </c>
      <c r="AQ143" t="s">
        <v>12335</v>
      </c>
      <c r="AR143" t="s">
        <v>1646</v>
      </c>
      <c r="AS143" t="s">
        <v>1637</v>
      </c>
      <c r="AT143" t="s">
        <v>1637</v>
      </c>
      <c r="AU143" t="s">
        <v>15251</v>
      </c>
      <c r="AV143" t="s">
        <v>15251</v>
      </c>
      <c r="AW143">
        <v>438</v>
      </c>
      <c r="AX143">
        <v>438</v>
      </c>
      <c r="AY143">
        <v>438</v>
      </c>
      <c r="AZ143" t="s">
        <v>1637</v>
      </c>
      <c r="BA143" t="s">
        <v>15251</v>
      </c>
      <c r="BB143">
        <v>23424879</v>
      </c>
      <c r="BC143">
        <v>23424879</v>
      </c>
      <c r="BD143" t="s">
        <v>12254</v>
      </c>
      <c r="BE143" t="s">
        <v>15251</v>
      </c>
      <c r="BG143" t="s">
        <v>15251</v>
      </c>
      <c r="BH143" t="s">
        <v>15251</v>
      </c>
      <c r="BI143" t="s">
        <v>15251</v>
      </c>
      <c r="BJ143" t="s">
        <v>15251</v>
      </c>
      <c r="BK143" t="s">
        <v>15251</v>
      </c>
      <c r="BL143" t="s">
        <v>15251</v>
      </c>
      <c r="BM143" t="s">
        <v>15251</v>
      </c>
      <c r="BN143" t="s">
        <v>15251</v>
      </c>
      <c r="BO143" t="s">
        <v>15251</v>
      </c>
      <c r="BP143" t="s">
        <v>15251</v>
      </c>
      <c r="BQ143" t="s">
        <v>15251</v>
      </c>
      <c r="BR143" t="s">
        <v>15251</v>
      </c>
      <c r="BS143" t="s">
        <v>15251</v>
      </c>
      <c r="BT143" t="s">
        <v>15251</v>
      </c>
      <c r="BU143" t="s">
        <v>15251</v>
      </c>
      <c r="BV143" t="s">
        <v>15251</v>
      </c>
      <c r="BW143" t="s">
        <v>15251</v>
      </c>
      <c r="BX143" t="s">
        <v>15251</v>
      </c>
      <c r="BY143" t="s">
        <v>15251</v>
      </c>
      <c r="BZ143" t="s">
        <v>15251</v>
      </c>
      <c r="CA143" t="s">
        <v>15251</v>
      </c>
      <c r="CB143" t="s">
        <v>15251</v>
      </c>
      <c r="CC143" t="s">
        <v>15251</v>
      </c>
      <c r="CD143" t="s">
        <v>15251</v>
      </c>
      <c r="CE143" t="s">
        <v>15251</v>
      </c>
      <c r="CF143" t="s">
        <v>15251</v>
      </c>
      <c r="CG143" t="s">
        <v>15251</v>
      </c>
      <c r="CH143" t="s">
        <v>15251</v>
      </c>
      <c r="CI143" t="s">
        <v>15251</v>
      </c>
      <c r="CJ143" t="s">
        <v>15251</v>
      </c>
      <c r="CK143" t="s">
        <v>15251</v>
      </c>
      <c r="CL143" t="s">
        <v>15251</v>
      </c>
      <c r="CM143">
        <v>-99</v>
      </c>
      <c r="CN143">
        <v>-99</v>
      </c>
      <c r="CO143" t="s">
        <v>12279</v>
      </c>
      <c r="CP143" t="s">
        <v>12279</v>
      </c>
      <c r="CQ143" t="s">
        <v>12640</v>
      </c>
      <c r="CR143" t="s">
        <v>12281</v>
      </c>
      <c r="CS143">
        <v>13</v>
      </c>
      <c r="CT143">
        <v>13</v>
      </c>
      <c r="CU143">
        <v>6</v>
      </c>
      <c r="CV143">
        <v>6</v>
      </c>
      <c r="CW143">
        <v>1</v>
      </c>
      <c r="CX143">
        <v>0</v>
      </c>
      <c r="CY143">
        <v>5</v>
      </c>
      <c r="CZ143">
        <v>10</v>
      </c>
      <c r="DA143">
        <v>9.5594389999999994</v>
      </c>
      <c r="DB143">
        <v>47.111404999999998</v>
      </c>
      <c r="DC143">
        <v>1159321021</v>
      </c>
      <c r="DD143" t="s">
        <v>15255</v>
      </c>
      <c r="DE143" t="s">
        <v>15256</v>
      </c>
      <c r="DF143" t="s">
        <v>15257</v>
      </c>
      <c r="DG143" t="s">
        <v>99</v>
      </c>
      <c r="DH143" t="s">
        <v>99</v>
      </c>
      <c r="DI143" t="s">
        <v>99</v>
      </c>
      <c r="DJ143" t="s">
        <v>15258</v>
      </c>
      <c r="DK143" t="s">
        <v>99</v>
      </c>
      <c r="DL143" t="s">
        <v>15259</v>
      </c>
      <c r="DM143" t="s">
        <v>15260</v>
      </c>
      <c r="DN143" t="s">
        <v>15261</v>
      </c>
      <c r="DO143" t="s">
        <v>99</v>
      </c>
      <c r="DP143" t="s">
        <v>99</v>
      </c>
      <c r="DQ143" t="s">
        <v>99</v>
      </c>
      <c r="DR143" t="s">
        <v>15262</v>
      </c>
      <c r="DS143" t="s">
        <v>15263</v>
      </c>
      <c r="DT143" t="s">
        <v>99</v>
      </c>
      <c r="DU143" t="s">
        <v>99</v>
      </c>
      <c r="DV143" t="s">
        <v>99</v>
      </c>
      <c r="DW143" t="s">
        <v>15264</v>
      </c>
      <c r="DX143" t="s">
        <v>99</v>
      </c>
      <c r="DY143" t="s">
        <v>15265</v>
      </c>
      <c r="DZ143" t="s">
        <v>15266</v>
      </c>
      <c r="EA143" t="s">
        <v>15267</v>
      </c>
      <c r="EB143" t="s">
        <v>99</v>
      </c>
      <c r="EC143" t="s">
        <v>15268</v>
      </c>
      <c r="ED143" t="s">
        <v>15269</v>
      </c>
      <c r="EE143" t="s">
        <v>12247</v>
      </c>
      <c r="EG143" t="s">
        <v>12247</v>
      </c>
    </row>
    <row r="144" spans="1:253" x14ac:dyDescent="0.25">
      <c r="A144" t="s">
        <v>100</v>
      </c>
      <c r="B144" t="s">
        <v>12247</v>
      </c>
      <c r="C144">
        <v>0</v>
      </c>
      <c r="D144">
        <v>5</v>
      </c>
      <c r="E144" t="s">
        <v>100</v>
      </c>
      <c r="F144" t="s">
        <v>15270</v>
      </c>
      <c r="G144">
        <v>0</v>
      </c>
      <c r="H144">
        <v>2</v>
      </c>
      <c r="I144" t="s">
        <v>12249</v>
      </c>
      <c r="J144">
        <v>1</v>
      </c>
      <c r="K144" t="s">
        <v>100</v>
      </c>
      <c r="L144" t="s">
        <v>15270</v>
      </c>
      <c r="M144">
        <v>0</v>
      </c>
      <c r="N144" t="s">
        <v>100</v>
      </c>
      <c r="O144" t="s">
        <v>15270</v>
      </c>
      <c r="P144">
        <v>0</v>
      </c>
      <c r="Q144" t="s">
        <v>100</v>
      </c>
      <c r="R144" t="s">
        <v>15270</v>
      </c>
      <c r="S144">
        <v>0</v>
      </c>
      <c r="T144" t="s">
        <v>100</v>
      </c>
      <c r="U144" t="s">
        <v>15270</v>
      </c>
      <c r="V144" t="s">
        <v>100</v>
      </c>
      <c r="X144" t="s">
        <v>15271</v>
      </c>
      <c r="Y144" t="s">
        <v>1649</v>
      </c>
      <c r="Z144" t="s">
        <v>15272</v>
      </c>
      <c r="AB144" t="s">
        <v>100</v>
      </c>
      <c r="AE144" t="s">
        <v>100</v>
      </c>
      <c r="AG144">
        <v>6</v>
      </c>
      <c r="AH144">
        <v>3</v>
      </c>
      <c r="AI144">
        <v>3</v>
      </c>
      <c r="AJ144">
        <v>9</v>
      </c>
      <c r="AK144">
        <v>2786844</v>
      </c>
      <c r="AL144">
        <v>12</v>
      </c>
      <c r="AM144">
        <v>2019</v>
      </c>
      <c r="AN144">
        <v>54627</v>
      </c>
      <c r="AO144">
        <v>2019</v>
      </c>
      <c r="AP144" t="s">
        <v>12334</v>
      </c>
      <c r="AQ144" t="s">
        <v>12305</v>
      </c>
      <c r="AR144" t="s">
        <v>15273</v>
      </c>
      <c r="AS144" t="s">
        <v>1649</v>
      </c>
      <c r="AT144" t="s">
        <v>1649</v>
      </c>
      <c r="AU144" t="s">
        <v>15270</v>
      </c>
      <c r="AV144" t="s">
        <v>15270</v>
      </c>
      <c r="AW144">
        <v>440</v>
      </c>
      <c r="AX144">
        <v>440</v>
      </c>
      <c r="AY144">
        <v>440</v>
      </c>
      <c r="AZ144" t="s">
        <v>1649</v>
      </c>
      <c r="BA144" t="s">
        <v>15270</v>
      </c>
      <c r="BB144">
        <v>23424875</v>
      </c>
      <c r="BC144">
        <v>23424875</v>
      </c>
      <c r="BD144" t="s">
        <v>12254</v>
      </c>
      <c r="BE144" t="s">
        <v>15270</v>
      </c>
      <c r="BG144" t="s">
        <v>15270</v>
      </c>
      <c r="BH144" t="s">
        <v>15270</v>
      </c>
      <c r="BI144" t="s">
        <v>15270</v>
      </c>
      <c r="BJ144" t="s">
        <v>15270</v>
      </c>
      <c r="BK144" t="s">
        <v>15270</v>
      </c>
      <c r="BL144" t="s">
        <v>15270</v>
      </c>
      <c r="BM144" t="s">
        <v>15270</v>
      </c>
      <c r="BN144" t="s">
        <v>15270</v>
      </c>
      <c r="BO144" t="s">
        <v>15270</v>
      </c>
      <c r="BP144" t="s">
        <v>15270</v>
      </c>
      <c r="BQ144" t="s">
        <v>15270</v>
      </c>
      <c r="BR144" t="s">
        <v>15270</v>
      </c>
      <c r="BS144" t="s">
        <v>15270</v>
      </c>
      <c r="BT144" t="s">
        <v>15270</v>
      </c>
      <c r="BU144" t="s">
        <v>15270</v>
      </c>
      <c r="BV144" t="s">
        <v>15270</v>
      </c>
      <c r="BW144" t="s">
        <v>15270</v>
      </c>
      <c r="BX144" t="s">
        <v>15270</v>
      </c>
      <c r="BY144" t="s">
        <v>15270</v>
      </c>
      <c r="BZ144" t="s">
        <v>15270</v>
      </c>
      <c r="CA144" t="s">
        <v>15270</v>
      </c>
      <c r="CB144" t="s">
        <v>15270</v>
      </c>
      <c r="CC144" t="s">
        <v>15270</v>
      </c>
      <c r="CD144" t="s">
        <v>15270</v>
      </c>
      <c r="CE144" t="s">
        <v>15270</v>
      </c>
      <c r="CF144" t="s">
        <v>15270</v>
      </c>
      <c r="CG144" t="s">
        <v>15270</v>
      </c>
      <c r="CH144" t="s">
        <v>15270</v>
      </c>
      <c r="CI144" t="s">
        <v>15270</v>
      </c>
      <c r="CJ144" t="s">
        <v>15270</v>
      </c>
      <c r="CK144" t="s">
        <v>15270</v>
      </c>
      <c r="CL144" t="s">
        <v>15270</v>
      </c>
      <c r="CM144">
        <v>-99</v>
      </c>
      <c r="CN144">
        <v>-99</v>
      </c>
      <c r="CO144" t="s">
        <v>12279</v>
      </c>
      <c r="CP144" t="s">
        <v>12279</v>
      </c>
      <c r="CQ144" t="s">
        <v>12515</v>
      </c>
      <c r="CR144" t="s">
        <v>12281</v>
      </c>
      <c r="CS144">
        <v>9</v>
      </c>
      <c r="CT144">
        <v>9</v>
      </c>
      <c r="CU144">
        <v>5</v>
      </c>
      <c r="CV144">
        <v>-99</v>
      </c>
      <c r="CW144">
        <v>1</v>
      </c>
      <c r="CX144">
        <v>0</v>
      </c>
      <c r="CY144">
        <v>4</v>
      </c>
      <c r="CZ144">
        <v>9</v>
      </c>
      <c r="DA144">
        <v>24.089932000000001</v>
      </c>
      <c r="DB144">
        <v>55.103703000000003</v>
      </c>
      <c r="DC144">
        <v>1159321029</v>
      </c>
      <c r="DD144" t="s">
        <v>15274</v>
      </c>
      <c r="DE144" t="s">
        <v>15275</v>
      </c>
      <c r="DF144" t="s">
        <v>15276</v>
      </c>
      <c r="DG144" t="s">
        <v>15277</v>
      </c>
      <c r="DH144" t="s">
        <v>100</v>
      </c>
      <c r="DI144" t="s">
        <v>15278</v>
      </c>
      <c r="DJ144" t="s">
        <v>15279</v>
      </c>
      <c r="DK144" t="s">
        <v>15280</v>
      </c>
      <c r="DL144" t="s">
        <v>15281</v>
      </c>
      <c r="DM144" t="s">
        <v>15282</v>
      </c>
      <c r="DN144" t="s">
        <v>15283</v>
      </c>
      <c r="DO144" t="s">
        <v>15284</v>
      </c>
      <c r="DP144" t="s">
        <v>15278</v>
      </c>
      <c r="DQ144" t="s">
        <v>15278</v>
      </c>
      <c r="DR144" t="s">
        <v>15285</v>
      </c>
      <c r="DS144" t="s">
        <v>15286</v>
      </c>
      <c r="DT144" t="s">
        <v>15287</v>
      </c>
      <c r="DU144" t="s">
        <v>15288</v>
      </c>
      <c r="DV144" t="s">
        <v>15289</v>
      </c>
      <c r="DW144" t="s">
        <v>15290</v>
      </c>
      <c r="DX144" t="s">
        <v>15277</v>
      </c>
      <c r="DY144" t="s">
        <v>15291</v>
      </c>
      <c r="DZ144" t="s">
        <v>15290</v>
      </c>
      <c r="EA144" t="s">
        <v>15292</v>
      </c>
      <c r="EB144" t="s">
        <v>15293</v>
      </c>
      <c r="EC144" t="s">
        <v>15294</v>
      </c>
      <c r="ED144" t="s">
        <v>15294</v>
      </c>
      <c r="EE144" t="s">
        <v>12247</v>
      </c>
      <c r="EG144" t="s">
        <v>12247</v>
      </c>
    </row>
    <row r="145" spans="1:253" x14ac:dyDescent="0.25">
      <c r="A145" t="s">
        <v>101</v>
      </c>
      <c r="B145" t="s">
        <v>12247</v>
      </c>
      <c r="C145">
        <v>0</v>
      </c>
      <c r="D145">
        <v>6</v>
      </c>
      <c r="E145" t="s">
        <v>101</v>
      </c>
      <c r="F145" t="s">
        <v>15295</v>
      </c>
      <c r="G145">
        <v>0</v>
      </c>
      <c r="H145">
        <v>2</v>
      </c>
      <c r="I145" t="s">
        <v>12249</v>
      </c>
      <c r="J145">
        <v>1</v>
      </c>
      <c r="K145" t="s">
        <v>101</v>
      </c>
      <c r="L145" t="s">
        <v>15295</v>
      </c>
      <c r="M145">
        <v>0</v>
      </c>
      <c r="N145" t="s">
        <v>101</v>
      </c>
      <c r="O145" t="s">
        <v>15295</v>
      </c>
      <c r="P145">
        <v>0</v>
      </c>
      <c r="Q145" t="s">
        <v>101</v>
      </c>
      <c r="R145" t="s">
        <v>15295</v>
      </c>
      <c r="S145">
        <v>0</v>
      </c>
      <c r="T145" t="s">
        <v>101</v>
      </c>
      <c r="U145" t="s">
        <v>15295</v>
      </c>
      <c r="V145" t="s">
        <v>101</v>
      </c>
      <c r="X145" t="s">
        <v>15296</v>
      </c>
      <c r="Y145" t="s">
        <v>1557</v>
      </c>
      <c r="Z145" t="s">
        <v>15297</v>
      </c>
      <c r="AB145" t="s">
        <v>101</v>
      </c>
      <c r="AE145" t="s">
        <v>101</v>
      </c>
      <c r="AG145">
        <v>1</v>
      </c>
      <c r="AH145">
        <v>7</v>
      </c>
      <c r="AI145">
        <v>3</v>
      </c>
      <c r="AJ145">
        <v>7</v>
      </c>
      <c r="AK145">
        <v>619896</v>
      </c>
      <c r="AL145">
        <v>11</v>
      </c>
      <c r="AM145">
        <v>2019</v>
      </c>
      <c r="AN145">
        <v>71104</v>
      </c>
      <c r="AO145">
        <v>2019</v>
      </c>
      <c r="AP145" t="s">
        <v>12334</v>
      </c>
      <c r="AQ145" t="s">
        <v>12513</v>
      </c>
      <c r="AR145" t="s">
        <v>1651</v>
      </c>
      <c r="AS145" t="s">
        <v>1651</v>
      </c>
      <c r="AT145" t="s">
        <v>1651</v>
      </c>
      <c r="AU145" t="s">
        <v>15295</v>
      </c>
      <c r="AV145" t="s">
        <v>15295</v>
      </c>
      <c r="AW145">
        <v>442</v>
      </c>
      <c r="AX145">
        <v>442</v>
      </c>
      <c r="AY145">
        <v>442</v>
      </c>
      <c r="AZ145" t="s">
        <v>1651</v>
      </c>
      <c r="BA145" t="s">
        <v>15295</v>
      </c>
      <c r="BB145">
        <v>23424881</v>
      </c>
      <c r="BC145">
        <v>23424881</v>
      </c>
      <c r="BD145" t="s">
        <v>12254</v>
      </c>
      <c r="BE145" t="s">
        <v>15295</v>
      </c>
      <c r="BG145" t="s">
        <v>15295</v>
      </c>
      <c r="BH145" t="s">
        <v>15295</v>
      </c>
      <c r="BI145" t="s">
        <v>15295</v>
      </c>
      <c r="BJ145" t="s">
        <v>15295</v>
      </c>
      <c r="BK145" t="s">
        <v>15295</v>
      </c>
      <c r="BL145" t="s">
        <v>15295</v>
      </c>
      <c r="BM145" t="s">
        <v>15295</v>
      </c>
      <c r="BN145" t="s">
        <v>15295</v>
      </c>
      <c r="BO145" t="s">
        <v>15295</v>
      </c>
      <c r="BP145" t="s">
        <v>15295</v>
      </c>
      <c r="BQ145" t="s">
        <v>15295</v>
      </c>
      <c r="BR145" t="s">
        <v>15295</v>
      </c>
      <c r="BS145" t="s">
        <v>15295</v>
      </c>
      <c r="BT145" t="s">
        <v>15295</v>
      </c>
      <c r="BU145" t="s">
        <v>15295</v>
      </c>
      <c r="BV145" t="s">
        <v>15295</v>
      </c>
      <c r="BW145" t="s">
        <v>15295</v>
      </c>
      <c r="BX145" t="s">
        <v>15295</v>
      </c>
      <c r="BY145" t="s">
        <v>15295</v>
      </c>
      <c r="BZ145" t="s">
        <v>15295</v>
      </c>
      <c r="CA145" t="s">
        <v>15295</v>
      </c>
      <c r="CB145" t="s">
        <v>15295</v>
      </c>
      <c r="CC145" t="s">
        <v>15295</v>
      </c>
      <c r="CD145" t="s">
        <v>15295</v>
      </c>
      <c r="CE145" t="s">
        <v>15295</v>
      </c>
      <c r="CF145" t="s">
        <v>15295</v>
      </c>
      <c r="CG145" t="s">
        <v>15295</v>
      </c>
      <c r="CH145" t="s">
        <v>15295</v>
      </c>
      <c r="CI145" t="s">
        <v>15295</v>
      </c>
      <c r="CJ145" t="s">
        <v>15295</v>
      </c>
      <c r="CK145" t="s">
        <v>15295</v>
      </c>
      <c r="CL145" t="s">
        <v>15295</v>
      </c>
      <c r="CM145">
        <v>-99</v>
      </c>
      <c r="CN145">
        <v>-99</v>
      </c>
      <c r="CO145" t="s">
        <v>12279</v>
      </c>
      <c r="CP145" t="s">
        <v>12279</v>
      </c>
      <c r="CQ145" t="s">
        <v>12640</v>
      </c>
      <c r="CR145" t="s">
        <v>12281</v>
      </c>
      <c r="CS145">
        <v>10</v>
      </c>
      <c r="CT145">
        <v>10</v>
      </c>
      <c r="CU145">
        <v>4</v>
      </c>
      <c r="CV145">
        <v>5</v>
      </c>
      <c r="CW145">
        <v>1</v>
      </c>
      <c r="CX145">
        <v>0</v>
      </c>
      <c r="CY145">
        <v>5.7</v>
      </c>
      <c r="CZ145">
        <v>10</v>
      </c>
      <c r="DA145">
        <v>6.0776199999999996</v>
      </c>
      <c r="DB145">
        <v>49.733732000000003</v>
      </c>
      <c r="DC145">
        <v>1159321031</v>
      </c>
      <c r="DD145" t="s">
        <v>15298</v>
      </c>
      <c r="DE145" t="s">
        <v>15299</v>
      </c>
      <c r="DF145" t="s">
        <v>15300</v>
      </c>
      <c r="DG145" t="s">
        <v>15301</v>
      </c>
      <c r="DH145" t="s">
        <v>101</v>
      </c>
      <c r="DI145" t="s">
        <v>15302</v>
      </c>
      <c r="DJ145" t="s">
        <v>15303</v>
      </c>
      <c r="DK145" t="s">
        <v>101</v>
      </c>
      <c r="DL145" t="s">
        <v>15304</v>
      </c>
      <c r="DM145" t="s">
        <v>15305</v>
      </c>
      <c r="DN145" t="s">
        <v>15306</v>
      </c>
      <c r="DO145" t="s">
        <v>15301</v>
      </c>
      <c r="DP145" t="s">
        <v>15307</v>
      </c>
      <c r="DQ145" t="s">
        <v>15308</v>
      </c>
      <c r="DR145" t="s">
        <v>15309</v>
      </c>
      <c r="DS145" t="s">
        <v>15310</v>
      </c>
      <c r="DT145" t="s">
        <v>15301</v>
      </c>
      <c r="DU145" t="s">
        <v>15307</v>
      </c>
      <c r="DV145" t="s">
        <v>15302</v>
      </c>
      <c r="DW145" t="s">
        <v>15311</v>
      </c>
      <c r="DX145" t="s">
        <v>15301</v>
      </c>
      <c r="DY145" t="s">
        <v>15312</v>
      </c>
      <c r="DZ145" t="s">
        <v>15311</v>
      </c>
      <c r="EA145" t="s">
        <v>15313</v>
      </c>
      <c r="EB145" t="s">
        <v>101</v>
      </c>
      <c r="EC145" t="s">
        <v>15314</v>
      </c>
      <c r="ED145" t="s">
        <v>15315</v>
      </c>
      <c r="EE145" t="s">
        <v>12247</v>
      </c>
      <c r="EG145" t="s">
        <v>12247</v>
      </c>
    </row>
    <row r="146" spans="1:253" x14ac:dyDescent="0.25">
      <c r="A146" t="s">
        <v>1219</v>
      </c>
      <c r="B146" t="s">
        <v>12247</v>
      </c>
      <c r="C146">
        <v>0</v>
      </c>
      <c r="D146">
        <v>4</v>
      </c>
      <c r="E146" t="s">
        <v>1205</v>
      </c>
      <c r="F146" t="s">
        <v>13645</v>
      </c>
      <c r="G146">
        <v>1</v>
      </c>
      <c r="H146">
        <v>2</v>
      </c>
      <c r="I146" t="s">
        <v>12507</v>
      </c>
      <c r="J146">
        <v>1</v>
      </c>
      <c r="K146" t="s">
        <v>17521</v>
      </c>
      <c r="L146" t="s">
        <v>17522</v>
      </c>
      <c r="M146">
        <v>0</v>
      </c>
      <c r="N146" t="s">
        <v>17521</v>
      </c>
      <c r="O146" t="s">
        <v>17522</v>
      </c>
      <c r="P146">
        <v>0</v>
      </c>
      <c r="Q146" t="s">
        <v>17521</v>
      </c>
      <c r="R146" t="s">
        <v>17522</v>
      </c>
      <c r="S146">
        <v>0</v>
      </c>
      <c r="T146" t="s">
        <v>1219</v>
      </c>
      <c r="U146" t="s">
        <v>17522</v>
      </c>
      <c r="V146" t="s">
        <v>1219</v>
      </c>
      <c r="X146" t="s">
        <v>17523</v>
      </c>
      <c r="Y146" t="s">
        <v>1692</v>
      </c>
      <c r="Z146" t="s">
        <v>17524</v>
      </c>
      <c r="AB146" t="s">
        <v>1691</v>
      </c>
      <c r="AC146" t="s">
        <v>15796</v>
      </c>
      <c r="AD146" t="s">
        <v>1205</v>
      </c>
      <c r="AE146" t="s">
        <v>17525</v>
      </c>
      <c r="AG146">
        <v>4</v>
      </c>
      <c r="AH146">
        <v>4</v>
      </c>
      <c r="AI146">
        <v>4</v>
      </c>
      <c r="AJ146">
        <v>3</v>
      </c>
      <c r="AK146">
        <v>640445</v>
      </c>
      <c r="AL146">
        <v>11</v>
      </c>
      <c r="AM146">
        <v>2019</v>
      </c>
      <c r="AN146">
        <v>53859</v>
      </c>
      <c r="AO146">
        <v>2019</v>
      </c>
      <c r="AP146" t="s">
        <v>12277</v>
      </c>
      <c r="AQ146" t="s">
        <v>12335</v>
      </c>
      <c r="AR146" t="s">
        <v>1660</v>
      </c>
      <c r="AS146" t="s">
        <v>1692</v>
      </c>
      <c r="AT146" t="s">
        <v>1692</v>
      </c>
      <c r="AU146" t="s">
        <v>17522</v>
      </c>
      <c r="AV146" t="s">
        <v>17522</v>
      </c>
      <c r="AW146">
        <v>446</v>
      </c>
      <c r="AX146">
        <v>446</v>
      </c>
      <c r="AY146">
        <v>446</v>
      </c>
      <c r="AZ146" t="s">
        <v>1692</v>
      </c>
      <c r="BA146" t="s">
        <v>17522</v>
      </c>
      <c r="BB146">
        <v>20070017</v>
      </c>
      <c r="BC146">
        <v>20070017</v>
      </c>
      <c r="BD146" t="s">
        <v>12254</v>
      </c>
      <c r="BE146" t="s">
        <v>17522</v>
      </c>
      <c r="BG146" t="s">
        <v>17522</v>
      </c>
      <c r="BH146" t="s">
        <v>17522</v>
      </c>
      <c r="BI146" t="s">
        <v>17522</v>
      </c>
      <c r="BJ146" t="s">
        <v>17522</v>
      </c>
      <c r="BK146" t="s">
        <v>17522</v>
      </c>
      <c r="BL146" t="s">
        <v>17522</v>
      </c>
      <c r="BM146" t="s">
        <v>17522</v>
      </c>
      <c r="BN146" t="s">
        <v>17522</v>
      </c>
      <c r="BO146" t="s">
        <v>17522</v>
      </c>
      <c r="BP146" t="s">
        <v>17522</v>
      </c>
      <c r="BQ146" t="s">
        <v>17522</v>
      </c>
      <c r="BR146" t="s">
        <v>17522</v>
      </c>
      <c r="BS146" t="s">
        <v>17522</v>
      </c>
      <c r="BT146" t="s">
        <v>17522</v>
      </c>
      <c r="BU146" t="s">
        <v>17522</v>
      </c>
      <c r="BV146" t="s">
        <v>17522</v>
      </c>
      <c r="BW146" t="s">
        <v>17522</v>
      </c>
      <c r="BX146" t="s">
        <v>17522</v>
      </c>
      <c r="BY146" t="s">
        <v>17522</v>
      </c>
      <c r="BZ146" t="s">
        <v>17522</v>
      </c>
      <c r="CA146" t="s">
        <v>17522</v>
      </c>
      <c r="CB146" t="s">
        <v>17522</v>
      </c>
      <c r="CC146" t="s">
        <v>17522</v>
      </c>
      <c r="CD146" t="s">
        <v>17522</v>
      </c>
      <c r="CE146" t="s">
        <v>17522</v>
      </c>
      <c r="CF146" t="s">
        <v>17522</v>
      </c>
      <c r="CG146" t="s">
        <v>17522</v>
      </c>
      <c r="CH146" t="s">
        <v>17522</v>
      </c>
      <c r="CI146" t="s">
        <v>17522</v>
      </c>
      <c r="CJ146" t="s">
        <v>17522</v>
      </c>
      <c r="CK146" t="s">
        <v>17522</v>
      </c>
      <c r="CL146" t="s">
        <v>17522</v>
      </c>
      <c r="CM146">
        <v>-99</v>
      </c>
      <c r="CN146">
        <v>-99</v>
      </c>
      <c r="CO146" t="s">
        <v>12255</v>
      </c>
      <c r="CP146" t="s">
        <v>12255</v>
      </c>
      <c r="CQ146" t="s">
        <v>13649</v>
      </c>
      <c r="CR146" t="s">
        <v>12539</v>
      </c>
      <c r="CS146">
        <v>5</v>
      </c>
      <c r="CT146">
        <v>5</v>
      </c>
      <c r="CU146">
        <v>4</v>
      </c>
      <c r="CV146">
        <v>-99</v>
      </c>
      <c r="CW146">
        <v>-99</v>
      </c>
      <c r="CX146">
        <v>0</v>
      </c>
      <c r="CY146">
        <v>4</v>
      </c>
      <c r="CZ146">
        <v>9</v>
      </c>
      <c r="DA146">
        <v>113.556038</v>
      </c>
      <c r="DB146">
        <v>22.129735</v>
      </c>
      <c r="DC146">
        <v>1159320475</v>
      </c>
      <c r="DD146" t="s">
        <v>17526</v>
      </c>
      <c r="DE146" t="s">
        <v>17527</v>
      </c>
      <c r="DF146" t="s">
        <v>17528</v>
      </c>
      <c r="DG146" t="s">
        <v>1691</v>
      </c>
      <c r="DH146" t="s">
        <v>1691</v>
      </c>
      <c r="DI146" t="s">
        <v>1219</v>
      </c>
      <c r="DJ146" t="s">
        <v>17529</v>
      </c>
      <c r="DK146" t="s">
        <v>1219</v>
      </c>
      <c r="DL146" t="s">
        <v>17530</v>
      </c>
      <c r="DM146" t="s">
        <v>17531</v>
      </c>
      <c r="DN146" t="s">
        <v>17532</v>
      </c>
      <c r="DO146" t="s">
        <v>17533</v>
      </c>
      <c r="DP146" t="s">
        <v>17534</v>
      </c>
      <c r="DQ146" t="s">
        <v>1219</v>
      </c>
      <c r="DR146" t="s">
        <v>17535</v>
      </c>
      <c r="DS146" t="s">
        <v>17536</v>
      </c>
      <c r="DT146" t="s">
        <v>1691</v>
      </c>
      <c r="DU146" t="s">
        <v>17534</v>
      </c>
      <c r="DV146" t="s">
        <v>1691</v>
      </c>
      <c r="DW146" t="s">
        <v>17537</v>
      </c>
      <c r="DX146" t="s">
        <v>1219</v>
      </c>
      <c r="DY146" t="s">
        <v>17538</v>
      </c>
      <c r="DZ146" t="s">
        <v>17539</v>
      </c>
      <c r="EA146" t="s">
        <v>17540</v>
      </c>
      <c r="EB146" t="s">
        <v>17541</v>
      </c>
      <c r="EC146" t="s">
        <v>17542</v>
      </c>
      <c r="ED146" t="s">
        <v>17543</v>
      </c>
      <c r="EE146" t="s">
        <v>12397</v>
      </c>
      <c r="EG146" t="s">
        <v>12397</v>
      </c>
      <c r="EL146" t="s">
        <v>15083</v>
      </c>
    </row>
    <row r="147" spans="1:253" x14ac:dyDescent="0.25">
      <c r="A147" t="s">
        <v>103</v>
      </c>
      <c r="B147" t="s">
        <v>12247</v>
      </c>
      <c r="C147">
        <v>0</v>
      </c>
      <c r="D147">
        <v>3</v>
      </c>
      <c r="E147" t="s">
        <v>103</v>
      </c>
      <c r="F147" t="s">
        <v>15316</v>
      </c>
      <c r="G147">
        <v>0</v>
      </c>
      <c r="H147">
        <v>2</v>
      </c>
      <c r="I147" t="s">
        <v>12249</v>
      </c>
      <c r="J147">
        <v>1</v>
      </c>
      <c r="K147" t="s">
        <v>103</v>
      </c>
      <c r="L147" t="s">
        <v>15316</v>
      </c>
      <c r="M147">
        <v>0</v>
      </c>
      <c r="N147" t="s">
        <v>103</v>
      </c>
      <c r="O147" t="s">
        <v>15316</v>
      </c>
      <c r="P147">
        <v>0</v>
      </c>
      <c r="Q147" t="s">
        <v>103</v>
      </c>
      <c r="R147" t="s">
        <v>15316</v>
      </c>
      <c r="S147">
        <v>0</v>
      </c>
      <c r="T147" t="s">
        <v>103</v>
      </c>
      <c r="U147" t="s">
        <v>15316</v>
      </c>
      <c r="V147" t="s">
        <v>103</v>
      </c>
      <c r="X147" t="s">
        <v>15317</v>
      </c>
      <c r="Y147" t="s">
        <v>1672</v>
      </c>
      <c r="Z147" t="s">
        <v>15318</v>
      </c>
      <c r="AB147" t="s">
        <v>103</v>
      </c>
      <c r="AE147" t="s">
        <v>103</v>
      </c>
      <c r="AG147">
        <v>6</v>
      </c>
      <c r="AH147">
        <v>5</v>
      </c>
      <c r="AI147">
        <v>2</v>
      </c>
      <c r="AJ147">
        <v>3</v>
      </c>
      <c r="AK147">
        <v>26969307</v>
      </c>
      <c r="AL147">
        <v>15</v>
      </c>
      <c r="AM147">
        <v>2019</v>
      </c>
      <c r="AN147">
        <v>14114</v>
      </c>
      <c r="AO147">
        <v>2019</v>
      </c>
      <c r="AP147" t="s">
        <v>12252</v>
      </c>
      <c r="AQ147" t="s">
        <v>12253</v>
      </c>
      <c r="AR147" t="s">
        <v>1441</v>
      </c>
      <c r="AS147" t="s">
        <v>1672</v>
      </c>
      <c r="AT147" t="s">
        <v>1672</v>
      </c>
      <c r="AU147" t="s">
        <v>15316</v>
      </c>
      <c r="AV147" t="s">
        <v>15316</v>
      </c>
      <c r="AW147">
        <v>450</v>
      </c>
      <c r="AX147">
        <v>450</v>
      </c>
      <c r="AY147">
        <v>450</v>
      </c>
      <c r="AZ147" t="s">
        <v>1672</v>
      </c>
      <c r="BA147" t="s">
        <v>15316</v>
      </c>
      <c r="BB147">
        <v>23424883</v>
      </c>
      <c r="BC147">
        <v>23424883</v>
      </c>
      <c r="BD147" t="s">
        <v>12254</v>
      </c>
      <c r="BE147" t="s">
        <v>15316</v>
      </c>
      <c r="BG147" t="s">
        <v>15316</v>
      </c>
      <c r="BH147" t="s">
        <v>15316</v>
      </c>
      <c r="BI147" t="s">
        <v>15316</v>
      </c>
      <c r="BJ147" t="s">
        <v>15316</v>
      </c>
      <c r="BK147" t="s">
        <v>15316</v>
      </c>
      <c r="BL147" t="s">
        <v>15316</v>
      </c>
      <c r="BM147" t="s">
        <v>15316</v>
      </c>
      <c r="BN147" t="s">
        <v>15316</v>
      </c>
      <c r="BO147" t="s">
        <v>15316</v>
      </c>
      <c r="BP147" t="s">
        <v>15316</v>
      </c>
      <c r="BQ147" t="s">
        <v>15316</v>
      </c>
      <c r="BR147" t="s">
        <v>15316</v>
      </c>
      <c r="BS147" t="s">
        <v>15316</v>
      </c>
      <c r="BT147" t="s">
        <v>15316</v>
      </c>
      <c r="BU147" t="s">
        <v>15316</v>
      </c>
      <c r="BV147" t="s">
        <v>15316</v>
      </c>
      <c r="BW147" t="s">
        <v>15316</v>
      </c>
      <c r="BX147" t="s">
        <v>15316</v>
      </c>
      <c r="BY147" t="s">
        <v>15316</v>
      </c>
      <c r="BZ147" t="s">
        <v>15316</v>
      </c>
      <c r="CA147" t="s">
        <v>15316</v>
      </c>
      <c r="CB147" t="s">
        <v>15316</v>
      </c>
      <c r="CC147" t="s">
        <v>15316</v>
      </c>
      <c r="CD147" t="s">
        <v>15316</v>
      </c>
      <c r="CE147" t="s">
        <v>15316</v>
      </c>
      <c r="CF147" t="s">
        <v>15316</v>
      </c>
      <c r="CG147" t="s">
        <v>15316</v>
      </c>
      <c r="CH147" t="s">
        <v>15316</v>
      </c>
      <c r="CI147" t="s">
        <v>15316</v>
      </c>
      <c r="CJ147" t="s">
        <v>15316</v>
      </c>
      <c r="CK147" t="s">
        <v>15316</v>
      </c>
      <c r="CL147" t="s">
        <v>15316</v>
      </c>
      <c r="CM147">
        <v>-99</v>
      </c>
      <c r="CN147">
        <v>-99</v>
      </c>
      <c r="CO147" t="s">
        <v>12306</v>
      </c>
      <c r="CP147" t="s">
        <v>12306</v>
      </c>
      <c r="CQ147" t="s">
        <v>13085</v>
      </c>
      <c r="CR147" t="s">
        <v>12357</v>
      </c>
      <c r="CS147">
        <v>10</v>
      </c>
      <c r="CT147">
        <v>10</v>
      </c>
      <c r="CU147">
        <v>4</v>
      </c>
      <c r="CV147">
        <v>-99</v>
      </c>
      <c r="CW147">
        <v>1</v>
      </c>
      <c r="CX147">
        <v>0</v>
      </c>
      <c r="CY147">
        <v>2.7</v>
      </c>
      <c r="CZ147">
        <v>7</v>
      </c>
      <c r="DA147">
        <v>46.704241000000003</v>
      </c>
      <c r="DB147">
        <v>-18.628288000000001</v>
      </c>
      <c r="DC147">
        <v>1159321051</v>
      </c>
      <c r="DD147" t="s">
        <v>15319</v>
      </c>
      <c r="DE147" t="s">
        <v>15320</v>
      </c>
      <c r="DF147" t="s">
        <v>15321</v>
      </c>
      <c r="DG147" t="s">
        <v>15322</v>
      </c>
      <c r="DH147" t="s">
        <v>103</v>
      </c>
      <c r="DI147" t="s">
        <v>103</v>
      </c>
      <c r="DJ147" t="s">
        <v>15323</v>
      </c>
      <c r="DK147" t="s">
        <v>103</v>
      </c>
      <c r="DL147" t="s">
        <v>15324</v>
      </c>
      <c r="DM147" t="s">
        <v>15325</v>
      </c>
      <c r="DN147" t="s">
        <v>15326</v>
      </c>
      <c r="DO147" t="s">
        <v>15327</v>
      </c>
      <c r="DP147" t="s">
        <v>15322</v>
      </c>
      <c r="DQ147" t="s">
        <v>103</v>
      </c>
      <c r="DR147" t="s">
        <v>15328</v>
      </c>
      <c r="DS147" t="s">
        <v>15329</v>
      </c>
      <c r="DT147" t="s">
        <v>15322</v>
      </c>
      <c r="DU147" t="s">
        <v>15322</v>
      </c>
      <c r="DV147" t="s">
        <v>15330</v>
      </c>
      <c r="DW147" t="s">
        <v>15331</v>
      </c>
      <c r="DX147" t="s">
        <v>15322</v>
      </c>
      <c r="DY147" t="s">
        <v>15322</v>
      </c>
      <c r="DZ147" t="s">
        <v>15331</v>
      </c>
      <c r="EA147" t="s">
        <v>15332</v>
      </c>
      <c r="EB147" t="s">
        <v>103</v>
      </c>
      <c r="EC147" t="s">
        <v>15333</v>
      </c>
      <c r="ED147" t="s">
        <v>15334</v>
      </c>
      <c r="EE147" t="s">
        <v>12247</v>
      </c>
      <c r="EG147" t="s">
        <v>12247</v>
      </c>
    </row>
    <row r="148" spans="1:253" x14ac:dyDescent="0.25">
      <c r="A148" t="s">
        <v>2021</v>
      </c>
      <c r="B148" t="s">
        <v>17202</v>
      </c>
      <c r="C148">
        <v>7</v>
      </c>
      <c r="L148" t="s">
        <v>9414</v>
      </c>
      <c r="FN148" t="s">
        <v>18826</v>
      </c>
      <c r="FO148">
        <v>736</v>
      </c>
      <c r="FQ148" t="s">
        <v>1807</v>
      </c>
      <c r="FR148">
        <v>5</v>
      </c>
      <c r="FU148" t="s">
        <v>18797</v>
      </c>
      <c r="FV148" t="s">
        <v>18798</v>
      </c>
      <c r="FX148" t="s">
        <v>18827</v>
      </c>
      <c r="GB148">
        <v>2</v>
      </c>
      <c r="GC148">
        <v>1</v>
      </c>
      <c r="GD148">
        <v>0</v>
      </c>
      <c r="GE148">
        <v>6</v>
      </c>
      <c r="GG148" t="s">
        <v>1441</v>
      </c>
      <c r="GH148">
        <v>0</v>
      </c>
      <c r="GI148">
        <v>-99</v>
      </c>
      <c r="GJ148">
        <v>7</v>
      </c>
      <c r="GK148">
        <v>7</v>
      </c>
      <c r="GL148">
        <v>1</v>
      </c>
      <c r="GM148">
        <v>4</v>
      </c>
      <c r="GN148" t="s">
        <v>18828</v>
      </c>
      <c r="GP148">
        <v>2346570</v>
      </c>
      <c r="GQ148" t="s">
        <v>18829</v>
      </c>
      <c r="GR148" t="s">
        <v>2021</v>
      </c>
      <c r="GS148">
        <v>32.742699999999999</v>
      </c>
      <c r="GT148">
        <v>-16.9465</v>
      </c>
      <c r="GU148" t="s">
        <v>16266</v>
      </c>
      <c r="GV148" t="s">
        <v>9414</v>
      </c>
      <c r="GW148">
        <v>5</v>
      </c>
      <c r="GX148" t="s">
        <v>138</v>
      </c>
      <c r="GY148" t="s">
        <v>2021</v>
      </c>
      <c r="GZ148" t="s">
        <v>18830</v>
      </c>
      <c r="HA148">
        <v>2593105</v>
      </c>
      <c r="HB148" t="s">
        <v>18831</v>
      </c>
      <c r="HC148">
        <v>6133109</v>
      </c>
      <c r="HD148" t="s">
        <v>18832</v>
      </c>
      <c r="HE148">
        <v>1</v>
      </c>
      <c r="HG148" t="s">
        <v>18833</v>
      </c>
      <c r="HJ148">
        <v>1</v>
      </c>
      <c r="HL148" t="s">
        <v>18828</v>
      </c>
      <c r="HN148">
        <v>7.7</v>
      </c>
      <c r="HO148">
        <v>11</v>
      </c>
      <c r="HP148">
        <v>7.7</v>
      </c>
      <c r="HQ148" t="s">
        <v>18834</v>
      </c>
      <c r="HR148" t="s">
        <v>18835</v>
      </c>
      <c r="HS148" t="s">
        <v>18836</v>
      </c>
      <c r="HT148" t="s">
        <v>18837</v>
      </c>
      <c r="HU148" t="s">
        <v>2021</v>
      </c>
      <c r="HV148" t="s">
        <v>2021</v>
      </c>
      <c r="HW148" t="s">
        <v>18838</v>
      </c>
      <c r="HX148" t="s">
        <v>18839</v>
      </c>
      <c r="HY148" t="s">
        <v>18840</v>
      </c>
      <c r="HZ148" t="s">
        <v>18841</v>
      </c>
      <c r="IA148" t="s">
        <v>2021</v>
      </c>
      <c r="IB148" t="s">
        <v>18842</v>
      </c>
      <c r="IC148" t="s">
        <v>18843</v>
      </c>
      <c r="ID148" t="s">
        <v>18844</v>
      </c>
      <c r="IE148" t="s">
        <v>2021</v>
      </c>
      <c r="IF148" t="s">
        <v>18842</v>
      </c>
      <c r="IG148" t="s">
        <v>18845</v>
      </c>
      <c r="IH148" t="s">
        <v>18846</v>
      </c>
      <c r="II148" t="s">
        <v>2021</v>
      </c>
      <c r="IJ148" t="s">
        <v>18847</v>
      </c>
      <c r="IK148" t="s">
        <v>2021</v>
      </c>
      <c r="IL148" t="s">
        <v>18848</v>
      </c>
      <c r="IM148">
        <v>1159310443</v>
      </c>
      <c r="IN148" t="s">
        <v>18849</v>
      </c>
      <c r="IO148" t="s">
        <v>18846</v>
      </c>
      <c r="IP148" t="s">
        <v>18850</v>
      </c>
      <c r="IQ148" t="s">
        <v>18851</v>
      </c>
      <c r="IR148" t="s">
        <v>18852</v>
      </c>
    </row>
    <row r="149" spans="1:253" x14ac:dyDescent="0.25">
      <c r="A149" t="s">
        <v>104</v>
      </c>
      <c r="B149" t="s">
        <v>12247</v>
      </c>
      <c r="C149">
        <v>0</v>
      </c>
      <c r="D149">
        <v>6</v>
      </c>
      <c r="E149" t="s">
        <v>104</v>
      </c>
      <c r="F149" t="s">
        <v>15335</v>
      </c>
      <c r="G149">
        <v>0</v>
      </c>
      <c r="H149">
        <v>2</v>
      </c>
      <c r="I149" t="s">
        <v>12249</v>
      </c>
      <c r="J149">
        <v>1</v>
      </c>
      <c r="K149" t="s">
        <v>104</v>
      </c>
      <c r="L149" t="s">
        <v>15335</v>
      </c>
      <c r="M149">
        <v>0</v>
      </c>
      <c r="N149" t="s">
        <v>104</v>
      </c>
      <c r="O149" t="s">
        <v>15335</v>
      </c>
      <c r="P149">
        <v>0</v>
      </c>
      <c r="Q149" t="s">
        <v>104</v>
      </c>
      <c r="R149" t="s">
        <v>15335</v>
      </c>
      <c r="S149">
        <v>0</v>
      </c>
      <c r="T149" t="s">
        <v>104</v>
      </c>
      <c r="U149" t="s">
        <v>15335</v>
      </c>
      <c r="V149" t="s">
        <v>104</v>
      </c>
      <c r="X149" t="s">
        <v>15336</v>
      </c>
      <c r="Y149" t="s">
        <v>1717</v>
      </c>
      <c r="Z149" t="s">
        <v>15337</v>
      </c>
      <c r="AB149" t="s">
        <v>104</v>
      </c>
      <c r="AE149" t="s">
        <v>104</v>
      </c>
      <c r="AG149">
        <v>1</v>
      </c>
      <c r="AH149">
        <v>3</v>
      </c>
      <c r="AI149">
        <v>4</v>
      </c>
      <c r="AJ149">
        <v>5</v>
      </c>
      <c r="AK149">
        <v>18628747</v>
      </c>
      <c r="AL149">
        <v>14</v>
      </c>
      <c r="AM149">
        <v>2019</v>
      </c>
      <c r="AN149">
        <v>7666</v>
      </c>
      <c r="AO149">
        <v>2019</v>
      </c>
      <c r="AP149" t="s">
        <v>12252</v>
      </c>
      <c r="AQ149" t="s">
        <v>12253</v>
      </c>
      <c r="AR149" t="s">
        <v>15338</v>
      </c>
      <c r="AS149" t="s">
        <v>1717</v>
      </c>
      <c r="AT149" t="s">
        <v>1717</v>
      </c>
      <c r="AU149" t="s">
        <v>15335</v>
      </c>
      <c r="AV149" t="s">
        <v>15335</v>
      </c>
      <c r="AW149">
        <v>454</v>
      </c>
      <c r="AX149">
        <v>454</v>
      </c>
      <c r="AY149">
        <v>454</v>
      </c>
      <c r="AZ149" t="s">
        <v>1717</v>
      </c>
      <c r="BA149" t="s">
        <v>15335</v>
      </c>
      <c r="BB149">
        <v>23424889</v>
      </c>
      <c r="BC149">
        <v>23424889</v>
      </c>
      <c r="BD149" t="s">
        <v>12254</v>
      </c>
      <c r="BE149" t="s">
        <v>15335</v>
      </c>
      <c r="BG149" t="s">
        <v>15335</v>
      </c>
      <c r="BH149" t="s">
        <v>15335</v>
      </c>
      <c r="BI149" t="s">
        <v>15335</v>
      </c>
      <c r="BJ149" t="s">
        <v>15335</v>
      </c>
      <c r="BK149" t="s">
        <v>15335</v>
      </c>
      <c r="BL149" t="s">
        <v>15335</v>
      </c>
      <c r="BM149" t="s">
        <v>15335</v>
      </c>
      <c r="BN149" t="s">
        <v>15335</v>
      </c>
      <c r="BO149" t="s">
        <v>15335</v>
      </c>
      <c r="BP149" t="s">
        <v>15335</v>
      </c>
      <c r="BQ149" t="s">
        <v>15335</v>
      </c>
      <c r="BR149" t="s">
        <v>15335</v>
      </c>
      <c r="BS149" t="s">
        <v>15335</v>
      </c>
      <c r="BT149" t="s">
        <v>15335</v>
      </c>
      <c r="BU149" t="s">
        <v>15335</v>
      </c>
      <c r="BV149" t="s">
        <v>15335</v>
      </c>
      <c r="BW149" t="s">
        <v>15335</v>
      </c>
      <c r="BX149" t="s">
        <v>15335</v>
      </c>
      <c r="BY149" t="s">
        <v>15335</v>
      </c>
      <c r="BZ149" t="s">
        <v>15335</v>
      </c>
      <c r="CA149" t="s">
        <v>15335</v>
      </c>
      <c r="CB149" t="s">
        <v>15335</v>
      </c>
      <c r="CC149" t="s">
        <v>15335</v>
      </c>
      <c r="CD149" t="s">
        <v>15335</v>
      </c>
      <c r="CE149" t="s">
        <v>15335</v>
      </c>
      <c r="CF149" t="s">
        <v>15335</v>
      </c>
      <c r="CG149" t="s">
        <v>15335</v>
      </c>
      <c r="CH149" t="s">
        <v>15335</v>
      </c>
      <c r="CI149" t="s">
        <v>15335</v>
      </c>
      <c r="CJ149" t="s">
        <v>15335</v>
      </c>
      <c r="CK149" t="s">
        <v>15335</v>
      </c>
      <c r="CL149" t="s">
        <v>15335</v>
      </c>
      <c r="CM149">
        <v>-99</v>
      </c>
      <c r="CN149">
        <v>-99</v>
      </c>
      <c r="CO149" t="s">
        <v>12306</v>
      </c>
      <c r="CP149" t="s">
        <v>12306</v>
      </c>
      <c r="CQ149" t="s">
        <v>13085</v>
      </c>
      <c r="CR149" t="s">
        <v>12357</v>
      </c>
      <c r="CS149">
        <v>6</v>
      </c>
      <c r="CT149">
        <v>6</v>
      </c>
      <c r="CU149">
        <v>4</v>
      </c>
      <c r="CV149">
        <v>-99</v>
      </c>
      <c r="CW149">
        <v>1</v>
      </c>
      <c r="CX149">
        <v>0</v>
      </c>
      <c r="CY149">
        <v>4</v>
      </c>
      <c r="CZ149">
        <v>9</v>
      </c>
      <c r="DA149">
        <v>33.608082000000003</v>
      </c>
      <c r="DB149">
        <v>-13.386737</v>
      </c>
      <c r="DC149">
        <v>1159321081</v>
      </c>
      <c r="DD149" t="s">
        <v>15339</v>
      </c>
      <c r="DE149" t="s">
        <v>15340</v>
      </c>
      <c r="DF149" t="s">
        <v>15341</v>
      </c>
      <c r="DG149" t="s">
        <v>104</v>
      </c>
      <c r="DH149" t="s">
        <v>104</v>
      </c>
      <c r="DI149" t="s">
        <v>15342</v>
      </c>
      <c r="DJ149" t="s">
        <v>15343</v>
      </c>
      <c r="DK149" t="s">
        <v>104</v>
      </c>
      <c r="DL149" t="s">
        <v>15344</v>
      </c>
      <c r="DM149" t="s">
        <v>15345</v>
      </c>
      <c r="DN149" t="s">
        <v>15346</v>
      </c>
      <c r="DO149" t="s">
        <v>104</v>
      </c>
      <c r="DP149" t="s">
        <v>104</v>
      </c>
      <c r="DQ149" t="s">
        <v>104</v>
      </c>
      <c r="DR149" t="s">
        <v>15347</v>
      </c>
      <c r="DS149" t="s">
        <v>15348</v>
      </c>
      <c r="DT149" t="s">
        <v>104</v>
      </c>
      <c r="DU149" t="s">
        <v>104</v>
      </c>
      <c r="DV149" t="s">
        <v>104</v>
      </c>
      <c r="DW149" t="s">
        <v>15349</v>
      </c>
      <c r="DX149" t="s">
        <v>104</v>
      </c>
      <c r="DY149" t="s">
        <v>15350</v>
      </c>
      <c r="DZ149" t="s">
        <v>15351</v>
      </c>
      <c r="EA149" t="s">
        <v>15352</v>
      </c>
      <c r="EB149" t="s">
        <v>104</v>
      </c>
      <c r="EC149" t="s">
        <v>15353</v>
      </c>
      <c r="ED149" t="s">
        <v>15354</v>
      </c>
      <c r="EE149" t="s">
        <v>12247</v>
      </c>
      <c r="EG149" t="s">
        <v>12247</v>
      </c>
    </row>
    <row r="150" spans="1:253" x14ac:dyDescent="0.25">
      <c r="A150" t="s">
        <v>105</v>
      </c>
      <c r="B150" t="s">
        <v>12247</v>
      </c>
      <c r="C150">
        <v>0</v>
      </c>
      <c r="D150">
        <v>3</v>
      </c>
      <c r="E150" t="s">
        <v>105</v>
      </c>
      <c r="F150" t="s">
        <v>15355</v>
      </c>
      <c r="G150">
        <v>0</v>
      </c>
      <c r="H150">
        <v>2</v>
      </c>
      <c r="I150" t="s">
        <v>12249</v>
      </c>
      <c r="J150">
        <v>1</v>
      </c>
      <c r="K150" t="s">
        <v>105</v>
      </c>
      <c r="L150" t="s">
        <v>15355</v>
      </c>
      <c r="M150">
        <v>0</v>
      </c>
      <c r="N150" t="s">
        <v>105</v>
      </c>
      <c r="O150" t="s">
        <v>15355</v>
      </c>
      <c r="P150">
        <v>0</v>
      </c>
      <c r="Q150" t="s">
        <v>105</v>
      </c>
      <c r="R150" t="s">
        <v>15355</v>
      </c>
      <c r="S150">
        <v>0</v>
      </c>
      <c r="T150" t="s">
        <v>105</v>
      </c>
      <c r="U150" t="s">
        <v>15355</v>
      </c>
      <c r="V150" t="s">
        <v>105</v>
      </c>
      <c r="X150" t="s">
        <v>15356</v>
      </c>
      <c r="Y150" t="s">
        <v>1724</v>
      </c>
      <c r="Z150" t="s">
        <v>105</v>
      </c>
      <c r="AB150" t="s">
        <v>105</v>
      </c>
      <c r="AE150" t="s">
        <v>105</v>
      </c>
      <c r="AG150">
        <v>2</v>
      </c>
      <c r="AH150">
        <v>4</v>
      </c>
      <c r="AI150">
        <v>3</v>
      </c>
      <c r="AJ150">
        <v>6</v>
      </c>
      <c r="AK150">
        <v>31949777</v>
      </c>
      <c r="AL150">
        <v>15</v>
      </c>
      <c r="AM150">
        <v>2019</v>
      </c>
      <c r="AN150">
        <v>364681</v>
      </c>
      <c r="AO150">
        <v>2019</v>
      </c>
      <c r="AP150" t="s">
        <v>12277</v>
      </c>
      <c r="AQ150" t="s">
        <v>12305</v>
      </c>
      <c r="AR150" t="s">
        <v>1724</v>
      </c>
      <c r="AS150" t="s">
        <v>1724</v>
      </c>
      <c r="AT150" t="s">
        <v>1724</v>
      </c>
      <c r="AU150" t="s">
        <v>15355</v>
      </c>
      <c r="AV150" t="s">
        <v>15355</v>
      </c>
      <c r="AY150">
        <v>458</v>
      </c>
      <c r="AZ150" t="s">
        <v>1724</v>
      </c>
      <c r="BA150" t="s">
        <v>15355</v>
      </c>
      <c r="BB150">
        <v>23424901</v>
      </c>
      <c r="BC150">
        <v>23424901</v>
      </c>
      <c r="BD150" t="s">
        <v>12254</v>
      </c>
      <c r="BE150" t="s">
        <v>15355</v>
      </c>
      <c r="BG150" t="s">
        <v>15355</v>
      </c>
      <c r="BH150" t="s">
        <v>15355</v>
      </c>
      <c r="BI150" t="s">
        <v>15355</v>
      </c>
      <c r="BJ150" t="s">
        <v>15355</v>
      </c>
      <c r="BK150" t="s">
        <v>15355</v>
      </c>
      <c r="BL150" t="s">
        <v>15355</v>
      </c>
      <c r="BM150" t="s">
        <v>15355</v>
      </c>
      <c r="BN150" t="s">
        <v>15355</v>
      </c>
      <c r="BO150" t="s">
        <v>15355</v>
      </c>
      <c r="BP150" t="s">
        <v>15355</v>
      </c>
      <c r="BQ150" t="s">
        <v>15355</v>
      </c>
      <c r="BR150" t="s">
        <v>15355</v>
      </c>
      <c r="BS150" t="s">
        <v>15355</v>
      </c>
      <c r="BT150" t="s">
        <v>15355</v>
      </c>
      <c r="BU150" t="s">
        <v>15355</v>
      </c>
      <c r="BV150" t="s">
        <v>15355</v>
      </c>
      <c r="BW150" t="s">
        <v>15355</v>
      </c>
      <c r="BX150" t="s">
        <v>15355</v>
      </c>
      <c r="BY150" t="s">
        <v>15355</v>
      </c>
      <c r="BZ150" t="s">
        <v>15355</v>
      </c>
      <c r="CA150" t="s">
        <v>15355</v>
      </c>
      <c r="CB150" t="s">
        <v>15355</v>
      </c>
      <c r="CC150" t="s">
        <v>15355</v>
      </c>
      <c r="CD150" t="s">
        <v>15355</v>
      </c>
      <c r="CE150" t="s">
        <v>15355</v>
      </c>
      <c r="CF150" t="s">
        <v>15355</v>
      </c>
      <c r="CG150" t="s">
        <v>15355</v>
      </c>
      <c r="CH150" t="s">
        <v>15355</v>
      </c>
      <c r="CI150" t="s">
        <v>15355</v>
      </c>
      <c r="CJ150" t="s">
        <v>15355</v>
      </c>
      <c r="CK150" t="s">
        <v>15355</v>
      </c>
      <c r="CL150" t="s">
        <v>15355</v>
      </c>
      <c r="CM150">
        <v>-99</v>
      </c>
      <c r="CN150">
        <v>-99</v>
      </c>
      <c r="CO150" t="s">
        <v>12255</v>
      </c>
      <c r="CP150" t="s">
        <v>12255</v>
      </c>
      <c r="CQ150" t="s">
        <v>13026</v>
      </c>
      <c r="CR150" t="s">
        <v>12539</v>
      </c>
      <c r="CS150">
        <v>8</v>
      </c>
      <c r="CT150">
        <v>8</v>
      </c>
      <c r="CU150">
        <v>6</v>
      </c>
      <c r="CV150">
        <v>-99</v>
      </c>
      <c r="CW150">
        <v>1</v>
      </c>
      <c r="CX150">
        <v>0</v>
      </c>
      <c r="CY150">
        <v>3</v>
      </c>
      <c r="CZ150">
        <v>8</v>
      </c>
      <c r="DA150">
        <v>113.83708</v>
      </c>
      <c r="DB150">
        <v>2.528667</v>
      </c>
      <c r="DC150">
        <v>1159321083</v>
      </c>
      <c r="DD150" t="s">
        <v>15357</v>
      </c>
      <c r="DE150" t="s">
        <v>15358</v>
      </c>
      <c r="DF150" t="s">
        <v>15359</v>
      </c>
      <c r="DG150" t="s">
        <v>105</v>
      </c>
      <c r="DH150" t="s">
        <v>105</v>
      </c>
      <c r="DI150" t="s">
        <v>15360</v>
      </c>
      <c r="DJ150" t="s">
        <v>15361</v>
      </c>
      <c r="DK150" t="s">
        <v>15362</v>
      </c>
      <c r="DL150" t="s">
        <v>15363</v>
      </c>
      <c r="DM150" t="s">
        <v>15364</v>
      </c>
      <c r="DN150" t="s">
        <v>15365</v>
      </c>
      <c r="DO150" t="s">
        <v>15366</v>
      </c>
      <c r="DP150" t="s">
        <v>105</v>
      </c>
      <c r="DQ150" t="s">
        <v>105</v>
      </c>
      <c r="DR150" t="s">
        <v>15367</v>
      </c>
      <c r="DS150" t="s">
        <v>15368</v>
      </c>
      <c r="DT150" t="s">
        <v>15369</v>
      </c>
      <c r="DU150" t="s">
        <v>15370</v>
      </c>
      <c r="DV150" t="s">
        <v>15371</v>
      </c>
      <c r="DW150" t="s">
        <v>15372</v>
      </c>
      <c r="DX150" t="s">
        <v>105</v>
      </c>
      <c r="DY150" t="s">
        <v>15373</v>
      </c>
      <c r="DZ150" t="s">
        <v>15374</v>
      </c>
      <c r="EA150" t="s">
        <v>15375</v>
      </c>
      <c r="EB150" t="s">
        <v>105</v>
      </c>
      <c r="EC150" t="s">
        <v>15376</v>
      </c>
      <c r="ED150" t="s">
        <v>15377</v>
      </c>
      <c r="EE150" t="s">
        <v>12247</v>
      </c>
      <c r="EG150" t="s">
        <v>12247</v>
      </c>
    </row>
    <row r="151" spans="1:253" x14ac:dyDescent="0.25">
      <c r="A151" t="s">
        <v>106</v>
      </c>
      <c r="B151" t="s">
        <v>12247</v>
      </c>
      <c r="C151">
        <v>5</v>
      </c>
      <c r="D151">
        <v>5</v>
      </c>
      <c r="E151" t="s">
        <v>106</v>
      </c>
      <c r="F151" t="s">
        <v>15378</v>
      </c>
      <c r="G151">
        <v>0</v>
      </c>
      <c r="H151">
        <v>2</v>
      </c>
      <c r="I151" t="s">
        <v>12249</v>
      </c>
      <c r="J151">
        <v>1</v>
      </c>
      <c r="K151" t="s">
        <v>106</v>
      </c>
      <c r="L151" t="s">
        <v>15378</v>
      </c>
      <c r="M151">
        <v>0</v>
      </c>
      <c r="N151" t="s">
        <v>106</v>
      </c>
      <c r="O151" t="s">
        <v>15378</v>
      </c>
      <c r="P151">
        <v>0</v>
      </c>
      <c r="Q151" t="s">
        <v>106</v>
      </c>
      <c r="R151" t="s">
        <v>15378</v>
      </c>
      <c r="S151">
        <v>0</v>
      </c>
      <c r="T151" t="s">
        <v>106</v>
      </c>
      <c r="U151" t="s">
        <v>15378</v>
      </c>
      <c r="V151" t="s">
        <v>106</v>
      </c>
      <c r="X151" t="s">
        <v>15379</v>
      </c>
      <c r="Y151" t="s">
        <v>1714</v>
      </c>
      <c r="Z151" t="s">
        <v>15380</v>
      </c>
      <c r="AB151" t="s">
        <v>106</v>
      </c>
      <c r="AE151" t="s">
        <v>106</v>
      </c>
      <c r="AG151">
        <v>2</v>
      </c>
      <c r="AH151">
        <v>3</v>
      </c>
      <c r="AI151">
        <v>1</v>
      </c>
      <c r="AJ151">
        <v>7</v>
      </c>
      <c r="AK151">
        <v>530953</v>
      </c>
      <c r="AL151">
        <v>11</v>
      </c>
      <c r="AM151">
        <v>2019</v>
      </c>
      <c r="AN151">
        <v>5642</v>
      </c>
      <c r="AO151">
        <v>2019</v>
      </c>
      <c r="AP151" t="s">
        <v>12277</v>
      </c>
      <c r="AQ151" t="s">
        <v>12305</v>
      </c>
      <c r="AR151" t="s">
        <v>1714</v>
      </c>
      <c r="AS151" t="s">
        <v>1714</v>
      </c>
      <c r="AT151" t="s">
        <v>1714</v>
      </c>
      <c r="AU151" t="s">
        <v>15378</v>
      </c>
      <c r="AV151" t="s">
        <v>15378</v>
      </c>
      <c r="AW151">
        <v>462</v>
      </c>
      <c r="AX151">
        <v>462</v>
      </c>
      <c r="AY151">
        <v>462</v>
      </c>
      <c r="AZ151" t="s">
        <v>1714</v>
      </c>
      <c r="BA151" t="s">
        <v>15378</v>
      </c>
      <c r="BB151">
        <v>23424899</v>
      </c>
      <c r="BC151">
        <v>23424899</v>
      </c>
      <c r="BD151" t="s">
        <v>12254</v>
      </c>
      <c r="BE151" t="s">
        <v>15378</v>
      </c>
      <c r="BG151" t="s">
        <v>15378</v>
      </c>
      <c r="BH151" t="s">
        <v>15378</v>
      </c>
      <c r="BI151" t="s">
        <v>15378</v>
      </c>
      <c r="BJ151" t="s">
        <v>15378</v>
      </c>
      <c r="BK151" t="s">
        <v>15378</v>
      </c>
      <c r="BL151" t="s">
        <v>15378</v>
      </c>
      <c r="BM151" t="s">
        <v>15378</v>
      </c>
      <c r="BN151" t="s">
        <v>15378</v>
      </c>
      <c r="BO151" t="s">
        <v>15378</v>
      </c>
      <c r="BP151" t="s">
        <v>15378</v>
      </c>
      <c r="BQ151" t="s">
        <v>15378</v>
      </c>
      <c r="BR151" t="s">
        <v>15378</v>
      </c>
      <c r="BS151" t="s">
        <v>15378</v>
      </c>
      <c r="BT151" t="s">
        <v>15378</v>
      </c>
      <c r="BU151" t="s">
        <v>15378</v>
      </c>
      <c r="BV151" t="s">
        <v>15378</v>
      </c>
      <c r="BW151" t="s">
        <v>15378</v>
      </c>
      <c r="BX151" t="s">
        <v>15378</v>
      </c>
      <c r="BY151" t="s">
        <v>15378</v>
      </c>
      <c r="BZ151" t="s">
        <v>15378</v>
      </c>
      <c r="CA151" t="s">
        <v>15378</v>
      </c>
      <c r="CB151" t="s">
        <v>15378</v>
      </c>
      <c r="CC151" t="s">
        <v>15378</v>
      </c>
      <c r="CD151" t="s">
        <v>15378</v>
      </c>
      <c r="CE151" t="s">
        <v>15378</v>
      </c>
      <c r="CF151" t="s">
        <v>15378</v>
      </c>
      <c r="CG151" t="s">
        <v>15378</v>
      </c>
      <c r="CH151" t="s">
        <v>15378</v>
      </c>
      <c r="CI151" t="s">
        <v>15378</v>
      </c>
      <c r="CJ151" t="s">
        <v>15378</v>
      </c>
      <c r="CK151" t="s">
        <v>15378</v>
      </c>
      <c r="CL151" t="s">
        <v>15378</v>
      </c>
      <c r="CM151">
        <v>-99</v>
      </c>
      <c r="CN151">
        <v>-99</v>
      </c>
      <c r="CO151" t="s">
        <v>13437</v>
      </c>
      <c r="CP151" t="s">
        <v>12255</v>
      </c>
      <c r="CQ151" t="s">
        <v>12256</v>
      </c>
      <c r="CR151" t="s">
        <v>12257</v>
      </c>
      <c r="CS151">
        <v>8</v>
      </c>
      <c r="CT151">
        <v>8</v>
      </c>
      <c r="CU151">
        <v>5</v>
      </c>
      <c r="CV151">
        <v>2</v>
      </c>
      <c r="CW151">
        <v>1</v>
      </c>
      <c r="CX151">
        <v>0</v>
      </c>
      <c r="CY151">
        <v>4</v>
      </c>
      <c r="CZ151">
        <v>9</v>
      </c>
      <c r="DA151">
        <v>73.507553999999999</v>
      </c>
      <c r="DB151">
        <v>4.1744409999999998</v>
      </c>
      <c r="DC151">
        <v>1159321053</v>
      </c>
      <c r="DD151" t="s">
        <v>15381</v>
      </c>
      <c r="DE151" t="s">
        <v>15382</v>
      </c>
      <c r="DF151" t="s">
        <v>15383</v>
      </c>
      <c r="DG151" t="s">
        <v>15384</v>
      </c>
      <c r="DH151" t="s">
        <v>106</v>
      </c>
      <c r="DI151" t="s">
        <v>15385</v>
      </c>
      <c r="DJ151" t="s">
        <v>15386</v>
      </c>
      <c r="DK151" t="s">
        <v>106</v>
      </c>
      <c r="DL151" t="s">
        <v>15387</v>
      </c>
      <c r="DM151" t="s">
        <v>15388</v>
      </c>
      <c r="DN151" t="s">
        <v>15389</v>
      </c>
      <c r="DO151" t="s">
        <v>15390</v>
      </c>
      <c r="DP151" t="s">
        <v>15391</v>
      </c>
      <c r="DQ151" t="s">
        <v>15392</v>
      </c>
      <c r="DR151" t="s">
        <v>15393</v>
      </c>
      <c r="DS151" t="s">
        <v>15394</v>
      </c>
      <c r="DT151" t="s">
        <v>15395</v>
      </c>
      <c r="DU151" t="s">
        <v>15396</v>
      </c>
      <c r="DV151" t="s">
        <v>15385</v>
      </c>
      <c r="DW151" t="s">
        <v>15397</v>
      </c>
      <c r="DX151" t="s">
        <v>15398</v>
      </c>
      <c r="DY151" t="s">
        <v>15399</v>
      </c>
      <c r="DZ151" t="s">
        <v>15400</v>
      </c>
      <c r="EA151" t="s">
        <v>15401</v>
      </c>
      <c r="EB151" t="s">
        <v>106</v>
      </c>
      <c r="EC151" t="s">
        <v>15402</v>
      </c>
      <c r="ED151" t="s">
        <v>15403</v>
      </c>
      <c r="EE151" t="s">
        <v>12247</v>
      </c>
      <c r="EG151" t="s">
        <v>12247</v>
      </c>
    </row>
    <row r="152" spans="1:253" x14ac:dyDescent="0.25">
      <c r="A152" t="s">
        <v>107</v>
      </c>
      <c r="B152" t="s">
        <v>12247</v>
      </c>
      <c r="C152">
        <v>0</v>
      </c>
      <c r="D152">
        <v>3</v>
      </c>
      <c r="E152" t="s">
        <v>107</v>
      </c>
      <c r="F152" t="s">
        <v>15404</v>
      </c>
      <c r="G152">
        <v>0</v>
      </c>
      <c r="H152">
        <v>2</v>
      </c>
      <c r="I152" t="s">
        <v>12249</v>
      </c>
      <c r="J152">
        <v>1</v>
      </c>
      <c r="K152" t="s">
        <v>107</v>
      </c>
      <c r="L152" t="s">
        <v>15404</v>
      </c>
      <c r="M152">
        <v>0</v>
      </c>
      <c r="N152" t="s">
        <v>107</v>
      </c>
      <c r="O152" t="s">
        <v>15404</v>
      </c>
      <c r="P152">
        <v>0</v>
      </c>
      <c r="Q152" t="s">
        <v>107</v>
      </c>
      <c r="R152" t="s">
        <v>15404</v>
      </c>
      <c r="S152">
        <v>0</v>
      </c>
      <c r="T152" t="s">
        <v>107</v>
      </c>
      <c r="U152" t="s">
        <v>15404</v>
      </c>
      <c r="V152" t="s">
        <v>107</v>
      </c>
      <c r="X152" t="s">
        <v>107</v>
      </c>
      <c r="Y152" t="s">
        <v>1681</v>
      </c>
      <c r="Z152" t="s">
        <v>15405</v>
      </c>
      <c r="AB152" t="s">
        <v>107</v>
      </c>
      <c r="AE152" t="s">
        <v>107</v>
      </c>
      <c r="AG152">
        <v>1</v>
      </c>
      <c r="AH152">
        <v>4</v>
      </c>
      <c r="AI152">
        <v>1</v>
      </c>
      <c r="AJ152">
        <v>7</v>
      </c>
      <c r="AK152">
        <v>19658031</v>
      </c>
      <c r="AL152">
        <v>14</v>
      </c>
      <c r="AM152">
        <v>2019</v>
      </c>
      <c r="AN152">
        <v>17279</v>
      </c>
      <c r="AO152">
        <v>2019</v>
      </c>
      <c r="AP152" t="s">
        <v>12252</v>
      </c>
      <c r="AQ152" t="s">
        <v>12253</v>
      </c>
      <c r="AR152" t="s">
        <v>1681</v>
      </c>
      <c r="AS152" t="s">
        <v>1681</v>
      </c>
      <c r="AT152" t="s">
        <v>1681</v>
      </c>
      <c r="AU152" t="s">
        <v>15404</v>
      </c>
      <c r="AV152" t="s">
        <v>15404</v>
      </c>
      <c r="AW152">
        <v>466</v>
      </c>
      <c r="AX152">
        <v>466</v>
      </c>
      <c r="AY152">
        <v>466</v>
      </c>
      <c r="AZ152" t="s">
        <v>1681</v>
      </c>
      <c r="BA152" t="s">
        <v>15404</v>
      </c>
      <c r="BB152">
        <v>23424891</v>
      </c>
      <c r="BC152">
        <v>23424891</v>
      </c>
      <c r="BD152" t="s">
        <v>12254</v>
      </c>
      <c r="BE152" t="s">
        <v>15404</v>
      </c>
      <c r="BG152" t="s">
        <v>15404</v>
      </c>
      <c r="BH152" t="s">
        <v>15404</v>
      </c>
      <c r="BI152" t="s">
        <v>15404</v>
      </c>
      <c r="BJ152" t="s">
        <v>15404</v>
      </c>
      <c r="BK152" t="s">
        <v>15404</v>
      </c>
      <c r="BL152" t="s">
        <v>15404</v>
      </c>
      <c r="BM152" t="s">
        <v>15404</v>
      </c>
      <c r="BN152" t="s">
        <v>15404</v>
      </c>
      <c r="BO152" t="s">
        <v>15404</v>
      </c>
      <c r="BP152" t="s">
        <v>15404</v>
      </c>
      <c r="BQ152" t="s">
        <v>15404</v>
      </c>
      <c r="BR152" t="s">
        <v>15404</v>
      </c>
      <c r="BS152" t="s">
        <v>15404</v>
      </c>
      <c r="BT152" t="s">
        <v>15404</v>
      </c>
      <c r="BU152" t="s">
        <v>15404</v>
      </c>
      <c r="BV152" t="s">
        <v>15404</v>
      </c>
      <c r="BW152" t="s">
        <v>15404</v>
      </c>
      <c r="BX152" t="s">
        <v>15404</v>
      </c>
      <c r="BY152" t="s">
        <v>15404</v>
      </c>
      <c r="BZ152" t="s">
        <v>15404</v>
      </c>
      <c r="CA152" t="s">
        <v>15404</v>
      </c>
      <c r="CB152" t="s">
        <v>15404</v>
      </c>
      <c r="CC152" t="s">
        <v>15404</v>
      </c>
      <c r="CD152" t="s">
        <v>15404</v>
      </c>
      <c r="CE152" t="s">
        <v>15404</v>
      </c>
      <c r="CF152" t="s">
        <v>15404</v>
      </c>
      <c r="CG152" t="s">
        <v>15404</v>
      </c>
      <c r="CH152" t="s">
        <v>15404</v>
      </c>
      <c r="CI152" t="s">
        <v>15404</v>
      </c>
      <c r="CJ152" t="s">
        <v>15404</v>
      </c>
      <c r="CK152" t="s">
        <v>15404</v>
      </c>
      <c r="CL152" t="s">
        <v>15404</v>
      </c>
      <c r="CM152">
        <v>-99</v>
      </c>
      <c r="CN152">
        <v>-99</v>
      </c>
      <c r="CO152" t="s">
        <v>12306</v>
      </c>
      <c r="CP152" t="s">
        <v>12306</v>
      </c>
      <c r="CQ152" t="s">
        <v>12847</v>
      </c>
      <c r="CR152" t="s">
        <v>12357</v>
      </c>
      <c r="CS152">
        <v>4</v>
      </c>
      <c r="CT152">
        <v>4</v>
      </c>
      <c r="CU152">
        <v>4</v>
      </c>
      <c r="CV152">
        <v>-99</v>
      </c>
      <c r="CW152">
        <v>1</v>
      </c>
      <c r="CX152">
        <v>0</v>
      </c>
      <c r="CY152">
        <v>3</v>
      </c>
      <c r="CZ152">
        <v>7</v>
      </c>
      <c r="DA152">
        <v>-2.0384549999999999</v>
      </c>
      <c r="DB152">
        <v>18.692713000000001</v>
      </c>
      <c r="DC152">
        <v>1159321063</v>
      </c>
      <c r="DD152" t="s">
        <v>15406</v>
      </c>
      <c r="DE152" t="s">
        <v>15407</v>
      </c>
      <c r="DF152" t="s">
        <v>15408</v>
      </c>
      <c r="DG152" t="s">
        <v>107</v>
      </c>
      <c r="DH152" t="s">
        <v>107</v>
      </c>
      <c r="DI152" t="s">
        <v>15409</v>
      </c>
      <c r="DJ152" t="s">
        <v>15410</v>
      </c>
      <c r="DK152" t="s">
        <v>107</v>
      </c>
      <c r="DL152" t="s">
        <v>15411</v>
      </c>
      <c r="DM152" t="s">
        <v>15412</v>
      </c>
      <c r="DN152" t="s">
        <v>15413</v>
      </c>
      <c r="DO152" t="s">
        <v>107</v>
      </c>
      <c r="DP152" t="s">
        <v>107</v>
      </c>
      <c r="DQ152" t="s">
        <v>107</v>
      </c>
      <c r="DR152" t="s">
        <v>15414</v>
      </c>
      <c r="DS152" t="s">
        <v>15415</v>
      </c>
      <c r="DT152" t="s">
        <v>107</v>
      </c>
      <c r="DU152" t="s">
        <v>107</v>
      </c>
      <c r="DV152" t="s">
        <v>107</v>
      </c>
      <c r="DW152" t="s">
        <v>15416</v>
      </c>
      <c r="DX152" t="s">
        <v>107</v>
      </c>
      <c r="DY152" t="s">
        <v>107</v>
      </c>
      <c r="DZ152" t="s">
        <v>15417</v>
      </c>
      <c r="EA152" t="s">
        <v>15410</v>
      </c>
      <c r="EB152" t="s">
        <v>107</v>
      </c>
      <c r="EC152" t="s">
        <v>15418</v>
      </c>
      <c r="ED152" t="s">
        <v>15419</v>
      </c>
      <c r="EE152" t="s">
        <v>12247</v>
      </c>
      <c r="EG152" t="s">
        <v>12247</v>
      </c>
    </row>
    <row r="153" spans="1:253" x14ac:dyDescent="0.25">
      <c r="A153" t="s">
        <v>108</v>
      </c>
      <c r="B153" t="s">
        <v>12247</v>
      </c>
      <c r="C153">
        <v>5</v>
      </c>
      <c r="D153">
        <v>5</v>
      </c>
      <c r="E153" t="s">
        <v>108</v>
      </c>
      <c r="F153" t="s">
        <v>15420</v>
      </c>
      <c r="G153">
        <v>0</v>
      </c>
      <c r="H153">
        <v>2</v>
      </c>
      <c r="I153" t="s">
        <v>12249</v>
      </c>
      <c r="J153">
        <v>1</v>
      </c>
      <c r="K153" t="s">
        <v>108</v>
      </c>
      <c r="L153" t="s">
        <v>15420</v>
      </c>
      <c r="M153">
        <v>0</v>
      </c>
      <c r="N153" t="s">
        <v>108</v>
      </c>
      <c r="O153" t="s">
        <v>15420</v>
      </c>
      <c r="P153">
        <v>0</v>
      </c>
      <c r="Q153" t="s">
        <v>108</v>
      </c>
      <c r="R153" t="s">
        <v>15420</v>
      </c>
      <c r="S153">
        <v>0</v>
      </c>
      <c r="T153" t="s">
        <v>108</v>
      </c>
      <c r="U153" t="s">
        <v>15420</v>
      </c>
      <c r="V153" t="s">
        <v>108</v>
      </c>
      <c r="X153" t="s">
        <v>108</v>
      </c>
      <c r="Y153" t="s">
        <v>1449</v>
      </c>
      <c r="Z153" t="s">
        <v>15421</v>
      </c>
      <c r="AB153" t="s">
        <v>108</v>
      </c>
      <c r="AE153" t="s">
        <v>108</v>
      </c>
      <c r="AG153">
        <v>1</v>
      </c>
      <c r="AH153">
        <v>4</v>
      </c>
      <c r="AI153">
        <v>1</v>
      </c>
      <c r="AJ153">
        <v>8</v>
      </c>
      <c r="AK153">
        <v>502653</v>
      </c>
      <c r="AL153">
        <v>11</v>
      </c>
      <c r="AM153">
        <v>2019</v>
      </c>
      <c r="AN153">
        <v>14989</v>
      </c>
      <c r="AO153">
        <v>2019</v>
      </c>
      <c r="AP153" t="s">
        <v>12334</v>
      </c>
      <c r="AQ153" t="s">
        <v>12335</v>
      </c>
      <c r="AR153" t="s">
        <v>1708</v>
      </c>
      <c r="AS153" t="s">
        <v>1708</v>
      </c>
      <c r="AT153" t="s">
        <v>1708</v>
      </c>
      <c r="AU153" t="s">
        <v>15420</v>
      </c>
      <c r="AV153" t="s">
        <v>15420</v>
      </c>
      <c r="AW153">
        <v>470</v>
      </c>
      <c r="AX153">
        <v>470</v>
      </c>
      <c r="AY153">
        <v>470</v>
      </c>
      <c r="AZ153" t="s">
        <v>1708</v>
      </c>
      <c r="BA153" t="s">
        <v>15420</v>
      </c>
      <c r="BB153">
        <v>23424897</v>
      </c>
      <c r="BC153">
        <v>23424897</v>
      </c>
      <c r="BD153" t="s">
        <v>12254</v>
      </c>
      <c r="BE153" t="s">
        <v>15420</v>
      </c>
      <c r="BG153" t="s">
        <v>15420</v>
      </c>
      <c r="BH153" t="s">
        <v>15420</v>
      </c>
      <c r="BI153" t="s">
        <v>15420</v>
      </c>
      <c r="BJ153" t="s">
        <v>15420</v>
      </c>
      <c r="BK153" t="s">
        <v>15420</v>
      </c>
      <c r="BL153" t="s">
        <v>15420</v>
      </c>
      <c r="BM153" t="s">
        <v>15420</v>
      </c>
      <c r="BN153" t="s">
        <v>15420</v>
      </c>
      <c r="BO153" t="s">
        <v>15420</v>
      </c>
      <c r="BP153" t="s">
        <v>15420</v>
      </c>
      <c r="BQ153" t="s">
        <v>15420</v>
      </c>
      <c r="BR153" t="s">
        <v>15420</v>
      </c>
      <c r="BS153" t="s">
        <v>15420</v>
      </c>
      <c r="BT153" t="s">
        <v>15420</v>
      </c>
      <c r="BU153" t="s">
        <v>15420</v>
      </c>
      <c r="BV153" t="s">
        <v>15420</v>
      </c>
      <c r="BW153" t="s">
        <v>15420</v>
      </c>
      <c r="BX153" t="s">
        <v>15420</v>
      </c>
      <c r="BY153" t="s">
        <v>15420</v>
      </c>
      <c r="BZ153" t="s">
        <v>15420</v>
      </c>
      <c r="CA153" t="s">
        <v>15420</v>
      </c>
      <c r="CB153" t="s">
        <v>15420</v>
      </c>
      <c r="CC153" t="s">
        <v>15420</v>
      </c>
      <c r="CD153" t="s">
        <v>15420</v>
      </c>
      <c r="CE153" t="s">
        <v>15420</v>
      </c>
      <c r="CF153" t="s">
        <v>15420</v>
      </c>
      <c r="CG153" t="s">
        <v>15420</v>
      </c>
      <c r="CH153" t="s">
        <v>15420</v>
      </c>
      <c r="CI153" t="s">
        <v>15420</v>
      </c>
      <c r="CJ153" t="s">
        <v>15420</v>
      </c>
      <c r="CK153" t="s">
        <v>15420</v>
      </c>
      <c r="CL153" t="s">
        <v>15420</v>
      </c>
      <c r="CM153">
        <v>-99</v>
      </c>
      <c r="CN153">
        <v>-99</v>
      </c>
      <c r="CO153" t="s">
        <v>12279</v>
      </c>
      <c r="CP153" t="s">
        <v>12279</v>
      </c>
      <c r="CQ153" t="s">
        <v>12280</v>
      </c>
      <c r="CR153" t="s">
        <v>12308</v>
      </c>
      <c r="CS153">
        <v>5</v>
      </c>
      <c r="CT153">
        <v>5</v>
      </c>
      <c r="CU153">
        <v>5</v>
      </c>
      <c r="CV153">
        <v>3</v>
      </c>
      <c r="CW153">
        <v>1</v>
      </c>
      <c r="CX153">
        <v>0</v>
      </c>
      <c r="CY153">
        <v>4</v>
      </c>
      <c r="CZ153">
        <v>9</v>
      </c>
      <c r="DA153">
        <v>14.433005</v>
      </c>
      <c r="DB153">
        <v>35.892885999999997</v>
      </c>
      <c r="DC153">
        <v>1159321065</v>
      </c>
      <c r="DD153" t="s">
        <v>15422</v>
      </c>
      <c r="DE153" t="s">
        <v>15423</v>
      </c>
      <c r="DF153" t="s">
        <v>15424</v>
      </c>
      <c r="DG153" t="s">
        <v>108</v>
      </c>
      <c r="DH153" t="s">
        <v>108</v>
      </c>
      <c r="DI153" t="s">
        <v>108</v>
      </c>
      <c r="DJ153" t="s">
        <v>15425</v>
      </c>
      <c r="DK153" t="s">
        <v>15426</v>
      </c>
      <c r="DL153" t="s">
        <v>15427</v>
      </c>
      <c r="DM153" t="s">
        <v>15428</v>
      </c>
      <c r="DN153" t="s">
        <v>15429</v>
      </c>
      <c r="DO153" t="s">
        <v>15430</v>
      </c>
      <c r="DP153" t="s">
        <v>108</v>
      </c>
      <c r="DQ153" t="s">
        <v>108</v>
      </c>
      <c r="DR153" t="s">
        <v>15431</v>
      </c>
      <c r="DS153" t="s">
        <v>15432</v>
      </c>
      <c r="DT153" t="s">
        <v>108</v>
      </c>
      <c r="DU153" t="s">
        <v>108</v>
      </c>
      <c r="DV153" t="s">
        <v>108</v>
      </c>
      <c r="DW153" t="s">
        <v>15433</v>
      </c>
      <c r="DX153" t="s">
        <v>108</v>
      </c>
      <c r="DY153" t="s">
        <v>108</v>
      </c>
      <c r="DZ153" t="s">
        <v>15433</v>
      </c>
      <c r="EA153" t="s">
        <v>15434</v>
      </c>
      <c r="EB153" t="s">
        <v>108</v>
      </c>
      <c r="EC153" t="s">
        <v>15435</v>
      </c>
      <c r="ED153" t="s">
        <v>15436</v>
      </c>
      <c r="EE153" t="s">
        <v>12247</v>
      </c>
      <c r="EG153" t="s">
        <v>12247</v>
      </c>
    </row>
    <row r="154" spans="1:253" x14ac:dyDescent="0.25">
      <c r="A154" t="s">
        <v>109</v>
      </c>
      <c r="B154" t="s">
        <v>12247</v>
      </c>
      <c r="C154">
        <v>5</v>
      </c>
      <c r="D154">
        <v>6</v>
      </c>
      <c r="E154" t="s">
        <v>109</v>
      </c>
      <c r="F154" t="s">
        <v>15437</v>
      </c>
      <c r="G154">
        <v>0</v>
      </c>
      <c r="H154">
        <v>2</v>
      </c>
      <c r="I154" t="s">
        <v>12249</v>
      </c>
      <c r="J154">
        <v>1</v>
      </c>
      <c r="K154" t="s">
        <v>109</v>
      </c>
      <c r="L154" t="s">
        <v>15437</v>
      </c>
      <c r="M154">
        <v>0</v>
      </c>
      <c r="N154" t="s">
        <v>109</v>
      </c>
      <c r="O154" t="s">
        <v>15437</v>
      </c>
      <c r="P154">
        <v>0</v>
      </c>
      <c r="Q154" t="s">
        <v>109</v>
      </c>
      <c r="R154" t="s">
        <v>15437</v>
      </c>
      <c r="S154">
        <v>0</v>
      </c>
      <c r="T154" t="s">
        <v>109</v>
      </c>
      <c r="U154" t="s">
        <v>15437</v>
      </c>
      <c r="V154" t="s">
        <v>15438</v>
      </c>
      <c r="X154" t="s">
        <v>15439</v>
      </c>
      <c r="Y154" t="s">
        <v>1675</v>
      </c>
      <c r="Z154" t="s">
        <v>15440</v>
      </c>
      <c r="AB154" t="s">
        <v>109</v>
      </c>
      <c r="AE154" t="s">
        <v>109</v>
      </c>
      <c r="AG154">
        <v>2</v>
      </c>
      <c r="AH154">
        <v>5</v>
      </c>
      <c r="AI154">
        <v>5</v>
      </c>
      <c r="AJ154">
        <v>3</v>
      </c>
      <c r="AK154">
        <v>58791</v>
      </c>
      <c r="AL154">
        <v>8</v>
      </c>
      <c r="AM154">
        <v>2019</v>
      </c>
      <c r="AN154">
        <v>221</v>
      </c>
      <c r="AO154">
        <v>2018</v>
      </c>
      <c r="AP154" t="s">
        <v>12277</v>
      </c>
      <c r="AQ154" t="s">
        <v>12278</v>
      </c>
      <c r="AR154" t="s">
        <v>1579</v>
      </c>
      <c r="AS154" t="s">
        <v>1675</v>
      </c>
      <c r="AT154" t="s">
        <v>1675</v>
      </c>
      <c r="AU154" t="s">
        <v>15437</v>
      </c>
      <c r="AV154" t="s">
        <v>15437</v>
      </c>
      <c r="AW154">
        <v>584</v>
      </c>
      <c r="AX154">
        <v>584</v>
      </c>
      <c r="AY154">
        <v>584</v>
      </c>
      <c r="AZ154" t="s">
        <v>1675</v>
      </c>
      <c r="BA154" t="s">
        <v>15437</v>
      </c>
      <c r="BB154">
        <v>23424932</v>
      </c>
      <c r="BC154">
        <v>23424932</v>
      </c>
      <c r="BD154" t="s">
        <v>12254</v>
      </c>
      <c r="BE154" t="s">
        <v>15437</v>
      </c>
      <c r="BG154" t="s">
        <v>15437</v>
      </c>
      <c r="BH154" t="s">
        <v>15437</v>
      </c>
      <c r="BI154" t="s">
        <v>15437</v>
      </c>
      <c r="BJ154" t="s">
        <v>15437</v>
      </c>
      <c r="BK154" t="s">
        <v>15437</v>
      </c>
      <c r="BL154" t="s">
        <v>15437</v>
      </c>
      <c r="BM154" t="s">
        <v>15437</v>
      </c>
      <c r="BN154" t="s">
        <v>15437</v>
      </c>
      <c r="BO154" t="s">
        <v>15437</v>
      </c>
      <c r="BP154" t="s">
        <v>15437</v>
      </c>
      <c r="BQ154" t="s">
        <v>15437</v>
      </c>
      <c r="BR154" t="s">
        <v>15437</v>
      </c>
      <c r="BS154" t="s">
        <v>15437</v>
      </c>
      <c r="BT154" t="s">
        <v>15437</v>
      </c>
      <c r="BU154" t="s">
        <v>15437</v>
      </c>
      <c r="BV154" t="s">
        <v>15437</v>
      </c>
      <c r="BW154" t="s">
        <v>15437</v>
      </c>
      <c r="BX154" t="s">
        <v>15437</v>
      </c>
      <c r="BY154" t="s">
        <v>15437</v>
      </c>
      <c r="BZ154" t="s">
        <v>15437</v>
      </c>
      <c r="CA154" t="s">
        <v>15437</v>
      </c>
      <c r="CB154" t="s">
        <v>15437</v>
      </c>
      <c r="CC154" t="s">
        <v>15437</v>
      </c>
      <c r="CD154" t="s">
        <v>15437</v>
      </c>
      <c r="CE154" t="s">
        <v>15437</v>
      </c>
      <c r="CF154" t="s">
        <v>15437</v>
      </c>
      <c r="CG154" t="s">
        <v>15437</v>
      </c>
      <c r="CH154" t="s">
        <v>15437</v>
      </c>
      <c r="CI154" t="s">
        <v>15437</v>
      </c>
      <c r="CJ154" t="s">
        <v>15437</v>
      </c>
      <c r="CK154" t="s">
        <v>15437</v>
      </c>
      <c r="CL154" t="s">
        <v>15437</v>
      </c>
      <c r="CM154">
        <v>-99</v>
      </c>
      <c r="CN154">
        <v>-99</v>
      </c>
      <c r="CO154" t="s">
        <v>12537</v>
      </c>
      <c r="CP154" t="s">
        <v>12537</v>
      </c>
      <c r="CQ154" t="s">
        <v>13998</v>
      </c>
      <c r="CR154" t="s">
        <v>12539</v>
      </c>
      <c r="CS154">
        <v>12</v>
      </c>
      <c r="CT154">
        <v>16</v>
      </c>
      <c r="CU154">
        <v>6</v>
      </c>
      <c r="CV154">
        <v>2</v>
      </c>
      <c r="CW154">
        <v>1</v>
      </c>
      <c r="CX154">
        <v>0</v>
      </c>
      <c r="CY154">
        <v>5</v>
      </c>
      <c r="CZ154">
        <v>10</v>
      </c>
      <c r="DA154">
        <v>171.19360900000001</v>
      </c>
      <c r="DB154">
        <v>7.0825680000000002</v>
      </c>
      <c r="DC154">
        <v>1159321057</v>
      </c>
      <c r="DD154" t="s">
        <v>15441</v>
      </c>
      <c r="DE154" t="s">
        <v>15442</v>
      </c>
      <c r="DF154" t="s">
        <v>15443</v>
      </c>
      <c r="DG154" t="s">
        <v>15444</v>
      </c>
      <c r="DH154" t="s">
        <v>109</v>
      </c>
      <c r="DI154" t="s">
        <v>15445</v>
      </c>
      <c r="DJ154" t="s">
        <v>15446</v>
      </c>
      <c r="DK154" t="s">
        <v>15447</v>
      </c>
      <c r="DL154" t="s">
        <v>15448</v>
      </c>
      <c r="DM154" t="s">
        <v>15449</v>
      </c>
      <c r="DN154" t="s">
        <v>15450</v>
      </c>
      <c r="DO154" t="s">
        <v>15451</v>
      </c>
      <c r="DP154" t="s">
        <v>15452</v>
      </c>
      <c r="DQ154" t="s">
        <v>15453</v>
      </c>
      <c r="DR154" t="s">
        <v>15454</v>
      </c>
      <c r="DS154" t="s">
        <v>15455</v>
      </c>
      <c r="DT154" t="s">
        <v>15456</v>
      </c>
      <c r="DU154" t="s">
        <v>15457</v>
      </c>
      <c r="DV154" t="s">
        <v>15458</v>
      </c>
      <c r="DW154" t="s">
        <v>15459</v>
      </c>
      <c r="DX154" t="s">
        <v>15460</v>
      </c>
      <c r="DY154" t="s">
        <v>15461</v>
      </c>
      <c r="DZ154" t="s">
        <v>15462</v>
      </c>
      <c r="EA154" t="s">
        <v>15463</v>
      </c>
      <c r="EB154" t="s">
        <v>15464</v>
      </c>
      <c r="EC154" t="s">
        <v>15465</v>
      </c>
      <c r="ED154" t="s">
        <v>15466</v>
      </c>
      <c r="EE154" t="s">
        <v>12247</v>
      </c>
      <c r="EG154" t="s">
        <v>12247</v>
      </c>
    </row>
    <row r="155" spans="1:253" x14ac:dyDescent="0.25">
      <c r="A155" t="s">
        <v>1220</v>
      </c>
      <c r="B155" t="s">
        <v>17202</v>
      </c>
      <c r="C155">
        <v>3</v>
      </c>
      <c r="L155" t="s">
        <v>12075</v>
      </c>
      <c r="FN155" t="s">
        <v>18662</v>
      </c>
      <c r="FO155">
        <v>1442</v>
      </c>
      <c r="FQ155" t="s">
        <v>1471</v>
      </c>
      <c r="FR155">
        <v>1</v>
      </c>
      <c r="FU155" t="s">
        <v>18603</v>
      </c>
      <c r="FV155" t="s">
        <v>18604</v>
      </c>
      <c r="FX155" t="s">
        <v>18663</v>
      </c>
      <c r="GA155" t="s">
        <v>1220</v>
      </c>
      <c r="GB155">
        <v>2</v>
      </c>
      <c r="GC155">
        <v>1</v>
      </c>
      <c r="GD155">
        <v>20</v>
      </c>
      <c r="GE155">
        <v>8</v>
      </c>
      <c r="GG155" t="s">
        <v>18664</v>
      </c>
      <c r="GH155">
        <v>0</v>
      </c>
      <c r="GI155">
        <v>-99</v>
      </c>
      <c r="GJ155">
        <v>4</v>
      </c>
      <c r="GK155">
        <v>10</v>
      </c>
      <c r="GL155">
        <v>9</v>
      </c>
      <c r="GM155">
        <v>11</v>
      </c>
      <c r="GN155" t="s">
        <v>18665</v>
      </c>
      <c r="GP155">
        <v>23424884</v>
      </c>
      <c r="GR155" t="s">
        <v>1220</v>
      </c>
      <c r="GS155">
        <v>14.724500000000001</v>
      </c>
      <c r="GT155">
        <v>-61.064</v>
      </c>
      <c r="GU155" t="s">
        <v>13674</v>
      </c>
      <c r="GV155" t="s">
        <v>12075</v>
      </c>
      <c r="GW155">
        <v>7</v>
      </c>
      <c r="GX155" t="s">
        <v>58</v>
      </c>
      <c r="GY155" t="s">
        <v>1220</v>
      </c>
      <c r="GZ155" t="s">
        <v>18666</v>
      </c>
      <c r="HA155">
        <v>6690604</v>
      </c>
      <c r="HB155" t="s">
        <v>1220</v>
      </c>
      <c r="HC155">
        <v>-1554447</v>
      </c>
      <c r="HD155" t="s">
        <v>18667</v>
      </c>
      <c r="HE155">
        <v>2</v>
      </c>
      <c r="HG155" t="s">
        <v>18668</v>
      </c>
      <c r="HJ155">
        <v>1</v>
      </c>
      <c r="HK155" t="s">
        <v>18611</v>
      </c>
      <c r="HM155" t="s">
        <v>18669</v>
      </c>
      <c r="HN155">
        <v>8</v>
      </c>
      <c r="HO155">
        <v>11</v>
      </c>
      <c r="HP155">
        <v>8</v>
      </c>
      <c r="HQ155" t="s">
        <v>18670</v>
      </c>
      <c r="HR155" t="s">
        <v>18671</v>
      </c>
      <c r="HS155" t="s">
        <v>18672</v>
      </c>
      <c r="HT155" t="s">
        <v>1220</v>
      </c>
      <c r="HU155" t="s">
        <v>1220</v>
      </c>
      <c r="HV155" t="s">
        <v>18673</v>
      </c>
      <c r="HW155" t="s">
        <v>1220</v>
      </c>
      <c r="HX155" t="s">
        <v>18674</v>
      </c>
      <c r="HY155" t="s">
        <v>18675</v>
      </c>
      <c r="HZ155" t="s">
        <v>1220</v>
      </c>
      <c r="IA155" t="s">
        <v>18676</v>
      </c>
      <c r="IB155" t="s">
        <v>18673</v>
      </c>
      <c r="IC155" t="s">
        <v>18677</v>
      </c>
      <c r="ID155" t="s">
        <v>18678</v>
      </c>
      <c r="IE155" t="s">
        <v>1220</v>
      </c>
      <c r="IF155" t="s">
        <v>18679</v>
      </c>
      <c r="IG155" t="s">
        <v>18673</v>
      </c>
      <c r="IH155" t="s">
        <v>18680</v>
      </c>
      <c r="II155" t="s">
        <v>1220</v>
      </c>
      <c r="IJ155" t="s">
        <v>18676</v>
      </c>
      <c r="IK155" t="s">
        <v>1220</v>
      </c>
      <c r="IL155" t="s">
        <v>18681</v>
      </c>
      <c r="IM155">
        <v>1159311599</v>
      </c>
      <c r="IN155" t="s">
        <v>18682</v>
      </c>
      <c r="IO155" t="s">
        <v>18683</v>
      </c>
      <c r="IP155" t="s">
        <v>18684</v>
      </c>
      <c r="IQ155" t="s">
        <v>18685</v>
      </c>
      <c r="IR155" t="s">
        <v>18686</v>
      </c>
      <c r="IS155" t="s">
        <v>18687</v>
      </c>
    </row>
    <row r="156" spans="1:253" x14ac:dyDescent="0.25">
      <c r="A156" t="s">
        <v>110</v>
      </c>
      <c r="B156" t="s">
        <v>12247</v>
      </c>
      <c r="C156">
        <v>0</v>
      </c>
      <c r="D156">
        <v>3</v>
      </c>
      <c r="E156" t="s">
        <v>110</v>
      </c>
      <c r="F156" t="s">
        <v>15467</v>
      </c>
      <c r="G156">
        <v>0</v>
      </c>
      <c r="H156">
        <v>2</v>
      </c>
      <c r="I156" t="s">
        <v>12249</v>
      </c>
      <c r="J156">
        <v>1</v>
      </c>
      <c r="K156" t="s">
        <v>110</v>
      </c>
      <c r="L156" t="s">
        <v>15467</v>
      </c>
      <c r="M156">
        <v>0</v>
      </c>
      <c r="N156" t="s">
        <v>110</v>
      </c>
      <c r="O156" t="s">
        <v>15467</v>
      </c>
      <c r="P156">
        <v>0</v>
      </c>
      <c r="Q156" t="s">
        <v>110</v>
      </c>
      <c r="R156" t="s">
        <v>15467</v>
      </c>
      <c r="S156">
        <v>0</v>
      </c>
      <c r="T156" t="s">
        <v>110</v>
      </c>
      <c r="U156" t="s">
        <v>15467</v>
      </c>
      <c r="V156" t="s">
        <v>110</v>
      </c>
      <c r="X156" t="s">
        <v>15468</v>
      </c>
      <c r="Y156" t="s">
        <v>1701</v>
      </c>
      <c r="Z156" t="s">
        <v>15469</v>
      </c>
      <c r="AB156" t="s">
        <v>110</v>
      </c>
      <c r="AE156" t="s">
        <v>110</v>
      </c>
      <c r="AG156">
        <v>3</v>
      </c>
      <c r="AH156">
        <v>3</v>
      </c>
      <c r="AI156">
        <v>2</v>
      </c>
      <c r="AJ156">
        <v>1</v>
      </c>
      <c r="AK156">
        <v>4525696</v>
      </c>
      <c r="AL156">
        <v>12</v>
      </c>
      <c r="AM156">
        <v>2019</v>
      </c>
      <c r="AN156">
        <v>7600</v>
      </c>
      <c r="AO156">
        <v>2019</v>
      </c>
      <c r="AP156" t="s">
        <v>12252</v>
      </c>
      <c r="AQ156" t="s">
        <v>12253</v>
      </c>
      <c r="AR156" t="s">
        <v>1701</v>
      </c>
      <c r="AS156" t="s">
        <v>1701</v>
      </c>
      <c r="AT156" t="s">
        <v>1701</v>
      </c>
      <c r="AU156" t="s">
        <v>15467</v>
      </c>
      <c r="AV156" t="s">
        <v>15467</v>
      </c>
      <c r="AW156">
        <v>478</v>
      </c>
      <c r="AX156">
        <v>478</v>
      </c>
      <c r="AY156">
        <v>478</v>
      </c>
      <c r="AZ156" t="s">
        <v>1701</v>
      </c>
      <c r="BA156" t="s">
        <v>15467</v>
      </c>
      <c r="BB156">
        <v>23424896</v>
      </c>
      <c r="BC156">
        <v>23424896</v>
      </c>
      <c r="BD156" t="s">
        <v>12254</v>
      </c>
      <c r="BE156" t="s">
        <v>15467</v>
      </c>
      <c r="BG156" t="s">
        <v>15467</v>
      </c>
      <c r="BH156" t="s">
        <v>15467</v>
      </c>
      <c r="BI156" t="s">
        <v>15467</v>
      </c>
      <c r="BJ156" t="s">
        <v>15467</v>
      </c>
      <c r="BK156" t="s">
        <v>15467</v>
      </c>
      <c r="BL156" t="s">
        <v>15467</v>
      </c>
      <c r="BM156" t="s">
        <v>15467</v>
      </c>
      <c r="BN156" t="s">
        <v>15467</v>
      </c>
      <c r="BO156" t="s">
        <v>15467</v>
      </c>
      <c r="BP156" t="s">
        <v>15467</v>
      </c>
      <c r="BQ156" t="s">
        <v>15467</v>
      </c>
      <c r="BR156" t="s">
        <v>15467</v>
      </c>
      <c r="BS156" t="s">
        <v>15467</v>
      </c>
      <c r="BT156" t="s">
        <v>15467</v>
      </c>
      <c r="BU156" t="s">
        <v>15467</v>
      </c>
      <c r="BV156" t="s">
        <v>15467</v>
      </c>
      <c r="BW156" t="s">
        <v>15467</v>
      </c>
      <c r="BX156" t="s">
        <v>15467</v>
      </c>
      <c r="BY156" t="s">
        <v>15467</v>
      </c>
      <c r="BZ156" t="s">
        <v>15467</v>
      </c>
      <c r="CA156" t="s">
        <v>15467</v>
      </c>
      <c r="CB156" t="s">
        <v>15467</v>
      </c>
      <c r="CC156" t="s">
        <v>15467</v>
      </c>
      <c r="CD156" t="s">
        <v>15467</v>
      </c>
      <c r="CE156" t="s">
        <v>15467</v>
      </c>
      <c r="CF156" t="s">
        <v>15467</v>
      </c>
      <c r="CG156" t="s">
        <v>15467</v>
      </c>
      <c r="CH156" t="s">
        <v>15467</v>
      </c>
      <c r="CI156" t="s">
        <v>15467</v>
      </c>
      <c r="CJ156" t="s">
        <v>15467</v>
      </c>
      <c r="CK156" t="s">
        <v>15467</v>
      </c>
      <c r="CL156" t="s">
        <v>15467</v>
      </c>
      <c r="CM156">
        <v>-99</v>
      </c>
      <c r="CN156">
        <v>-99</v>
      </c>
      <c r="CO156" t="s">
        <v>12306</v>
      </c>
      <c r="CP156" t="s">
        <v>12306</v>
      </c>
      <c r="CQ156" t="s">
        <v>12847</v>
      </c>
      <c r="CR156" t="s">
        <v>12357</v>
      </c>
      <c r="CS156">
        <v>10</v>
      </c>
      <c r="CT156">
        <v>10</v>
      </c>
      <c r="CU156">
        <v>4</v>
      </c>
      <c r="CV156">
        <v>-99</v>
      </c>
      <c r="CW156">
        <v>1</v>
      </c>
      <c r="CX156">
        <v>0</v>
      </c>
      <c r="CY156">
        <v>3</v>
      </c>
      <c r="CZ156">
        <v>8</v>
      </c>
      <c r="DA156">
        <v>-9.7402990000000003</v>
      </c>
      <c r="DB156">
        <v>19.587062</v>
      </c>
      <c r="DC156">
        <v>1159321075</v>
      </c>
      <c r="DD156" t="s">
        <v>15470</v>
      </c>
      <c r="DE156" t="s">
        <v>15471</v>
      </c>
      <c r="DF156" t="s">
        <v>15472</v>
      </c>
      <c r="DG156" t="s">
        <v>15473</v>
      </c>
      <c r="DH156" t="s">
        <v>110</v>
      </c>
      <c r="DI156" t="s">
        <v>110</v>
      </c>
      <c r="DJ156" t="s">
        <v>15474</v>
      </c>
      <c r="DK156" t="s">
        <v>15475</v>
      </c>
      <c r="DL156" t="s">
        <v>15476</v>
      </c>
      <c r="DM156" t="s">
        <v>15477</v>
      </c>
      <c r="DN156" t="s">
        <v>15478</v>
      </c>
      <c r="DO156" t="s">
        <v>15479</v>
      </c>
      <c r="DP156" t="s">
        <v>110</v>
      </c>
      <c r="DQ156" t="s">
        <v>110</v>
      </c>
      <c r="DR156" t="s">
        <v>15480</v>
      </c>
      <c r="DS156" t="s">
        <v>15481</v>
      </c>
      <c r="DT156" t="s">
        <v>15482</v>
      </c>
      <c r="DU156" t="s">
        <v>15483</v>
      </c>
      <c r="DV156" t="s">
        <v>15484</v>
      </c>
      <c r="DW156" t="s">
        <v>15485</v>
      </c>
      <c r="DX156" t="s">
        <v>15473</v>
      </c>
      <c r="DY156" t="s">
        <v>15486</v>
      </c>
      <c r="DZ156" t="s">
        <v>15487</v>
      </c>
      <c r="EA156" t="s">
        <v>15488</v>
      </c>
      <c r="EB156" t="s">
        <v>15475</v>
      </c>
      <c r="EC156" t="s">
        <v>15489</v>
      </c>
      <c r="ED156" t="s">
        <v>15490</v>
      </c>
      <c r="EE156" t="s">
        <v>12247</v>
      </c>
      <c r="EG156" t="s">
        <v>12247</v>
      </c>
    </row>
    <row r="157" spans="1:253" x14ac:dyDescent="0.25">
      <c r="A157" t="s">
        <v>111</v>
      </c>
      <c r="B157" t="s">
        <v>12247</v>
      </c>
      <c r="C157">
        <v>3</v>
      </c>
      <c r="D157">
        <v>5</v>
      </c>
      <c r="E157" t="s">
        <v>111</v>
      </c>
      <c r="F157" t="s">
        <v>15491</v>
      </c>
      <c r="G157">
        <v>0</v>
      </c>
      <c r="H157">
        <v>2</v>
      </c>
      <c r="I157" t="s">
        <v>12249</v>
      </c>
      <c r="J157">
        <v>1</v>
      </c>
      <c r="K157" t="s">
        <v>111</v>
      </c>
      <c r="L157" t="s">
        <v>15491</v>
      </c>
      <c r="M157">
        <v>0</v>
      </c>
      <c r="N157" t="s">
        <v>111</v>
      </c>
      <c r="O157" t="s">
        <v>15491</v>
      </c>
      <c r="P157">
        <v>0</v>
      </c>
      <c r="Q157" t="s">
        <v>111</v>
      </c>
      <c r="R157" t="s">
        <v>15491</v>
      </c>
      <c r="S157">
        <v>0</v>
      </c>
      <c r="T157" t="s">
        <v>111</v>
      </c>
      <c r="U157" t="s">
        <v>15491</v>
      </c>
      <c r="V157" t="s">
        <v>111</v>
      </c>
      <c r="X157" t="s">
        <v>15492</v>
      </c>
      <c r="Y157" t="s">
        <v>1711</v>
      </c>
      <c r="Z157" t="s">
        <v>15493</v>
      </c>
      <c r="AB157" t="s">
        <v>111</v>
      </c>
      <c r="AE157" t="s">
        <v>111</v>
      </c>
      <c r="AG157">
        <v>1</v>
      </c>
      <c r="AH157">
        <v>3</v>
      </c>
      <c r="AI157">
        <v>5</v>
      </c>
      <c r="AJ157">
        <v>7</v>
      </c>
      <c r="AK157">
        <v>1265711</v>
      </c>
      <c r="AL157">
        <v>12</v>
      </c>
      <c r="AM157">
        <v>2019</v>
      </c>
      <c r="AN157">
        <v>14048</v>
      </c>
      <c r="AO157">
        <v>2019</v>
      </c>
      <c r="AP157" t="s">
        <v>12277</v>
      </c>
      <c r="AQ157" t="s">
        <v>12305</v>
      </c>
      <c r="AR157" t="s">
        <v>1695</v>
      </c>
      <c r="AS157" t="s">
        <v>1711</v>
      </c>
      <c r="AT157" t="s">
        <v>1711</v>
      </c>
      <c r="AU157" t="s">
        <v>15491</v>
      </c>
      <c r="AV157" t="s">
        <v>15491</v>
      </c>
      <c r="AW157">
        <v>480</v>
      </c>
      <c r="AX157">
        <v>480</v>
      </c>
      <c r="AY157">
        <v>480</v>
      </c>
      <c r="AZ157" t="s">
        <v>1711</v>
      </c>
      <c r="BA157" t="s">
        <v>15491</v>
      </c>
      <c r="BB157">
        <v>23424894</v>
      </c>
      <c r="BC157">
        <v>23424894</v>
      </c>
      <c r="BD157" t="s">
        <v>12254</v>
      </c>
      <c r="BE157" t="s">
        <v>15491</v>
      </c>
      <c r="BG157" t="s">
        <v>15491</v>
      </c>
      <c r="BH157" t="s">
        <v>15491</v>
      </c>
      <c r="BI157" t="s">
        <v>15491</v>
      </c>
      <c r="BJ157" t="s">
        <v>15491</v>
      </c>
      <c r="BK157" t="s">
        <v>15491</v>
      </c>
      <c r="BL157" t="s">
        <v>15491</v>
      </c>
      <c r="BM157" t="s">
        <v>15491</v>
      </c>
      <c r="BN157" t="s">
        <v>15491</v>
      </c>
      <c r="BO157" t="s">
        <v>15491</v>
      </c>
      <c r="BP157" t="s">
        <v>15491</v>
      </c>
      <c r="BQ157" t="s">
        <v>15491</v>
      </c>
      <c r="BR157" t="s">
        <v>15491</v>
      </c>
      <c r="BS157" t="s">
        <v>15491</v>
      </c>
      <c r="BT157" t="s">
        <v>15491</v>
      </c>
      <c r="BU157" t="s">
        <v>15491</v>
      </c>
      <c r="BV157" t="s">
        <v>15491</v>
      </c>
      <c r="BW157" t="s">
        <v>15491</v>
      </c>
      <c r="BX157" t="s">
        <v>15491</v>
      </c>
      <c r="BY157" t="s">
        <v>15491</v>
      </c>
      <c r="BZ157" t="s">
        <v>15491</v>
      </c>
      <c r="CA157" t="s">
        <v>15491</v>
      </c>
      <c r="CB157" t="s">
        <v>15491</v>
      </c>
      <c r="CC157" t="s">
        <v>15491</v>
      </c>
      <c r="CD157" t="s">
        <v>15491</v>
      </c>
      <c r="CE157" t="s">
        <v>15491</v>
      </c>
      <c r="CF157" t="s">
        <v>15491</v>
      </c>
      <c r="CG157" t="s">
        <v>15491</v>
      </c>
      <c r="CH157" t="s">
        <v>15491</v>
      </c>
      <c r="CI157" t="s">
        <v>15491</v>
      </c>
      <c r="CJ157" t="s">
        <v>15491</v>
      </c>
      <c r="CK157" t="s">
        <v>15491</v>
      </c>
      <c r="CL157" t="s">
        <v>15491</v>
      </c>
      <c r="CM157">
        <v>-99</v>
      </c>
      <c r="CN157">
        <v>-99</v>
      </c>
      <c r="CO157" t="s">
        <v>13437</v>
      </c>
      <c r="CP157" t="s">
        <v>12306</v>
      </c>
      <c r="CQ157" t="s">
        <v>13085</v>
      </c>
      <c r="CR157" t="s">
        <v>12357</v>
      </c>
      <c r="CS157">
        <v>9</v>
      </c>
      <c r="CT157">
        <v>9</v>
      </c>
      <c r="CU157">
        <v>4</v>
      </c>
      <c r="CV157">
        <v>2</v>
      </c>
      <c r="CW157">
        <v>1</v>
      </c>
      <c r="CX157">
        <v>0</v>
      </c>
      <c r="CY157">
        <v>4</v>
      </c>
      <c r="CZ157">
        <v>9</v>
      </c>
      <c r="DA157">
        <v>57.565848000000003</v>
      </c>
      <c r="DB157">
        <v>-20.299506000000001</v>
      </c>
      <c r="DC157">
        <v>1159321079</v>
      </c>
      <c r="DD157" t="s">
        <v>15494</v>
      </c>
      <c r="DE157" t="s">
        <v>15495</v>
      </c>
      <c r="DF157" t="s">
        <v>15496</v>
      </c>
      <c r="DG157" t="s">
        <v>111</v>
      </c>
      <c r="DH157" t="s">
        <v>111</v>
      </c>
      <c r="DI157" t="s">
        <v>15497</v>
      </c>
      <c r="DJ157" t="s">
        <v>15498</v>
      </c>
      <c r="DK157" t="s">
        <v>15499</v>
      </c>
      <c r="DL157" t="s">
        <v>15500</v>
      </c>
      <c r="DM157" t="s">
        <v>15501</v>
      </c>
      <c r="DN157" t="s">
        <v>15502</v>
      </c>
      <c r="DO157" t="s">
        <v>111</v>
      </c>
      <c r="DP157" t="s">
        <v>111</v>
      </c>
      <c r="DQ157" t="s">
        <v>111</v>
      </c>
      <c r="DR157" t="s">
        <v>15503</v>
      </c>
      <c r="DS157" t="s">
        <v>15504</v>
      </c>
      <c r="DT157" t="s">
        <v>111</v>
      </c>
      <c r="DU157" t="s">
        <v>111</v>
      </c>
      <c r="DV157" t="s">
        <v>15505</v>
      </c>
      <c r="DW157" t="s">
        <v>15506</v>
      </c>
      <c r="DX157" t="s">
        <v>111</v>
      </c>
      <c r="DY157" t="s">
        <v>111</v>
      </c>
      <c r="DZ157" t="s">
        <v>15507</v>
      </c>
      <c r="EA157" t="s">
        <v>15508</v>
      </c>
      <c r="EB157" t="s">
        <v>111</v>
      </c>
      <c r="EC157" t="s">
        <v>15509</v>
      </c>
      <c r="ED157" t="s">
        <v>15510</v>
      </c>
      <c r="EE157" t="s">
        <v>12247</v>
      </c>
      <c r="EG157" t="s">
        <v>12247</v>
      </c>
    </row>
    <row r="158" spans="1:253" x14ac:dyDescent="0.25">
      <c r="A158" t="s">
        <v>1221</v>
      </c>
      <c r="B158" t="s">
        <v>17202</v>
      </c>
      <c r="C158">
        <v>9</v>
      </c>
      <c r="L158" t="s">
        <v>12076</v>
      </c>
      <c r="FN158" t="s">
        <v>18715</v>
      </c>
      <c r="FO158">
        <v>4602</v>
      </c>
      <c r="FQ158" t="s">
        <v>1471</v>
      </c>
      <c r="FR158">
        <v>4</v>
      </c>
      <c r="FU158" t="s">
        <v>18603</v>
      </c>
      <c r="FV158" t="s">
        <v>18604</v>
      </c>
      <c r="FX158" t="s">
        <v>18716</v>
      </c>
      <c r="GA158" t="s">
        <v>1221</v>
      </c>
      <c r="GB158">
        <v>0</v>
      </c>
      <c r="GC158">
        <v>0</v>
      </c>
      <c r="GD158">
        <v>20</v>
      </c>
      <c r="GE158">
        <v>9</v>
      </c>
      <c r="GH158">
        <v>0</v>
      </c>
      <c r="GI158">
        <v>-99</v>
      </c>
      <c r="GJ158">
        <v>20</v>
      </c>
      <c r="GK158">
        <v>7</v>
      </c>
      <c r="GL158">
        <v>9</v>
      </c>
      <c r="GM158">
        <v>11</v>
      </c>
      <c r="GP158">
        <v>23424886</v>
      </c>
      <c r="GR158" t="s">
        <v>1221</v>
      </c>
      <c r="GS158">
        <v>-12.7767</v>
      </c>
      <c r="GT158">
        <v>45.276899999999998</v>
      </c>
      <c r="GU158" t="s">
        <v>13674</v>
      </c>
      <c r="GV158" t="s">
        <v>12076</v>
      </c>
      <c r="GW158">
        <v>5</v>
      </c>
      <c r="GX158" t="s">
        <v>58</v>
      </c>
      <c r="GY158" t="s">
        <v>1221</v>
      </c>
      <c r="GZ158" t="s">
        <v>18717</v>
      </c>
      <c r="HA158">
        <v>1024031</v>
      </c>
      <c r="HC158">
        <v>-1187193</v>
      </c>
      <c r="HD158" t="s">
        <v>18718</v>
      </c>
      <c r="HE158">
        <v>0</v>
      </c>
      <c r="HG158" t="s">
        <v>18719</v>
      </c>
      <c r="HJ158">
        <v>1</v>
      </c>
      <c r="HK158" t="s">
        <v>18611</v>
      </c>
      <c r="HM158" t="s">
        <v>18720</v>
      </c>
      <c r="HN158">
        <v>8</v>
      </c>
      <c r="HO158">
        <v>11</v>
      </c>
      <c r="HP158">
        <v>8</v>
      </c>
      <c r="HQ158" t="s">
        <v>18721</v>
      </c>
      <c r="HR158" t="s">
        <v>18722</v>
      </c>
      <c r="HS158" t="s">
        <v>18723</v>
      </c>
      <c r="HT158" t="s">
        <v>1221</v>
      </c>
      <c r="HU158" t="s">
        <v>1221</v>
      </c>
      <c r="HV158" t="s">
        <v>1221</v>
      </c>
      <c r="HW158" t="s">
        <v>1221</v>
      </c>
      <c r="HX158" t="s">
        <v>18724</v>
      </c>
      <c r="HY158" t="s">
        <v>18725</v>
      </c>
      <c r="HZ158" t="s">
        <v>1221</v>
      </c>
      <c r="IA158" t="s">
        <v>1221</v>
      </c>
      <c r="IB158" t="s">
        <v>1221</v>
      </c>
      <c r="IC158" t="s">
        <v>18726</v>
      </c>
      <c r="ID158" t="s">
        <v>18727</v>
      </c>
      <c r="IE158" t="s">
        <v>1221</v>
      </c>
      <c r="IF158" t="s">
        <v>18728</v>
      </c>
      <c r="IG158" t="s">
        <v>1221</v>
      </c>
      <c r="IH158" t="s">
        <v>18729</v>
      </c>
      <c r="II158" t="s">
        <v>1221</v>
      </c>
      <c r="IJ158" t="s">
        <v>1221</v>
      </c>
      <c r="IK158" t="s">
        <v>1221</v>
      </c>
      <c r="IL158" t="s">
        <v>18730</v>
      </c>
      <c r="IM158">
        <v>1159315621</v>
      </c>
      <c r="IN158" t="s">
        <v>18731</v>
      </c>
      <c r="IO158" t="s">
        <v>18729</v>
      </c>
      <c r="IP158" t="s">
        <v>18732</v>
      </c>
      <c r="IQ158" t="s">
        <v>18733</v>
      </c>
      <c r="IR158" t="s">
        <v>18730</v>
      </c>
      <c r="IS158" t="s">
        <v>18734</v>
      </c>
    </row>
    <row r="159" spans="1:253" x14ac:dyDescent="0.25">
      <c r="A159" t="s">
        <v>4547</v>
      </c>
      <c r="B159" t="s">
        <v>17202</v>
      </c>
      <c r="C159">
        <v>3</v>
      </c>
      <c r="L159" t="s">
        <v>4546</v>
      </c>
      <c r="FN159" t="s">
        <v>18551</v>
      </c>
      <c r="FO159">
        <v>5835</v>
      </c>
      <c r="FQ159" t="s">
        <v>1448</v>
      </c>
      <c r="FR159">
        <v>5</v>
      </c>
      <c r="FU159" t="s">
        <v>18509</v>
      </c>
      <c r="FV159" t="s">
        <v>18510</v>
      </c>
      <c r="FX159" t="s">
        <v>18552</v>
      </c>
      <c r="GA159" t="s">
        <v>4547</v>
      </c>
      <c r="GB159">
        <v>21</v>
      </c>
      <c r="GC159">
        <v>1</v>
      </c>
      <c r="GD159">
        <v>20</v>
      </c>
      <c r="GE159">
        <v>3</v>
      </c>
      <c r="GG159" t="s">
        <v>1442</v>
      </c>
      <c r="GH159">
        <v>0</v>
      </c>
      <c r="GI159">
        <v>9</v>
      </c>
      <c r="GJ159">
        <v>9</v>
      </c>
      <c r="GK159">
        <v>7</v>
      </c>
      <c r="GL159">
        <v>5</v>
      </c>
      <c r="GM159">
        <v>5</v>
      </c>
      <c r="GN159" t="s">
        <v>18512</v>
      </c>
      <c r="GO159" t="s">
        <v>18513</v>
      </c>
      <c r="GP159">
        <v>55862984</v>
      </c>
      <c r="GQ159" t="s">
        <v>18553</v>
      </c>
      <c r="GR159" t="s">
        <v>4547</v>
      </c>
      <c r="GS159">
        <v>35.293399999999998</v>
      </c>
      <c r="GT159">
        <v>-2.94015</v>
      </c>
      <c r="GU159" t="s">
        <v>16983</v>
      </c>
      <c r="GV159" t="s">
        <v>4546</v>
      </c>
      <c r="GW159">
        <v>5</v>
      </c>
      <c r="GX159" t="s">
        <v>161</v>
      </c>
      <c r="HA159">
        <v>8335120</v>
      </c>
      <c r="HB159" t="s">
        <v>4547</v>
      </c>
      <c r="HC159">
        <v>-99</v>
      </c>
      <c r="HE159">
        <v>2</v>
      </c>
      <c r="HG159" t="s">
        <v>18554</v>
      </c>
      <c r="HJ159">
        <v>1</v>
      </c>
      <c r="HN159">
        <v>7.7</v>
      </c>
      <c r="HO159">
        <v>11</v>
      </c>
      <c r="HP159">
        <v>7.7</v>
      </c>
      <c r="HQ159" t="s">
        <v>18555</v>
      </c>
      <c r="HR159" t="s">
        <v>18556</v>
      </c>
      <c r="HS159" t="s">
        <v>18557</v>
      </c>
      <c r="HT159" t="s">
        <v>4547</v>
      </c>
      <c r="HU159" t="s">
        <v>4547</v>
      </c>
      <c r="HV159" t="s">
        <v>4547</v>
      </c>
      <c r="HW159" t="s">
        <v>4547</v>
      </c>
      <c r="HX159" t="s">
        <v>18558</v>
      </c>
      <c r="HY159" t="s">
        <v>18559</v>
      </c>
      <c r="HZ159" t="s">
        <v>4547</v>
      </c>
      <c r="IA159" t="s">
        <v>4547</v>
      </c>
      <c r="IB159" t="s">
        <v>4547</v>
      </c>
      <c r="IC159" t="s">
        <v>18560</v>
      </c>
      <c r="ID159" t="s">
        <v>18561</v>
      </c>
      <c r="IE159" t="s">
        <v>4547</v>
      </c>
      <c r="IF159" t="s">
        <v>4547</v>
      </c>
      <c r="IG159" t="s">
        <v>4547</v>
      </c>
      <c r="IH159" t="s">
        <v>18562</v>
      </c>
      <c r="II159" t="s">
        <v>4547</v>
      </c>
      <c r="IJ159" t="s">
        <v>4547</v>
      </c>
      <c r="IK159" t="s">
        <v>4547</v>
      </c>
      <c r="IL159" t="s">
        <v>18563</v>
      </c>
      <c r="IM159">
        <v>1159310505</v>
      </c>
      <c r="IN159" t="s">
        <v>18564</v>
      </c>
      <c r="IO159" t="s">
        <v>18565</v>
      </c>
      <c r="IP159" t="s">
        <v>18566</v>
      </c>
      <c r="IQ159" t="s">
        <v>18567</v>
      </c>
      <c r="IR159" t="s">
        <v>18568</v>
      </c>
      <c r="IS159" t="s">
        <v>18511</v>
      </c>
    </row>
    <row r="160" spans="1:253" x14ac:dyDescent="0.25">
      <c r="A160" t="s">
        <v>112</v>
      </c>
      <c r="B160" t="s">
        <v>12247</v>
      </c>
      <c r="C160">
        <v>0</v>
      </c>
      <c r="D160">
        <v>2</v>
      </c>
      <c r="E160" t="s">
        <v>112</v>
      </c>
      <c r="F160" t="s">
        <v>15511</v>
      </c>
      <c r="G160">
        <v>0</v>
      </c>
      <c r="H160">
        <v>2</v>
      </c>
      <c r="I160" t="s">
        <v>12249</v>
      </c>
      <c r="J160">
        <v>1</v>
      </c>
      <c r="K160" t="s">
        <v>112</v>
      </c>
      <c r="L160" t="s">
        <v>15511</v>
      </c>
      <c r="M160">
        <v>0</v>
      </c>
      <c r="N160" t="s">
        <v>112</v>
      </c>
      <c r="O160" t="s">
        <v>15511</v>
      </c>
      <c r="P160">
        <v>0</v>
      </c>
      <c r="Q160" t="s">
        <v>112</v>
      </c>
      <c r="R160" t="s">
        <v>15511</v>
      </c>
      <c r="S160">
        <v>0</v>
      </c>
      <c r="T160" t="s">
        <v>112</v>
      </c>
      <c r="U160" t="s">
        <v>15511</v>
      </c>
      <c r="V160" t="s">
        <v>112</v>
      </c>
      <c r="X160" t="s">
        <v>15512</v>
      </c>
      <c r="Y160" t="s">
        <v>1721</v>
      </c>
      <c r="Z160" t="s">
        <v>15513</v>
      </c>
      <c r="AB160" t="s">
        <v>112</v>
      </c>
      <c r="AE160" t="s">
        <v>112</v>
      </c>
      <c r="AG160">
        <v>6</v>
      </c>
      <c r="AH160">
        <v>1</v>
      </c>
      <c r="AI160">
        <v>7</v>
      </c>
      <c r="AJ160">
        <v>3</v>
      </c>
      <c r="AK160">
        <v>127575529</v>
      </c>
      <c r="AL160">
        <v>17</v>
      </c>
      <c r="AM160">
        <v>2019</v>
      </c>
      <c r="AN160">
        <v>1268870</v>
      </c>
      <c r="AO160">
        <v>2019</v>
      </c>
      <c r="AP160" t="s">
        <v>14693</v>
      </c>
      <c r="AQ160" t="s">
        <v>12305</v>
      </c>
      <c r="AR160" t="s">
        <v>1721</v>
      </c>
      <c r="AS160" t="s">
        <v>1721</v>
      </c>
      <c r="AT160" t="s">
        <v>1721</v>
      </c>
      <c r="AU160" t="s">
        <v>15511</v>
      </c>
      <c r="AV160" t="s">
        <v>15511</v>
      </c>
      <c r="AW160">
        <v>484</v>
      </c>
      <c r="AX160">
        <v>484</v>
      </c>
      <c r="AY160">
        <v>484</v>
      </c>
      <c r="AZ160" t="s">
        <v>1721</v>
      </c>
      <c r="BA160" t="s">
        <v>15511</v>
      </c>
      <c r="BB160">
        <v>23424900</v>
      </c>
      <c r="BC160">
        <v>23424900</v>
      </c>
      <c r="BD160" t="s">
        <v>12254</v>
      </c>
      <c r="BE160" t="s">
        <v>15511</v>
      </c>
      <c r="BG160" t="s">
        <v>15511</v>
      </c>
      <c r="BH160" t="s">
        <v>15511</v>
      </c>
      <c r="BI160" t="s">
        <v>15511</v>
      </c>
      <c r="BJ160" t="s">
        <v>15511</v>
      </c>
      <c r="BK160" t="s">
        <v>15511</v>
      </c>
      <c r="BL160" t="s">
        <v>15511</v>
      </c>
      <c r="BM160" t="s">
        <v>15511</v>
      </c>
      <c r="BN160" t="s">
        <v>15511</v>
      </c>
      <c r="BO160" t="s">
        <v>15511</v>
      </c>
      <c r="BP160" t="s">
        <v>15511</v>
      </c>
      <c r="BQ160" t="s">
        <v>15511</v>
      </c>
      <c r="BR160" t="s">
        <v>15511</v>
      </c>
      <c r="BS160" t="s">
        <v>15511</v>
      </c>
      <c r="BT160" t="s">
        <v>15511</v>
      </c>
      <c r="BU160" t="s">
        <v>15511</v>
      </c>
      <c r="BV160" t="s">
        <v>15511</v>
      </c>
      <c r="BW160" t="s">
        <v>15511</v>
      </c>
      <c r="BX160" t="s">
        <v>15511</v>
      </c>
      <c r="BY160" t="s">
        <v>15511</v>
      </c>
      <c r="BZ160" t="s">
        <v>15511</v>
      </c>
      <c r="CA160" t="s">
        <v>15511</v>
      </c>
      <c r="CB160" t="s">
        <v>15511</v>
      </c>
      <c r="CC160" t="s">
        <v>15511</v>
      </c>
      <c r="CD160" t="s">
        <v>15511</v>
      </c>
      <c r="CE160" t="s">
        <v>15511</v>
      </c>
      <c r="CF160" t="s">
        <v>15511</v>
      </c>
      <c r="CG160" t="s">
        <v>15511</v>
      </c>
      <c r="CH160" t="s">
        <v>15511</v>
      </c>
      <c r="CI160" t="s">
        <v>15511</v>
      </c>
      <c r="CJ160" t="s">
        <v>15511</v>
      </c>
      <c r="CK160" t="s">
        <v>15511</v>
      </c>
      <c r="CL160" t="s">
        <v>15511</v>
      </c>
      <c r="CM160">
        <v>-99</v>
      </c>
      <c r="CN160">
        <v>-99</v>
      </c>
      <c r="CO160" t="s">
        <v>12402</v>
      </c>
      <c r="CP160" t="s">
        <v>12403</v>
      </c>
      <c r="CQ160" t="s">
        <v>12829</v>
      </c>
      <c r="CR160" t="s">
        <v>12405</v>
      </c>
      <c r="CS160">
        <v>6</v>
      </c>
      <c r="CT160">
        <v>6</v>
      </c>
      <c r="CU160">
        <v>4</v>
      </c>
      <c r="CV160">
        <v>-99</v>
      </c>
      <c r="CW160">
        <v>1</v>
      </c>
      <c r="CX160">
        <v>0</v>
      </c>
      <c r="CY160">
        <v>2</v>
      </c>
      <c r="CZ160">
        <v>6.7</v>
      </c>
      <c r="DA160">
        <v>-102.28944799999999</v>
      </c>
      <c r="DB160">
        <v>23.919988</v>
      </c>
      <c r="DC160">
        <v>1159321055</v>
      </c>
      <c r="DD160" t="s">
        <v>15514</v>
      </c>
      <c r="DE160" t="s">
        <v>15515</v>
      </c>
      <c r="DF160" t="s">
        <v>15516</v>
      </c>
      <c r="DG160" t="s">
        <v>15517</v>
      </c>
      <c r="DH160" t="s">
        <v>112</v>
      </c>
      <c r="DI160" t="s">
        <v>15518</v>
      </c>
      <c r="DJ160" t="s">
        <v>15519</v>
      </c>
      <c r="DK160" t="s">
        <v>15520</v>
      </c>
      <c r="DL160" t="s">
        <v>15521</v>
      </c>
      <c r="DM160" t="s">
        <v>15522</v>
      </c>
      <c r="DN160" t="s">
        <v>15523</v>
      </c>
      <c r="DO160" t="s">
        <v>15524</v>
      </c>
      <c r="DP160" t="s">
        <v>15525</v>
      </c>
      <c r="DQ160" t="s">
        <v>15526</v>
      </c>
      <c r="DR160" t="s">
        <v>15527</v>
      </c>
      <c r="DS160" t="s">
        <v>15528</v>
      </c>
      <c r="DT160" t="s">
        <v>112</v>
      </c>
      <c r="DU160" t="s">
        <v>15529</v>
      </c>
      <c r="DV160" t="s">
        <v>15518</v>
      </c>
      <c r="DW160" t="s">
        <v>15530</v>
      </c>
      <c r="DX160" t="s">
        <v>15517</v>
      </c>
      <c r="DY160" t="s">
        <v>15531</v>
      </c>
      <c r="DZ160" t="s">
        <v>15530</v>
      </c>
      <c r="EA160" t="s">
        <v>15532</v>
      </c>
      <c r="EB160" t="s">
        <v>15518</v>
      </c>
      <c r="EC160" t="s">
        <v>15533</v>
      </c>
      <c r="ED160" t="s">
        <v>15533</v>
      </c>
      <c r="EE160" t="s">
        <v>12247</v>
      </c>
      <c r="EG160" t="s">
        <v>12247</v>
      </c>
    </row>
    <row r="161" spans="1:168" x14ac:dyDescent="0.25">
      <c r="A161" t="s">
        <v>114</v>
      </c>
      <c r="B161" t="s">
        <v>12247</v>
      </c>
      <c r="C161">
        <v>0</v>
      </c>
      <c r="D161">
        <v>6</v>
      </c>
      <c r="E161" t="s">
        <v>114</v>
      </c>
      <c r="F161" t="s">
        <v>15534</v>
      </c>
      <c r="G161">
        <v>0</v>
      </c>
      <c r="H161">
        <v>2</v>
      </c>
      <c r="I161" t="s">
        <v>12249</v>
      </c>
      <c r="J161">
        <v>1</v>
      </c>
      <c r="K161" t="s">
        <v>114</v>
      </c>
      <c r="L161" t="s">
        <v>15534</v>
      </c>
      <c r="M161">
        <v>0</v>
      </c>
      <c r="N161" t="s">
        <v>114</v>
      </c>
      <c r="O161" t="s">
        <v>15534</v>
      </c>
      <c r="P161">
        <v>0</v>
      </c>
      <c r="Q161" t="s">
        <v>114</v>
      </c>
      <c r="R161" t="s">
        <v>15534</v>
      </c>
      <c r="S161">
        <v>0</v>
      </c>
      <c r="T161" t="s">
        <v>114</v>
      </c>
      <c r="U161" t="s">
        <v>15534</v>
      </c>
      <c r="V161" t="s">
        <v>114</v>
      </c>
      <c r="X161" t="s">
        <v>15535</v>
      </c>
      <c r="Y161" t="s">
        <v>1663</v>
      </c>
      <c r="Z161" t="s">
        <v>15536</v>
      </c>
      <c r="AB161" t="s">
        <v>114</v>
      </c>
      <c r="AE161" t="s">
        <v>114</v>
      </c>
      <c r="AG161">
        <v>3</v>
      </c>
      <c r="AH161">
        <v>5</v>
      </c>
      <c r="AI161">
        <v>4</v>
      </c>
      <c r="AJ161">
        <v>12</v>
      </c>
      <c r="AK161">
        <v>2657637</v>
      </c>
      <c r="AL161">
        <v>12</v>
      </c>
      <c r="AM161">
        <v>2019</v>
      </c>
      <c r="AN161">
        <v>11968</v>
      </c>
      <c r="AO161">
        <v>2019</v>
      </c>
      <c r="AP161" t="s">
        <v>12277</v>
      </c>
      <c r="AQ161" t="s">
        <v>12278</v>
      </c>
      <c r="AR161" t="s">
        <v>1663</v>
      </c>
      <c r="AS161" t="s">
        <v>1663</v>
      </c>
      <c r="AT161" t="s">
        <v>1663</v>
      </c>
      <c r="AU161" t="s">
        <v>15534</v>
      </c>
      <c r="AV161" t="s">
        <v>15534</v>
      </c>
      <c r="AW161">
        <v>498</v>
      </c>
      <c r="AX161">
        <v>498</v>
      </c>
      <c r="AY161">
        <v>498</v>
      </c>
      <c r="AZ161" t="s">
        <v>1663</v>
      </c>
      <c r="BA161" t="s">
        <v>15534</v>
      </c>
      <c r="BB161">
        <v>23424885</v>
      </c>
      <c r="BC161">
        <v>23424885</v>
      </c>
      <c r="BD161" t="s">
        <v>12254</v>
      </c>
      <c r="BE161" t="s">
        <v>15534</v>
      </c>
      <c r="BG161" t="s">
        <v>15534</v>
      </c>
      <c r="BH161" t="s">
        <v>15534</v>
      </c>
      <c r="BI161" t="s">
        <v>15534</v>
      </c>
      <c r="BJ161" t="s">
        <v>15534</v>
      </c>
      <c r="BK161" t="s">
        <v>15534</v>
      </c>
      <c r="BL161" t="s">
        <v>15534</v>
      </c>
      <c r="BM161" t="s">
        <v>15534</v>
      </c>
      <c r="BN161" t="s">
        <v>15534</v>
      </c>
      <c r="BO161" t="s">
        <v>15534</v>
      </c>
      <c r="BP161" t="s">
        <v>15534</v>
      </c>
      <c r="BQ161" t="s">
        <v>15534</v>
      </c>
      <c r="BR161" t="s">
        <v>15534</v>
      </c>
      <c r="BS161" t="s">
        <v>15534</v>
      </c>
      <c r="BT161" t="s">
        <v>15534</v>
      </c>
      <c r="BU161" t="s">
        <v>15534</v>
      </c>
      <c r="BV161" t="s">
        <v>15534</v>
      </c>
      <c r="BW161" t="s">
        <v>15534</v>
      </c>
      <c r="BX161" t="s">
        <v>15534</v>
      </c>
      <c r="BY161" t="s">
        <v>15534</v>
      </c>
      <c r="BZ161" t="s">
        <v>15534</v>
      </c>
      <c r="CA161" t="s">
        <v>15534</v>
      </c>
      <c r="CB161" t="s">
        <v>15534</v>
      </c>
      <c r="CC161" t="s">
        <v>15534</v>
      </c>
      <c r="CD161" t="s">
        <v>15534</v>
      </c>
      <c r="CE161" t="s">
        <v>15534</v>
      </c>
      <c r="CF161" t="s">
        <v>15534</v>
      </c>
      <c r="CG161" t="s">
        <v>15534</v>
      </c>
      <c r="CH161" t="s">
        <v>15534</v>
      </c>
      <c r="CI161" t="s">
        <v>15534</v>
      </c>
      <c r="CJ161" t="s">
        <v>15534</v>
      </c>
      <c r="CK161" t="s">
        <v>15534</v>
      </c>
      <c r="CL161" t="s">
        <v>15534</v>
      </c>
      <c r="CM161">
        <v>-99</v>
      </c>
      <c r="CN161">
        <v>-99</v>
      </c>
      <c r="CO161" t="s">
        <v>12279</v>
      </c>
      <c r="CP161" t="s">
        <v>12279</v>
      </c>
      <c r="CQ161" t="s">
        <v>12779</v>
      </c>
      <c r="CR161" t="s">
        <v>12281</v>
      </c>
      <c r="CS161">
        <v>7</v>
      </c>
      <c r="CT161">
        <v>7</v>
      </c>
      <c r="CU161">
        <v>4</v>
      </c>
      <c r="CV161">
        <v>-99</v>
      </c>
      <c r="CW161">
        <v>1</v>
      </c>
      <c r="CX161">
        <v>0</v>
      </c>
      <c r="CY161">
        <v>5</v>
      </c>
      <c r="CZ161">
        <v>10</v>
      </c>
      <c r="DA161">
        <v>28.487904</v>
      </c>
      <c r="DB161">
        <v>47.434998999999998</v>
      </c>
      <c r="DC161">
        <v>1159321045</v>
      </c>
      <c r="DD161" t="s">
        <v>15537</v>
      </c>
      <c r="DE161" t="s">
        <v>15538</v>
      </c>
      <c r="DF161" t="s">
        <v>15539</v>
      </c>
      <c r="DG161" t="s">
        <v>15540</v>
      </c>
      <c r="DH161" t="s">
        <v>114</v>
      </c>
      <c r="DI161" t="s">
        <v>15541</v>
      </c>
      <c r="DJ161" t="s">
        <v>15542</v>
      </c>
      <c r="DK161" t="s">
        <v>15543</v>
      </c>
      <c r="DL161" t="s">
        <v>15544</v>
      </c>
      <c r="DM161" t="s">
        <v>15545</v>
      </c>
      <c r="DN161" t="s">
        <v>15546</v>
      </c>
      <c r="DO161" t="s">
        <v>114</v>
      </c>
      <c r="DP161" t="s">
        <v>114</v>
      </c>
      <c r="DQ161" t="s">
        <v>15541</v>
      </c>
      <c r="DR161" t="s">
        <v>15547</v>
      </c>
      <c r="DS161" t="s">
        <v>15548</v>
      </c>
      <c r="DT161" t="s">
        <v>15549</v>
      </c>
      <c r="DU161" t="s">
        <v>15550</v>
      </c>
      <c r="DV161" t="s">
        <v>15551</v>
      </c>
      <c r="DW161" t="s">
        <v>15552</v>
      </c>
      <c r="DX161" t="s">
        <v>15553</v>
      </c>
      <c r="DY161" t="s">
        <v>114</v>
      </c>
      <c r="DZ161" t="s">
        <v>15554</v>
      </c>
      <c r="EA161" t="s">
        <v>15555</v>
      </c>
      <c r="EB161" t="s">
        <v>114</v>
      </c>
      <c r="EC161" t="s">
        <v>15556</v>
      </c>
      <c r="ED161" t="s">
        <v>15557</v>
      </c>
      <c r="EE161" t="s">
        <v>12247</v>
      </c>
      <c r="EG161" t="s">
        <v>12247</v>
      </c>
    </row>
    <row r="162" spans="1:168" x14ac:dyDescent="0.25">
      <c r="A162" t="s">
        <v>115</v>
      </c>
      <c r="B162" t="s">
        <v>12247</v>
      </c>
      <c r="C162">
        <v>0</v>
      </c>
      <c r="D162">
        <v>6</v>
      </c>
      <c r="E162" t="s">
        <v>115</v>
      </c>
      <c r="F162" t="s">
        <v>15558</v>
      </c>
      <c r="G162">
        <v>0</v>
      </c>
      <c r="H162">
        <v>2</v>
      </c>
      <c r="I162" t="s">
        <v>12249</v>
      </c>
      <c r="J162">
        <v>1</v>
      </c>
      <c r="K162" t="s">
        <v>115</v>
      </c>
      <c r="L162" t="s">
        <v>15558</v>
      </c>
      <c r="M162">
        <v>0</v>
      </c>
      <c r="N162" t="s">
        <v>115</v>
      </c>
      <c r="O162" t="s">
        <v>15558</v>
      </c>
      <c r="P162">
        <v>0</v>
      </c>
      <c r="Q162" t="s">
        <v>115</v>
      </c>
      <c r="R162" t="s">
        <v>15558</v>
      </c>
      <c r="S162">
        <v>0</v>
      </c>
      <c r="T162" t="s">
        <v>115</v>
      </c>
      <c r="U162" t="s">
        <v>15558</v>
      </c>
      <c r="V162" t="s">
        <v>115</v>
      </c>
      <c r="X162" t="s">
        <v>15559</v>
      </c>
      <c r="Y162" t="s">
        <v>1660</v>
      </c>
      <c r="Z162" t="s">
        <v>15560</v>
      </c>
      <c r="AB162" t="s">
        <v>115</v>
      </c>
      <c r="AE162" t="s">
        <v>115</v>
      </c>
      <c r="AG162">
        <v>1</v>
      </c>
      <c r="AH162">
        <v>1</v>
      </c>
      <c r="AI162">
        <v>2</v>
      </c>
      <c r="AJ162">
        <v>12</v>
      </c>
      <c r="AK162">
        <v>38964</v>
      </c>
      <c r="AL162">
        <v>7</v>
      </c>
      <c r="AM162">
        <v>2019</v>
      </c>
      <c r="AN162">
        <v>7188</v>
      </c>
      <c r="AO162">
        <v>2018</v>
      </c>
      <c r="AP162" t="s">
        <v>12334</v>
      </c>
      <c r="AQ162" t="s">
        <v>12335</v>
      </c>
      <c r="AR162" t="s">
        <v>1689</v>
      </c>
      <c r="AS162" t="s">
        <v>1660</v>
      </c>
      <c r="AT162" t="s">
        <v>1660</v>
      </c>
      <c r="AU162" t="s">
        <v>15558</v>
      </c>
      <c r="AV162" t="s">
        <v>15558</v>
      </c>
      <c r="AW162">
        <v>492</v>
      </c>
      <c r="AX162">
        <v>492</v>
      </c>
      <c r="AY162">
        <v>492</v>
      </c>
      <c r="AZ162" t="s">
        <v>1660</v>
      </c>
      <c r="BA162" t="s">
        <v>15558</v>
      </c>
      <c r="BB162">
        <v>23424892</v>
      </c>
      <c r="BC162">
        <v>23424892</v>
      </c>
      <c r="BD162" t="s">
        <v>12254</v>
      </c>
      <c r="BE162" t="s">
        <v>15558</v>
      </c>
      <c r="BG162" t="s">
        <v>15558</v>
      </c>
      <c r="BH162" t="s">
        <v>15558</v>
      </c>
      <c r="BI162" t="s">
        <v>15558</v>
      </c>
      <c r="BJ162" t="s">
        <v>15558</v>
      </c>
      <c r="BK162" t="s">
        <v>15558</v>
      </c>
      <c r="BL162" t="s">
        <v>15558</v>
      </c>
      <c r="BM162" t="s">
        <v>15558</v>
      </c>
      <c r="BN162" t="s">
        <v>15558</v>
      </c>
      <c r="BO162" t="s">
        <v>15558</v>
      </c>
      <c r="BP162" t="s">
        <v>15558</v>
      </c>
      <c r="BQ162" t="s">
        <v>15558</v>
      </c>
      <c r="BR162" t="s">
        <v>15558</v>
      </c>
      <c r="BS162" t="s">
        <v>15558</v>
      </c>
      <c r="BT162" t="s">
        <v>15558</v>
      </c>
      <c r="BU162" t="s">
        <v>15558</v>
      </c>
      <c r="BV162" t="s">
        <v>15558</v>
      </c>
      <c r="BW162" t="s">
        <v>15558</v>
      </c>
      <c r="BX162" t="s">
        <v>15558</v>
      </c>
      <c r="BY162" t="s">
        <v>15558</v>
      </c>
      <c r="BZ162" t="s">
        <v>15558</v>
      </c>
      <c r="CA162" t="s">
        <v>15558</v>
      </c>
      <c r="CB162" t="s">
        <v>15558</v>
      </c>
      <c r="CC162" t="s">
        <v>15558</v>
      </c>
      <c r="CD162" t="s">
        <v>15558</v>
      </c>
      <c r="CE162" t="s">
        <v>15558</v>
      </c>
      <c r="CF162" t="s">
        <v>15558</v>
      </c>
      <c r="CG162" t="s">
        <v>15558</v>
      </c>
      <c r="CH162" t="s">
        <v>15558</v>
      </c>
      <c r="CI162" t="s">
        <v>15558</v>
      </c>
      <c r="CJ162" t="s">
        <v>15558</v>
      </c>
      <c r="CK162" t="s">
        <v>15558</v>
      </c>
      <c r="CL162" t="s">
        <v>15558</v>
      </c>
      <c r="CM162">
        <v>-99</v>
      </c>
      <c r="CN162">
        <v>-99</v>
      </c>
      <c r="CO162" t="s">
        <v>12279</v>
      </c>
      <c r="CP162" t="s">
        <v>12279</v>
      </c>
      <c r="CQ162" t="s">
        <v>12640</v>
      </c>
      <c r="CR162" t="s">
        <v>12281</v>
      </c>
      <c r="CS162">
        <v>6</v>
      </c>
      <c r="CT162">
        <v>6</v>
      </c>
      <c r="CU162">
        <v>4</v>
      </c>
      <c r="CV162">
        <v>5</v>
      </c>
      <c r="CW162">
        <v>1</v>
      </c>
      <c r="CX162">
        <v>0</v>
      </c>
      <c r="CY162">
        <v>5</v>
      </c>
      <c r="CZ162">
        <v>10</v>
      </c>
      <c r="DA162">
        <v>7.3982910000000004</v>
      </c>
      <c r="DB162">
        <v>43.739652</v>
      </c>
      <c r="DC162">
        <v>1159321043</v>
      </c>
      <c r="DD162" t="s">
        <v>15561</v>
      </c>
      <c r="DE162" t="s">
        <v>15562</v>
      </c>
      <c r="DF162" t="s">
        <v>15563</v>
      </c>
      <c r="DG162" t="s">
        <v>115</v>
      </c>
      <c r="DH162" t="s">
        <v>115</v>
      </c>
      <c r="DI162" t="s">
        <v>15564</v>
      </c>
      <c r="DJ162" t="s">
        <v>15565</v>
      </c>
      <c r="DK162" t="s">
        <v>115</v>
      </c>
      <c r="DL162" t="s">
        <v>15566</v>
      </c>
      <c r="DM162" t="s">
        <v>15567</v>
      </c>
      <c r="DN162" t="s">
        <v>15568</v>
      </c>
      <c r="DO162" t="s">
        <v>115</v>
      </c>
      <c r="DP162" t="s">
        <v>15569</v>
      </c>
      <c r="DQ162" t="s">
        <v>15570</v>
      </c>
      <c r="DR162" t="s">
        <v>15571</v>
      </c>
      <c r="DS162" t="s">
        <v>15572</v>
      </c>
      <c r="DT162" t="s">
        <v>115</v>
      </c>
      <c r="DU162" t="s">
        <v>15569</v>
      </c>
      <c r="DV162" t="s">
        <v>15564</v>
      </c>
      <c r="DW162" t="s">
        <v>15573</v>
      </c>
      <c r="DX162" t="s">
        <v>115</v>
      </c>
      <c r="DY162" t="s">
        <v>15569</v>
      </c>
      <c r="DZ162" t="s">
        <v>15573</v>
      </c>
      <c r="EA162" t="s">
        <v>15565</v>
      </c>
      <c r="EB162" t="s">
        <v>115</v>
      </c>
      <c r="EC162" t="s">
        <v>15574</v>
      </c>
      <c r="ED162" t="s">
        <v>15575</v>
      </c>
      <c r="EE162" t="s">
        <v>12247</v>
      </c>
      <c r="EG162" t="s">
        <v>12247</v>
      </c>
    </row>
    <row r="163" spans="1:168" x14ac:dyDescent="0.25">
      <c r="A163" t="s">
        <v>116</v>
      </c>
      <c r="B163" t="s">
        <v>12247</v>
      </c>
      <c r="C163">
        <v>0</v>
      </c>
      <c r="D163">
        <v>3</v>
      </c>
      <c r="E163" t="s">
        <v>116</v>
      </c>
      <c r="F163" t="s">
        <v>15576</v>
      </c>
      <c r="G163">
        <v>0</v>
      </c>
      <c r="H163">
        <v>2</v>
      </c>
      <c r="I163" t="s">
        <v>12249</v>
      </c>
      <c r="J163">
        <v>1</v>
      </c>
      <c r="K163" t="s">
        <v>116</v>
      </c>
      <c r="L163" t="s">
        <v>15576</v>
      </c>
      <c r="M163">
        <v>0</v>
      </c>
      <c r="N163" t="s">
        <v>116</v>
      </c>
      <c r="O163" t="s">
        <v>15576</v>
      </c>
      <c r="P163">
        <v>0</v>
      </c>
      <c r="Q163" t="s">
        <v>116</v>
      </c>
      <c r="R163" t="s">
        <v>15576</v>
      </c>
      <c r="S163">
        <v>0</v>
      </c>
      <c r="T163" t="s">
        <v>116</v>
      </c>
      <c r="U163" t="s">
        <v>15576</v>
      </c>
      <c r="V163" t="s">
        <v>116</v>
      </c>
      <c r="X163" t="s">
        <v>15577</v>
      </c>
      <c r="Y163" t="s">
        <v>1689</v>
      </c>
      <c r="Z163" t="s">
        <v>116</v>
      </c>
      <c r="AB163" t="s">
        <v>116</v>
      </c>
      <c r="AE163" t="s">
        <v>116</v>
      </c>
      <c r="AG163">
        <v>3</v>
      </c>
      <c r="AH163">
        <v>5</v>
      </c>
      <c r="AI163">
        <v>5</v>
      </c>
      <c r="AJ163">
        <v>6</v>
      </c>
      <c r="AK163">
        <v>3225167</v>
      </c>
      <c r="AL163">
        <v>12</v>
      </c>
      <c r="AM163">
        <v>2019</v>
      </c>
      <c r="AN163">
        <v>13996</v>
      </c>
      <c r="AO163">
        <v>2019</v>
      </c>
      <c r="AP163" t="s">
        <v>12277</v>
      </c>
      <c r="AQ163" t="s">
        <v>12278</v>
      </c>
      <c r="AR163" t="s">
        <v>1672</v>
      </c>
      <c r="AS163" t="s">
        <v>1689</v>
      </c>
      <c r="AT163" t="s">
        <v>1689</v>
      </c>
      <c r="AU163" t="s">
        <v>15576</v>
      </c>
      <c r="AV163" t="s">
        <v>15576</v>
      </c>
      <c r="AW163">
        <v>496</v>
      </c>
      <c r="AX163">
        <v>496</v>
      </c>
      <c r="AY163">
        <v>496</v>
      </c>
      <c r="AZ163" t="s">
        <v>1689</v>
      </c>
      <c r="BA163" t="s">
        <v>15576</v>
      </c>
      <c r="BB163">
        <v>23424887</v>
      </c>
      <c r="BC163">
        <v>23424887</v>
      </c>
      <c r="BD163" t="s">
        <v>12254</v>
      </c>
      <c r="BE163" t="s">
        <v>15576</v>
      </c>
      <c r="BG163" t="s">
        <v>15576</v>
      </c>
      <c r="BH163" t="s">
        <v>15576</v>
      </c>
      <c r="BI163" t="s">
        <v>15576</v>
      </c>
      <c r="BJ163" t="s">
        <v>15576</v>
      </c>
      <c r="BK163" t="s">
        <v>15576</v>
      </c>
      <c r="BL163" t="s">
        <v>15576</v>
      </c>
      <c r="BM163" t="s">
        <v>15576</v>
      </c>
      <c r="BN163" t="s">
        <v>15576</v>
      </c>
      <c r="BO163" t="s">
        <v>15576</v>
      </c>
      <c r="BP163" t="s">
        <v>15576</v>
      </c>
      <c r="BQ163" t="s">
        <v>15576</v>
      </c>
      <c r="BR163" t="s">
        <v>15576</v>
      </c>
      <c r="BS163" t="s">
        <v>15576</v>
      </c>
      <c r="BT163" t="s">
        <v>15576</v>
      </c>
      <c r="BU163" t="s">
        <v>15576</v>
      </c>
      <c r="BV163" t="s">
        <v>15576</v>
      </c>
      <c r="BW163" t="s">
        <v>15576</v>
      </c>
      <c r="BX163" t="s">
        <v>15576</v>
      </c>
      <c r="BY163" t="s">
        <v>15576</v>
      </c>
      <c r="BZ163" t="s">
        <v>15576</v>
      </c>
      <c r="CA163" t="s">
        <v>15576</v>
      </c>
      <c r="CB163" t="s">
        <v>15576</v>
      </c>
      <c r="CC163" t="s">
        <v>15576</v>
      </c>
      <c r="CD163" t="s">
        <v>15576</v>
      </c>
      <c r="CE163" t="s">
        <v>15576</v>
      </c>
      <c r="CF163" t="s">
        <v>15576</v>
      </c>
      <c r="CG163" t="s">
        <v>15576</v>
      </c>
      <c r="CH163" t="s">
        <v>15576</v>
      </c>
      <c r="CI163" t="s">
        <v>15576</v>
      </c>
      <c r="CJ163" t="s">
        <v>15576</v>
      </c>
      <c r="CK163" t="s">
        <v>15576</v>
      </c>
      <c r="CL163" t="s">
        <v>15576</v>
      </c>
      <c r="CM163">
        <v>-99</v>
      </c>
      <c r="CN163">
        <v>-99</v>
      </c>
      <c r="CO163" t="s">
        <v>12255</v>
      </c>
      <c r="CP163" t="s">
        <v>12255</v>
      </c>
      <c r="CQ163" t="s">
        <v>13649</v>
      </c>
      <c r="CR163" t="s">
        <v>12539</v>
      </c>
      <c r="CS163">
        <v>8</v>
      </c>
      <c r="CT163">
        <v>8</v>
      </c>
      <c r="CU163">
        <v>5</v>
      </c>
      <c r="CV163">
        <v>-99</v>
      </c>
      <c r="CW163">
        <v>1</v>
      </c>
      <c r="CX163">
        <v>0</v>
      </c>
      <c r="CY163">
        <v>3</v>
      </c>
      <c r="CZ163">
        <v>7</v>
      </c>
      <c r="DA163">
        <v>104.15040500000001</v>
      </c>
      <c r="DB163">
        <v>45.997487999999997</v>
      </c>
      <c r="DC163">
        <v>1159321071</v>
      </c>
      <c r="DD163" t="s">
        <v>15578</v>
      </c>
      <c r="DE163" t="s">
        <v>15579</v>
      </c>
      <c r="DF163" t="s">
        <v>15580</v>
      </c>
      <c r="DG163" t="s">
        <v>15581</v>
      </c>
      <c r="DH163" t="s">
        <v>116</v>
      </c>
      <c r="DI163" t="s">
        <v>116</v>
      </c>
      <c r="DJ163" t="s">
        <v>15582</v>
      </c>
      <c r="DK163" t="s">
        <v>15583</v>
      </c>
      <c r="DL163" t="s">
        <v>15584</v>
      </c>
      <c r="DM163" t="s">
        <v>15585</v>
      </c>
      <c r="DN163" t="s">
        <v>15586</v>
      </c>
      <c r="DO163" t="s">
        <v>15587</v>
      </c>
      <c r="DP163" t="s">
        <v>116</v>
      </c>
      <c r="DQ163" t="s">
        <v>116</v>
      </c>
      <c r="DR163" t="s">
        <v>15588</v>
      </c>
      <c r="DS163" t="s">
        <v>15589</v>
      </c>
      <c r="DT163" t="s">
        <v>15590</v>
      </c>
      <c r="DU163" t="s">
        <v>116</v>
      </c>
      <c r="DV163" t="s">
        <v>15587</v>
      </c>
      <c r="DW163" t="s">
        <v>15591</v>
      </c>
      <c r="DX163" t="s">
        <v>15592</v>
      </c>
      <c r="DY163" t="s">
        <v>15593</v>
      </c>
      <c r="DZ163" t="s">
        <v>15594</v>
      </c>
      <c r="EA163" t="s">
        <v>15595</v>
      </c>
      <c r="EB163" t="s">
        <v>15596</v>
      </c>
      <c r="EC163" t="s">
        <v>15597</v>
      </c>
      <c r="ED163" t="s">
        <v>15598</v>
      </c>
      <c r="EE163" t="s">
        <v>12247</v>
      </c>
      <c r="EG163" t="s">
        <v>12247</v>
      </c>
    </row>
    <row r="164" spans="1:168" x14ac:dyDescent="0.25">
      <c r="A164" t="s">
        <v>117</v>
      </c>
      <c r="B164" t="s">
        <v>12247</v>
      </c>
      <c r="C164">
        <v>0</v>
      </c>
      <c r="D164">
        <v>6</v>
      </c>
      <c r="E164" t="s">
        <v>117</v>
      </c>
      <c r="F164" t="s">
        <v>15599</v>
      </c>
      <c r="G164">
        <v>0</v>
      </c>
      <c r="H164">
        <v>2</v>
      </c>
      <c r="I164" t="s">
        <v>12249</v>
      </c>
      <c r="J164">
        <v>1</v>
      </c>
      <c r="K164" t="s">
        <v>117</v>
      </c>
      <c r="L164" t="s">
        <v>15599</v>
      </c>
      <c r="M164">
        <v>0</v>
      </c>
      <c r="N164" t="s">
        <v>117</v>
      </c>
      <c r="O164" t="s">
        <v>15599</v>
      </c>
      <c r="P164">
        <v>0</v>
      </c>
      <c r="Q164" t="s">
        <v>117</v>
      </c>
      <c r="R164" t="s">
        <v>15599</v>
      </c>
      <c r="S164">
        <v>0</v>
      </c>
      <c r="T164" t="s">
        <v>117</v>
      </c>
      <c r="U164" t="s">
        <v>15599</v>
      </c>
      <c r="V164" t="s">
        <v>117</v>
      </c>
      <c r="X164" t="s">
        <v>15600</v>
      </c>
      <c r="Y164" t="s">
        <v>1666</v>
      </c>
      <c r="Z164" t="s">
        <v>117</v>
      </c>
      <c r="AB164" t="s">
        <v>117</v>
      </c>
      <c r="AE164" t="s">
        <v>117</v>
      </c>
      <c r="AG164">
        <v>4</v>
      </c>
      <c r="AH164">
        <v>1</v>
      </c>
      <c r="AI164">
        <v>4</v>
      </c>
      <c r="AJ164">
        <v>5</v>
      </c>
      <c r="AK164">
        <v>622137</v>
      </c>
      <c r="AL164">
        <v>11</v>
      </c>
      <c r="AM164">
        <v>2019</v>
      </c>
      <c r="AN164">
        <v>5542</v>
      </c>
      <c r="AO164">
        <v>2019</v>
      </c>
      <c r="AP164" t="s">
        <v>12277</v>
      </c>
      <c r="AQ164" t="s">
        <v>12305</v>
      </c>
      <c r="AR164" t="s">
        <v>15601</v>
      </c>
      <c r="AS164" t="s">
        <v>1666</v>
      </c>
      <c r="AT164" t="s">
        <v>1666</v>
      </c>
      <c r="AU164" t="s">
        <v>15599</v>
      </c>
      <c r="AV164" t="s">
        <v>15599</v>
      </c>
      <c r="AW164">
        <v>499</v>
      </c>
      <c r="AX164">
        <v>499</v>
      </c>
      <c r="AY164">
        <v>499</v>
      </c>
      <c r="AZ164" t="s">
        <v>1666</v>
      </c>
      <c r="BA164" t="s">
        <v>15599</v>
      </c>
      <c r="BB164">
        <v>20069817</v>
      </c>
      <c r="BC164">
        <v>20069817</v>
      </c>
      <c r="BD164" t="s">
        <v>12254</v>
      </c>
      <c r="BE164" t="s">
        <v>15599</v>
      </c>
      <c r="BG164" t="s">
        <v>15599</v>
      </c>
      <c r="BH164" t="s">
        <v>15599</v>
      </c>
      <c r="BI164" t="s">
        <v>15599</v>
      </c>
      <c r="BJ164" t="s">
        <v>15599</v>
      </c>
      <c r="BK164" t="s">
        <v>15599</v>
      </c>
      <c r="BL164" t="s">
        <v>15599</v>
      </c>
      <c r="BM164" t="s">
        <v>15599</v>
      </c>
      <c r="BN164" t="s">
        <v>15599</v>
      </c>
      <c r="BO164" t="s">
        <v>15599</v>
      </c>
      <c r="BP164" t="s">
        <v>15599</v>
      </c>
      <c r="BQ164" t="s">
        <v>15599</v>
      </c>
      <c r="BR164" t="s">
        <v>15599</v>
      </c>
      <c r="BS164" t="s">
        <v>15599</v>
      </c>
      <c r="BT164" t="s">
        <v>15599</v>
      </c>
      <c r="BU164" t="s">
        <v>15599</v>
      </c>
      <c r="BV164" t="s">
        <v>15599</v>
      </c>
      <c r="BW164" t="s">
        <v>15599</v>
      </c>
      <c r="BX164" t="s">
        <v>15599</v>
      </c>
      <c r="BY164" t="s">
        <v>15599</v>
      </c>
      <c r="BZ164" t="s">
        <v>15599</v>
      </c>
      <c r="CA164" t="s">
        <v>15599</v>
      </c>
      <c r="CB164" t="s">
        <v>15599</v>
      </c>
      <c r="CC164" t="s">
        <v>15599</v>
      </c>
      <c r="CD164" t="s">
        <v>15599</v>
      </c>
      <c r="CE164" t="s">
        <v>15599</v>
      </c>
      <c r="CF164" t="s">
        <v>15599</v>
      </c>
      <c r="CG164" t="s">
        <v>15599</v>
      </c>
      <c r="CH164" t="s">
        <v>15599</v>
      </c>
      <c r="CI164" t="s">
        <v>15599</v>
      </c>
      <c r="CJ164" t="s">
        <v>15599</v>
      </c>
      <c r="CK164" t="s">
        <v>15599</v>
      </c>
      <c r="CL164" t="s">
        <v>15599</v>
      </c>
      <c r="CM164">
        <v>-99</v>
      </c>
      <c r="CN164">
        <v>-99</v>
      </c>
      <c r="CO164" t="s">
        <v>12279</v>
      </c>
      <c r="CP164" t="s">
        <v>12279</v>
      </c>
      <c r="CQ164" t="s">
        <v>12280</v>
      </c>
      <c r="CR164" t="s">
        <v>12281</v>
      </c>
      <c r="CS164">
        <v>10</v>
      </c>
      <c r="CT164">
        <v>10</v>
      </c>
      <c r="CU164">
        <v>5</v>
      </c>
      <c r="CV164">
        <v>-99</v>
      </c>
      <c r="CW164">
        <v>1</v>
      </c>
      <c r="CX164">
        <v>0</v>
      </c>
      <c r="CY164">
        <v>5</v>
      </c>
      <c r="CZ164">
        <v>10</v>
      </c>
      <c r="DA164">
        <v>19.143726999999998</v>
      </c>
      <c r="DB164">
        <v>42.803100999999998</v>
      </c>
      <c r="DC164">
        <v>1159321069</v>
      </c>
      <c r="DD164" t="s">
        <v>15602</v>
      </c>
      <c r="DE164" t="s">
        <v>15603</v>
      </c>
      <c r="DF164" t="s">
        <v>15604</v>
      </c>
      <c r="DG164" t="s">
        <v>117</v>
      </c>
      <c r="DH164" t="s">
        <v>117</v>
      </c>
      <c r="DI164" t="s">
        <v>117</v>
      </c>
      <c r="DJ164" t="s">
        <v>15605</v>
      </c>
      <c r="DK164" t="s">
        <v>15606</v>
      </c>
      <c r="DL164" t="s">
        <v>15607</v>
      </c>
      <c r="DM164" t="s">
        <v>15608</v>
      </c>
      <c r="DN164" t="s">
        <v>15609</v>
      </c>
      <c r="DO164" t="s">
        <v>15610</v>
      </c>
      <c r="DP164" t="s">
        <v>117</v>
      </c>
      <c r="DQ164" t="s">
        <v>117</v>
      </c>
      <c r="DR164" t="s">
        <v>15611</v>
      </c>
      <c r="DS164" t="s">
        <v>15612</v>
      </c>
      <c r="DT164" t="s">
        <v>117</v>
      </c>
      <c r="DU164" t="s">
        <v>15613</v>
      </c>
      <c r="DV164" t="s">
        <v>117</v>
      </c>
      <c r="DW164" t="s">
        <v>15614</v>
      </c>
      <c r="DX164" t="s">
        <v>117</v>
      </c>
      <c r="DY164" t="s">
        <v>15615</v>
      </c>
      <c r="DZ164" t="s">
        <v>15616</v>
      </c>
      <c r="EA164" t="s">
        <v>15617</v>
      </c>
      <c r="EB164" t="s">
        <v>117</v>
      </c>
      <c r="EC164" t="s">
        <v>15618</v>
      </c>
      <c r="ED164" t="s">
        <v>15619</v>
      </c>
      <c r="EE164" t="s">
        <v>12247</v>
      </c>
      <c r="EG164" t="s">
        <v>12247</v>
      </c>
    </row>
    <row r="165" spans="1:168" x14ac:dyDescent="0.25">
      <c r="A165" t="s">
        <v>1222</v>
      </c>
      <c r="B165" t="s">
        <v>12247</v>
      </c>
      <c r="C165">
        <v>3</v>
      </c>
      <c r="D165">
        <v>6</v>
      </c>
      <c r="E165" t="s">
        <v>182</v>
      </c>
      <c r="F165" t="s">
        <v>12479</v>
      </c>
      <c r="G165">
        <v>1</v>
      </c>
      <c r="H165">
        <v>2</v>
      </c>
      <c r="I165" t="s">
        <v>12480</v>
      </c>
      <c r="J165">
        <v>1</v>
      </c>
      <c r="K165" t="s">
        <v>1222</v>
      </c>
      <c r="L165" t="s">
        <v>17544</v>
      </c>
      <c r="M165">
        <v>0</v>
      </c>
      <c r="N165" t="s">
        <v>1222</v>
      </c>
      <c r="O165" t="s">
        <v>17544</v>
      </c>
      <c r="P165">
        <v>0</v>
      </c>
      <c r="Q165" t="s">
        <v>1222</v>
      </c>
      <c r="R165" t="s">
        <v>17544</v>
      </c>
      <c r="S165">
        <v>0</v>
      </c>
      <c r="T165" t="s">
        <v>1222</v>
      </c>
      <c r="U165" t="s">
        <v>17544</v>
      </c>
      <c r="V165" t="s">
        <v>1222</v>
      </c>
      <c r="X165" t="s">
        <v>17545</v>
      </c>
      <c r="Y165" t="s">
        <v>1705</v>
      </c>
      <c r="AB165" t="s">
        <v>1222</v>
      </c>
      <c r="AC165" t="s">
        <v>12486</v>
      </c>
      <c r="AE165" t="s">
        <v>1222</v>
      </c>
      <c r="AG165">
        <v>6</v>
      </c>
      <c r="AH165">
        <v>6</v>
      </c>
      <c r="AI165">
        <v>6</v>
      </c>
      <c r="AJ165">
        <v>3</v>
      </c>
      <c r="AK165">
        <v>4649</v>
      </c>
      <c r="AL165">
        <v>4</v>
      </c>
      <c r="AM165">
        <v>2019</v>
      </c>
      <c r="AN165">
        <v>44</v>
      </c>
      <c r="AO165">
        <v>2006</v>
      </c>
      <c r="AP165" t="s">
        <v>12277</v>
      </c>
      <c r="AQ165" t="s">
        <v>12278</v>
      </c>
      <c r="AR165" t="s">
        <v>1675</v>
      </c>
      <c r="AS165" t="s">
        <v>1705</v>
      </c>
      <c r="AT165" t="s">
        <v>1705</v>
      </c>
      <c r="AU165" t="s">
        <v>17544</v>
      </c>
      <c r="AV165" t="s">
        <v>17544</v>
      </c>
      <c r="AW165">
        <v>500</v>
      </c>
      <c r="AX165">
        <v>500</v>
      </c>
      <c r="AY165">
        <v>500</v>
      </c>
      <c r="AZ165">
        <v>-99</v>
      </c>
      <c r="BA165">
        <v>-99</v>
      </c>
      <c r="BB165">
        <v>23424888</v>
      </c>
      <c r="BC165">
        <v>23424888</v>
      </c>
      <c r="BD165" t="s">
        <v>12254</v>
      </c>
      <c r="BE165" t="s">
        <v>17544</v>
      </c>
      <c r="BG165" t="s">
        <v>17544</v>
      </c>
      <c r="BH165" t="s">
        <v>17544</v>
      </c>
      <c r="BI165" t="s">
        <v>17544</v>
      </c>
      <c r="BJ165" t="s">
        <v>17544</v>
      </c>
      <c r="BK165" t="s">
        <v>17544</v>
      </c>
      <c r="BL165" t="s">
        <v>17544</v>
      </c>
      <c r="BM165" t="s">
        <v>17544</v>
      </c>
      <c r="BN165" t="s">
        <v>17544</v>
      </c>
      <c r="BO165" t="s">
        <v>17544</v>
      </c>
      <c r="BP165" t="s">
        <v>17544</v>
      </c>
      <c r="BQ165" t="s">
        <v>17544</v>
      </c>
      <c r="BR165" t="s">
        <v>17544</v>
      </c>
      <c r="BS165" t="s">
        <v>17544</v>
      </c>
      <c r="BT165" t="s">
        <v>17544</v>
      </c>
      <c r="BU165" t="s">
        <v>17544</v>
      </c>
      <c r="BV165" t="s">
        <v>17544</v>
      </c>
      <c r="BW165" t="s">
        <v>17544</v>
      </c>
      <c r="BX165" t="s">
        <v>17544</v>
      </c>
      <c r="BY165" t="s">
        <v>17544</v>
      </c>
      <c r="BZ165" t="s">
        <v>17544</v>
      </c>
      <c r="CA165" t="s">
        <v>17544</v>
      </c>
      <c r="CB165" t="s">
        <v>17544</v>
      </c>
      <c r="CC165" t="s">
        <v>17544</v>
      </c>
      <c r="CD165" t="s">
        <v>17544</v>
      </c>
      <c r="CE165" t="s">
        <v>17544</v>
      </c>
      <c r="CF165" t="s">
        <v>17544</v>
      </c>
      <c r="CG165" t="s">
        <v>17544</v>
      </c>
      <c r="CH165" t="s">
        <v>17544</v>
      </c>
      <c r="CI165" t="s">
        <v>17544</v>
      </c>
      <c r="CJ165" t="s">
        <v>17544</v>
      </c>
      <c r="CK165" t="s">
        <v>17544</v>
      </c>
      <c r="CL165" t="s">
        <v>17544</v>
      </c>
      <c r="CM165">
        <v>-99</v>
      </c>
      <c r="CN165">
        <v>-99</v>
      </c>
      <c r="CO165" t="s">
        <v>12402</v>
      </c>
      <c r="CP165" t="s">
        <v>12403</v>
      </c>
      <c r="CQ165" t="s">
        <v>12404</v>
      </c>
      <c r="CR165" t="s">
        <v>12405</v>
      </c>
      <c r="CS165">
        <v>10</v>
      </c>
      <c r="CT165">
        <v>10</v>
      </c>
      <c r="CU165">
        <v>6</v>
      </c>
      <c r="CV165">
        <v>6</v>
      </c>
      <c r="CW165">
        <v>-99</v>
      </c>
      <c r="CX165">
        <v>0</v>
      </c>
      <c r="CY165">
        <v>5</v>
      </c>
      <c r="CZ165">
        <v>10</v>
      </c>
      <c r="DA165">
        <v>-62.188251999999999</v>
      </c>
      <c r="DB165">
        <v>16.737169999999999</v>
      </c>
      <c r="DC165">
        <v>1159320727</v>
      </c>
      <c r="DD165" t="s">
        <v>17546</v>
      </c>
      <c r="DE165" t="s">
        <v>17547</v>
      </c>
      <c r="DF165" t="s">
        <v>17548</v>
      </c>
      <c r="DG165" t="s">
        <v>1222</v>
      </c>
      <c r="DH165" t="s">
        <v>1222</v>
      </c>
      <c r="DI165" t="s">
        <v>1222</v>
      </c>
      <c r="DJ165" t="s">
        <v>17547</v>
      </c>
      <c r="DK165" t="s">
        <v>1222</v>
      </c>
      <c r="DL165" t="s">
        <v>17549</v>
      </c>
      <c r="DM165" t="s">
        <v>17550</v>
      </c>
      <c r="DN165" t="s">
        <v>17551</v>
      </c>
      <c r="DO165" t="s">
        <v>1222</v>
      </c>
      <c r="DP165" t="s">
        <v>1222</v>
      </c>
      <c r="DQ165" t="s">
        <v>1222</v>
      </c>
      <c r="DR165" t="s">
        <v>17552</v>
      </c>
      <c r="DS165" t="s">
        <v>17553</v>
      </c>
      <c r="DT165" t="s">
        <v>1222</v>
      </c>
      <c r="DU165" t="s">
        <v>1222</v>
      </c>
      <c r="DV165" t="s">
        <v>1222</v>
      </c>
      <c r="DW165" t="s">
        <v>17554</v>
      </c>
      <c r="DX165" t="s">
        <v>1222</v>
      </c>
      <c r="DY165" t="s">
        <v>1222</v>
      </c>
      <c r="DZ165" t="s">
        <v>17554</v>
      </c>
      <c r="EA165" t="s">
        <v>17555</v>
      </c>
      <c r="EB165" t="s">
        <v>1222</v>
      </c>
      <c r="EC165" t="s">
        <v>17556</v>
      </c>
      <c r="ED165" t="s">
        <v>17557</v>
      </c>
      <c r="EE165" t="s">
        <v>12397</v>
      </c>
      <c r="EG165" t="s">
        <v>12397</v>
      </c>
    </row>
    <row r="166" spans="1:168" x14ac:dyDescent="0.25">
      <c r="A166" t="s">
        <v>118</v>
      </c>
      <c r="B166" t="s">
        <v>12247</v>
      </c>
      <c r="C166">
        <v>0</v>
      </c>
      <c r="D166">
        <v>3</v>
      </c>
      <c r="E166" t="s">
        <v>118</v>
      </c>
      <c r="F166" t="s">
        <v>15620</v>
      </c>
      <c r="G166">
        <v>0</v>
      </c>
      <c r="H166">
        <v>2</v>
      </c>
      <c r="I166" t="s">
        <v>12249</v>
      </c>
      <c r="J166">
        <v>1</v>
      </c>
      <c r="K166" t="s">
        <v>118</v>
      </c>
      <c r="L166" t="s">
        <v>15620</v>
      </c>
      <c r="M166">
        <v>0</v>
      </c>
      <c r="N166" t="s">
        <v>118</v>
      </c>
      <c r="O166" t="s">
        <v>15620</v>
      </c>
      <c r="P166">
        <v>0</v>
      </c>
      <c r="Q166" t="s">
        <v>118</v>
      </c>
      <c r="R166" t="s">
        <v>15620</v>
      </c>
      <c r="S166">
        <v>0</v>
      </c>
      <c r="T166" t="s">
        <v>118</v>
      </c>
      <c r="U166" t="s">
        <v>15620</v>
      </c>
      <c r="V166" t="s">
        <v>118</v>
      </c>
      <c r="X166" t="s">
        <v>15621</v>
      </c>
      <c r="Y166" t="s">
        <v>1441</v>
      </c>
      <c r="Z166" t="s">
        <v>15622</v>
      </c>
      <c r="AB166" t="s">
        <v>118</v>
      </c>
      <c r="AE166" t="s">
        <v>118</v>
      </c>
      <c r="AG166">
        <v>2</v>
      </c>
      <c r="AH166">
        <v>2</v>
      </c>
      <c r="AI166">
        <v>3</v>
      </c>
      <c r="AJ166">
        <v>9</v>
      </c>
      <c r="AK166">
        <v>36471769</v>
      </c>
      <c r="AL166">
        <v>15</v>
      </c>
      <c r="AM166">
        <v>2019</v>
      </c>
      <c r="AN166">
        <v>119700</v>
      </c>
      <c r="AO166">
        <v>2019</v>
      </c>
      <c r="AP166" t="s">
        <v>12277</v>
      </c>
      <c r="AQ166" t="s">
        <v>12278</v>
      </c>
      <c r="AR166" t="s">
        <v>1692</v>
      </c>
      <c r="AS166" t="s">
        <v>1441</v>
      </c>
      <c r="AT166" t="s">
        <v>1441</v>
      </c>
      <c r="AU166" t="s">
        <v>15620</v>
      </c>
      <c r="AV166" t="s">
        <v>15620</v>
      </c>
      <c r="AW166">
        <v>504</v>
      </c>
      <c r="AX166">
        <v>504</v>
      </c>
      <c r="AY166">
        <v>504</v>
      </c>
      <c r="AZ166" t="s">
        <v>1441</v>
      </c>
      <c r="BA166" t="s">
        <v>15620</v>
      </c>
      <c r="BB166">
        <v>23424893</v>
      </c>
      <c r="BC166">
        <v>23424893</v>
      </c>
      <c r="BD166" t="s">
        <v>12254</v>
      </c>
      <c r="BE166" t="s">
        <v>15620</v>
      </c>
      <c r="BG166" t="s">
        <v>15620</v>
      </c>
      <c r="BH166" t="s">
        <v>15620</v>
      </c>
      <c r="BI166" t="s">
        <v>15620</v>
      </c>
      <c r="BJ166" t="s">
        <v>15620</v>
      </c>
      <c r="BK166" t="s">
        <v>15620</v>
      </c>
      <c r="BL166" t="s">
        <v>15620</v>
      </c>
      <c r="BM166" t="s">
        <v>15620</v>
      </c>
      <c r="BN166" t="s">
        <v>15620</v>
      </c>
      <c r="BO166" t="s">
        <v>15620</v>
      </c>
      <c r="BP166" t="s">
        <v>15620</v>
      </c>
      <c r="BQ166" t="s">
        <v>15620</v>
      </c>
      <c r="BR166" t="s">
        <v>15620</v>
      </c>
      <c r="BS166" t="s">
        <v>15620</v>
      </c>
      <c r="BT166" t="s">
        <v>15620</v>
      </c>
      <c r="BU166" t="s">
        <v>15620</v>
      </c>
      <c r="BV166" t="s">
        <v>15620</v>
      </c>
      <c r="BW166" t="s">
        <v>15620</v>
      </c>
      <c r="BX166" t="s">
        <v>15620</v>
      </c>
      <c r="BY166" t="s">
        <v>15620</v>
      </c>
      <c r="BZ166" t="s">
        <v>15620</v>
      </c>
      <c r="CA166" t="s">
        <v>15620</v>
      </c>
      <c r="CB166" t="s">
        <v>15620</v>
      </c>
      <c r="CC166" t="s">
        <v>15620</v>
      </c>
      <c r="CD166" t="s">
        <v>15620</v>
      </c>
      <c r="CE166" t="s">
        <v>15620</v>
      </c>
      <c r="CF166" t="s">
        <v>15620</v>
      </c>
      <c r="CG166" t="s">
        <v>15620</v>
      </c>
      <c r="CH166" t="s">
        <v>15620</v>
      </c>
      <c r="CI166" t="s">
        <v>15620</v>
      </c>
      <c r="CJ166" t="s">
        <v>15620</v>
      </c>
      <c r="CK166" t="s">
        <v>15620</v>
      </c>
      <c r="CL166" t="s">
        <v>15620</v>
      </c>
      <c r="CM166">
        <v>-99</v>
      </c>
      <c r="CN166">
        <v>-99</v>
      </c>
      <c r="CO166" t="s">
        <v>12306</v>
      </c>
      <c r="CP166" t="s">
        <v>12306</v>
      </c>
      <c r="CQ166" t="s">
        <v>12307</v>
      </c>
      <c r="CR166" t="s">
        <v>12308</v>
      </c>
      <c r="CS166">
        <v>7</v>
      </c>
      <c r="CT166">
        <v>7</v>
      </c>
      <c r="CU166">
        <v>4</v>
      </c>
      <c r="CV166">
        <v>-99</v>
      </c>
      <c r="CW166">
        <v>1</v>
      </c>
      <c r="CX166">
        <v>0</v>
      </c>
      <c r="CY166">
        <v>2.7</v>
      </c>
      <c r="CZ166">
        <v>8</v>
      </c>
      <c r="DA166">
        <v>-7.1872959999999999</v>
      </c>
      <c r="DB166">
        <v>31.650722999999999</v>
      </c>
      <c r="DC166">
        <v>1159321035</v>
      </c>
      <c r="DD166" t="s">
        <v>15623</v>
      </c>
      <c r="DE166" t="s">
        <v>15624</v>
      </c>
      <c r="DF166" t="s">
        <v>15625</v>
      </c>
      <c r="DG166" t="s">
        <v>15626</v>
      </c>
      <c r="DH166" t="s">
        <v>118</v>
      </c>
      <c r="DI166" t="s">
        <v>15627</v>
      </c>
      <c r="DJ166" t="s">
        <v>15628</v>
      </c>
      <c r="DK166" t="s">
        <v>15629</v>
      </c>
      <c r="DL166" t="s">
        <v>15630</v>
      </c>
      <c r="DM166" t="s">
        <v>15631</v>
      </c>
      <c r="DN166" t="s">
        <v>15632</v>
      </c>
      <c r="DO166" t="s">
        <v>15633</v>
      </c>
      <c r="DP166" t="s">
        <v>15634</v>
      </c>
      <c r="DQ166" t="s">
        <v>15635</v>
      </c>
      <c r="DR166" t="s">
        <v>15636</v>
      </c>
      <c r="DS166" t="s">
        <v>15637</v>
      </c>
      <c r="DT166" t="s">
        <v>15626</v>
      </c>
      <c r="DU166" t="s">
        <v>15634</v>
      </c>
      <c r="DV166" t="s">
        <v>15638</v>
      </c>
      <c r="DW166" t="s">
        <v>15639</v>
      </c>
      <c r="DX166" t="s">
        <v>15640</v>
      </c>
      <c r="DY166" t="s">
        <v>15641</v>
      </c>
      <c r="DZ166" t="s">
        <v>15639</v>
      </c>
      <c r="EA166" t="s">
        <v>15628</v>
      </c>
      <c r="EB166" t="s">
        <v>15629</v>
      </c>
      <c r="EC166" t="s">
        <v>15642</v>
      </c>
      <c r="ED166" t="s">
        <v>15642</v>
      </c>
      <c r="EE166" t="s">
        <v>12247</v>
      </c>
      <c r="EG166" t="s">
        <v>12247</v>
      </c>
    </row>
    <row r="167" spans="1:168" x14ac:dyDescent="0.25">
      <c r="A167" t="s">
        <v>119</v>
      </c>
      <c r="B167" t="s">
        <v>12247</v>
      </c>
      <c r="C167">
        <v>0</v>
      </c>
      <c r="D167">
        <v>3</v>
      </c>
      <c r="E167" t="s">
        <v>119</v>
      </c>
      <c r="F167" t="s">
        <v>15643</v>
      </c>
      <c r="G167">
        <v>0</v>
      </c>
      <c r="H167">
        <v>2</v>
      </c>
      <c r="I167" t="s">
        <v>12249</v>
      </c>
      <c r="J167">
        <v>1</v>
      </c>
      <c r="K167" t="s">
        <v>119</v>
      </c>
      <c r="L167" t="s">
        <v>15643</v>
      </c>
      <c r="M167">
        <v>0</v>
      </c>
      <c r="N167" t="s">
        <v>119</v>
      </c>
      <c r="O167" t="s">
        <v>15643</v>
      </c>
      <c r="P167">
        <v>0</v>
      </c>
      <c r="Q167" t="s">
        <v>119</v>
      </c>
      <c r="R167" t="s">
        <v>15643</v>
      </c>
      <c r="S167">
        <v>0</v>
      </c>
      <c r="T167" t="s">
        <v>119</v>
      </c>
      <c r="U167" t="s">
        <v>15643</v>
      </c>
      <c r="V167" t="s">
        <v>119</v>
      </c>
      <c r="X167" t="s">
        <v>15644</v>
      </c>
      <c r="Y167" t="s">
        <v>1727</v>
      </c>
      <c r="Z167" t="s">
        <v>15645</v>
      </c>
      <c r="AB167" t="s">
        <v>119</v>
      </c>
      <c r="AE167" t="s">
        <v>119</v>
      </c>
      <c r="AG167">
        <v>4</v>
      </c>
      <c r="AH167">
        <v>2</v>
      </c>
      <c r="AI167">
        <v>1</v>
      </c>
      <c r="AJ167">
        <v>4</v>
      </c>
      <c r="AK167">
        <v>30366036</v>
      </c>
      <c r="AL167">
        <v>15</v>
      </c>
      <c r="AM167">
        <v>2019</v>
      </c>
      <c r="AN167">
        <v>15291</v>
      </c>
      <c r="AO167">
        <v>2019</v>
      </c>
      <c r="AP167" t="s">
        <v>12252</v>
      </c>
      <c r="AQ167" t="s">
        <v>12253</v>
      </c>
      <c r="AR167" t="s">
        <v>1727</v>
      </c>
      <c r="AS167" t="s">
        <v>1727</v>
      </c>
      <c r="AT167" t="s">
        <v>1727</v>
      </c>
      <c r="AU167" t="s">
        <v>15643</v>
      </c>
      <c r="AV167" t="s">
        <v>15643</v>
      </c>
      <c r="AW167">
        <v>508</v>
      </c>
      <c r="AX167">
        <v>508</v>
      </c>
      <c r="AY167">
        <v>508</v>
      </c>
      <c r="AZ167" t="s">
        <v>1727</v>
      </c>
      <c r="BA167" t="s">
        <v>15643</v>
      </c>
      <c r="BB167">
        <v>23424902</v>
      </c>
      <c r="BC167">
        <v>23424902</v>
      </c>
      <c r="BD167" t="s">
        <v>12254</v>
      </c>
      <c r="BE167" t="s">
        <v>15643</v>
      </c>
      <c r="BG167" t="s">
        <v>15643</v>
      </c>
      <c r="BH167" t="s">
        <v>15643</v>
      </c>
      <c r="BI167" t="s">
        <v>15643</v>
      </c>
      <c r="BJ167" t="s">
        <v>15643</v>
      </c>
      <c r="BK167" t="s">
        <v>15643</v>
      </c>
      <c r="BL167" t="s">
        <v>15643</v>
      </c>
      <c r="BM167" t="s">
        <v>15643</v>
      </c>
      <c r="BN167" t="s">
        <v>15643</v>
      </c>
      <c r="BO167" t="s">
        <v>15643</v>
      </c>
      <c r="BP167" t="s">
        <v>15643</v>
      </c>
      <c r="BQ167" t="s">
        <v>15643</v>
      </c>
      <c r="BR167" t="s">
        <v>15643</v>
      </c>
      <c r="BS167" t="s">
        <v>15643</v>
      </c>
      <c r="BT167" t="s">
        <v>15643</v>
      </c>
      <c r="BU167" t="s">
        <v>15643</v>
      </c>
      <c r="BV167" t="s">
        <v>15643</v>
      </c>
      <c r="BW167" t="s">
        <v>15643</v>
      </c>
      <c r="BX167" t="s">
        <v>15643</v>
      </c>
      <c r="BY167" t="s">
        <v>15643</v>
      </c>
      <c r="BZ167" t="s">
        <v>15643</v>
      </c>
      <c r="CA167" t="s">
        <v>15643</v>
      </c>
      <c r="CB167" t="s">
        <v>15643</v>
      </c>
      <c r="CC167" t="s">
        <v>15643</v>
      </c>
      <c r="CD167" t="s">
        <v>15643</v>
      </c>
      <c r="CE167" t="s">
        <v>15643</v>
      </c>
      <c r="CF167" t="s">
        <v>15643</v>
      </c>
      <c r="CG167" t="s">
        <v>15643</v>
      </c>
      <c r="CH167" t="s">
        <v>15643</v>
      </c>
      <c r="CI167" t="s">
        <v>15643</v>
      </c>
      <c r="CJ167" t="s">
        <v>15643</v>
      </c>
      <c r="CK167" t="s">
        <v>15643</v>
      </c>
      <c r="CL167" t="s">
        <v>15643</v>
      </c>
      <c r="CM167">
        <v>-99</v>
      </c>
      <c r="CN167">
        <v>-99</v>
      </c>
      <c r="CO167" t="s">
        <v>12306</v>
      </c>
      <c r="CP167" t="s">
        <v>12306</v>
      </c>
      <c r="CQ167" t="s">
        <v>13085</v>
      </c>
      <c r="CR167" t="s">
        <v>12357</v>
      </c>
      <c r="CS167">
        <v>10</v>
      </c>
      <c r="CT167">
        <v>10</v>
      </c>
      <c r="CU167">
        <v>4</v>
      </c>
      <c r="CV167">
        <v>-99</v>
      </c>
      <c r="CW167">
        <v>1</v>
      </c>
      <c r="CX167">
        <v>0</v>
      </c>
      <c r="CY167">
        <v>3</v>
      </c>
      <c r="CZ167">
        <v>8</v>
      </c>
      <c r="DA167">
        <v>37.837890000000002</v>
      </c>
      <c r="DB167">
        <v>-13.94323</v>
      </c>
      <c r="DC167">
        <v>1159321073</v>
      </c>
      <c r="DD167" t="s">
        <v>15646</v>
      </c>
      <c r="DE167" t="s">
        <v>15647</v>
      </c>
      <c r="DF167" t="s">
        <v>15648</v>
      </c>
      <c r="DG167" t="s">
        <v>15649</v>
      </c>
      <c r="DH167" t="s">
        <v>119</v>
      </c>
      <c r="DI167" t="s">
        <v>119</v>
      </c>
      <c r="DJ167" t="s">
        <v>15650</v>
      </c>
      <c r="DK167" t="s">
        <v>119</v>
      </c>
      <c r="DL167" t="s">
        <v>15651</v>
      </c>
      <c r="DM167" t="s">
        <v>15652</v>
      </c>
      <c r="DN167" t="s">
        <v>15653</v>
      </c>
      <c r="DO167" t="s">
        <v>15654</v>
      </c>
      <c r="DP167" t="s">
        <v>15654</v>
      </c>
      <c r="DQ167" t="s">
        <v>15655</v>
      </c>
      <c r="DR167" t="s">
        <v>15656</v>
      </c>
      <c r="DS167" t="s">
        <v>15657</v>
      </c>
      <c r="DT167" t="s">
        <v>119</v>
      </c>
      <c r="DU167" t="s">
        <v>15654</v>
      </c>
      <c r="DV167" t="s">
        <v>15658</v>
      </c>
      <c r="DW167" t="s">
        <v>15659</v>
      </c>
      <c r="DX167" t="s">
        <v>15658</v>
      </c>
      <c r="DY167" t="s">
        <v>15654</v>
      </c>
      <c r="DZ167" t="s">
        <v>15660</v>
      </c>
      <c r="EA167" t="s">
        <v>15661</v>
      </c>
      <c r="EB167" t="s">
        <v>119</v>
      </c>
      <c r="EC167" t="s">
        <v>15662</v>
      </c>
      <c r="ED167" t="s">
        <v>15663</v>
      </c>
      <c r="EE167" t="s">
        <v>12247</v>
      </c>
      <c r="EG167" t="s">
        <v>12247</v>
      </c>
    </row>
    <row r="168" spans="1:168" x14ac:dyDescent="0.25">
      <c r="A168" t="s">
        <v>1223</v>
      </c>
      <c r="B168" t="s">
        <v>12247</v>
      </c>
      <c r="C168">
        <v>0</v>
      </c>
      <c r="D168">
        <v>3</v>
      </c>
      <c r="E168" t="s">
        <v>1223</v>
      </c>
      <c r="F168" t="s">
        <v>15664</v>
      </c>
      <c r="G168">
        <v>0</v>
      </c>
      <c r="H168">
        <v>2</v>
      </c>
      <c r="I168" t="s">
        <v>12249</v>
      </c>
      <c r="J168">
        <v>1</v>
      </c>
      <c r="K168" t="s">
        <v>1223</v>
      </c>
      <c r="L168" t="s">
        <v>15664</v>
      </c>
      <c r="M168">
        <v>0</v>
      </c>
      <c r="N168" t="s">
        <v>1223</v>
      </c>
      <c r="O168" t="s">
        <v>15664</v>
      </c>
      <c r="P168">
        <v>0</v>
      </c>
      <c r="Q168" t="s">
        <v>1223</v>
      </c>
      <c r="R168" t="s">
        <v>15664</v>
      </c>
      <c r="S168">
        <v>0</v>
      </c>
      <c r="T168" t="s">
        <v>1223</v>
      </c>
      <c r="U168" t="s">
        <v>15664</v>
      </c>
      <c r="V168" t="s">
        <v>1223</v>
      </c>
      <c r="X168" t="s">
        <v>15665</v>
      </c>
      <c r="Y168" t="s">
        <v>1684</v>
      </c>
      <c r="Z168" t="s">
        <v>15666</v>
      </c>
      <c r="AB168" t="s">
        <v>15667</v>
      </c>
      <c r="AE168" t="s">
        <v>1223</v>
      </c>
      <c r="AG168">
        <v>2</v>
      </c>
      <c r="AH168">
        <v>2</v>
      </c>
      <c r="AI168">
        <v>5</v>
      </c>
      <c r="AJ168">
        <v>13</v>
      </c>
      <c r="AK168">
        <v>54045420</v>
      </c>
      <c r="AL168">
        <v>16</v>
      </c>
      <c r="AM168">
        <v>2019</v>
      </c>
      <c r="AN168">
        <v>76085</v>
      </c>
      <c r="AO168">
        <v>2019</v>
      </c>
      <c r="AP168" t="s">
        <v>12252</v>
      </c>
      <c r="AQ168" t="s">
        <v>12253</v>
      </c>
      <c r="AR168" t="s">
        <v>1326</v>
      </c>
      <c r="AS168" t="s">
        <v>1684</v>
      </c>
      <c r="AT168" t="s">
        <v>1684</v>
      </c>
      <c r="AU168" t="s">
        <v>15664</v>
      </c>
      <c r="AV168" t="s">
        <v>15664</v>
      </c>
      <c r="AW168">
        <v>104</v>
      </c>
      <c r="AX168">
        <v>104</v>
      </c>
      <c r="AY168">
        <v>104</v>
      </c>
      <c r="AZ168" t="s">
        <v>1684</v>
      </c>
      <c r="BA168" t="s">
        <v>15664</v>
      </c>
      <c r="BB168">
        <v>23424763</v>
      </c>
      <c r="BC168">
        <v>23424763</v>
      </c>
      <c r="BD168" t="s">
        <v>12254</v>
      </c>
      <c r="BE168" t="s">
        <v>15664</v>
      </c>
      <c r="BG168" t="s">
        <v>15664</v>
      </c>
      <c r="BH168" t="s">
        <v>15664</v>
      </c>
      <c r="BI168" t="s">
        <v>15664</v>
      </c>
      <c r="BJ168" t="s">
        <v>15664</v>
      </c>
      <c r="BK168" t="s">
        <v>15664</v>
      </c>
      <c r="BL168" t="s">
        <v>15664</v>
      </c>
      <c r="BM168" t="s">
        <v>15664</v>
      </c>
      <c r="BN168" t="s">
        <v>15664</v>
      </c>
      <c r="BO168" t="s">
        <v>15664</v>
      </c>
      <c r="BP168" t="s">
        <v>15664</v>
      </c>
      <c r="BQ168" t="s">
        <v>15664</v>
      </c>
      <c r="BR168" t="s">
        <v>15664</v>
      </c>
      <c r="BS168" t="s">
        <v>15664</v>
      </c>
      <c r="BT168" t="s">
        <v>15664</v>
      </c>
      <c r="BU168" t="s">
        <v>15664</v>
      </c>
      <c r="BV168" t="s">
        <v>15664</v>
      </c>
      <c r="BW168" t="s">
        <v>15664</v>
      </c>
      <c r="BX168" t="s">
        <v>15664</v>
      </c>
      <c r="BY168" t="s">
        <v>15664</v>
      </c>
      <c r="BZ168" t="s">
        <v>15664</v>
      </c>
      <c r="CA168" t="s">
        <v>15664</v>
      </c>
      <c r="CB168" t="s">
        <v>15664</v>
      </c>
      <c r="CC168" t="s">
        <v>15664</v>
      </c>
      <c r="CD168" t="s">
        <v>15664</v>
      </c>
      <c r="CE168" t="s">
        <v>15664</v>
      </c>
      <c r="CF168" t="s">
        <v>15664</v>
      </c>
      <c r="CG168" t="s">
        <v>15664</v>
      </c>
      <c r="CH168" t="s">
        <v>15664</v>
      </c>
      <c r="CI168" t="s">
        <v>15664</v>
      </c>
      <c r="CJ168" t="s">
        <v>15664</v>
      </c>
      <c r="CK168" t="s">
        <v>15664</v>
      </c>
      <c r="CL168" t="s">
        <v>15664</v>
      </c>
      <c r="CM168">
        <v>-99</v>
      </c>
      <c r="CN168">
        <v>-99</v>
      </c>
      <c r="CO168" t="s">
        <v>12255</v>
      </c>
      <c r="CP168" t="s">
        <v>12255</v>
      </c>
      <c r="CQ168" t="s">
        <v>13026</v>
      </c>
      <c r="CR168" t="s">
        <v>12539</v>
      </c>
      <c r="CS168">
        <v>7</v>
      </c>
      <c r="CT168">
        <v>7</v>
      </c>
      <c r="CU168">
        <v>5</v>
      </c>
      <c r="CV168">
        <v>-99</v>
      </c>
      <c r="CW168">
        <v>1</v>
      </c>
      <c r="CX168">
        <v>0</v>
      </c>
      <c r="CY168">
        <v>3</v>
      </c>
      <c r="CZ168">
        <v>8</v>
      </c>
      <c r="DA168">
        <v>95.804496999999998</v>
      </c>
      <c r="DB168">
        <v>21.573854999999998</v>
      </c>
      <c r="DC168">
        <v>1159321067</v>
      </c>
      <c r="DD168" t="s">
        <v>15668</v>
      </c>
      <c r="DE168" t="s">
        <v>15669</v>
      </c>
      <c r="DF168" t="s">
        <v>15670</v>
      </c>
      <c r="DG168" t="s">
        <v>1223</v>
      </c>
      <c r="DH168" t="s">
        <v>1223</v>
      </c>
      <c r="DI168" t="s">
        <v>15671</v>
      </c>
      <c r="DJ168" t="s">
        <v>15672</v>
      </c>
      <c r="DK168" t="s">
        <v>15673</v>
      </c>
      <c r="DL168" t="s">
        <v>15674</v>
      </c>
      <c r="DM168" t="s">
        <v>15675</v>
      </c>
      <c r="DN168" t="s">
        <v>15676</v>
      </c>
      <c r="DO168" t="s">
        <v>15677</v>
      </c>
      <c r="DP168" t="s">
        <v>1223</v>
      </c>
      <c r="DQ168" t="s">
        <v>15671</v>
      </c>
      <c r="DR168" t="s">
        <v>15678</v>
      </c>
      <c r="DS168" t="s">
        <v>15679</v>
      </c>
      <c r="DT168" t="s">
        <v>1223</v>
      </c>
      <c r="DU168" t="s">
        <v>15680</v>
      </c>
      <c r="DV168" t="s">
        <v>1223</v>
      </c>
      <c r="DW168" t="s">
        <v>15681</v>
      </c>
      <c r="DX168" t="s">
        <v>1223</v>
      </c>
      <c r="DY168" t="s">
        <v>1223</v>
      </c>
      <c r="DZ168" t="s">
        <v>15682</v>
      </c>
      <c r="EA168" t="s">
        <v>15672</v>
      </c>
      <c r="EB168" t="s">
        <v>15683</v>
      </c>
      <c r="EC168" t="s">
        <v>15684</v>
      </c>
      <c r="ED168" t="s">
        <v>15685</v>
      </c>
      <c r="EE168" t="s">
        <v>12247</v>
      </c>
      <c r="EG168" t="s">
        <v>12247</v>
      </c>
    </row>
    <row r="169" spans="1:168" x14ac:dyDescent="0.25">
      <c r="A169" t="s">
        <v>16022</v>
      </c>
      <c r="B169" t="s">
        <v>12247</v>
      </c>
      <c r="C169">
        <v>1</v>
      </c>
      <c r="D169">
        <v>6</v>
      </c>
      <c r="E169" t="s">
        <v>16020</v>
      </c>
      <c r="F169" t="s">
        <v>16021</v>
      </c>
      <c r="G169">
        <v>0</v>
      </c>
      <c r="H169">
        <v>2</v>
      </c>
      <c r="I169" t="s">
        <v>12249</v>
      </c>
      <c r="J169">
        <v>1</v>
      </c>
      <c r="K169" t="s">
        <v>16020</v>
      </c>
      <c r="L169" t="s">
        <v>16021</v>
      </c>
      <c r="M169">
        <v>0</v>
      </c>
      <c r="N169" t="s">
        <v>16020</v>
      </c>
      <c r="O169" t="s">
        <v>16021</v>
      </c>
      <c r="P169">
        <v>0</v>
      </c>
      <c r="Q169" t="s">
        <v>16020</v>
      </c>
      <c r="R169" t="s">
        <v>16021</v>
      </c>
      <c r="S169">
        <v>0</v>
      </c>
      <c r="T169" t="s">
        <v>16020</v>
      </c>
      <c r="U169" t="s">
        <v>16021</v>
      </c>
      <c r="V169" t="s">
        <v>16022</v>
      </c>
      <c r="X169" t="s">
        <v>16023</v>
      </c>
      <c r="Y169" t="s">
        <v>1387</v>
      </c>
      <c r="Z169" t="s">
        <v>16024</v>
      </c>
      <c r="AC169" t="s">
        <v>16025</v>
      </c>
      <c r="AD169" t="s">
        <v>16026</v>
      </c>
      <c r="AE169" t="s">
        <v>16027</v>
      </c>
      <c r="AG169">
        <v>3</v>
      </c>
      <c r="AH169">
        <v>1</v>
      </c>
      <c r="AI169">
        <v>4</v>
      </c>
      <c r="AJ169">
        <v>8</v>
      </c>
      <c r="AK169">
        <v>326000</v>
      </c>
      <c r="AL169">
        <v>10</v>
      </c>
      <c r="AM169">
        <v>2017</v>
      </c>
      <c r="AN169">
        <v>3600</v>
      </c>
      <c r="AO169">
        <v>2013</v>
      </c>
      <c r="AP169" t="s">
        <v>12277</v>
      </c>
      <c r="AQ169" t="s">
        <v>12305</v>
      </c>
      <c r="AR169">
        <v>-99</v>
      </c>
      <c r="AS169">
        <v>-99</v>
      </c>
      <c r="AT169">
        <v>-99</v>
      </c>
      <c r="AU169">
        <v>-99</v>
      </c>
      <c r="AV169">
        <v>-99</v>
      </c>
      <c r="AW169">
        <v>-99</v>
      </c>
      <c r="AX169">
        <v>-99</v>
      </c>
      <c r="AY169">
        <v>-99</v>
      </c>
      <c r="AZ169">
        <v>-99</v>
      </c>
      <c r="BA169">
        <v>-99</v>
      </c>
      <c r="BB169">
        <v>-90</v>
      </c>
      <c r="BC169">
        <v>23424995</v>
      </c>
      <c r="BD169" t="s">
        <v>13496</v>
      </c>
      <c r="BE169" t="s">
        <v>13493</v>
      </c>
      <c r="BF169">
        <v>1</v>
      </c>
      <c r="BG169" t="s">
        <v>16021</v>
      </c>
      <c r="BH169" t="s">
        <v>13493</v>
      </c>
      <c r="BI169" t="s">
        <v>13493</v>
      </c>
      <c r="BJ169" t="s">
        <v>13493</v>
      </c>
      <c r="BK169" t="s">
        <v>13493</v>
      </c>
      <c r="BL169" t="s">
        <v>13493</v>
      </c>
      <c r="BM169" t="s">
        <v>13493</v>
      </c>
      <c r="BN169" t="s">
        <v>13493</v>
      </c>
      <c r="BO169" t="s">
        <v>13493</v>
      </c>
      <c r="BP169" t="s">
        <v>13493</v>
      </c>
      <c r="BQ169" t="s">
        <v>13493</v>
      </c>
      <c r="BR169" t="s">
        <v>13493</v>
      </c>
      <c r="BS169" t="s">
        <v>13493</v>
      </c>
      <c r="BT169" t="s">
        <v>13493</v>
      </c>
      <c r="BU169" t="s">
        <v>13493</v>
      </c>
      <c r="BV169" t="s">
        <v>13493</v>
      </c>
      <c r="BW169" t="s">
        <v>13493</v>
      </c>
      <c r="BX169" t="s">
        <v>13493</v>
      </c>
      <c r="BY169" t="s">
        <v>13493</v>
      </c>
      <c r="BZ169" t="s">
        <v>13493</v>
      </c>
      <c r="CA169" t="s">
        <v>13493</v>
      </c>
      <c r="CB169" t="s">
        <v>13493</v>
      </c>
      <c r="CC169" t="s">
        <v>13493</v>
      </c>
      <c r="CD169" t="s">
        <v>16021</v>
      </c>
      <c r="CE169" t="s">
        <v>13493</v>
      </c>
      <c r="CF169" t="s">
        <v>13493</v>
      </c>
      <c r="CG169" t="s">
        <v>13493</v>
      </c>
      <c r="CH169" t="s">
        <v>13493</v>
      </c>
      <c r="CI169" t="s">
        <v>13493</v>
      </c>
      <c r="CJ169" t="s">
        <v>13493</v>
      </c>
      <c r="CK169" t="s">
        <v>13493</v>
      </c>
      <c r="CL169" t="s">
        <v>13493</v>
      </c>
      <c r="CM169">
        <v>-99</v>
      </c>
      <c r="CN169">
        <v>-99</v>
      </c>
      <c r="CO169" t="s">
        <v>12255</v>
      </c>
      <c r="CP169" t="s">
        <v>12255</v>
      </c>
      <c r="CQ169" t="s">
        <v>12458</v>
      </c>
      <c r="CR169" t="s">
        <v>12281</v>
      </c>
      <c r="CS169">
        <v>9</v>
      </c>
      <c r="CT169">
        <v>15</v>
      </c>
      <c r="CU169">
        <v>6</v>
      </c>
      <c r="CV169">
        <v>-99</v>
      </c>
      <c r="CW169">
        <v>1</v>
      </c>
      <c r="CX169">
        <v>0</v>
      </c>
      <c r="CY169">
        <v>6</v>
      </c>
      <c r="CZ169">
        <v>10</v>
      </c>
      <c r="DA169">
        <v>33.692433999999999</v>
      </c>
      <c r="DB169">
        <v>35.216070999999999</v>
      </c>
      <c r="DC169">
        <v>1159320531</v>
      </c>
      <c r="DD169" t="s">
        <v>16028</v>
      </c>
      <c r="DE169" t="s">
        <v>16029</v>
      </c>
      <c r="DF169" t="s">
        <v>16030</v>
      </c>
      <c r="DG169" t="s">
        <v>16031</v>
      </c>
      <c r="DH169" t="s">
        <v>16024</v>
      </c>
      <c r="DI169" t="s">
        <v>16032</v>
      </c>
      <c r="DJ169" t="s">
        <v>16033</v>
      </c>
      <c r="DK169" t="s">
        <v>16034</v>
      </c>
      <c r="DL169" t="s">
        <v>16035</v>
      </c>
      <c r="DM169" t="s">
        <v>16036</v>
      </c>
      <c r="DN169" t="s">
        <v>16037</v>
      </c>
      <c r="DO169" t="s">
        <v>16038</v>
      </c>
      <c r="DP169" t="s">
        <v>16039</v>
      </c>
      <c r="DQ169" t="s">
        <v>16040</v>
      </c>
      <c r="DR169" t="s">
        <v>16041</v>
      </c>
      <c r="DS169" t="s">
        <v>16042</v>
      </c>
      <c r="DT169" t="s">
        <v>16043</v>
      </c>
      <c r="DU169" t="s">
        <v>16044</v>
      </c>
      <c r="DV169" t="s">
        <v>16045</v>
      </c>
      <c r="DW169" t="s">
        <v>16046</v>
      </c>
      <c r="DX169" t="s">
        <v>16047</v>
      </c>
      <c r="DY169" t="s">
        <v>16048</v>
      </c>
      <c r="DZ169" t="s">
        <v>16049</v>
      </c>
      <c r="EA169" t="s">
        <v>16050</v>
      </c>
      <c r="EB169" t="s">
        <v>16051</v>
      </c>
      <c r="EC169" t="s">
        <v>16052</v>
      </c>
      <c r="ED169" t="s">
        <v>16053</v>
      </c>
      <c r="EE169" t="s">
        <v>12505</v>
      </c>
      <c r="EF169">
        <v>1</v>
      </c>
      <c r="EG169" t="s">
        <v>12247</v>
      </c>
      <c r="EH169" t="s">
        <v>16054</v>
      </c>
      <c r="EI169" t="s">
        <v>12505</v>
      </c>
      <c r="EJ169" t="s">
        <v>12505</v>
      </c>
      <c r="EK169" t="s">
        <v>12505</v>
      </c>
      <c r="EL169" t="s">
        <v>12505</v>
      </c>
      <c r="EM169" t="s">
        <v>12505</v>
      </c>
      <c r="EN169" t="s">
        <v>12505</v>
      </c>
      <c r="EO169" t="s">
        <v>12505</v>
      </c>
      <c r="EP169" t="s">
        <v>12505</v>
      </c>
      <c r="EQ169" t="s">
        <v>12505</v>
      </c>
      <c r="ER169" t="s">
        <v>12505</v>
      </c>
      <c r="ES169" t="s">
        <v>12505</v>
      </c>
      <c r="ET169" t="s">
        <v>12505</v>
      </c>
      <c r="EU169" t="s">
        <v>12505</v>
      </c>
      <c r="EV169" t="s">
        <v>12505</v>
      </c>
      <c r="EW169" t="s">
        <v>12505</v>
      </c>
      <c r="EX169" t="s">
        <v>12505</v>
      </c>
      <c r="EY169" t="s">
        <v>12505</v>
      </c>
      <c r="EZ169" t="s">
        <v>12505</v>
      </c>
      <c r="FA169" t="s">
        <v>12505</v>
      </c>
      <c r="FB169" t="s">
        <v>12505</v>
      </c>
      <c r="FC169" t="s">
        <v>12505</v>
      </c>
      <c r="FD169" t="s">
        <v>12247</v>
      </c>
      <c r="FE169" t="s">
        <v>12505</v>
      </c>
      <c r="FF169" t="s">
        <v>12505</v>
      </c>
      <c r="FG169" t="s">
        <v>12505</v>
      </c>
      <c r="FH169" t="s">
        <v>12505</v>
      </c>
      <c r="FI169" t="s">
        <v>12505</v>
      </c>
      <c r="FJ169" t="s">
        <v>12505</v>
      </c>
      <c r="FK169" t="s">
        <v>12505</v>
      </c>
      <c r="FL169" t="s">
        <v>12505</v>
      </c>
    </row>
    <row r="170" spans="1:168" x14ac:dyDescent="0.25">
      <c r="A170" t="s">
        <v>120</v>
      </c>
      <c r="B170" t="s">
        <v>12247</v>
      </c>
      <c r="C170">
        <v>0</v>
      </c>
      <c r="D170">
        <v>3</v>
      </c>
      <c r="E170" t="s">
        <v>120</v>
      </c>
      <c r="F170" t="s">
        <v>15686</v>
      </c>
      <c r="G170">
        <v>0</v>
      </c>
      <c r="H170">
        <v>2</v>
      </c>
      <c r="I170" t="s">
        <v>12249</v>
      </c>
      <c r="J170">
        <v>1</v>
      </c>
      <c r="K170" t="s">
        <v>120</v>
      </c>
      <c r="L170" t="s">
        <v>15686</v>
      </c>
      <c r="M170">
        <v>0</v>
      </c>
      <c r="N170" t="s">
        <v>120</v>
      </c>
      <c r="O170" t="s">
        <v>15686</v>
      </c>
      <c r="P170">
        <v>0</v>
      </c>
      <c r="Q170" t="s">
        <v>120</v>
      </c>
      <c r="R170" t="s">
        <v>15686</v>
      </c>
      <c r="S170">
        <v>0</v>
      </c>
      <c r="T170" t="s">
        <v>120</v>
      </c>
      <c r="U170" t="s">
        <v>15686</v>
      </c>
      <c r="V170" t="s">
        <v>120</v>
      </c>
      <c r="X170" t="s">
        <v>15687</v>
      </c>
      <c r="Y170" t="s">
        <v>1730</v>
      </c>
      <c r="Z170" t="s">
        <v>15688</v>
      </c>
      <c r="AB170" t="s">
        <v>120</v>
      </c>
      <c r="AE170" t="s">
        <v>120</v>
      </c>
      <c r="AG170">
        <v>4</v>
      </c>
      <c r="AH170">
        <v>1</v>
      </c>
      <c r="AI170">
        <v>1</v>
      </c>
      <c r="AJ170">
        <v>7</v>
      </c>
      <c r="AK170">
        <v>2494530</v>
      </c>
      <c r="AL170">
        <v>12</v>
      </c>
      <c r="AM170">
        <v>2019</v>
      </c>
      <c r="AN170">
        <v>12366</v>
      </c>
      <c r="AO170">
        <v>2019</v>
      </c>
      <c r="AP170" t="s">
        <v>12277</v>
      </c>
      <c r="AQ170" t="s">
        <v>12305</v>
      </c>
      <c r="AR170" t="s">
        <v>15689</v>
      </c>
      <c r="AS170" t="s">
        <v>1730</v>
      </c>
      <c r="AT170" t="s">
        <v>1730</v>
      </c>
      <c r="AU170" t="s">
        <v>15686</v>
      </c>
      <c r="AV170" t="s">
        <v>15686</v>
      </c>
      <c r="AW170">
        <v>516</v>
      </c>
      <c r="AX170">
        <v>516</v>
      </c>
      <c r="AY170">
        <v>516</v>
      </c>
      <c r="AZ170" t="s">
        <v>1730</v>
      </c>
      <c r="BA170" t="s">
        <v>15686</v>
      </c>
      <c r="BB170">
        <v>23424987</v>
      </c>
      <c r="BC170">
        <v>23424987</v>
      </c>
      <c r="BD170" t="s">
        <v>12254</v>
      </c>
      <c r="BE170" t="s">
        <v>15686</v>
      </c>
      <c r="BG170" t="s">
        <v>15686</v>
      </c>
      <c r="BH170" t="s">
        <v>15686</v>
      </c>
      <c r="BI170" t="s">
        <v>15686</v>
      </c>
      <c r="BJ170" t="s">
        <v>15686</v>
      </c>
      <c r="BK170" t="s">
        <v>15686</v>
      </c>
      <c r="BL170" t="s">
        <v>15686</v>
      </c>
      <c r="BM170" t="s">
        <v>15686</v>
      </c>
      <c r="BN170" t="s">
        <v>15686</v>
      </c>
      <c r="BO170" t="s">
        <v>15686</v>
      </c>
      <c r="BP170" t="s">
        <v>15686</v>
      </c>
      <c r="BQ170" t="s">
        <v>15686</v>
      </c>
      <c r="BR170" t="s">
        <v>15686</v>
      </c>
      <c r="BS170" t="s">
        <v>15686</v>
      </c>
      <c r="BT170" t="s">
        <v>15686</v>
      </c>
      <c r="BU170" t="s">
        <v>15686</v>
      </c>
      <c r="BV170" t="s">
        <v>15686</v>
      </c>
      <c r="BW170" t="s">
        <v>15686</v>
      </c>
      <c r="BX170" t="s">
        <v>15686</v>
      </c>
      <c r="BY170" t="s">
        <v>15686</v>
      </c>
      <c r="BZ170" t="s">
        <v>15686</v>
      </c>
      <c r="CA170" t="s">
        <v>15686</v>
      </c>
      <c r="CB170" t="s">
        <v>15686</v>
      </c>
      <c r="CC170" t="s">
        <v>15686</v>
      </c>
      <c r="CD170" t="s">
        <v>15686</v>
      </c>
      <c r="CE170" t="s">
        <v>15686</v>
      </c>
      <c r="CF170" t="s">
        <v>15686</v>
      </c>
      <c r="CG170" t="s">
        <v>15686</v>
      </c>
      <c r="CH170" t="s">
        <v>15686</v>
      </c>
      <c r="CI170" t="s">
        <v>15686</v>
      </c>
      <c r="CJ170" t="s">
        <v>15686</v>
      </c>
      <c r="CK170" t="s">
        <v>15686</v>
      </c>
      <c r="CL170" t="s">
        <v>15686</v>
      </c>
      <c r="CM170">
        <v>-99</v>
      </c>
      <c r="CN170">
        <v>-99</v>
      </c>
      <c r="CO170" t="s">
        <v>12306</v>
      </c>
      <c r="CP170" t="s">
        <v>12306</v>
      </c>
      <c r="CQ170" t="s">
        <v>12956</v>
      </c>
      <c r="CR170" t="s">
        <v>12357</v>
      </c>
      <c r="CS170">
        <v>7</v>
      </c>
      <c r="CT170">
        <v>7</v>
      </c>
      <c r="CU170">
        <v>4</v>
      </c>
      <c r="CV170">
        <v>-99</v>
      </c>
      <c r="CW170">
        <v>1</v>
      </c>
      <c r="CX170">
        <v>0</v>
      </c>
      <c r="CY170">
        <v>3</v>
      </c>
      <c r="CZ170">
        <v>7.5</v>
      </c>
      <c r="DA170">
        <v>17.108166000000001</v>
      </c>
      <c r="DB170">
        <v>-20.575298</v>
      </c>
      <c r="DC170">
        <v>1159321085</v>
      </c>
      <c r="DD170" t="s">
        <v>15690</v>
      </c>
      <c r="DE170" t="s">
        <v>15691</v>
      </c>
      <c r="DF170" t="s">
        <v>15692</v>
      </c>
      <c r="DG170" t="s">
        <v>120</v>
      </c>
      <c r="DH170" t="s">
        <v>120</v>
      </c>
      <c r="DI170" t="s">
        <v>120</v>
      </c>
      <c r="DJ170" t="s">
        <v>15693</v>
      </c>
      <c r="DK170" t="s">
        <v>15694</v>
      </c>
      <c r="DL170" t="s">
        <v>15695</v>
      </c>
      <c r="DM170" t="s">
        <v>15696</v>
      </c>
      <c r="DN170" t="s">
        <v>15697</v>
      </c>
      <c r="DO170" t="s">
        <v>15698</v>
      </c>
      <c r="DP170" t="s">
        <v>120</v>
      </c>
      <c r="DQ170" t="s">
        <v>120</v>
      </c>
      <c r="DR170" t="s">
        <v>15699</v>
      </c>
      <c r="DS170" t="s">
        <v>15700</v>
      </c>
      <c r="DT170" t="s">
        <v>15701</v>
      </c>
      <c r="DU170" t="s">
        <v>120</v>
      </c>
      <c r="DV170" t="s">
        <v>15698</v>
      </c>
      <c r="DW170" t="s">
        <v>15702</v>
      </c>
      <c r="DX170" t="s">
        <v>120</v>
      </c>
      <c r="DY170" t="s">
        <v>15703</v>
      </c>
      <c r="DZ170" t="s">
        <v>15704</v>
      </c>
      <c r="EA170" t="s">
        <v>15705</v>
      </c>
      <c r="EB170" t="s">
        <v>120</v>
      </c>
      <c r="EC170" t="s">
        <v>15706</v>
      </c>
      <c r="ED170" t="s">
        <v>15707</v>
      </c>
      <c r="EE170" t="s">
        <v>12247</v>
      </c>
      <c r="EG170" t="s">
        <v>12247</v>
      </c>
    </row>
    <row r="171" spans="1:168" x14ac:dyDescent="0.25">
      <c r="A171" t="s">
        <v>121</v>
      </c>
      <c r="B171" t="s">
        <v>12247</v>
      </c>
      <c r="C171">
        <v>5</v>
      </c>
      <c r="D171">
        <v>6</v>
      </c>
      <c r="E171" t="s">
        <v>121</v>
      </c>
      <c r="F171" t="s">
        <v>15708</v>
      </c>
      <c r="G171">
        <v>0</v>
      </c>
      <c r="H171">
        <v>2</v>
      </c>
      <c r="I171" t="s">
        <v>12249</v>
      </c>
      <c r="J171">
        <v>1</v>
      </c>
      <c r="K171" t="s">
        <v>121</v>
      </c>
      <c r="L171" t="s">
        <v>15708</v>
      </c>
      <c r="M171">
        <v>0</v>
      </c>
      <c r="N171" t="s">
        <v>121</v>
      </c>
      <c r="O171" t="s">
        <v>15708</v>
      </c>
      <c r="P171">
        <v>0</v>
      </c>
      <c r="Q171" t="s">
        <v>121</v>
      </c>
      <c r="R171" t="s">
        <v>15708</v>
      </c>
      <c r="S171">
        <v>0</v>
      </c>
      <c r="T171" t="s">
        <v>121</v>
      </c>
      <c r="U171" t="s">
        <v>15708</v>
      </c>
      <c r="V171" t="s">
        <v>121</v>
      </c>
      <c r="X171" t="s">
        <v>121</v>
      </c>
      <c r="Y171" t="s">
        <v>1757</v>
      </c>
      <c r="Z171" t="s">
        <v>15709</v>
      </c>
      <c r="AB171" t="s">
        <v>121</v>
      </c>
      <c r="AE171" t="s">
        <v>121</v>
      </c>
      <c r="AG171">
        <v>3</v>
      </c>
      <c r="AH171">
        <v>7</v>
      </c>
      <c r="AI171">
        <v>6</v>
      </c>
      <c r="AJ171">
        <v>9</v>
      </c>
      <c r="AK171">
        <v>12581</v>
      </c>
      <c r="AL171">
        <v>6</v>
      </c>
      <c r="AM171">
        <v>2019</v>
      </c>
      <c r="AN171">
        <v>118</v>
      </c>
      <c r="AO171">
        <v>2019</v>
      </c>
      <c r="AP171" t="s">
        <v>12277</v>
      </c>
      <c r="AQ171" t="s">
        <v>12278</v>
      </c>
      <c r="AR171" t="s">
        <v>1757</v>
      </c>
      <c r="AS171" t="s">
        <v>1757</v>
      </c>
      <c r="AT171" t="s">
        <v>1757</v>
      </c>
      <c r="AU171" t="s">
        <v>15708</v>
      </c>
      <c r="AV171" t="s">
        <v>15708</v>
      </c>
      <c r="AW171">
        <v>520</v>
      </c>
      <c r="AX171">
        <v>520</v>
      </c>
      <c r="AY171">
        <v>520</v>
      </c>
      <c r="AZ171">
        <v>-99</v>
      </c>
      <c r="BA171">
        <v>-99</v>
      </c>
      <c r="BB171">
        <v>23424912</v>
      </c>
      <c r="BC171">
        <v>23424912</v>
      </c>
      <c r="BD171" t="s">
        <v>12254</v>
      </c>
      <c r="BE171" t="s">
        <v>15708</v>
      </c>
      <c r="BG171" t="s">
        <v>15708</v>
      </c>
      <c r="BH171" t="s">
        <v>15708</v>
      </c>
      <c r="BI171" t="s">
        <v>15708</v>
      </c>
      <c r="BJ171" t="s">
        <v>15708</v>
      </c>
      <c r="BK171" t="s">
        <v>15708</v>
      </c>
      <c r="BL171" t="s">
        <v>15708</v>
      </c>
      <c r="BM171" t="s">
        <v>15708</v>
      </c>
      <c r="BN171" t="s">
        <v>15708</v>
      </c>
      <c r="BO171" t="s">
        <v>15708</v>
      </c>
      <c r="BP171" t="s">
        <v>15708</v>
      </c>
      <c r="BQ171" t="s">
        <v>15708</v>
      </c>
      <c r="BR171" t="s">
        <v>15708</v>
      </c>
      <c r="BS171" t="s">
        <v>15708</v>
      </c>
      <c r="BT171" t="s">
        <v>15708</v>
      </c>
      <c r="BU171" t="s">
        <v>15708</v>
      </c>
      <c r="BV171" t="s">
        <v>15708</v>
      </c>
      <c r="BW171" t="s">
        <v>15708</v>
      </c>
      <c r="BX171" t="s">
        <v>15708</v>
      </c>
      <c r="BY171" t="s">
        <v>15708</v>
      </c>
      <c r="BZ171" t="s">
        <v>15708</v>
      </c>
      <c r="CA171" t="s">
        <v>15708</v>
      </c>
      <c r="CB171" t="s">
        <v>15708</v>
      </c>
      <c r="CC171" t="s">
        <v>15708</v>
      </c>
      <c r="CD171" t="s">
        <v>15708</v>
      </c>
      <c r="CE171" t="s">
        <v>15708</v>
      </c>
      <c r="CF171" t="s">
        <v>15708</v>
      </c>
      <c r="CG171" t="s">
        <v>15708</v>
      </c>
      <c r="CH171" t="s">
        <v>15708</v>
      </c>
      <c r="CI171" t="s">
        <v>15708</v>
      </c>
      <c r="CJ171" t="s">
        <v>15708</v>
      </c>
      <c r="CK171" t="s">
        <v>15708</v>
      </c>
      <c r="CL171" t="s">
        <v>15708</v>
      </c>
      <c r="CM171">
        <v>-99</v>
      </c>
      <c r="CN171">
        <v>-99</v>
      </c>
      <c r="CO171" t="s">
        <v>12537</v>
      </c>
      <c r="CP171" t="s">
        <v>12537</v>
      </c>
      <c r="CQ171" t="s">
        <v>13998</v>
      </c>
      <c r="CR171" t="s">
        <v>12539</v>
      </c>
      <c r="CS171">
        <v>5</v>
      </c>
      <c r="CT171">
        <v>5</v>
      </c>
      <c r="CU171">
        <v>5</v>
      </c>
      <c r="CV171">
        <v>3</v>
      </c>
      <c r="CW171">
        <v>1</v>
      </c>
      <c r="CX171">
        <v>0</v>
      </c>
      <c r="CY171">
        <v>5</v>
      </c>
      <c r="CZ171">
        <v>10</v>
      </c>
      <c r="DA171">
        <v>166.93264400000001</v>
      </c>
      <c r="DB171">
        <v>-0.52026099999999997</v>
      </c>
      <c r="DC171">
        <v>1159321123</v>
      </c>
      <c r="DD171" t="s">
        <v>15710</v>
      </c>
      <c r="DE171" t="s">
        <v>15711</v>
      </c>
      <c r="DF171" t="s">
        <v>15712</v>
      </c>
      <c r="DG171" t="s">
        <v>121</v>
      </c>
      <c r="DH171" t="s">
        <v>121</v>
      </c>
      <c r="DI171" t="s">
        <v>121</v>
      </c>
      <c r="DJ171" t="s">
        <v>15713</v>
      </c>
      <c r="DK171" t="s">
        <v>121</v>
      </c>
      <c r="DL171" t="s">
        <v>15714</v>
      </c>
      <c r="DM171" t="s">
        <v>15715</v>
      </c>
      <c r="DN171" t="s">
        <v>15716</v>
      </c>
      <c r="DO171" t="s">
        <v>121</v>
      </c>
      <c r="DP171" t="s">
        <v>121</v>
      </c>
      <c r="DQ171" t="s">
        <v>121</v>
      </c>
      <c r="DR171" t="s">
        <v>15717</v>
      </c>
      <c r="DS171" t="s">
        <v>15718</v>
      </c>
      <c r="DT171" t="s">
        <v>121</v>
      </c>
      <c r="DU171" t="s">
        <v>121</v>
      </c>
      <c r="DV171" t="s">
        <v>121</v>
      </c>
      <c r="DW171" t="s">
        <v>15719</v>
      </c>
      <c r="DX171" t="s">
        <v>121</v>
      </c>
      <c r="DY171" t="s">
        <v>121</v>
      </c>
      <c r="DZ171" t="s">
        <v>15719</v>
      </c>
      <c r="EA171" t="s">
        <v>15711</v>
      </c>
      <c r="EB171" t="s">
        <v>121</v>
      </c>
      <c r="EC171" t="s">
        <v>15720</v>
      </c>
      <c r="ED171" t="s">
        <v>15721</v>
      </c>
      <c r="EE171" t="s">
        <v>12247</v>
      </c>
      <c r="EG171" t="s">
        <v>12247</v>
      </c>
    </row>
    <row r="172" spans="1:168" x14ac:dyDescent="0.25">
      <c r="A172" t="s">
        <v>122</v>
      </c>
      <c r="B172" t="s">
        <v>12247</v>
      </c>
      <c r="C172">
        <v>0</v>
      </c>
      <c r="D172">
        <v>3</v>
      </c>
      <c r="E172" t="s">
        <v>122</v>
      </c>
      <c r="F172" t="s">
        <v>15722</v>
      </c>
      <c r="G172">
        <v>0</v>
      </c>
      <c r="H172">
        <v>2</v>
      </c>
      <c r="I172" t="s">
        <v>12249</v>
      </c>
      <c r="J172">
        <v>1</v>
      </c>
      <c r="K172" t="s">
        <v>122</v>
      </c>
      <c r="L172" t="s">
        <v>15722</v>
      </c>
      <c r="M172">
        <v>0</v>
      </c>
      <c r="N172" t="s">
        <v>122</v>
      </c>
      <c r="O172" t="s">
        <v>15722</v>
      </c>
      <c r="P172">
        <v>0</v>
      </c>
      <c r="Q172" t="s">
        <v>122</v>
      </c>
      <c r="R172" t="s">
        <v>15722</v>
      </c>
      <c r="S172">
        <v>0</v>
      </c>
      <c r="T172" t="s">
        <v>122</v>
      </c>
      <c r="U172" t="s">
        <v>15722</v>
      </c>
      <c r="V172" t="s">
        <v>122</v>
      </c>
      <c r="X172" t="s">
        <v>122</v>
      </c>
      <c r="Y172" t="s">
        <v>1754</v>
      </c>
      <c r="Z172" t="s">
        <v>122</v>
      </c>
      <c r="AB172" t="s">
        <v>122</v>
      </c>
      <c r="AE172" t="s">
        <v>122</v>
      </c>
      <c r="AG172">
        <v>2</v>
      </c>
      <c r="AH172">
        <v>2</v>
      </c>
      <c r="AI172">
        <v>3</v>
      </c>
      <c r="AJ172">
        <v>12</v>
      </c>
      <c r="AK172">
        <v>28608710</v>
      </c>
      <c r="AL172">
        <v>15</v>
      </c>
      <c r="AM172">
        <v>2019</v>
      </c>
      <c r="AN172">
        <v>30641</v>
      </c>
      <c r="AO172">
        <v>2019</v>
      </c>
      <c r="AP172" t="s">
        <v>12252</v>
      </c>
      <c r="AQ172" t="s">
        <v>12253</v>
      </c>
      <c r="AR172" t="s">
        <v>1754</v>
      </c>
      <c r="AS172" t="s">
        <v>1754</v>
      </c>
      <c r="AT172" t="s">
        <v>1754</v>
      </c>
      <c r="AU172" t="s">
        <v>15722</v>
      </c>
      <c r="AV172" t="s">
        <v>15722</v>
      </c>
      <c r="AW172">
        <v>524</v>
      </c>
      <c r="AX172">
        <v>524</v>
      </c>
      <c r="AY172">
        <v>524</v>
      </c>
      <c r="AZ172" t="s">
        <v>1754</v>
      </c>
      <c r="BA172" t="s">
        <v>15722</v>
      </c>
      <c r="BB172">
        <v>23424911</v>
      </c>
      <c r="BC172">
        <v>23424911</v>
      </c>
      <c r="BD172" t="s">
        <v>12254</v>
      </c>
      <c r="BE172" t="s">
        <v>15722</v>
      </c>
      <c r="BG172" t="s">
        <v>15722</v>
      </c>
      <c r="BH172" t="s">
        <v>15722</v>
      </c>
      <c r="BI172" t="s">
        <v>15722</v>
      </c>
      <c r="BJ172" t="s">
        <v>15722</v>
      </c>
      <c r="BK172" t="s">
        <v>15722</v>
      </c>
      <c r="BL172" t="s">
        <v>15722</v>
      </c>
      <c r="BM172" t="s">
        <v>15722</v>
      </c>
      <c r="BN172" t="s">
        <v>15722</v>
      </c>
      <c r="BO172" t="s">
        <v>15722</v>
      </c>
      <c r="BP172" t="s">
        <v>15722</v>
      </c>
      <c r="BQ172" t="s">
        <v>15722</v>
      </c>
      <c r="BR172" t="s">
        <v>15722</v>
      </c>
      <c r="BS172" t="s">
        <v>15722</v>
      </c>
      <c r="BT172" t="s">
        <v>15722</v>
      </c>
      <c r="BU172" t="s">
        <v>15722</v>
      </c>
      <c r="BV172" t="s">
        <v>15722</v>
      </c>
      <c r="BW172" t="s">
        <v>15722</v>
      </c>
      <c r="BX172" t="s">
        <v>15722</v>
      </c>
      <c r="BY172" t="s">
        <v>15722</v>
      </c>
      <c r="BZ172" t="s">
        <v>15722</v>
      </c>
      <c r="CA172" t="s">
        <v>15722</v>
      </c>
      <c r="CB172" t="s">
        <v>15722</v>
      </c>
      <c r="CC172" t="s">
        <v>15722</v>
      </c>
      <c r="CD172" t="s">
        <v>15722</v>
      </c>
      <c r="CE172" t="s">
        <v>15722</v>
      </c>
      <c r="CF172" t="s">
        <v>15722</v>
      </c>
      <c r="CG172" t="s">
        <v>15722</v>
      </c>
      <c r="CH172" t="s">
        <v>15722</v>
      </c>
      <c r="CI172" t="s">
        <v>15722</v>
      </c>
      <c r="CJ172" t="s">
        <v>15722</v>
      </c>
      <c r="CK172" t="s">
        <v>15722</v>
      </c>
      <c r="CL172" t="s">
        <v>15722</v>
      </c>
      <c r="CM172">
        <v>-99</v>
      </c>
      <c r="CN172">
        <v>-99</v>
      </c>
      <c r="CO172" t="s">
        <v>12255</v>
      </c>
      <c r="CP172" t="s">
        <v>12255</v>
      </c>
      <c r="CQ172" t="s">
        <v>12256</v>
      </c>
      <c r="CR172" t="s">
        <v>12257</v>
      </c>
      <c r="CS172">
        <v>5</v>
      </c>
      <c r="CT172">
        <v>5</v>
      </c>
      <c r="CU172">
        <v>5</v>
      </c>
      <c r="CV172">
        <v>-99</v>
      </c>
      <c r="CW172">
        <v>1</v>
      </c>
      <c r="CX172">
        <v>0</v>
      </c>
      <c r="CY172">
        <v>3</v>
      </c>
      <c r="CZ172">
        <v>8</v>
      </c>
      <c r="DA172">
        <v>83.639914000000005</v>
      </c>
      <c r="DB172">
        <v>28.297924999999999</v>
      </c>
      <c r="DC172">
        <v>1159321121</v>
      </c>
      <c r="DD172" t="s">
        <v>15723</v>
      </c>
      <c r="DE172" t="s">
        <v>15724</v>
      </c>
      <c r="DF172" t="s">
        <v>15725</v>
      </c>
      <c r="DG172" t="s">
        <v>122</v>
      </c>
      <c r="DH172" t="s">
        <v>122</v>
      </c>
      <c r="DI172" t="s">
        <v>122</v>
      </c>
      <c r="DJ172" t="s">
        <v>15726</v>
      </c>
      <c r="DK172" t="s">
        <v>15727</v>
      </c>
      <c r="DL172" t="s">
        <v>15728</v>
      </c>
      <c r="DM172" t="s">
        <v>15729</v>
      </c>
      <c r="DN172" t="s">
        <v>15730</v>
      </c>
      <c r="DO172" t="s">
        <v>15731</v>
      </c>
      <c r="DP172" t="s">
        <v>122</v>
      </c>
      <c r="DQ172" t="s">
        <v>122</v>
      </c>
      <c r="DR172" t="s">
        <v>15732</v>
      </c>
      <c r="DS172" t="s">
        <v>15733</v>
      </c>
      <c r="DT172" t="s">
        <v>122</v>
      </c>
      <c r="DU172" t="s">
        <v>122</v>
      </c>
      <c r="DV172" t="s">
        <v>122</v>
      </c>
      <c r="DW172" t="s">
        <v>15734</v>
      </c>
      <c r="DX172" t="s">
        <v>122</v>
      </c>
      <c r="DY172" t="s">
        <v>122</v>
      </c>
      <c r="DZ172" t="s">
        <v>15734</v>
      </c>
      <c r="EA172" t="s">
        <v>15735</v>
      </c>
      <c r="EB172" t="s">
        <v>122</v>
      </c>
      <c r="EC172" t="s">
        <v>15736</v>
      </c>
      <c r="ED172" t="s">
        <v>15737</v>
      </c>
      <c r="EE172" t="s">
        <v>12247</v>
      </c>
      <c r="EG172" t="s">
        <v>12247</v>
      </c>
    </row>
    <row r="173" spans="1:168" x14ac:dyDescent="0.25">
      <c r="A173" t="s">
        <v>123</v>
      </c>
      <c r="B173" t="s">
        <v>12247</v>
      </c>
      <c r="C173">
        <v>0</v>
      </c>
      <c r="D173">
        <v>5</v>
      </c>
      <c r="E173" t="s">
        <v>123</v>
      </c>
      <c r="F173" t="s">
        <v>12583</v>
      </c>
      <c r="G173">
        <v>1</v>
      </c>
      <c r="H173">
        <v>2</v>
      </c>
      <c r="I173" t="s">
        <v>12507</v>
      </c>
      <c r="J173">
        <v>1</v>
      </c>
      <c r="K173" t="s">
        <v>123</v>
      </c>
      <c r="L173" t="s">
        <v>17558</v>
      </c>
      <c r="M173">
        <v>0</v>
      </c>
      <c r="N173" t="s">
        <v>123</v>
      </c>
      <c r="O173" t="s">
        <v>17558</v>
      </c>
      <c r="P173">
        <v>0</v>
      </c>
      <c r="Q173" t="s">
        <v>123</v>
      </c>
      <c r="R173" t="s">
        <v>17558</v>
      </c>
      <c r="S173">
        <v>0</v>
      </c>
      <c r="T173" t="s">
        <v>123</v>
      </c>
      <c r="U173" t="s">
        <v>17558</v>
      </c>
      <c r="V173" t="s">
        <v>123</v>
      </c>
      <c r="X173" t="s">
        <v>12585</v>
      </c>
      <c r="Y173" t="s">
        <v>1748</v>
      </c>
      <c r="Z173" t="s">
        <v>17559</v>
      </c>
      <c r="AB173" t="s">
        <v>123</v>
      </c>
      <c r="AE173" t="s">
        <v>123</v>
      </c>
      <c r="AG173">
        <v>4</v>
      </c>
      <c r="AH173">
        <v>2</v>
      </c>
      <c r="AI173">
        <v>2</v>
      </c>
      <c r="AJ173">
        <v>9</v>
      </c>
      <c r="AK173">
        <v>17332850</v>
      </c>
      <c r="AL173">
        <v>14</v>
      </c>
      <c r="AM173">
        <v>2019</v>
      </c>
      <c r="AN173">
        <v>907050</v>
      </c>
      <c r="AO173">
        <v>2019</v>
      </c>
      <c r="AP173" t="s">
        <v>12334</v>
      </c>
      <c r="AQ173" t="s">
        <v>12513</v>
      </c>
      <c r="AR173" t="s">
        <v>1748</v>
      </c>
      <c r="AS173" t="s">
        <v>1748</v>
      </c>
      <c r="AT173" t="s">
        <v>1748</v>
      </c>
      <c r="AU173" t="s">
        <v>17558</v>
      </c>
      <c r="AV173" t="s">
        <v>17558</v>
      </c>
      <c r="AW173">
        <v>528</v>
      </c>
      <c r="AX173">
        <v>528</v>
      </c>
      <c r="AY173">
        <v>528</v>
      </c>
      <c r="AZ173" t="s">
        <v>1748</v>
      </c>
      <c r="BA173" t="s">
        <v>17558</v>
      </c>
      <c r="BB173">
        <v>-90</v>
      </c>
      <c r="BC173">
        <v>23424909</v>
      </c>
      <c r="BD173" t="s">
        <v>17560</v>
      </c>
      <c r="BE173" t="s">
        <v>17558</v>
      </c>
      <c r="BG173" t="s">
        <v>17558</v>
      </c>
      <c r="BH173" t="s">
        <v>17558</v>
      </c>
      <c r="BI173" t="s">
        <v>17558</v>
      </c>
      <c r="BJ173" t="s">
        <v>17558</v>
      </c>
      <c r="BK173" t="s">
        <v>17558</v>
      </c>
      <c r="BL173" t="s">
        <v>17558</v>
      </c>
      <c r="BM173" t="s">
        <v>17558</v>
      </c>
      <c r="BN173" t="s">
        <v>17558</v>
      </c>
      <c r="BO173" t="s">
        <v>17558</v>
      </c>
      <c r="BP173" t="s">
        <v>17558</v>
      </c>
      <c r="BQ173" t="s">
        <v>17558</v>
      </c>
      <c r="BR173" t="s">
        <v>17558</v>
      </c>
      <c r="BS173" t="s">
        <v>17558</v>
      </c>
      <c r="BT173" t="s">
        <v>17558</v>
      </c>
      <c r="BU173" t="s">
        <v>17558</v>
      </c>
      <c r="BV173" t="s">
        <v>17558</v>
      </c>
      <c r="BW173" t="s">
        <v>17558</v>
      </c>
      <c r="BX173" t="s">
        <v>17558</v>
      </c>
      <c r="BY173" t="s">
        <v>17558</v>
      </c>
      <c r="BZ173" t="s">
        <v>17558</v>
      </c>
      <c r="CA173" t="s">
        <v>17558</v>
      </c>
      <c r="CB173" t="s">
        <v>17558</v>
      </c>
      <c r="CC173" t="s">
        <v>17558</v>
      </c>
      <c r="CD173" t="s">
        <v>17558</v>
      </c>
      <c r="CE173" t="s">
        <v>17558</v>
      </c>
      <c r="CF173" t="s">
        <v>17558</v>
      </c>
      <c r="CG173" t="s">
        <v>17558</v>
      </c>
      <c r="CH173" t="s">
        <v>17558</v>
      </c>
      <c r="CI173" t="s">
        <v>17558</v>
      </c>
      <c r="CJ173" t="s">
        <v>17558</v>
      </c>
      <c r="CK173" t="s">
        <v>17558</v>
      </c>
      <c r="CL173" t="s">
        <v>17558</v>
      </c>
      <c r="CM173">
        <v>-99</v>
      </c>
      <c r="CN173">
        <v>-99</v>
      </c>
      <c r="CO173" t="s">
        <v>12279</v>
      </c>
      <c r="CP173" t="s">
        <v>12279</v>
      </c>
      <c r="CQ173" t="s">
        <v>12640</v>
      </c>
      <c r="CR173" t="s">
        <v>12281</v>
      </c>
      <c r="CS173">
        <v>11</v>
      </c>
      <c r="CT173">
        <v>11</v>
      </c>
      <c r="CU173">
        <v>5</v>
      </c>
      <c r="CV173">
        <v>-99</v>
      </c>
      <c r="CW173">
        <v>1</v>
      </c>
      <c r="CX173">
        <v>0</v>
      </c>
      <c r="CY173">
        <v>4</v>
      </c>
      <c r="CZ173">
        <v>10</v>
      </c>
      <c r="DA173">
        <v>5.61144</v>
      </c>
      <c r="DB173">
        <v>52.422210999999997</v>
      </c>
      <c r="DC173">
        <v>1159321101</v>
      </c>
      <c r="DD173" t="s">
        <v>17561</v>
      </c>
      <c r="DE173" t="s">
        <v>17562</v>
      </c>
      <c r="DF173" t="s">
        <v>17563</v>
      </c>
      <c r="DG173" t="s">
        <v>17564</v>
      </c>
      <c r="DH173" t="s">
        <v>123</v>
      </c>
      <c r="DI173" t="s">
        <v>17565</v>
      </c>
      <c r="DJ173" t="s">
        <v>17566</v>
      </c>
      <c r="DK173" t="s">
        <v>17567</v>
      </c>
      <c r="DL173" t="s">
        <v>17568</v>
      </c>
      <c r="DM173" t="s">
        <v>17569</v>
      </c>
      <c r="DN173" t="s">
        <v>17570</v>
      </c>
      <c r="DO173" t="s">
        <v>17571</v>
      </c>
      <c r="DP173" t="s">
        <v>17572</v>
      </c>
      <c r="DQ173" t="s">
        <v>17573</v>
      </c>
      <c r="DR173" t="s">
        <v>17574</v>
      </c>
      <c r="DS173" t="s">
        <v>17575</v>
      </c>
      <c r="DT173" t="s">
        <v>17576</v>
      </c>
      <c r="DU173" t="s">
        <v>17577</v>
      </c>
      <c r="DV173" t="s">
        <v>17578</v>
      </c>
      <c r="DW173" t="s">
        <v>17579</v>
      </c>
      <c r="DX173" t="s">
        <v>17580</v>
      </c>
      <c r="DY173" t="s">
        <v>17581</v>
      </c>
      <c r="DZ173" t="s">
        <v>17582</v>
      </c>
      <c r="EA173" t="s">
        <v>17583</v>
      </c>
      <c r="EB173" t="s">
        <v>17584</v>
      </c>
      <c r="EC173" t="s">
        <v>17585</v>
      </c>
      <c r="ED173" t="s">
        <v>17586</v>
      </c>
      <c r="EE173" t="s">
        <v>12247</v>
      </c>
      <c r="EG173" t="s">
        <v>12247</v>
      </c>
    </row>
    <row r="174" spans="1:168" x14ac:dyDescent="0.25">
      <c r="A174" t="s">
        <v>1224</v>
      </c>
      <c r="B174" t="s">
        <v>12247</v>
      </c>
      <c r="C174">
        <v>1</v>
      </c>
      <c r="D174">
        <v>3</v>
      </c>
      <c r="E174" t="s">
        <v>58</v>
      </c>
      <c r="F174" t="s">
        <v>13674</v>
      </c>
      <c r="G174">
        <v>1</v>
      </c>
      <c r="H174">
        <v>2</v>
      </c>
      <c r="I174" t="s">
        <v>12480</v>
      </c>
      <c r="J174">
        <v>1</v>
      </c>
      <c r="K174" t="s">
        <v>1224</v>
      </c>
      <c r="L174" t="s">
        <v>17587</v>
      </c>
      <c r="M174">
        <v>0</v>
      </c>
      <c r="N174" t="s">
        <v>1224</v>
      </c>
      <c r="O174" t="s">
        <v>17587</v>
      </c>
      <c r="P174">
        <v>0</v>
      </c>
      <c r="Q174" t="s">
        <v>1224</v>
      </c>
      <c r="R174" t="s">
        <v>17587</v>
      </c>
      <c r="S174">
        <v>0</v>
      </c>
      <c r="T174" t="s">
        <v>1224</v>
      </c>
      <c r="U174" t="s">
        <v>17587</v>
      </c>
      <c r="V174" t="s">
        <v>1224</v>
      </c>
      <c r="X174" t="s">
        <v>17588</v>
      </c>
      <c r="Y174" t="s">
        <v>1733</v>
      </c>
      <c r="Z174" t="s">
        <v>1224</v>
      </c>
      <c r="AA174" t="s">
        <v>17589</v>
      </c>
      <c r="AB174" t="s">
        <v>1224</v>
      </c>
      <c r="AC174" t="s">
        <v>13679</v>
      </c>
      <c r="AE174" t="s">
        <v>1224</v>
      </c>
      <c r="AG174">
        <v>7</v>
      </c>
      <c r="AH174">
        <v>5</v>
      </c>
      <c r="AI174">
        <v>9</v>
      </c>
      <c r="AJ174">
        <v>11</v>
      </c>
      <c r="AK174">
        <v>287800</v>
      </c>
      <c r="AL174">
        <v>10</v>
      </c>
      <c r="AM174">
        <v>2019</v>
      </c>
      <c r="AN174">
        <v>10770</v>
      </c>
      <c r="AO174">
        <v>2016</v>
      </c>
      <c r="AP174" t="s">
        <v>12277</v>
      </c>
      <c r="AQ174" t="s">
        <v>12335</v>
      </c>
      <c r="AR174" t="s">
        <v>1733</v>
      </c>
      <c r="AS174" t="s">
        <v>1733</v>
      </c>
      <c r="AT174" t="s">
        <v>1733</v>
      </c>
      <c r="AU174" t="s">
        <v>17587</v>
      </c>
      <c r="AV174" t="s">
        <v>17587</v>
      </c>
      <c r="AW174">
        <v>540</v>
      </c>
      <c r="AX174">
        <v>540</v>
      </c>
      <c r="AY174">
        <v>540</v>
      </c>
      <c r="AZ174" t="s">
        <v>1733</v>
      </c>
      <c r="BA174" t="s">
        <v>17587</v>
      </c>
      <c r="BB174">
        <v>23424903</v>
      </c>
      <c r="BC174">
        <v>23424903</v>
      </c>
      <c r="BD174" t="s">
        <v>12254</v>
      </c>
      <c r="BE174" t="s">
        <v>17587</v>
      </c>
      <c r="BG174" t="s">
        <v>17587</v>
      </c>
      <c r="BH174" t="s">
        <v>17587</v>
      </c>
      <c r="BI174" t="s">
        <v>17587</v>
      </c>
      <c r="BJ174" t="s">
        <v>17587</v>
      </c>
      <c r="BK174" t="s">
        <v>17587</v>
      </c>
      <c r="BL174" t="s">
        <v>17587</v>
      </c>
      <c r="BM174" t="s">
        <v>17587</v>
      </c>
      <c r="BN174" t="s">
        <v>17587</v>
      </c>
      <c r="BO174" t="s">
        <v>17587</v>
      </c>
      <c r="BP174" t="s">
        <v>17587</v>
      </c>
      <c r="BQ174" t="s">
        <v>17587</v>
      </c>
      <c r="BR174" t="s">
        <v>17587</v>
      </c>
      <c r="BS174" t="s">
        <v>17587</v>
      </c>
      <c r="BT174" t="s">
        <v>17587</v>
      </c>
      <c r="BU174" t="s">
        <v>17587</v>
      </c>
      <c r="BV174" t="s">
        <v>17587</v>
      </c>
      <c r="BW174" t="s">
        <v>17587</v>
      </c>
      <c r="BX174" t="s">
        <v>17587</v>
      </c>
      <c r="BY174" t="s">
        <v>17587</v>
      </c>
      <c r="BZ174" t="s">
        <v>17587</v>
      </c>
      <c r="CA174" t="s">
        <v>17587</v>
      </c>
      <c r="CB174" t="s">
        <v>17587</v>
      </c>
      <c r="CC174" t="s">
        <v>17587</v>
      </c>
      <c r="CD174" t="s">
        <v>17587</v>
      </c>
      <c r="CE174" t="s">
        <v>17587</v>
      </c>
      <c r="CF174" t="s">
        <v>17587</v>
      </c>
      <c r="CG174" t="s">
        <v>17587</v>
      </c>
      <c r="CH174" t="s">
        <v>17587</v>
      </c>
      <c r="CI174" t="s">
        <v>17587</v>
      </c>
      <c r="CJ174" t="s">
        <v>17587</v>
      </c>
      <c r="CK174" t="s">
        <v>17587</v>
      </c>
      <c r="CL174" t="s">
        <v>17587</v>
      </c>
      <c r="CM174">
        <v>-99</v>
      </c>
      <c r="CN174">
        <v>-99</v>
      </c>
      <c r="CO174" t="s">
        <v>12537</v>
      </c>
      <c r="CP174" t="s">
        <v>12537</v>
      </c>
      <c r="CQ174" t="s">
        <v>14027</v>
      </c>
      <c r="CR174" t="s">
        <v>12539</v>
      </c>
      <c r="CS174">
        <v>13</v>
      </c>
      <c r="CT174">
        <v>13</v>
      </c>
      <c r="CU174">
        <v>6</v>
      </c>
      <c r="CV174">
        <v>-99</v>
      </c>
      <c r="CW174">
        <v>-99</v>
      </c>
      <c r="CX174">
        <v>0</v>
      </c>
      <c r="CY174">
        <v>4.5999999999999996</v>
      </c>
      <c r="CZ174">
        <v>8</v>
      </c>
      <c r="DA174">
        <v>165.08400399999999</v>
      </c>
      <c r="DB174">
        <v>-21.064696999999999</v>
      </c>
      <c r="DC174">
        <v>1159320641</v>
      </c>
      <c r="DD174" t="s">
        <v>17590</v>
      </c>
      <c r="DE174" t="s">
        <v>17591</v>
      </c>
      <c r="DF174" t="s">
        <v>17592</v>
      </c>
      <c r="DG174" t="s">
        <v>17593</v>
      </c>
      <c r="DH174" t="s">
        <v>1224</v>
      </c>
      <c r="DI174" t="s">
        <v>17594</v>
      </c>
      <c r="DJ174" t="s">
        <v>17595</v>
      </c>
      <c r="DK174" t="s">
        <v>17589</v>
      </c>
      <c r="DL174" t="s">
        <v>17596</v>
      </c>
      <c r="DM174" t="s">
        <v>17597</v>
      </c>
      <c r="DN174" t="s">
        <v>17598</v>
      </c>
      <c r="DO174" t="s">
        <v>17599</v>
      </c>
      <c r="DP174" t="s">
        <v>17600</v>
      </c>
      <c r="DQ174" t="s">
        <v>17601</v>
      </c>
      <c r="DR174" t="s">
        <v>17602</v>
      </c>
      <c r="DS174" t="s">
        <v>17603</v>
      </c>
      <c r="DT174" t="s">
        <v>17604</v>
      </c>
      <c r="DU174" t="s">
        <v>17605</v>
      </c>
      <c r="DV174" t="s">
        <v>17606</v>
      </c>
      <c r="DW174" t="s">
        <v>17607</v>
      </c>
      <c r="DX174" t="s">
        <v>17608</v>
      </c>
      <c r="DY174" t="s">
        <v>17609</v>
      </c>
      <c r="DZ174" t="s">
        <v>17610</v>
      </c>
      <c r="EA174" t="s">
        <v>17611</v>
      </c>
      <c r="EB174" t="s">
        <v>17589</v>
      </c>
      <c r="EC174" t="s">
        <v>17612</v>
      </c>
      <c r="ED174" t="s">
        <v>17613</v>
      </c>
      <c r="EE174" t="s">
        <v>12397</v>
      </c>
      <c r="EG174" t="s">
        <v>12397</v>
      </c>
    </row>
    <row r="175" spans="1:168" x14ac:dyDescent="0.25">
      <c r="A175" t="s">
        <v>124</v>
      </c>
      <c r="B175" t="s">
        <v>12247</v>
      </c>
      <c r="C175">
        <v>0</v>
      </c>
      <c r="D175">
        <v>2</v>
      </c>
      <c r="E175" t="s">
        <v>124</v>
      </c>
      <c r="F175" t="s">
        <v>14048</v>
      </c>
      <c r="G175">
        <v>1</v>
      </c>
      <c r="H175">
        <v>2</v>
      </c>
      <c r="I175" t="s">
        <v>12507</v>
      </c>
      <c r="J175">
        <v>1</v>
      </c>
      <c r="K175" t="s">
        <v>124</v>
      </c>
      <c r="L175" t="s">
        <v>17614</v>
      </c>
      <c r="M175">
        <v>0</v>
      </c>
      <c r="N175" t="s">
        <v>124</v>
      </c>
      <c r="O175" t="s">
        <v>17614</v>
      </c>
      <c r="P175">
        <v>0</v>
      </c>
      <c r="Q175" t="s">
        <v>124</v>
      </c>
      <c r="R175" t="s">
        <v>17614</v>
      </c>
      <c r="S175">
        <v>0</v>
      </c>
      <c r="T175" t="s">
        <v>124</v>
      </c>
      <c r="U175" t="s">
        <v>17614</v>
      </c>
      <c r="V175" t="s">
        <v>124</v>
      </c>
      <c r="X175" t="s">
        <v>17615</v>
      </c>
      <c r="Y175" t="s">
        <v>1763</v>
      </c>
      <c r="Z175" t="s">
        <v>124</v>
      </c>
      <c r="AB175" t="s">
        <v>124</v>
      </c>
      <c r="AE175" t="s">
        <v>124</v>
      </c>
      <c r="AG175">
        <v>3</v>
      </c>
      <c r="AH175">
        <v>3</v>
      </c>
      <c r="AI175">
        <v>4</v>
      </c>
      <c r="AJ175">
        <v>4</v>
      </c>
      <c r="AK175">
        <v>4917000</v>
      </c>
      <c r="AL175">
        <v>12</v>
      </c>
      <c r="AM175">
        <v>2019</v>
      </c>
      <c r="AN175">
        <v>206928</v>
      </c>
      <c r="AO175">
        <v>2019</v>
      </c>
      <c r="AP175" t="s">
        <v>12334</v>
      </c>
      <c r="AQ175" t="s">
        <v>12513</v>
      </c>
      <c r="AR175" t="s">
        <v>1763</v>
      </c>
      <c r="AS175" t="s">
        <v>1763</v>
      </c>
      <c r="AT175" t="s">
        <v>1763</v>
      </c>
      <c r="AU175" t="s">
        <v>17614</v>
      </c>
      <c r="AV175" t="s">
        <v>17614</v>
      </c>
      <c r="AW175">
        <v>554</v>
      </c>
      <c r="AX175">
        <v>554</v>
      </c>
      <c r="AY175">
        <v>554</v>
      </c>
      <c r="AZ175" t="s">
        <v>1763</v>
      </c>
      <c r="BA175" t="s">
        <v>17614</v>
      </c>
      <c r="BB175">
        <v>23424916</v>
      </c>
      <c r="BC175">
        <v>23424916</v>
      </c>
      <c r="BD175" t="s">
        <v>12254</v>
      </c>
      <c r="BE175" t="s">
        <v>17614</v>
      </c>
      <c r="BG175" t="s">
        <v>17614</v>
      </c>
      <c r="BH175" t="s">
        <v>17614</v>
      </c>
      <c r="BI175" t="s">
        <v>17614</v>
      </c>
      <c r="BJ175" t="s">
        <v>17614</v>
      </c>
      <c r="BK175" t="s">
        <v>17614</v>
      </c>
      <c r="BL175" t="s">
        <v>17614</v>
      </c>
      <c r="BM175" t="s">
        <v>17614</v>
      </c>
      <c r="BN175" t="s">
        <v>17614</v>
      </c>
      <c r="BO175" t="s">
        <v>17614</v>
      </c>
      <c r="BP175" t="s">
        <v>17614</v>
      </c>
      <c r="BQ175" t="s">
        <v>17614</v>
      </c>
      <c r="BR175" t="s">
        <v>17614</v>
      </c>
      <c r="BS175" t="s">
        <v>17614</v>
      </c>
      <c r="BT175" t="s">
        <v>17614</v>
      </c>
      <c r="BU175" t="s">
        <v>17614</v>
      </c>
      <c r="BV175" t="s">
        <v>17614</v>
      </c>
      <c r="BW175" t="s">
        <v>17614</v>
      </c>
      <c r="BX175" t="s">
        <v>17614</v>
      </c>
      <c r="BY175" t="s">
        <v>17614</v>
      </c>
      <c r="BZ175" t="s">
        <v>17614</v>
      </c>
      <c r="CA175" t="s">
        <v>17614</v>
      </c>
      <c r="CB175" t="s">
        <v>17614</v>
      </c>
      <c r="CC175" t="s">
        <v>17614</v>
      </c>
      <c r="CD175" t="s">
        <v>17614</v>
      </c>
      <c r="CE175" t="s">
        <v>17614</v>
      </c>
      <c r="CF175" t="s">
        <v>17614</v>
      </c>
      <c r="CG175" t="s">
        <v>17614</v>
      </c>
      <c r="CH175" t="s">
        <v>17614</v>
      </c>
      <c r="CI175" t="s">
        <v>17614</v>
      </c>
      <c r="CJ175" t="s">
        <v>17614</v>
      </c>
      <c r="CK175" t="s">
        <v>17614</v>
      </c>
      <c r="CL175" t="s">
        <v>17614</v>
      </c>
      <c r="CM175">
        <v>-99</v>
      </c>
      <c r="CN175">
        <v>-99</v>
      </c>
      <c r="CO175" t="s">
        <v>12537</v>
      </c>
      <c r="CP175" t="s">
        <v>12537</v>
      </c>
      <c r="CQ175" t="s">
        <v>12609</v>
      </c>
      <c r="CR175" t="s">
        <v>12539</v>
      </c>
      <c r="CS175">
        <v>11</v>
      </c>
      <c r="CT175">
        <v>11</v>
      </c>
      <c r="CU175">
        <v>4</v>
      </c>
      <c r="CV175">
        <v>-99</v>
      </c>
      <c r="CW175">
        <v>1</v>
      </c>
      <c r="CX175">
        <v>0</v>
      </c>
      <c r="CY175">
        <v>2</v>
      </c>
      <c r="CZ175">
        <v>6.7</v>
      </c>
      <c r="DA175">
        <v>172.78700000000001</v>
      </c>
      <c r="DB175">
        <v>-39.759</v>
      </c>
      <c r="DC175">
        <v>1159321135</v>
      </c>
      <c r="DD175" t="s">
        <v>17616</v>
      </c>
      <c r="DE175" t="s">
        <v>17617</v>
      </c>
      <c r="DF175" t="s">
        <v>17618</v>
      </c>
      <c r="DG175" t="s">
        <v>17619</v>
      </c>
      <c r="DH175" t="s">
        <v>124</v>
      </c>
      <c r="DI175" t="s">
        <v>17620</v>
      </c>
      <c r="DJ175" t="s">
        <v>17621</v>
      </c>
      <c r="DK175" t="s">
        <v>17622</v>
      </c>
      <c r="DL175" t="s">
        <v>17623</v>
      </c>
      <c r="DM175" t="s">
        <v>17624</v>
      </c>
      <c r="DN175" t="s">
        <v>17625</v>
      </c>
      <c r="DO175" t="s">
        <v>17626</v>
      </c>
      <c r="DP175" t="s">
        <v>17627</v>
      </c>
      <c r="DQ175" t="s">
        <v>17628</v>
      </c>
      <c r="DR175" t="s">
        <v>17629</v>
      </c>
      <c r="DS175" t="s">
        <v>17630</v>
      </c>
      <c r="DT175" t="s">
        <v>17631</v>
      </c>
      <c r="DU175" t="s">
        <v>17632</v>
      </c>
      <c r="DV175" t="s">
        <v>17633</v>
      </c>
      <c r="DW175" t="s">
        <v>17634</v>
      </c>
      <c r="DX175" t="s">
        <v>17635</v>
      </c>
      <c r="DY175" t="s">
        <v>17636</v>
      </c>
      <c r="DZ175" t="s">
        <v>17637</v>
      </c>
      <c r="EA175" t="s">
        <v>17638</v>
      </c>
      <c r="EB175" t="s">
        <v>124</v>
      </c>
      <c r="EC175" t="s">
        <v>17639</v>
      </c>
      <c r="ED175" t="s">
        <v>17640</v>
      </c>
      <c r="EE175" t="s">
        <v>12247</v>
      </c>
      <c r="EG175" t="s">
        <v>12247</v>
      </c>
    </row>
    <row r="176" spans="1:168" x14ac:dyDescent="0.25">
      <c r="A176" t="s">
        <v>125</v>
      </c>
      <c r="B176" t="s">
        <v>12247</v>
      </c>
      <c r="C176">
        <v>0</v>
      </c>
      <c r="D176">
        <v>5</v>
      </c>
      <c r="E176" t="s">
        <v>125</v>
      </c>
      <c r="F176" t="s">
        <v>15904</v>
      </c>
      <c r="G176">
        <v>0</v>
      </c>
      <c r="H176">
        <v>2</v>
      </c>
      <c r="I176" t="s">
        <v>12249</v>
      </c>
      <c r="J176">
        <v>1</v>
      </c>
      <c r="K176" t="s">
        <v>125</v>
      </c>
      <c r="L176" t="s">
        <v>15904</v>
      </c>
      <c r="M176">
        <v>0</v>
      </c>
      <c r="N176" t="s">
        <v>125</v>
      </c>
      <c r="O176" t="s">
        <v>15904</v>
      </c>
      <c r="P176">
        <v>0</v>
      </c>
      <c r="Q176" t="s">
        <v>125</v>
      </c>
      <c r="R176" t="s">
        <v>15904</v>
      </c>
      <c r="S176">
        <v>0</v>
      </c>
      <c r="T176" t="s">
        <v>125</v>
      </c>
      <c r="U176" t="s">
        <v>15904</v>
      </c>
      <c r="V176" t="s">
        <v>125</v>
      </c>
      <c r="X176" t="s">
        <v>15905</v>
      </c>
      <c r="Y176" t="s">
        <v>1745</v>
      </c>
      <c r="Z176" t="s">
        <v>15906</v>
      </c>
      <c r="AB176" t="s">
        <v>125</v>
      </c>
      <c r="AE176" t="s">
        <v>125</v>
      </c>
      <c r="AG176">
        <v>1</v>
      </c>
      <c r="AH176">
        <v>4</v>
      </c>
      <c r="AI176">
        <v>1</v>
      </c>
      <c r="AJ176">
        <v>9</v>
      </c>
      <c r="AK176">
        <v>6545502</v>
      </c>
      <c r="AL176">
        <v>13</v>
      </c>
      <c r="AM176">
        <v>2019</v>
      </c>
      <c r="AN176">
        <v>12520</v>
      </c>
      <c r="AO176">
        <v>2019</v>
      </c>
      <c r="AP176" t="s">
        <v>12277</v>
      </c>
      <c r="AQ176" t="s">
        <v>12278</v>
      </c>
      <c r="AR176" t="s">
        <v>1760</v>
      </c>
      <c r="AS176" t="s">
        <v>1745</v>
      </c>
      <c r="AT176" t="s">
        <v>1745</v>
      </c>
      <c r="AU176" t="s">
        <v>15904</v>
      </c>
      <c r="AV176" t="s">
        <v>15904</v>
      </c>
      <c r="AW176">
        <v>558</v>
      </c>
      <c r="AX176">
        <v>558</v>
      </c>
      <c r="AY176">
        <v>558</v>
      </c>
      <c r="AZ176" t="s">
        <v>1745</v>
      </c>
      <c r="BA176" t="s">
        <v>15904</v>
      </c>
      <c r="BB176">
        <v>23424915</v>
      </c>
      <c r="BC176">
        <v>23424915</v>
      </c>
      <c r="BD176" t="s">
        <v>12254</v>
      </c>
      <c r="BE176" t="s">
        <v>15904</v>
      </c>
      <c r="BG176" t="s">
        <v>15904</v>
      </c>
      <c r="BH176" t="s">
        <v>15904</v>
      </c>
      <c r="BI176" t="s">
        <v>15904</v>
      </c>
      <c r="BJ176" t="s">
        <v>15904</v>
      </c>
      <c r="BK176" t="s">
        <v>15904</v>
      </c>
      <c r="BL176" t="s">
        <v>15904</v>
      </c>
      <c r="BM176" t="s">
        <v>15904</v>
      </c>
      <c r="BN176" t="s">
        <v>15904</v>
      </c>
      <c r="BO176" t="s">
        <v>15904</v>
      </c>
      <c r="BP176" t="s">
        <v>15904</v>
      </c>
      <c r="BQ176" t="s">
        <v>15904</v>
      </c>
      <c r="BR176" t="s">
        <v>15904</v>
      </c>
      <c r="BS176" t="s">
        <v>15904</v>
      </c>
      <c r="BT176" t="s">
        <v>15904</v>
      </c>
      <c r="BU176" t="s">
        <v>15904</v>
      </c>
      <c r="BV176" t="s">
        <v>15904</v>
      </c>
      <c r="BW176" t="s">
        <v>15904</v>
      </c>
      <c r="BX176" t="s">
        <v>15904</v>
      </c>
      <c r="BY176" t="s">
        <v>15904</v>
      </c>
      <c r="BZ176" t="s">
        <v>15904</v>
      </c>
      <c r="CA176" t="s">
        <v>15904</v>
      </c>
      <c r="CB176" t="s">
        <v>15904</v>
      </c>
      <c r="CC176" t="s">
        <v>15904</v>
      </c>
      <c r="CD176" t="s">
        <v>15904</v>
      </c>
      <c r="CE176" t="s">
        <v>15904</v>
      </c>
      <c r="CF176" t="s">
        <v>15904</v>
      </c>
      <c r="CG176" t="s">
        <v>15904</v>
      </c>
      <c r="CH176" t="s">
        <v>15904</v>
      </c>
      <c r="CI176" t="s">
        <v>15904</v>
      </c>
      <c r="CJ176" t="s">
        <v>15904</v>
      </c>
      <c r="CK176" t="s">
        <v>15904</v>
      </c>
      <c r="CL176" t="s">
        <v>15904</v>
      </c>
      <c r="CM176">
        <v>-99</v>
      </c>
      <c r="CN176">
        <v>-99</v>
      </c>
      <c r="CO176" t="s">
        <v>12402</v>
      </c>
      <c r="CP176" t="s">
        <v>12403</v>
      </c>
      <c r="CQ176" t="s">
        <v>12829</v>
      </c>
      <c r="CR176" t="s">
        <v>12405</v>
      </c>
      <c r="CS176">
        <v>9</v>
      </c>
      <c r="CT176">
        <v>9</v>
      </c>
      <c r="CU176">
        <v>4</v>
      </c>
      <c r="CV176">
        <v>-99</v>
      </c>
      <c r="CW176">
        <v>1</v>
      </c>
      <c r="CX176">
        <v>0</v>
      </c>
      <c r="CY176">
        <v>4</v>
      </c>
      <c r="CZ176">
        <v>9</v>
      </c>
      <c r="DA176">
        <v>-85.069346999999993</v>
      </c>
      <c r="DB176">
        <v>12.670697000000001</v>
      </c>
      <c r="DC176">
        <v>1159321091</v>
      </c>
      <c r="DD176" t="s">
        <v>15907</v>
      </c>
      <c r="DE176" t="s">
        <v>15908</v>
      </c>
      <c r="DF176" t="s">
        <v>15909</v>
      </c>
      <c r="DG176" t="s">
        <v>125</v>
      </c>
      <c r="DH176" t="s">
        <v>125</v>
      </c>
      <c r="DI176" t="s">
        <v>125</v>
      </c>
      <c r="DJ176" t="s">
        <v>15910</v>
      </c>
      <c r="DK176" t="s">
        <v>125</v>
      </c>
      <c r="DL176" t="s">
        <v>15911</v>
      </c>
      <c r="DM176" t="s">
        <v>15912</v>
      </c>
      <c r="DN176" t="s">
        <v>15913</v>
      </c>
      <c r="DO176" t="s">
        <v>125</v>
      </c>
      <c r="DP176" t="s">
        <v>15914</v>
      </c>
      <c r="DQ176" t="s">
        <v>125</v>
      </c>
      <c r="DR176" t="s">
        <v>15915</v>
      </c>
      <c r="DS176" t="s">
        <v>15916</v>
      </c>
      <c r="DT176" t="s">
        <v>125</v>
      </c>
      <c r="DU176" t="s">
        <v>15914</v>
      </c>
      <c r="DV176" t="s">
        <v>15917</v>
      </c>
      <c r="DW176" t="s">
        <v>15918</v>
      </c>
      <c r="DX176" t="s">
        <v>125</v>
      </c>
      <c r="DY176" t="s">
        <v>15914</v>
      </c>
      <c r="DZ176" t="s">
        <v>15919</v>
      </c>
      <c r="EA176" t="s">
        <v>15920</v>
      </c>
      <c r="EB176" t="s">
        <v>125</v>
      </c>
      <c r="EC176" t="s">
        <v>15921</v>
      </c>
      <c r="ED176" t="s">
        <v>15921</v>
      </c>
      <c r="EE176" t="s">
        <v>12247</v>
      </c>
      <c r="EG176" t="s">
        <v>12247</v>
      </c>
    </row>
    <row r="177" spans="1:167" x14ac:dyDescent="0.25">
      <c r="A177" t="s">
        <v>126</v>
      </c>
      <c r="B177" t="s">
        <v>12247</v>
      </c>
      <c r="C177">
        <v>0</v>
      </c>
      <c r="D177">
        <v>3</v>
      </c>
      <c r="E177" t="s">
        <v>126</v>
      </c>
      <c r="F177" t="s">
        <v>15922</v>
      </c>
      <c r="G177">
        <v>0</v>
      </c>
      <c r="H177">
        <v>2</v>
      </c>
      <c r="I177" t="s">
        <v>12249</v>
      </c>
      <c r="J177">
        <v>1</v>
      </c>
      <c r="K177" t="s">
        <v>126</v>
      </c>
      <c r="L177" t="s">
        <v>15922</v>
      </c>
      <c r="M177">
        <v>0</v>
      </c>
      <c r="N177" t="s">
        <v>126</v>
      </c>
      <c r="O177" t="s">
        <v>15922</v>
      </c>
      <c r="P177">
        <v>0</v>
      </c>
      <c r="Q177" t="s">
        <v>126</v>
      </c>
      <c r="R177" t="s">
        <v>15922</v>
      </c>
      <c r="S177">
        <v>0</v>
      </c>
      <c r="T177" t="s">
        <v>126</v>
      </c>
      <c r="U177" t="s">
        <v>15922</v>
      </c>
      <c r="V177" t="s">
        <v>126</v>
      </c>
      <c r="X177" t="s">
        <v>126</v>
      </c>
      <c r="Y177" t="s">
        <v>1736</v>
      </c>
      <c r="Z177" t="s">
        <v>15923</v>
      </c>
      <c r="AB177" t="s">
        <v>126</v>
      </c>
      <c r="AE177" t="s">
        <v>126</v>
      </c>
      <c r="AG177">
        <v>4</v>
      </c>
      <c r="AH177">
        <v>5</v>
      </c>
      <c r="AI177">
        <v>3</v>
      </c>
      <c r="AJ177">
        <v>13</v>
      </c>
      <c r="AK177">
        <v>23310715</v>
      </c>
      <c r="AL177">
        <v>15</v>
      </c>
      <c r="AM177">
        <v>2019</v>
      </c>
      <c r="AN177">
        <v>12911</v>
      </c>
      <c r="AO177">
        <v>2019</v>
      </c>
      <c r="AP177" t="s">
        <v>12252</v>
      </c>
      <c r="AQ177" t="s">
        <v>12253</v>
      </c>
      <c r="AR177" t="s">
        <v>1742</v>
      </c>
      <c r="AS177" t="s">
        <v>1736</v>
      </c>
      <c r="AT177" t="s">
        <v>1736</v>
      </c>
      <c r="AU177" t="s">
        <v>15922</v>
      </c>
      <c r="AV177" t="s">
        <v>15922</v>
      </c>
      <c r="AW177">
        <v>562</v>
      </c>
      <c r="AX177">
        <v>562</v>
      </c>
      <c r="AY177">
        <v>562</v>
      </c>
      <c r="AZ177" t="s">
        <v>1736</v>
      </c>
      <c r="BA177" t="s">
        <v>15922</v>
      </c>
      <c r="BB177">
        <v>23424906</v>
      </c>
      <c r="BC177">
        <v>23424906</v>
      </c>
      <c r="BD177" t="s">
        <v>12254</v>
      </c>
      <c r="BE177" t="s">
        <v>15922</v>
      </c>
      <c r="BG177" t="s">
        <v>15922</v>
      </c>
      <c r="BH177" t="s">
        <v>15922</v>
      </c>
      <c r="BI177" t="s">
        <v>15922</v>
      </c>
      <c r="BJ177" t="s">
        <v>15922</v>
      </c>
      <c r="BK177" t="s">
        <v>15922</v>
      </c>
      <c r="BL177" t="s">
        <v>15922</v>
      </c>
      <c r="BM177" t="s">
        <v>15922</v>
      </c>
      <c r="BN177" t="s">
        <v>15922</v>
      </c>
      <c r="BO177" t="s">
        <v>15922</v>
      </c>
      <c r="BP177" t="s">
        <v>15922</v>
      </c>
      <c r="BQ177" t="s">
        <v>15922</v>
      </c>
      <c r="BR177" t="s">
        <v>15922</v>
      </c>
      <c r="BS177" t="s">
        <v>15922</v>
      </c>
      <c r="BT177" t="s">
        <v>15922</v>
      </c>
      <c r="BU177" t="s">
        <v>15922</v>
      </c>
      <c r="BV177" t="s">
        <v>15922</v>
      </c>
      <c r="BW177" t="s">
        <v>15922</v>
      </c>
      <c r="BX177" t="s">
        <v>15922</v>
      </c>
      <c r="BY177" t="s">
        <v>15922</v>
      </c>
      <c r="BZ177" t="s">
        <v>15922</v>
      </c>
      <c r="CA177" t="s">
        <v>15922</v>
      </c>
      <c r="CB177" t="s">
        <v>15922</v>
      </c>
      <c r="CC177" t="s">
        <v>15922</v>
      </c>
      <c r="CD177" t="s">
        <v>15922</v>
      </c>
      <c r="CE177" t="s">
        <v>15922</v>
      </c>
      <c r="CF177" t="s">
        <v>15922</v>
      </c>
      <c r="CG177" t="s">
        <v>15922</v>
      </c>
      <c r="CH177" t="s">
        <v>15922</v>
      </c>
      <c r="CI177" t="s">
        <v>15922</v>
      </c>
      <c r="CJ177" t="s">
        <v>15922</v>
      </c>
      <c r="CK177" t="s">
        <v>15922</v>
      </c>
      <c r="CL177" t="s">
        <v>15922</v>
      </c>
      <c r="CM177">
        <v>-99</v>
      </c>
      <c r="CN177">
        <v>-99</v>
      </c>
      <c r="CO177" t="s">
        <v>12306</v>
      </c>
      <c r="CP177" t="s">
        <v>12306</v>
      </c>
      <c r="CQ177" t="s">
        <v>12847</v>
      </c>
      <c r="CR177" t="s">
        <v>12357</v>
      </c>
      <c r="CS177">
        <v>5</v>
      </c>
      <c r="CT177">
        <v>5</v>
      </c>
      <c r="CU177">
        <v>5</v>
      </c>
      <c r="CV177">
        <v>-99</v>
      </c>
      <c r="CW177">
        <v>1</v>
      </c>
      <c r="CX177">
        <v>0</v>
      </c>
      <c r="CY177">
        <v>3</v>
      </c>
      <c r="CZ177">
        <v>8</v>
      </c>
      <c r="DA177">
        <v>9.5043559999999996</v>
      </c>
      <c r="DB177">
        <v>17.446194999999999</v>
      </c>
      <c r="DC177">
        <v>1159321087</v>
      </c>
      <c r="DD177" t="s">
        <v>15924</v>
      </c>
      <c r="DE177" t="s">
        <v>15925</v>
      </c>
      <c r="DF177" t="s">
        <v>15926</v>
      </c>
      <c r="DG177" t="s">
        <v>126</v>
      </c>
      <c r="DH177" t="s">
        <v>126</v>
      </c>
      <c r="DI177" t="s">
        <v>15927</v>
      </c>
      <c r="DJ177" t="s">
        <v>15928</v>
      </c>
      <c r="DK177" t="s">
        <v>126</v>
      </c>
      <c r="DL177" t="s">
        <v>15929</v>
      </c>
      <c r="DM177" t="s">
        <v>15930</v>
      </c>
      <c r="DN177" t="s">
        <v>15931</v>
      </c>
      <c r="DO177" t="s">
        <v>126</v>
      </c>
      <c r="DP177" t="s">
        <v>126</v>
      </c>
      <c r="DQ177" t="s">
        <v>126</v>
      </c>
      <c r="DR177" t="s">
        <v>15932</v>
      </c>
      <c r="DS177" t="s">
        <v>15933</v>
      </c>
      <c r="DT177" t="s">
        <v>126</v>
      </c>
      <c r="DU177" t="s">
        <v>126</v>
      </c>
      <c r="DV177" t="s">
        <v>15927</v>
      </c>
      <c r="DW177" t="s">
        <v>15934</v>
      </c>
      <c r="DX177" t="s">
        <v>126</v>
      </c>
      <c r="DY177" t="s">
        <v>15935</v>
      </c>
      <c r="DZ177" t="s">
        <v>15936</v>
      </c>
      <c r="EA177" t="s">
        <v>15937</v>
      </c>
      <c r="EB177" t="s">
        <v>126</v>
      </c>
      <c r="EC177" t="s">
        <v>15938</v>
      </c>
      <c r="ED177" t="s">
        <v>15939</v>
      </c>
      <c r="EE177" t="s">
        <v>12247</v>
      </c>
      <c r="EG177" t="s">
        <v>12247</v>
      </c>
    </row>
    <row r="178" spans="1:167" x14ac:dyDescent="0.25">
      <c r="A178" t="s">
        <v>127</v>
      </c>
      <c r="B178" t="s">
        <v>12247</v>
      </c>
      <c r="C178">
        <v>0</v>
      </c>
      <c r="D178">
        <v>2</v>
      </c>
      <c r="E178" t="s">
        <v>127</v>
      </c>
      <c r="F178" t="s">
        <v>15940</v>
      </c>
      <c r="G178">
        <v>0</v>
      </c>
      <c r="H178">
        <v>2</v>
      </c>
      <c r="I178" t="s">
        <v>12249</v>
      </c>
      <c r="J178">
        <v>1</v>
      </c>
      <c r="K178" t="s">
        <v>127</v>
      </c>
      <c r="L178" t="s">
        <v>15940</v>
      </c>
      <c r="M178">
        <v>0</v>
      </c>
      <c r="N178" t="s">
        <v>127</v>
      </c>
      <c r="O178" t="s">
        <v>15940</v>
      </c>
      <c r="P178">
        <v>0</v>
      </c>
      <c r="Q178" t="s">
        <v>127</v>
      </c>
      <c r="R178" t="s">
        <v>15940</v>
      </c>
      <c r="S178">
        <v>0</v>
      </c>
      <c r="T178" t="s">
        <v>127</v>
      </c>
      <c r="U178" t="s">
        <v>15940</v>
      </c>
      <c r="V178" t="s">
        <v>127</v>
      </c>
      <c r="X178" t="s">
        <v>127</v>
      </c>
      <c r="Y178" t="s">
        <v>1742</v>
      </c>
      <c r="Z178" t="s">
        <v>15941</v>
      </c>
      <c r="AB178" t="s">
        <v>127</v>
      </c>
      <c r="AE178" t="s">
        <v>127</v>
      </c>
      <c r="AG178">
        <v>3</v>
      </c>
      <c r="AH178">
        <v>2</v>
      </c>
      <c r="AI178">
        <v>5</v>
      </c>
      <c r="AJ178">
        <v>2</v>
      </c>
      <c r="AK178">
        <v>200963599</v>
      </c>
      <c r="AL178">
        <v>17</v>
      </c>
      <c r="AM178">
        <v>2019</v>
      </c>
      <c r="AN178">
        <v>448120</v>
      </c>
      <c r="AO178">
        <v>2019</v>
      </c>
      <c r="AP178" t="s">
        <v>12435</v>
      </c>
      <c r="AQ178" t="s">
        <v>12278</v>
      </c>
      <c r="AR178" t="s">
        <v>1745</v>
      </c>
      <c r="AS178" t="s">
        <v>1742</v>
      </c>
      <c r="AT178" t="s">
        <v>1742</v>
      </c>
      <c r="AU178" t="s">
        <v>15940</v>
      </c>
      <c r="AV178" t="s">
        <v>15940</v>
      </c>
      <c r="AW178">
        <v>566</v>
      </c>
      <c r="AX178">
        <v>566</v>
      </c>
      <c r="AY178">
        <v>566</v>
      </c>
      <c r="AZ178" t="s">
        <v>1742</v>
      </c>
      <c r="BA178" t="s">
        <v>15940</v>
      </c>
      <c r="BB178">
        <v>23424908</v>
      </c>
      <c r="BC178">
        <v>23424908</v>
      </c>
      <c r="BD178" t="s">
        <v>12254</v>
      </c>
      <c r="BE178" t="s">
        <v>15940</v>
      </c>
      <c r="BG178" t="s">
        <v>15940</v>
      </c>
      <c r="BH178" t="s">
        <v>15940</v>
      </c>
      <c r="BI178" t="s">
        <v>15940</v>
      </c>
      <c r="BJ178" t="s">
        <v>15940</v>
      </c>
      <c r="BK178" t="s">
        <v>15940</v>
      </c>
      <c r="BL178" t="s">
        <v>15940</v>
      </c>
      <c r="BM178" t="s">
        <v>15940</v>
      </c>
      <c r="BN178" t="s">
        <v>15940</v>
      </c>
      <c r="BO178" t="s">
        <v>15940</v>
      </c>
      <c r="BP178" t="s">
        <v>15940</v>
      </c>
      <c r="BQ178" t="s">
        <v>15940</v>
      </c>
      <c r="BR178" t="s">
        <v>15940</v>
      </c>
      <c r="BS178" t="s">
        <v>15940</v>
      </c>
      <c r="BT178" t="s">
        <v>15940</v>
      </c>
      <c r="BU178" t="s">
        <v>15940</v>
      </c>
      <c r="BV178" t="s">
        <v>15940</v>
      </c>
      <c r="BW178" t="s">
        <v>15940</v>
      </c>
      <c r="BX178" t="s">
        <v>15940</v>
      </c>
      <c r="BY178" t="s">
        <v>15940</v>
      </c>
      <c r="BZ178" t="s">
        <v>15940</v>
      </c>
      <c r="CA178" t="s">
        <v>15940</v>
      </c>
      <c r="CB178" t="s">
        <v>15940</v>
      </c>
      <c r="CC178" t="s">
        <v>15940</v>
      </c>
      <c r="CD178" t="s">
        <v>15940</v>
      </c>
      <c r="CE178" t="s">
        <v>15940</v>
      </c>
      <c r="CF178" t="s">
        <v>15940</v>
      </c>
      <c r="CG178" t="s">
        <v>15940</v>
      </c>
      <c r="CH178" t="s">
        <v>15940</v>
      </c>
      <c r="CI178" t="s">
        <v>15940</v>
      </c>
      <c r="CJ178" t="s">
        <v>15940</v>
      </c>
      <c r="CK178" t="s">
        <v>15940</v>
      </c>
      <c r="CL178" t="s">
        <v>15940</v>
      </c>
      <c r="CM178">
        <v>-99</v>
      </c>
      <c r="CN178">
        <v>-99</v>
      </c>
      <c r="CO178" t="s">
        <v>12306</v>
      </c>
      <c r="CP178" t="s">
        <v>12306</v>
      </c>
      <c r="CQ178" t="s">
        <v>12847</v>
      </c>
      <c r="CR178" t="s">
        <v>12357</v>
      </c>
      <c r="CS178">
        <v>7</v>
      </c>
      <c r="CT178">
        <v>7</v>
      </c>
      <c r="CU178">
        <v>7</v>
      </c>
      <c r="CV178">
        <v>-99</v>
      </c>
      <c r="CW178">
        <v>1</v>
      </c>
      <c r="CX178">
        <v>0</v>
      </c>
      <c r="CY178">
        <v>1.7</v>
      </c>
      <c r="CZ178">
        <v>6.7</v>
      </c>
      <c r="DA178">
        <v>7.5032199999999998</v>
      </c>
      <c r="DB178">
        <v>9.4397990000000007</v>
      </c>
      <c r="DC178">
        <v>1159321089</v>
      </c>
      <c r="DD178" t="s">
        <v>15942</v>
      </c>
      <c r="DE178" t="s">
        <v>15943</v>
      </c>
      <c r="DF178" t="s">
        <v>15944</v>
      </c>
      <c r="DG178" t="s">
        <v>127</v>
      </c>
      <c r="DH178" t="s">
        <v>127</v>
      </c>
      <c r="DI178" t="s">
        <v>127</v>
      </c>
      <c r="DJ178" t="s">
        <v>15945</v>
      </c>
      <c r="DK178" t="s">
        <v>127</v>
      </c>
      <c r="DL178" t="s">
        <v>15946</v>
      </c>
      <c r="DM178" t="s">
        <v>15947</v>
      </c>
      <c r="DN178" t="s">
        <v>15948</v>
      </c>
      <c r="DO178" t="s">
        <v>15949</v>
      </c>
      <c r="DP178" t="s">
        <v>127</v>
      </c>
      <c r="DQ178" t="s">
        <v>127</v>
      </c>
      <c r="DR178" t="s">
        <v>15950</v>
      </c>
      <c r="DS178" t="s">
        <v>15951</v>
      </c>
      <c r="DT178" t="s">
        <v>127</v>
      </c>
      <c r="DU178" t="s">
        <v>127</v>
      </c>
      <c r="DV178" t="s">
        <v>15949</v>
      </c>
      <c r="DW178" t="s">
        <v>15952</v>
      </c>
      <c r="DX178" t="s">
        <v>127</v>
      </c>
      <c r="DY178" t="s">
        <v>15953</v>
      </c>
      <c r="DZ178" t="s">
        <v>15954</v>
      </c>
      <c r="EA178" t="s">
        <v>15955</v>
      </c>
      <c r="EB178" t="s">
        <v>127</v>
      </c>
      <c r="EC178" t="s">
        <v>15956</v>
      </c>
      <c r="ED178" t="s">
        <v>15957</v>
      </c>
      <c r="EE178" t="s">
        <v>12247</v>
      </c>
      <c r="EG178" t="s">
        <v>12247</v>
      </c>
    </row>
    <row r="179" spans="1:167" x14ac:dyDescent="0.25">
      <c r="A179" t="s">
        <v>1225</v>
      </c>
      <c r="B179" t="s">
        <v>12247</v>
      </c>
      <c r="C179">
        <v>5</v>
      </c>
      <c r="D179">
        <v>4</v>
      </c>
      <c r="E179" t="s">
        <v>124</v>
      </c>
      <c r="F179" t="s">
        <v>14048</v>
      </c>
      <c r="G179">
        <v>1</v>
      </c>
      <c r="H179">
        <v>2</v>
      </c>
      <c r="I179" t="s">
        <v>12480</v>
      </c>
      <c r="J179">
        <v>1</v>
      </c>
      <c r="K179" t="s">
        <v>1225</v>
      </c>
      <c r="L179" t="s">
        <v>17641</v>
      </c>
      <c r="M179">
        <v>0</v>
      </c>
      <c r="N179" t="s">
        <v>1225</v>
      </c>
      <c r="O179" t="s">
        <v>17641</v>
      </c>
      <c r="P179">
        <v>0</v>
      </c>
      <c r="Q179" t="s">
        <v>1225</v>
      </c>
      <c r="R179" t="s">
        <v>17641</v>
      </c>
      <c r="S179">
        <v>0</v>
      </c>
      <c r="T179" t="s">
        <v>1225</v>
      </c>
      <c r="U179" t="s">
        <v>17641</v>
      </c>
      <c r="V179" t="s">
        <v>1225</v>
      </c>
      <c r="X179" t="s">
        <v>1225</v>
      </c>
      <c r="Y179" t="s">
        <v>1760</v>
      </c>
      <c r="AB179" t="s">
        <v>1225</v>
      </c>
      <c r="AC179" t="s">
        <v>14051</v>
      </c>
      <c r="AD179" t="s">
        <v>14051</v>
      </c>
      <c r="AE179" t="s">
        <v>1225</v>
      </c>
      <c r="AG179">
        <v>3</v>
      </c>
      <c r="AH179">
        <v>3</v>
      </c>
      <c r="AI179">
        <v>4</v>
      </c>
      <c r="AJ179">
        <v>4</v>
      </c>
      <c r="AK179">
        <v>1620</v>
      </c>
      <c r="AL179">
        <v>3</v>
      </c>
      <c r="AM179">
        <v>2018</v>
      </c>
      <c r="AN179">
        <v>10</v>
      </c>
      <c r="AO179">
        <v>2003</v>
      </c>
      <c r="AP179" t="s">
        <v>12277</v>
      </c>
      <c r="AQ179" t="s">
        <v>12305</v>
      </c>
      <c r="AR179" t="s">
        <v>1736</v>
      </c>
      <c r="AS179" t="s">
        <v>1760</v>
      </c>
      <c r="AT179" t="s">
        <v>1760</v>
      </c>
      <c r="AU179" t="s">
        <v>17641</v>
      </c>
      <c r="AV179" t="s">
        <v>17641</v>
      </c>
      <c r="AW179">
        <v>570</v>
      </c>
      <c r="AX179">
        <v>570</v>
      </c>
      <c r="AY179">
        <v>570</v>
      </c>
      <c r="AZ179">
        <v>-99</v>
      </c>
      <c r="BA179">
        <v>-99</v>
      </c>
      <c r="BB179">
        <v>23424904</v>
      </c>
      <c r="BC179">
        <v>23424904</v>
      </c>
      <c r="BD179" t="s">
        <v>12254</v>
      </c>
      <c r="BE179" t="s">
        <v>17641</v>
      </c>
      <c r="BG179" t="s">
        <v>17641</v>
      </c>
      <c r="BH179" t="s">
        <v>17641</v>
      </c>
      <c r="BI179" t="s">
        <v>17641</v>
      </c>
      <c r="BJ179" t="s">
        <v>17641</v>
      </c>
      <c r="BK179" t="s">
        <v>17641</v>
      </c>
      <c r="BL179" t="s">
        <v>17641</v>
      </c>
      <c r="BM179" t="s">
        <v>17641</v>
      </c>
      <c r="BN179" t="s">
        <v>17641</v>
      </c>
      <c r="BO179" t="s">
        <v>17641</v>
      </c>
      <c r="BP179" t="s">
        <v>17641</v>
      </c>
      <c r="BQ179" t="s">
        <v>17641</v>
      </c>
      <c r="BR179" t="s">
        <v>17641</v>
      </c>
      <c r="BS179" t="s">
        <v>17641</v>
      </c>
      <c r="BT179" t="s">
        <v>17641</v>
      </c>
      <c r="BU179" t="s">
        <v>17641</v>
      </c>
      <c r="BV179" t="s">
        <v>17641</v>
      </c>
      <c r="BW179" t="s">
        <v>17641</v>
      </c>
      <c r="BX179" t="s">
        <v>17641</v>
      </c>
      <c r="BY179" t="s">
        <v>17641</v>
      </c>
      <c r="BZ179" t="s">
        <v>17641</v>
      </c>
      <c r="CA179" t="s">
        <v>17641</v>
      </c>
      <c r="CB179" t="s">
        <v>17641</v>
      </c>
      <c r="CC179" t="s">
        <v>17641</v>
      </c>
      <c r="CD179" t="s">
        <v>17641</v>
      </c>
      <c r="CE179" t="s">
        <v>17641</v>
      </c>
      <c r="CF179" t="s">
        <v>17641</v>
      </c>
      <c r="CG179" t="s">
        <v>17641</v>
      </c>
      <c r="CH179" t="s">
        <v>17641</v>
      </c>
      <c r="CI179" t="s">
        <v>17641</v>
      </c>
      <c r="CJ179" t="s">
        <v>17641</v>
      </c>
      <c r="CK179" t="s">
        <v>17641</v>
      </c>
      <c r="CL179" t="s">
        <v>17641</v>
      </c>
      <c r="CM179">
        <v>-99</v>
      </c>
      <c r="CN179">
        <v>-99</v>
      </c>
      <c r="CO179" t="s">
        <v>12537</v>
      </c>
      <c r="CP179" t="s">
        <v>12537</v>
      </c>
      <c r="CQ179" t="s">
        <v>12538</v>
      </c>
      <c r="CR179" t="s">
        <v>12539</v>
      </c>
      <c r="CS179">
        <v>4</v>
      </c>
      <c r="CT179">
        <v>4</v>
      </c>
      <c r="CU179">
        <v>4</v>
      </c>
      <c r="CV179">
        <v>3</v>
      </c>
      <c r="CW179">
        <v>-99</v>
      </c>
      <c r="CX179">
        <v>0</v>
      </c>
      <c r="CY179">
        <v>4</v>
      </c>
      <c r="CZ179">
        <v>9</v>
      </c>
      <c r="DA179">
        <v>-169.86256499999999</v>
      </c>
      <c r="DB179">
        <v>-19.045956</v>
      </c>
      <c r="DC179">
        <v>1159321133</v>
      </c>
      <c r="DD179" t="s">
        <v>17642</v>
      </c>
      <c r="DE179" t="s">
        <v>17643</v>
      </c>
      <c r="DF179" t="s">
        <v>17644</v>
      </c>
      <c r="DG179" t="s">
        <v>1225</v>
      </c>
      <c r="DH179" t="s">
        <v>1225</v>
      </c>
      <c r="DI179" t="s">
        <v>1225</v>
      </c>
      <c r="DJ179" t="s">
        <v>17645</v>
      </c>
      <c r="DK179" t="s">
        <v>1225</v>
      </c>
      <c r="DL179" t="s">
        <v>17646</v>
      </c>
      <c r="DM179" t="s">
        <v>17647</v>
      </c>
      <c r="DN179" t="s">
        <v>17648</v>
      </c>
      <c r="DO179" t="s">
        <v>1225</v>
      </c>
      <c r="DP179" t="s">
        <v>1225</v>
      </c>
      <c r="DQ179" t="s">
        <v>1225</v>
      </c>
      <c r="DR179" t="s">
        <v>17649</v>
      </c>
      <c r="DS179" t="s">
        <v>17650</v>
      </c>
      <c r="DT179" t="s">
        <v>1225</v>
      </c>
      <c r="DU179" t="s">
        <v>1225</v>
      </c>
      <c r="DV179" t="s">
        <v>1225</v>
      </c>
      <c r="DW179" t="s">
        <v>17651</v>
      </c>
      <c r="DX179" t="s">
        <v>1225</v>
      </c>
      <c r="DY179" t="s">
        <v>1225</v>
      </c>
      <c r="DZ179" t="s">
        <v>17652</v>
      </c>
      <c r="EA179" t="s">
        <v>17653</v>
      </c>
      <c r="EB179" t="s">
        <v>1225</v>
      </c>
      <c r="EC179" t="s">
        <v>17654</v>
      </c>
      <c r="ED179" t="s">
        <v>17655</v>
      </c>
      <c r="EE179" t="s">
        <v>12397</v>
      </c>
      <c r="EG179" t="s">
        <v>12397</v>
      </c>
    </row>
    <row r="180" spans="1:167" x14ac:dyDescent="0.25">
      <c r="A180" t="s">
        <v>1226</v>
      </c>
      <c r="B180" t="s">
        <v>12247</v>
      </c>
      <c r="C180">
        <v>6</v>
      </c>
      <c r="D180">
        <v>5</v>
      </c>
      <c r="E180" t="s">
        <v>8</v>
      </c>
      <c r="F180" t="s">
        <v>12600</v>
      </c>
      <c r="G180">
        <v>1</v>
      </c>
      <c r="H180">
        <v>2</v>
      </c>
      <c r="I180" t="s">
        <v>12480</v>
      </c>
      <c r="J180">
        <v>1</v>
      </c>
      <c r="K180" t="s">
        <v>1226</v>
      </c>
      <c r="L180" t="s">
        <v>17656</v>
      </c>
      <c r="M180">
        <v>0</v>
      </c>
      <c r="N180" t="s">
        <v>1226</v>
      </c>
      <c r="O180" t="s">
        <v>17656</v>
      </c>
      <c r="P180">
        <v>0</v>
      </c>
      <c r="Q180" t="s">
        <v>1226</v>
      </c>
      <c r="R180" t="s">
        <v>17656</v>
      </c>
      <c r="S180">
        <v>0</v>
      </c>
      <c r="T180" t="s">
        <v>1226</v>
      </c>
      <c r="U180" t="s">
        <v>17656</v>
      </c>
      <c r="V180" t="s">
        <v>1226</v>
      </c>
      <c r="X180" t="s">
        <v>17657</v>
      </c>
      <c r="Y180" t="s">
        <v>1738</v>
      </c>
      <c r="Z180" t="s">
        <v>17658</v>
      </c>
      <c r="AB180" t="s">
        <v>1226</v>
      </c>
      <c r="AC180" t="s">
        <v>12606</v>
      </c>
      <c r="AE180" t="s">
        <v>1226</v>
      </c>
      <c r="AG180">
        <v>1</v>
      </c>
      <c r="AH180">
        <v>2</v>
      </c>
      <c r="AI180">
        <v>2</v>
      </c>
      <c r="AJ180">
        <v>7</v>
      </c>
      <c r="AK180">
        <v>2169</v>
      </c>
      <c r="AL180">
        <v>4</v>
      </c>
      <c r="AM180">
        <v>2011</v>
      </c>
      <c r="AN180">
        <v>32</v>
      </c>
      <c r="AO180">
        <v>2016</v>
      </c>
      <c r="AP180" t="s">
        <v>12277</v>
      </c>
      <c r="AQ180" t="s">
        <v>12278</v>
      </c>
      <c r="AR180" t="s">
        <v>1738</v>
      </c>
      <c r="AS180" t="s">
        <v>1738</v>
      </c>
      <c r="AT180" t="s">
        <v>1738</v>
      </c>
      <c r="AU180" t="s">
        <v>17656</v>
      </c>
      <c r="AV180" t="s">
        <v>17656</v>
      </c>
      <c r="AW180">
        <v>574</v>
      </c>
      <c r="AX180">
        <v>574</v>
      </c>
      <c r="AY180">
        <v>574</v>
      </c>
      <c r="AZ180">
        <v>-99</v>
      </c>
      <c r="BA180">
        <v>-99</v>
      </c>
      <c r="BB180">
        <v>23424905</v>
      </c>
      <c r="BC180">
        <v>23424905</v>
      </c>
      <c r="BD180" t="s">
        <v>12254</v>
      </c>
      <c r="BE180" t="s">
        <v>17656</v>
      </c>
      <c r="BG180" t="s">
        <v>17656</v>
      </c>
      <c r="BH180" t="s">
        <v>17656</v>
      </c>
      <c r="BI180" t="s">
        <v>17656</v>
      </c>
      <c r="BJ180" t="s">
        <v>17656</v>
      </c>
      <c r="BK180" t="s">
        <v>17656</v>
      </c>
      <c r="BL180" t="s">
        <v>17656</v>
      </c>
      <c r="BM180" t="s">
        <v>17656</v>
      </c>
      <c r="BN180" t="s">
        <v>17656</v>
      </c>
      <c r="BO180" t="s">
        <v>17656</v>
      </c>
      <c r="BP180" t="s">
        <v>17656</v>
      </c>
      <c r="BQ180" t="s">
        <v>17656</v>
      </c>
      <c r="BR180" t="s">
        <v>17656</v>
      </c>
      <c r="BS180" t="s">
        <v>17656</v>
      </c>
      <c r="BT180" t="s">
        <v>17656</v>
      </c>
      <c r="BU180" t="s">
        <v>17656</v>
      </c>
      <c r="BV180" t="s">
        <v>17656</v>
      </c>
      <c r="BW180" t="s">
        <v>17656</v>
      </c>
      <c r="BX180" t="s">
        <v>17656</v>
      </c>
      <c r="BY180" t="s">
        <v>17656</v>
      </c>
      <c r="BZ180" t="s">
        <v>17656</v>
      </c>
      <c r="CA180" t="s">
        <v>17656</v>
      </c>
      <c r="CB180" t="s">
        <v>17656</v>
      </c>
      <c r="CC180" t="s">
        <v>17656</v>
      </c>
      <c r="CD180" t="s">
        <v>17656</v>
      </c>
      <c r="CE180" t="s">
        <v>17656</v>
      </c>
      <c r="CF180" t="s">
        <v>17656</v>
      </c>
      <c r="CG180" t="s">
        <v>17656</v>
      </c>
      <c r="CH180" t="s">
        <v>17656</v>
      </c>
      <c r="CI180" t="s">
        <v>17656</v>
      </c>
      <c r="CJ180" t="s">
        <v>17656</v>
      </c>
      <c r="CK180" t="s">
        <v>17656</v>
      </c>
      <c r="CL180" t="s">
        <v>17656</v>
      </c>
      <c r="CM180">
        <v>-99</v>
      </c>
      <c r="CN180">
        <v>-99</v>
      </c>
      <c r="CO180" t="s">
        <v>12537</v>
      </c>
      <c r="CP180" t="s">
        <v>12537</v>
      </c>
      <c r="CQ180" t="s">
        <v>12609</v>
      </c>
      <c r="CR180" t="s">
        <v>12539</v>
      </c>
      <c r="CS180">
        <v>14</v>
      </c>
      <c r="CT180">
        <v>14</v>
      </c>
      <c r="CU180">
        <v>7</v>
      </c>
      <c r="CV180">
        <v>-99</v>
      </c>
      <c r="CW180">
        <v>-99</v>
      </c>
      <c r="CX180">
        <v>0</v>
      </c>
      <c r="CY180">
        <v>4.5</v>
      </c>
      <c r="CZ180">
        <v>9.5</v>
      </c>
      <c r="DA180">
        <v>167.954531</v>
      </c>
      <c r="DB180">
        <v>-29.033041999999998</v>
      </c>
      <c r="DC180">
        <v>1159320365</v>
      </c>
      <c r="DD180" t="s">
        <v>17659</v>
      </c>
      <c r="DE180" t="s">
        <v>17660</v>
      </c>
      <c r="DF180" t="s">
        <v>17661</v>
      </c>
      <c r="DG180" t="s">
        <v>17662</v>
      </c>
      <c r="DH180" t="s">
        <v>1226</v>
      </c>
      <c r="DI180" t="s">
        <v>17663</v>
      </c>
      <c r="DJ180" t="s">
        <v>17664</v>
      </c>
      <c r="DK180" t="s">
        <v>17665</v>
      </c>
      <c r="DL180" t="s">
        <v>17666</v>
      </c>
      <c r="DM180" t="s">
        <v>17667</v>
      </c>
      <c r="DN180" t="s">
        <v>17668</v>
      </c>
      <c r="DO180" t="s">
        <v>17669</v>
      </c>
      <c r="DP180" t="s">
        <v>17670</v>
      </c>
      <c r="DQ180" t="s">
        <v>17671</v>
      </c>
      <c r="DR180" t="s">
        <v>17672</v>
      </c>
      <c r="DS180" t="s">
        <v>17673</v>
      </c>
      <c r="DT180" t="s">
        <v>5057</v>
      </c>
      <c r="DU180" t="s">
        <v>5057</v>
      </c>
      <c r="DV180" t="s">
        <v>17674</v>
      </c>
      <c r="DW180" t="s">
        <v>17675</v>
      </c>
      <c r="DX180" t="s">
        <v>17676</v>
      </c>
      <c r="DY180" t="s">
        <v>17677</v>
      </c>
      <c r="DZ180" t="s">
        <v>17678</v>
      </c>
      <c r="EA180" t="s">
        <v>17679</v>
      </c>
      <c r="EB180" t="s">
        <v>17680</v>
      </c>
      <c r="EC180" t="s">
        <v>17681</v>
      </c>
      <c r="ED180" t="s">
        <v>17682</v>
      </c>
      <c r="EE180" t="s">
        <v>12397</v>
      </c>
      <c r="EG180" t="s">
        <v>12397</v>
      </c>
    </row>
    <row r="181" spans="1:167" x14ac:dyDescent="0.25">
      <c r="A181" t="s">
        <v>88</v>
      </c>
      <c r="B181" t="s">
        <v>12247</v>
      </c>
      <c r="C181">
        <v>0</v>
      </c>
      <c r="D181">
        <v>3</v>
      </c>
      <c r="E181" t="s">
        <v>88</v>
      </c>
      <c r="F181" t="s">
        <v>15958</v>
      </c>
      <c r="G181">
        <v>0</v>
      </c>
      <c r="H181">
        <v>2</v>
      </c>
      <c r="I181" t="s">
        <v>12249</v>
      </c>
      <c r="J181">
        <v>1</v>
      </c>
      <c r="K181" t="s">
        <v>88</v>
      </c>
      <c r="L181" t="s">
        <v>15958</v>
      </c>
      <c r="M181">
        <v>0</v>
      </c>
      <c r="N181" t="s">
        <v>88</v>
      </c>
      <c r="O181" t="s">
        <v>15958</v>
      </c>
      <c r="P181">
        <v>0</v>
      </c>
      <c r="Q181" t="s">
        <v>88</v>
      </c>
      <c r="R181" t="s">
        <v>15958</v>
      </c>
      <c r="S181">
        <v>0</v>
      </c>
      <c r="T181" t="s">
        <v>15959</v>
      </c>
      <c r="U181" t="s">
        <v>15958</v>
      </c>
      <c r="V181" t="s">
        <v>15959</v>
      </c>
      <c r="X181" t="s">
        <v>15960</v>
      </c>
      <c r="Y181" t="s">
        <v>1613</v>
      </c>
      <c r="Z181" t="s">
        <v>15961</v>
      </c>
      <c r="AB181" t="s">
        <v>15962</v>
      </c>
      <c r="AE181" t="s">
        <v>15963</v>
      </c>
      <c r="AG181">
        <v>3</v>
      </c>
      <c r="AH181">
        <v>5</v>
      </c>
      <c r="AI181">
        <v>3</v>
      </c>
      <c r="AJ181">
        <v>9</v>
      </c>
      <c r="AK181">
        <v>25666161</v>
      </c>
      <c r="AL181">
        <v>15</v>
      </c>
      <c r="AM181">
        <v>2019</v>
      </c>
      <c r="AN181">
        <v>40000</v>
      </c>
      <c r="AO181">
        <v>2016</v>
      </c>
      <c r="AP181" t="s">
        <v>12252</v>
      </c>
      <c r="AQ181" t="s">
        <v>12253</v>
      </c>
      <c r="AR181" t="s">
        <v>1610</v>
      </c>
      <c r="AS181" t="s">
        <v>1613</v>
      </c>
      <c r="AT181" t="s">
        <v>1613</v>
      </c>
      <c r="AU181" t="s">
        <v>15958</v>
      </c>
      <c r="AV181" t="s">
        <v>15958</v>
      </c>
      <c r="AW181">
        <v>408</v>
      </c>
      <c r="AX181">
        <v>408</v>
      </c>
      <c r="AY181">
        <v>408</v>
      </c>
      <c r="AZ181" t="s">
        <v>1613</v>
      </c>
      <c r="BA181" t="s">
        <v>15958</v>
      </c>
      <c r="BB181">
        <v>23424865</v>
      </c>
      <c r="BC181">
        <v>23424865</v>
      </c>
      <c r="BD181" t="s">
        <v>12254</v>
      </c>
      <c r="BE181" t="s">
        <v>15958</v>
      </c>
      <c r="BG181" t="s">
        <v>15958</v>
      </c>
      <c r="BH181" t="s">
        <v>15958</v>
      </c>
      <c r="BI181" t="s">
        <v>15958</v>
      </c>
      <c r="BJ181" t="s">
        <v>15958</v>
      </c>
      <c r="BK181" t="s">
        <v>15958</v>
      </c>
      <c r="BL181" t="s">
        <v>15958</v>
      </c>
      <c r="BM181" t="s">
        <v>15958</v>
      </c>
      <c r="BN181" t="s">
        <v>15958</v>
      </c>
      <c r="BO181" t="s">
        <v>15958</v>
      </c>
      <c r="BP181" t="s">
        <v>15958</v>
      </c>
      <c r="BQ181" t="s">
        <v>15958</v>
      </c>
      <c r="BR181" t="s">
        <v>15958</v>
      </c>
      <c r="BS181" t="s">
        <v>15958</v>
      </c>
      <c r="BT181" t="s">
        <v>15958</v>
      </c>
      <c r="BU181" t="s">
        <v>15958</v>
      </c>
      <c r="BV181" t="s">
        <v>15958</v>
      </c>
      <c r="BW181" t="s">
        <v>15958</v>
      </c>
      <c r="BX181" t="s">
        <v>15958</v>
      </c>
      <c r="BY181" t="s">
        <v>15958</v>
      </c>
      <c r="BZ181" t="s">
        <v>15958</v>
      </c>
      <c r="CA181" t="s">
        <v>15958</v>
      </c>
      <c r="CB181" t="s">
        <v>15958</v>
      </c>
      <c r="CC181" t="s">
        <v>15958</v>
      </c>
      <c r="CD181" t="s">
        <v>15958</v>
      </c>
      <c r="CE181" t="s">
        <v>15958</v>
      </c>
      <c r="CF181" t="s">
        <v>15958</v>
      </c>
      <c r="CG181" t="s">
        <v>15958</v>
      </c>
      <c r="CH181" t="s">
        <v>15958</v>
      </c>
      <c r="CI181" t="s">
        <v>15958</v>
      </c>
      <c r="CJ181" t="s">
        <v>15958</v>
      </c>
      <c r="CK181" t="s">
        <v>15958</v>
      </c>
      <c r="CL181" t="s">
        <v>15958</v>
      </c>
      <c r="CM181">
        <v>-99</v>
      </c>
      <c r="CN181">
        <v>-99</v>
      </c>
      <c r="CO181" t="s">
        <v>12255</v>
      </c>
      <c r="CP181" t="s">
        <v>12255</v>
      </c>
      <c r="CQ181" t="s">
        <v>13649</v>
      </c>
      <c r="CR181" t="s">
        <v>12539</v>
      </c>
      <c r="CS181">
        <v>11</v>
      </c>
      <c r="CT181">
        <v>15</v>
      </c>
      <c r="CU181">
        <v>4</v>
      </c>
      <c r="CV181">
        <v>-99</v>
      </c>
      <c r="CW181">
        <v>1</v>
      </c>
      <c r="CX181">
        <v>0</v>
      </c>
      <c r="CY181">
        <v>3</v>
      </c>
      <c r="CZ181">
        <v>8</v>
      </c>
      <c r="DA181">
        <v>126.44451599999999</v>
      </c>
      <c r="DB181">
        <v>39.885252000000001</v>
      </c>
      <c r="DC181">
        <v>1159321181</v>
      </c>
      <c r="DD181" t="s">
        <v>15964</v>
      </c>
      <c r="DE181" t="s">
        <v>15965</v>
      </c>
      <c r="DF181" t="s">
        <v>15966</v>
      </c>
      <c r="DG181" t="s">
        <v>15967</v>
      </c>
      <c r="DH181" t="s">
        <v>88</v>
      </c>
      <c r="DI181" t="s">
        <v>15968</v>
      </c>
      <c r="DJ181" t="s">
        <v>15969</v>
      </c>
      <c r="DK181" t="s">
        <v>15970</v>
      </c>
      <c r="DL181" t="s">
        <v>15971</v>
      </c>
      <c r="DM181" t="s">
        <v>15972</v>
      </c>
      <c r="DN181" t="s">
        <v>15973</v>
      </c>
      <c r="DO181" t="s">
        <v>15974</v>
      </c>
      <c r="DP181" t="s">
        <v>15975</v>
      </c>
      <c r="DQ181" t="s">
        <v>15976</v>
      </c>
      <c r="DR181" t="s">
        <v>15977</v>
      </c>
      <c r="DS181" t="s">
        <v>15978</v>
      </c>
      <c r="DT181" t="s">
        <v>15979</v>
      </c>
      <c r="DU181" t="s">
        <v>15980</v>
      </c>
      <c r="DV181" t="s">
        <v>15981</v>
      </c>
      <c r="DW181" t="s">
        <v>15982</v>
      </c>
      <c r="DX181" t="s">
        <v>15967</v>
      </c>
      <c r="DY181" t="s">
        <v>15983</v>
      </c>
      <c r="DZ181" t="s">
        <v>15984</v>
      </c>
      <c r="EA181" t="s">
        <v>15985</v>
      </c>
      <c r="EB181" t="s">
        <v>15986</v>
      </c>
      <c r="EC181" t="s">
        <v>15987</v>
      </c>
      <c r="ED181" t="s">
        <v>15988</v>
      </c>
      <c r="EE181" t="s">
        <v>12247</v>
      </c>
      <c r="EG181" t="s">
        <v>12247</v>
      </c>
    </row>
    <row r="182" spans="1:167" x14ac:dyDescent="0.25">
      <c r="A182" t="s">
        <v>15989</v>
      </c>
      <c r="B182" t="s">
        <v>12247</v>
      </c>
      <c r="C182">
        <v>0</v>
      </c>
      <c r="D182">
        <v>6</v>
      </c>
      <c r="E182" t="s">
        <v>15989</v>
      </c>
      <c r="F182" t="s">
        <v>15990</v>
      </c>
      <c r="G182">
        <v>0</v>
      </c>
      <c r="H182">
        <v>2</v>
      </c>
      <c r="I182" t="s">
        <v>12249</v>
      </c>
      <c r="J182">
        <v>1</v>
      </c>
      <c r="K182" t="s">
        <v>15989</v>
      </c>
      <c r="L182" t="s">
        <v>15990</v>
      </c>
      <c r="M182">
        <v>0</v>
      </c>
      <c r="N182" t="s">
        <v>15989</v>
      </c>
      <c r="O182" t="s">
        <v>15990</v>
      </c>
      <c r="P182">
        <v>0</v>
      </c>
      <c r="Q182" t="s">
        <v>15989</v>
      </c>
      <c r="R182" t="s">
        <v>15990</v>
      </c>
      <c r="S182">
        <v>0</v>
      </c>
      <c r="T182" t="s">
        <v>15989</v>
      </c>
      <c r="U182" t="s">
        <v>15990</v>
      </c>
      <c r="V182" t="s">
        <v>15989</v>
      </c>
      <c r="X182" t="s">
        <v>15991</v>
      </c>
      <c r="Y182" t="s">
        <v>15992</v>
      </c>
      <c r="Z182" t="s">
        <v>15993</v>
      </c>
      <c r="AB182" t="s">
        <v>15989</v>
      </c>
      <c r="AE182" t="s">
        <v>15989</v>
      </c>
      <c r="AG182">
        <v>5</v>
      </c>
      <c r="AH182">
        <v>3</v>
      </c>
      <c r="AI182">
        <v>7</v>
      </c>
      <c r="AJ182">
        <v>3</v>
      </c>
      <c r="AK182">
        <v>2083459</v>
      </c>
      <c r="AL182">
        <v>12</v>
      </c>
      <c r="AM182">
        <v>2019</v>
      </c>
      <c r="AN182">
        <v>12547</v>
      </c>
      <c r="AO182">
        <v>2019</v>
      </c>
      <c r="AP182" t="s">
        <v>12277</v>
      </c>
      <c r="AQ182" t="s">
        <v>12305</v>
      </c>
      <c r="AR182" t="s">
        <v>1678</v>
      </c>
      <c r="AS182" t="s">
        <v>1678</v>
      </c>
      <c r="AT182" t="s">
        <v>1678</v>
      </c>
      <c r="AU182" t="s">
        <v>15990</v>
      </c>
      <c r="AV182" t="s">
        <v>15990</v>
      </c>
      <c r="AW182">
        <v>807</v>
      </c>
      <c r="AX182">
        <v>807</v>
      </c>
      <c r="AY182">
        <v>807</v>
      </c>
      <c r="AZ182" t="s">
        <v>1678</v>
      </c>
      <c r="BA182" t="s">
        <v>15990</v>
      </c>
      <c r="BB182">
        <v>23424890</v>
      </c>
      <c r="BC182">
        <v>23424890</v>
      </c>
      <c r="BD182" t="s">
        <v>12254</v>
      </c>
      <c r="BE182" t="s">
        <v>15990</v>
      </c>
      <c r="BG182" t="s">
        <v>15990</v>
      </c>
      <c r="BH182" t="s">
        <v>15990</v>
      </c>
      <c r="BI182" t="s">
        <v>15990</v>
      </c>
      <c r="BJ182" t="s">
        <v>15990</v>
      </c>
      <c r="BK182" t="s">
        <v>15990</v>
      </c>
      <c r="BL182" t="s">
        <v>15990</v>
      </c>
      <c r="BM182" t="s">
        <v>15990</v>
      </c>
      <c r="BN182" t="s">
        <v>15990</v>
      </c>
      <c r="BO182" t="s">
        <v>15990</v>
      </c>
      <c r="BP182" t="s">
        <v>15990</v>
      </c>
      <c r="BQ182" t="s">
        <v>15990</v>
      </c>
      <c r="BR182" t="s">
        <v>15990</v>
      </c>
      <c r="BS182" t="s">
        <v>15990</v>
      </c>
      <c r="BT182" t="s">
        <v>15990</v>
      </c>
      <c r="BU182" t="s">
        <v>15990</v>
      </c>
      <c r="BV182" t="s">
        <v>15990</v>
      </c>
      <c r="BW182" t="s">
        <v>15990</v>
      </c>
      <c r="BX182" t="s">
        <v>15990</v>
      </c>
      <c r="BY182" t="s">
        <v>15990</v>
      </c>
      <c r="BZ182" t="s">
        <v>15990</v>
      </c>
      <c r="CA182" t="s">
        <v>15990</v>
      </c>
      <c r="CB182" t="s">
        <v>15990</v>
      </c>
      <c r="CC182" t="s">
        <v>15990</v>
      </c>
      <c r="CD182" t="s">
        <v>15990</v>
      </c>
      <c r="CE182" t="s">
        <v>15990</v>
      </c>
      <c r="CF182" t="s">
        <v>15990</v>
      </c>
      <c r="CG182" t="s">
        <v>15990</v>
      </c>
      <c r="CH182" t="s">
        <v>15990</v>
      </c>
      <c r="CI182" t="s">
        <v>15990</v>
      </c>
      <c r="CJ182" t="s">
        <v>15990</v>
      </c>
      <c r="CK182" t="s">
        <v>15990</v>
      </c>
      <c r="CL182" t="s">
        <v>15990</v>
      </c>
      <c r="CM182">
        <v>-99</v>
      </c>
      <c r="CN182">
        <v>-99</v>
      </c>
      <c r="CO182" t="s">
        <v>12279</v>
      </c>
      <c r="CP182" t="s">
        <v>12279</v>
      </c>
      <c r="CQ182" t="s">
        <v>12280</v>
      </c>
      <c r="CR182" t="s">
        <v>12281</v>
      </c>
      <c r="CS182">
        <v>15</v>
      </c>
      <c r="CT182">
        <v>15</v>
      </c>
      <c r="CU182">
        <v>7</v>
      </c>
      <c r="CV182">
        <v>-99</v>
      </c>
      <c r="CW182">
        <v>1</v>
      </c>
      <c r="CX182">
        <v>0</v>
      </c>
      <c r="CY182">
        <v>5</v>
      </c>
      <c r="CZ182">
        <v>10</v>
      </c>
      <c r="DA182">
        <v>21.555838999999999</v>
      </c>
      <c r="DB182">
        <v>41.558222999999998</v>
      </c>
      <c r="DC182">
        <v>1159321061</v>
      </c>
      <c r="DD182" t="s">
        <v>15994</v>
      </c>
      <c r="DE182" t="s">
        <v>15995</v>
      </c>
      <c r="DF182" t="s">
        <v>15996</v>
      </c>
      <c r="DG182" t="s">
        <v>15997</v>
      </c>
      <c r="DH182" t="s">
        <v>15989</v>
      </c>
      <c r="DI182" t="s">
        <v>15998</v>
      </c>
      <c r="DJ182" t="s">
        <v>15999</v>
      </c>
      <c r="DK182" t="s">
        <v>16000</v>
      </c>
      <c r="DL182" t="s">
        <v>16001</v>
      </c>
      <c r="DM182" t="s">
        <v>16002</v>
      </c>
      <c r="DN182" t="s">
        <v>16003</v>
      </c>
      <c r="DO182" t="s">
        <v>16004</v>
      </c>
      <c r="DP182" t="s">
        <v>16005</v>
      </c>
      <c r="DQ182" t="s">
        <v>16006</v>
      </c>
      <c r="DR182" t="s">
        <v>16007</v>
      </c>
      <c r="DS182" t="s">
        <v>16008</v>
      </c>
      <c r="DT182" t="s">
        <v>16009</v>
      </c>
      <c r="DU182" t="s">
        <v>16010</v>
      </c>
      <c r="DV182" t="s">
        <v>16011</v>
      </c>
      <c r="DW182" t="s">
        <v>16012</v>
      </c>
      <c r="DX182" t="s">
        <v>16013</v>
      </c>
      <c r="DY182" t="s">
        <v>16014</v>
      </c>
      <c r="DZ182" t="s">
        <v>16015</v>
      </c>
      <c r="EA182" t="s">
        <v>16016</v>
      </c>
      <c r="EB182" t="s">
        <v>16017</v>
      </c>
      <c r="EC182" t="s">
        <v>16018</v>
      </c>
      <c r="ED182" t="s">
        <v>16019</v>
      </c>
      <c r="EE182" t="s">
        <v>12247</v>
      </c>
      <c r="EG182" t="s">
        <v>12247</v>
      </c>
    </row>
    <row r="183" spans="1:167" x14ac:dyDescent="0.25">
      <c r="A183" t="s">
        <v>1227</v>
      </c>
      <c r="B183" t="s">
        <v>12247</v>
      </c>
      <c r="C183">
        <v>5</v>
      </c>
      <c r="D183">
        <v>6</v>
      </c>
      <c r="E183" t="s">
        <v>12532</v>
      </c>
      <c r="F183" t="s">
        <v>12533</v>
      </c>
      <c r="G183">
        <v>1</v>
      </c>
      <c r="H183">
        <v>2</v>
      </c>
      <c r="I183" t="s">
        <v>12480</v>
      </c>
      <c r="J183">
        <v>1</v>
      </c>
      <c r="K183" t="s">
        <v>1227</v>
      </c>
      <c r="L183" t="s">
        <v>17683</v>
      </c>
      <c r="M183">
        <v>0</v>
      </c>
      <c r="N183" t="s">
        <v>1227</v>
      </c>
      <c r="O183" t="s">
        <v>17683</v>
      </c>
      <c r="P183">
        <v>0</v>
      </c>
      <c r="Q183" t="s">
        <v>1227</v>
      </c>
      <c r="R183" t="s">
        <v>17683</v>
      </c>
      <c r="S183">
        <v>0</v>
      </c>
      <c r="T183" t="s">
        <v>1227</v>
      </c>
      <c r="U183" t="s">
        <v>17683</v>
      </c>
      <c r="V183" t="s">
        <v>17684</v>
      </c>
      <c r="X183" t="s">
        <v>17685</v>
      </c>
      <c r="Y183" t="s">
        <v>1695</v>
      </c>
      <c r="Z183" t="s">
        <v>17686</v>
      </c>
      <c r="AB183" t="s">
        <v>1227</v>
      </c>
      <c r="AC183" t="s">
        <v>12536</v>
      </c>
      <c r="AE183" t="s">
        <v>1227</v>
      </c>
      <c r="AG183">
        <v>4</v>
      </c>
      <c r="AH183">
        <v>5</v>
      </c>
      <c r="AI183">
        <v>1</v>
      </c>
      <c r="AJ183">
        <v>1</v>
      </c>
      <c r="AK183">
        <v>57216</v>
      </c>
      <c r="AL183">
        <v>8</v>
      </c>
      <c r="AM183">
        <v>2019</v>
      </c>
      <c r="AN183">
        <v>1323</v>
      </c>
      <c r="AO183">
        <v>2018</v>
      </c>
      <c r="AP183" t="s">
        <v>12277</v>
      </c>
      <c r="AQ183" t="s">
        <v>12335</v>
      </c>
      <c r="AR183" t="s">
        <v>17687</v>
      </c>
      <c r="AS183" t="s">
        <v>1695</v>
      </c>
      <c r="AT183" t="s">
        <v>1695</v>
      </c>
      <c r="AU183" t="s">
        <v>17683</v>
      </c>
      <c r="AV183" t="s">
        <v>17683</v>
      </c>
      <c r="AW183">
        <v>580</v>
      </c>
      <c r="AX183">
        <v>580</v>
      </c>
      <c r="AY183">
        <v>580</v>
      </c>
      <c r="AZ183" t="s">
        <v>1695</v>
      </c>
      <c r="BA183" t="s">
        <v>17683</v>
      </c>
      <c r="BB183">
        <v>23424788</v>
      </c>
      <c r="BC183">
        <v>23424788</v>
      </c>
      <c r="BD183" t="s">
        <v>12254</v>
      </c>
      <c r="BE183" t="s">
        <v>17683</v>
      </c>
      <c r="BG183" t="s">
        <v>17683</v>
      </c>
      <c r="BH183" t="s">
        <v>17683</v>
      </c>
      <c r="BI183" t="s">
        <v>17683</v>
      </c>
      <c r="BJ183" t="s">
        <v>17683</v>
      </c>
      <c r="BK183" t="s">
        <v>17683</v>
      </c>
      <c r="BL183" t="s">
        <v>17683</v>
      </c>
      <c r="BM183" t="s">
        <v>17683</v>
      </c>
      <c r="BN183" t="s">
        <v>17683</v>
      </c>
      <c r="BO183" t="s">
        <v>17683</v>
      </c>
      <c r="BP183" t="s">
        <v>17683</v>
      </c>
      <c r="BQ183" t="s">
        <v>17683</v>
      </c>
      <c r="BR183" t="s">
        <v>17683</v>
      </c>
      <c r="BS183" t="s">
        <v>17683</v>
      </c>
      <c r="BT183" t="s">
        <v>17683</v>
      </c>
      <c r="BU183" t="s">
        <v>17683</v>
      </c>
      <c r="BV183" t="s">
        <v>17683</v>
      </c>
      <c r="BW183" t="s">
        <v>17683</v>
      </c>
      <c r="BX183" t="s">
        <v>17683</v>
      </c>
      <c r="BY183" t="s">
        <v>17683</v>
      </c>
      <c r="BZ183" t="s">
        <v>17683</v>
      </c>
      <c r="CA183" t="s">
        <v>17683</v>
      </c>
      <c r="CB183" t="s">
        <v>17683</v>
      </c>
      <c r="CC183" t="s">
        <v>17683</v>
      </c>
      <c r="CD183" t="s">
        <v>17683</v>
      </c>
      <c r="CE183" t="s">
        <v>17683</v>
      </c>
      <c r="CF183" t="s">
        <v>17683</v>
      </c>
      <c r="CG183" t="s">
        <v>17683</v>
      </c>
      <c r="CH183" t="s">
        <v>17683</v>
      </c>
      <c r="CI183" t="s">
        <v>17683</v>
      </c>
      <c r="CJ183" t="s">
        <v>17683</v>
      </c>
      <c r="CK183" t="s">
        <v>17683</v>
      </c>
      <c r="CL183" t="s">
        <v>17683</v>
      </c>
      <c r="CM183">
        <v>-99</v>
      </c>
      <c r="CN183">
        <v>-99</v>
      </c>
      <c r="CO183" t="s">
        <v>12537</v>
      </c>
      <c r="CP183" t="s">
        <v>12537</v>
      </c>
      <c r="CQ183" t="s">
        <v>13998</v>
      </c>
      <c r="CR183" t="s">
        <v>12539</v>
      </c>
      <c r="CS183">
        <v>14</v>
      </c>
      <c r="CT183">
        <v>24</v>
      </c>
      <c r="CU183">
        <v>6</v>
      </c>
      <c r="CV183">
        <v>3</v>
      </c>
      <c r="CW183">
        <v>-99</v>
      </c>
      <c r="CX183">
        <v>0</v>
      </c>
      <c r="CY183">
        <v>5</v>
      </c>
      <c r="CZ183">
        <v>10</v>
      </c>
      <c r="DA183">
        <v>145.734397</v>
      </c>
      <c r="DB183">
        <v>15.188188</v>
      </c>
      <c r="DC183">
        <v>1159321361</v>
      </c>
      <c r="DD183" t="s">
        <v>17688</v>
      </c>
      <c r="DE183" t="s">
        <v>17689</v>
      </c>
      <c r="DF183" t="s">
        <v>17690</v>
      </c>
      <c r="DG183" t="s">
        <v>17691</v>
      </c>
      <c r="DH183" t="s">
        <v>1227</v>
      </c>
      <c r="DI183" t="s">
        <v>17692</v>
      </c>
      <c r="DJ183" t="s">
        <v>17693</v>
      </c>
      <c r="DK183" t="s">
        <v>17694</v>
      </c>
      <c r="DL183" t="s">
        <v>17695</v>
      </c>
      <c r="DM183" t="s">
        <v>17696</v>
      </c>
      <c r="DN183" t="s">
        <v>17697</v>
      </c>
      <c r="DO183" t="s">
        <v>17698</v>
      </c>
      <c r="DP183" t="s">
        <v>17699</v>
      </c>
      <c r="DQ183" t="s">
        <v>17700</v>
      </c>
      <c r="DR183" t="s">
        <v>17701</v>
      </c>
      <c r="DS183" t="s">
        <v>17702</v>
      </c>
      <c r="DT183" t="s">
        <v>17703</v>
      </c>
      <c r="DU183" t="s">
        <v>17704</v>
      </c>
      <c r="DV183" t="s">
        <v>17705</v>
      </c>
      <c r="DW183" t="s">
        <v>17706</v>
      </c>
      <c r="DX183" t="s">
        <v>17707</v>
      </c>
      <c r="DY183" t="s">
        <v>17708</v>
      </c>
      <c r="DZ183" t="s">
        <v>17709</v>
      </c>
      <c r="EA183" t="s">
        <v>17710</v>
      </c>
      <c r="EB183" t="s">
        <v>17711</v>
      </c>
      <c r="EC183" t="s">
        <v>17712</v>
      </c>
      <c r="ED183" t="s">
        <v>17713</v>
      </c>
      <c r="EE183" t="s">
        <v>12397</v>
      </c>
      <c r="EG183" t="s">
        <v>12397</v>
      </c>
    </row>
    <row r="184" spans="1:167" x14ac:dyDescent="0.25">
      <c r="A184" t="s">
        <v>128</v>
      </c>
      <c r="B184" t="s">
        <v>12247</v>
      </c>
      <c r="C184">
        <v>0</v>
      </c>
      <c r="D184">
        <v>3</v>
      </c>
      <c r="E184" t="s">
        <v>128</v>
      </c>
      <c r="F184" t="s">
        <v>16055</v>
      </c>
      <c r="G184">
        <v>0</v>
      </c>
      <c r="H184">
        <v>2</v>
      </c>
      <c r="I184" t="s">
        <v>12249</v>
      </c>
      <c r="K184" t="s">
        <v>128</v>
      </c>
      <c r="L184" t="s">
        <v>16055</v>
      </c>
      <c r="M184">
        <v>0</v>
      </c>
      <c r="N184" t="s">
        <v>128</v>
      </c>
      <c r="O184" t="s">
        <v>16055</v>
      </c>
      <c r="P184">
        <v>0</v>
      </c>
      <c r="Q184" t="s">
        <v>128</v>
      </c>
      <c r="R184" t="s">
        <v>16055</v>
      </c>
      <c r="S184">
        <v>0</v>
      </c>
      <c r="T184" t="s">
        <v>128</v>
      </c>
      <c r="U184" t="s">
        <v>16055</v>
      </c>
      <c r="V184" t="s">
        <v>128</v>
      </c>
      <c r="X184" t="s">
        <v>16056</v>
      </c>
      <c r="Y184" t="s">
        <v>16057</v>
      </c>
      <c r="Z184" t="s">
        <v>16058</v>
      </c>
      <c r="AB184" t="s">
        <v>128</v>
      </c>
      <c r="AE184" t="s">
        <v>128</v>
      </c>
      <c r="AG184">
        <v>5</v>
      </c>
      <c r="AH184">
        <v>3</v>
      </c>
      <c r="AI184">
        <v>8</v>
      </c>
      <c r="AJ184">
        <v>12</v>
      </c>
      <c r="AK184">
        <v>5347896</v>
      </c>
      <c r="AL184">
        <v>13</v>
      </c>
      <c r="AM184">
        <v>2019</v>
      </c>
      <c r="AN184">
        <v>403336</v>
      </c>
      <c r="AO184">
        <v>2019</v>
      </c>
      <c r="AP184" t="s">
        <v>12334</v>
      </c>
      <c r="AQ184" t="s">
        <v>12513</v>
      </c>
      <c r="AR184">
        <v>-99</v>
      </c>
      <c r="AS184">
        <v>-99</v>
      </c>
      <c r="AT184" t="s">
        <v>1751</v>
      </c>
      <c r="AU184">
        <v>-99</v>
      </c>
      <c r="AV184" t="s">
        <v>16055</v>
      </c>
      <c r="AW184">
        <v>-99</v>
      </c>
      <c r="AX184">
        <v>578</v>
      </c>
      <c r="AY184">
        <v>-99</v>
      </c>
      <c r="AZ184">
        <v>-99</v>
      </c>
      <c r="BA184">
        <v>-99</v>
      </c>
      <c r="BB184">
        <v>-90</v>
      </c>
      <c r="BC184">
        <v>23424910</v>
      </c>
      <c r="BD184" t="s">
        <v>16059</v>
      </c>
      <c r="BE184" t="s">
        <v>16055</v>
      </c>
      <c r="BG184" t="s">
        <v>16055</v>
      </c>
      <c r="BH184" t="s">
        <v>16055</v>
      </c>
      <c r="BI184" t="s">
        <v>16055</v>
      </c>
      <c r="BJ184" t="s">
        <v>16055</v>
      </c>
      <c r="BK184" t="s">
        <v>16055</v>
      </c>
      <c r="BL184" t="s">
        <v>16055</v>
      </c>
      <c r="BM184" t="s">
        <v>16055</v>
      </c>
      <c r="BN184" t="s">
        <v>16055</v>
      </c>
      <c r="BO184" t="s">
        <v>16055</v>
      </c>
      <c r="BP184" t="s">
        <v>16055</v>
      </c>
      <c r="BQ184" t="s">
        <v>16055</v>
      </c>
      <c r="BR184" t="s">
        <v>16055</v>
      </c>
      <c r="BS184" t="s">
        <v>16055</v>
      </c>
      <c r="BT184" t="s">
        <v>16055</v>
      </c>
      <c r="BU184" t="s">
        <v>16055</v>
      </c>
      <c r="BV184" t="s">
        <v>16055</v>
      </c>
      <c r="BW184" t="s">
        <v>16055</v>
      </c>
      <c r="BX184" t="s">
        <v>16055</v>
      </c>
      <c r="BY184" t="s">
        <v>16055</v>
      </c>
      <c r="BZ184" t="s">
        <v>16055</v>
      </c>
      <c r="CA184" t="s">
        <v>16055</v>
      </c>
      <c r="CB184" t="s">
        <v>16055</v>
      </c>
      <c r="CC184" t="s">
        <v>16055</v>
      </c>
      <c r="CD184" t="s">
        <v>16055</v>
      </c>
      <c r="CE184" t="s">
        <v>16055</v>
      </c>
      <c r="CF184" t="s">
        <v>16055</v>
      </c>
      <c r="CG184" t="s">
        <v>16055</v>
      </c>
      <c r="CH184" t="s">
        <v>16055</v>
      </c>
      <c r="CI184" t="s">
        <v>16055</v>
      </c>
      <c r="CJ184" t="s">
        <v>16055</v>
      </c>
      <c r="CK184" t="s">
        <v>16055</v>
      </c>
      <c r="CL184" t="s">
        <v>16055</v>
      </c>
      <c r="CM184">
        <v>-99</v>
      </c>
      <c r="CN184">
        <v>-99</v>
      </c>
      <c r="CO184" t="s">
        <v>12279</v>
      </c>
      <c r="CP184" t="s">
        <v>12279</v>
      </c>
      <c r="CQ184" t="s">
        <v>12515</v>
      </c>
      <c r="CR184" t="s">
        <v>12281</v>
      </c>
      <c r="CS184">
        <v>6</v>
      </c>
      <c r="CT184">
        <v>6</v>
      </c>
      <c r="CU184">
        <v>4</v>
      </c>
      <c r="CV184">
        <v>-99</v>
      </c>
      <c r="CW184">
        <v>1</v>
      </c>
      <c r="CX184">
        <v>0</v>
      </c>
      <c r="CY184">
        <v>3</v>
      </c>
      <c r="CZ184">
        <v>7</v>
      </c>
      <c r="DA184">
        <v>9.6799750000000007</v>
      </c>
      <c r="DB184">
        <v>61.357092000000002</v>
      </c>
      <c r="DC184">
        <v>1159321109</v>
      </c>
      <c r="DD184" t="s">
        <v>16060</v>
      </c>
      <c r="DE184" t="s">
        <v>16061</v>
      </c>
      <c r="DF184" t="s">
        <v>16062</v>
      </c>
      <c r="DG184" t="s">
        <v>16063</v>
      </c>
      <c r="DH184" t="s">
        <v>128</v>
      </c>
      <c r="DI184" t="s">
        <v>16064</v>
      </c>
      <c r="DJ184" t="s">
        <v>16065</v>
      </c>
      <c r="DK184" t="s">
        <v>16066</v>
      </c>
      <c r="DL184" t="s">
        <v>16067</v>
      </c>
      <c r="DM184" t="s">
        <v>16068</v>
      </c>
      <c r="DN184" t="s">
        <v>16069</v>
      </c>
      <c r="DO184" t="s">
        <v>16070</v>
      </c>
      <c r="DP184" t="s">
        <v>16071</v>
      </c>
      <c r="DQ184" t="s">
        <v>16072</v>
      </c>
      <c r="DR184" t="s">
        <v>16073</v>
      </c>
      <c r="DS184" t="s">
        <v>16074</v>
      </c>
      <c r="DT184" t="s">
        <v>16075</v>
      </c>
      <c r="DU184" t="s">
        <v>16071</v>
      </c>
      <c r="DV184" t="s">
        <v>16064</v>
      </c>
      <c r="DW184" t="s">
        <v>16076</v>
      </c>
      <c r="DX184" t="s">
        <v>16077</v>
      </c>
      <c r="DY184" t="s">
        <v>16078</v>
      </c>
      <c r="DZ184" t="s">
        <v>16079</v>
      </c>
      <c r="EA184" t="s">
        <v>16080</v>
      </c>
      <c r="EB184" t="s">
        <v>16081</v>
      </c>
      <c r="EC184" t="s">
        <v>16082</v>
      </c>
      <c r="ED184" t="s">
        <v>16082</v>
      </c>
      <c r="EE184" t="s">
        <v>12505</v>
      </c>
      <c r="EG184" t="s">
        <v>12505</v>
      </c>
    </row>
    <row r="185" spans="1:167" x14ac:dyDescent="0.25">
      <c r="A185" t="s">
        <v>129</v>
      </c>
      <c r="B185" t="s">
        <v>12247</v>
      </c>
      <c r="C185">
        <v>0</v>
      </c>
      <c r="D185">
        <v>4</v>
      </c>
      <c r="E185" t="s">
        <v>129</v>
      </c>
      <c r="F185" t="s">
        <v>16083</v>
      </c>
      <c r="G185">
        <v>0</v>
      </c>
      <c r="H185">
        <v>2</v>
      </c>
      <c r="I185" t="s">
        <v>12249</v>
      </c>
      <c r="J185">
        <v>1</v>
      </c>
      <c r="K185" t="s">
        <v>129</v>
      </c>
      <c r="L185" t="s">
        <v>16083</v>
      </c>
      <c r="M185">
        <v>0</v>
      </c>
      <c r="N185" t="s">
        <v>129</v>
      </c>
      <c r="O185" t="s">
        <v>16083</v>
      </c>
      <c r="P185">
        <v>0</v>
      </c>
      <c r="Q185" t="s">
        <v>129</v>
      </c>
      <c r="R185" t="s">
        <v>16083</v>
      </c>
      <c r="S185">
        <v>0</v>
      </c>
      <c r="T185" t="s">
        <v>129</v>
      </c>
      <c r="U185" t="s">
        <v>16083</v>
      </c>
      <c r="V185" t="s">
        <v>129</v>
      </c>
      <c r="X185" t="s">
        <v>129</v>
      </c>
      <c r="Y185" t="s">
        <v>1767</v>
      </c>
      <c r="Z185" t="s">
        <v>16084</v>
      </c>
      <c r="AB185" t="s">
        <v>129</v>
      </c>
      <c r="AE185" t="s">
        <v>129</v>
      </c>
      <c r="AG185">
        <v>1</v>
      </c>
      <c r="AH185">
        <v>4</v>
      </c>
      <c r="AI185">
        <v>1</v>
      </c>
      <c r="AJ185">
        <v>6</v>
      </c>
      <c r="AK185">
        <v>4974986</v>
      </c>
      <c r="AL185">
        <v>12</v>
      </c>
      <c r="AM185">
        <v>2019</v>
      </c>
      <c r="AN185">
        <v>76331</v>
      </c>
      <c r="AO185">
        <v>2019</v>
      </c>
      <c r="AP185" t="s">
        <v>12277</v>
      </c>
      <c r="AQ185" t="s">
        <v>12335</v>
      </c>
      <c r="AR185" t="s">
        <v>1711</v>
      </c>
      <c r="AS185" t="s">
        <v>1767</v>
      </c>
      <c r="AT185" t="s">
        <v>1767</v>
      </c>
      <c r="AU185" t="s">
        <v>16083</v>
      </c>
      <c r="AV185" t="s">
        <v>16083</v>
      </c>
      <c r="AW185">
        <v>512</v>
      </c>
      <c r="AX185">
        <v>512</v>
      </c>
      <c r="AY185">
        <v>512</v>
      </c>
      <c r="AZ185" t="s">
        <v>1767</v>
      </c>
      <c r="BA185" t="s">
        <v>16083</v>
      </c>
      <c r="BB185">
        <v>23424898</v>
      </c>
      <c r="BC185">
        <v>23424898</v>
      </c>
      <c r="BD185" t="s">
        <v>12254</v>
      </c>
      <c r="BE185" t="s">
        <v>16083</v>
      </c>
      <c r="BG185" t="s">
        <v>16083</v>
      </c>
      <c r="BH185" t="s">
        <v>16083</v>
      </c>
      <c r="BI185" t="s">
        <v>16083</v>
      </c>
      <c r="BJ185" t="s">
        <v>16083</v>
      </c>
      <c r="BK185" t="s">
        <v>16083</v>
      </c>
      <c r="BL185" t="s">
        <v>16083</v>
      </c>
      <c r="BM185" t="s">
        <v>16083</v>
      </c>
      <c r="BN185" t="s">
        <v>16083</v>
      </c>
      <c r="BO185" t="s">
        <v>16083</v>
      </c>
      <c r="BP185" t="s">
        <v>16083</v>
      </c>
      <c r="BQ185" t="s">
        <v>16083</v>
      </c>
      <c r="BR185" t="s">
        <v>16083</v>
      </c>
      <c r="BS185" t="s">
        <v>16083</v>
      </c>
      <c r="BT185" t="s">
        <v>16083</v>
      </c>
      <c r="BU185" t="s">
        <v>16083</v>
      </c>
      <c r="BV185" t="s">
        <v>16083</v>
      </c>
      <c r="BW185" t="s">
        <v>16083</v>
      </c>
      <c r="BX185" t="s">
        <v>16083</v>
      </c>
      <c r="BY185" t="s">
        <v>16083</v>
      </c>
      <c r="BZ185" t="s">
        <v>16083</v>
      </c>
      <c r="CA185" t="s">
        <v>16083</v>
      </c>
      <c r="CB185" t="s">
        <v>16083</v>
      </c>
      <c r="CC185" t="s">
        <v>16083</v>
      </c>
      <c r="CD185" t="s">
        <v>16083</v>
      </c>
      <c r="CE185" t="s">
        <v>16083</v>
      </c>
      <c r="CF185" t="s">
        <v>16083</v>
      </c>
      <c r="CG185" t="s">
        <v>16083</v>
      </c>
      <c r="CH185" t="s">
        <v>16083</v>
      </c>
      <c r="CI185" t="s">
        <v>16083</v>
      </c>
      <c r="CJ185" t="s">
        <v>16083</v>
      </c>
      <c r="CK185" t="s">
        <v>16083</v>
      </c>
      <c r="CL185" t="s">
        <v>16083</v>
      </c>
      <c r="CM185">
        <v>-99</v>
      </c>
      <c r="CN185">
        <v>-99</v>
      </c>
      <c r="CO185" t="s">
        <v>12255</v>
      </c>
      <c r="CP185" t="s">
        <v>12255</v>
      </c>
      <c r="CQ185" t="s">
        <v>12458</v>
      </c>
      <c r="CR185" t="s">
        <v>12308</v>
      </c>
      <c r="CS185">
        <v>4</v>
      </c>
      <c r="CT185">
        <v>4</v>
      </c>
      <c r="CU185">
        <v>4</v>
      </c>
      <c r="CV185">
        <v>-99</v>
      </c>
      <c r="CW185">
        <v>1</v>
      </c>
      <c r="CX185">
        <v>0</v>
      </c>
      <c r="CY185">
        <v>4</v>
      </c>
      <c r="CZ185">
        <v>9</v>
      </c>
      <c r="DA185">
        <v>57.336553000000002</v>
      </c>
      <c r="DB185">
        <v>22.120426999999999</v>
      </c>
      <c r="DC185">
        <v>1159321151</v>
      </c>
      <c r="DD185" t="s">
        <v>16085</v>
      </c>
      <c r="DE185" t="s">
        <v>16086</v>
      </c>
      <c r="DF185" t="s">
        <v>16087</v>
      </c>
      <c r="DG185" t="s">
        <v>129</v>
      </c>
      <c r="DH185" t="s">
        <v>129</v>
      </c>
      <c r="DI185" t="s">
        <v>16088</v>
      </c>
      <c r="DJ185" t="s">
        <v>16089</v>
      </c>
      <c r="DK185" t="s">
        <v>129</v>
      </c>
      <c r="DL185" t="s">
        <v>16090</v>
      </c>
      <c r="DM185" t="s">
        <v>16091</v>
      </c>
      <c r="DN185" t="s">
        <v>16092</v>
      </c>
      <c r="DO185" t="s">
        <v>16088</v>
      </c>
      <c r="DP185" t="s">
        <v>129</v>
      </c>
      <c r="DQ185" t="s">
        <v>129</v>
      </c>
      <c r="DR185" t="s">
        <v>16093</v>
      </c>
      <c r="DS185" t="s">
        <v>16094</v>
      </c>
      <c r="DT185" t="s">
        <v>129</v>
      </c>
      <c r="DU185" t="s">
        <v>129</v>
      </c>
      <c r="DV185" t="s">
        <v>16095</v>
      </c>
      <c r="DW185" t="s">
        <v>16096</v>
      </c>
      <c r="DX185" t="s">
        <v>129</v>
      </c>
      <c r="DY185" t="s">
        <v>16097</v>
      </c>
      <c r="DZ185" t="s">
        <v>16096</v>
      </c>
      <c r="EA185" t="s">
        <v>16089</v>
      </c>
      <c r="EB185" t="s">
        <v>129</v>
      </c>
      <c r="EC185" t="s">
        <v>16098</v>
      </c>
      <c r="ED185" t="s">
        <v>16098</v>
      </c>
      <c r="EE185" t="s">
        <v>12247</v>
      </c>
      <c r="EG185" t="s">
        <v>12247</v>
      </c>
    </row>
    <row r="186" spans="1:167" x14ac:dyDescent="0.25">
      <c r="A186" t="s">
        <v>130</v>
      </c>
      <c r="B186" t="s">
        <v>12247</v>
      </c>
      <c r="C186">
        <v>0</v>
      </c>
      <c r="D186">
        <v>2</v>
      </c>
      <c r="E186" t="s">
        <v>130</v>
      </c>
      <c r="F186" t="s">
        <v>14963</v>
      </c>
      <c r="G186">
        <v>0</v>
      </c>
      <c r="H186">
        <v>2</v>
      </c>
      <c r="I186" t="s">
        <v>12249</v>
      </c>
      <c r="J186">
        <v>1</v>
      </c>
      <c r="K186" t="s">
        <v>130</v>
      </c>
      <c r="L186" t="s">
        <v>14963</v>
      </c>
      <c r="M186">
        <v>0</v>
      </c>
      <c r="N186" t="s">
        <v>130</v>
      </c>
      <c r="O186" t="s">
        <v>14963</v>
      </c>
      <c r="P186">
        <v>0</v>
      </c>
      <c r="Q186" t="s">
        <v>130</v>
      </c>
      <c r="R186" t="s">
        <v>14963</v>
      </c>
      <c r="S186">
        <v>0</v>
      </c>
      <c r="T186" t="s">
        <v>130</v>
      </c>
      <c r="U186" t="s">
        <v>14963</v>
      </c>
      <c r="V186" t="s">
        <v>130</v>
      </c>
      <c r="X186" t="s">
        <v>16099</v>
      </c>
      <c r="Y186" t="s">
        <v>1788</v>
      </c>
      <c r="Z186" t="s">
        <v>16100</v>
      </c>
      <c r="AB186" t="s">
        <v>130</v>
      </c>
      <c r="AE186" t="s">
        <v>130</v>
      </c>
      <c r="AG186">
        <v>2</v>
      </c>
      <c r="AH186">
        <v>2</v>
      </c>
      <c r="AI186">
        <v>3</v>
      </c>
      <c r="AJ186">
        <v>11</v>
      </c>
      <c r="AK186">
        <v>216565318</v>
      </c>
      <c r="AL186">
        <v>17</v>
      </c>
      <c r="AM186">
        <v>2019</v>
      </c>
      <c r="AN186">
        <v>278221</v>
      </c>
      <c r="AO186">
        <v>2019</v>
      </c>
      <c r="AP186" t="s">
        <v>12435</v>
      </c>
      <c r="AQ186" t="s">
        <v>12278</v>
      </c>
      <c r="AR186" t="s">
        <v>1788</v>
      </c>
      <c r="AS186" t="s">
        <v>1788</v>
      </c>
      <c r="AT186" t="s">
        <v>1788</v>
      </c>
      <c r="AU186" t="s">
        <v>14963</v>
      </c>
      <c r="AV186" t="s">
        <v>14963</v>
      </c>
      <c r="AW186">
        <v>586</v>
      </c>
      <c r="AX186">
        <v>586</v>
      </c>
      <c r="AY186">
        <v>586</v>
      </c>
      <c r="AZ186" t="s">
        <v>1788</v>
      </c>
      <c r="BA186" t="s">
        <v>14963</v>
      </c>
      <c r="BB186">
        <v>23424922</v>
      </c>
      <c r="BC186">
        <v>23424922</v>
      </c>
      <c r="BD186" t="s">
        <v>12254</v>
      </c>
      <c r="BE186" t="s">
        <v>14963</v>
      </c>
      <c r="BG186" t="s">
        <v>14963</v>
      </c>
      <c r="BH186" t="s">
        <v>14963</v>
      </c>
      <c r="BI186" t="s">
        <v>14963</v>
      </c>
      <c r="BJ186" t="s">
        <v>14963</v>
      </c>
      <c r="BK186" t="s">
        <v>14963</v>
      </c>
      <c r="BL186" t="s">
        <v>14963</v>
      </c>
      <c r="BM186" t="s">
        <v>14963</v>
      </c>
      <c r="BN186" t="s">
        <v>14963</v>
      </c>
      <c r="BO186" t="s">
        <v>14963</v>
      </c>
      <c r="BP186" t="s">
        <v>14963</v>
      </c>
      <c r="BQ186" t="s">
        <v>14963</v>
      </c>
      <c r="BR186" t="s">
        <v>14963</v>
      </c>
      <c r="BS186" t="s">
        <v>14963</v>
      </c>
      <c r="BT186" t="s">
        <v>14963</v>
      </c>
      <c r="BU186" t="s">
        <v>14963</v>
      </c>
      <c r="BV186" t="s">
        <v>14963</v>
      </c>
      <c r="BW186" t="s">
        <v>14963</v>
      </c>
      <c r="BX186" t="s">
        <v>14963</v>
      </c>
      <c r="BY186" t="s">
        <v>14963</v>
      </c>
      <c r="BZ186" t="s">
        <v>14963</v>
      </c>
      <c r="CA186" t="s">
        <v>14963</v>
      </c>
      <c r="CB186" t="s">
        <v>14963</v>
      </c>
      <c r="CC186" t="s">
        <v>14963</v>
      </c>
      <c r="CD186" t="s">
        <v>14963</v>
      </c>
      <c r="CE186" t="s">
        <v>14963</v>
      </c>
      <c r="CF186" t="s">
        <v>14963</v>
      </c>
      <c r="CG186" t="s">
        <v>14963</v>
      </c>
      <c r="CH186" t="s">
        <v>14963</v>
      </c>
      <c r="CI186" t="s">
        <v>14963</v>
      </c>
      <c r="CJ186" t="s">
        <v>14963</v>
      </c>
      <c r="CK186" t="s">
        <v>14963</v>
      </c>
      <c r="CL186" t="s">
        <v>14963</v>
      </c>
      <c r="CM186">
        <v>-99</v>
      </c>
      <c r="CN186">
        <v>-99</v>
      </c>
      <c r="CO186" t="s">
        <v>12255</v>
      </c>
      <c r="CP186" t="s">
        <v>12255</v>
      </c>
      <c r="CQ186" t="s">
        <v>12256</v>
      </c>
      <c r="CR186" t="s">
        <v>12257</v>
      </c>
      <c r="CS186">
        <v>8</v>
      </c>
      <c r="CT186">
        <v>8</v>
      </c>
      <c r="CU186">
        <v>4</v>
      </c>
      <c r="CV186">
        <v>-99</v>
      </c>
      <c r="CW186">
        <v>1</v>
      </c>
      <c r="CX186">
        <v>0</v>
      </c>
      <c r="CY186">
        <v>2.7</v>
      </c>
      <c r="CZ186">
        <v>7</v>
      </c>
      <c r="DA186">
        <v>68.545631999999998</v>
      </c>
      <c r="DB186">
        <v>29.328389000000001</v>
      </c>
      <c r="DC186">
        <v>1159321153</v>
      </c>
      <c r="DD186" t="s">
        <v>16101</v>
      </c>
      <c r="DE186" t="s">
        <v>16102</v>
      </c>
      <c r="DF186" t="s">
        <v>16103</v>
      </c>
      <c r="DG186" t="s">
        <v>130</v>
      </c>
      <c r="DH186" t="s">
        <v>130</v>
      </c>
      <c r="DI186" t="s">
        <v>16104</v>
      </c>
      <c r="DJ186" t="s">
        <v>16105</v>
      </c>
      <c r="DK186" t="s">
        <v>130</v>
      </c>
      <c r="DL186" t="s">
        <v>16106</v>
      </c>
      <c r="DM186" t="s">
        <v>16107</v>
      </c>
      <c r="DN186" t="s">
        <v>16108</v>
      </c>
      <c r="DO186" t="s">
        <v>16109</v>
      </c>
      <c r="DP186" t="s">
        <v>130</v>
      </c>
      <c r="DQ186" t="s">
        <v>130</v>
      </c>
      <c r="DR186" t="s">
        <v>16110</v>
      </c>
      <c r="DS186" t="s">
        <v>16111</v>
      </c>
      <c r="DT186" t="s">
        <v>130</v>
      </c>
      <c r="DU186" t="s">
        <v>130</v>
      </c>
      <c r="DV186" t="s">
        <v>16112</v>
      </c>
      <c r="DW186" t="s">
        <v>16113</v>
      </c>
      <c r="DX186" t="s">
        <v>130</v>
      </c>
      <c r="DY186" t="s">
        <v>130</v>
      </c>
      <c r="DZ186" t="s">
        <v>16113</v>
      </c>
      <c r="EA186" t="s">
        <v>16105</v>
      </c>
      <c r="EB186" t="s">
        <v>130</v>
      </c>
      <c r="EC186" t="s">
        <v>16114</v>
      </c>
      <c r="ED186" t="s">
        <v>16114</v>
      </c>
      <c r="EE186" t="s">
        <v>12247</v>
      </c>
      <c r="EG186" t="s">
        <v>12247</v>
      </c>
    </row>
    <row r="187" spans="1:167" x14ac:dyDescent="0.25">
      <c r="A187" t="s">
        <v>131</v>
      </c>
      <c r="B187" t="s">
        <v>12247</v>
      </c>
      <c r="C187">
        <v>5</v>
      </c>
      <c r="D187">
        <v>6</v>
      </c>
      <c r="E187" t="s">
        <v>131</v>
      </c>
      <c r="F187" t="s">
        <v>16115</v>
      </c>
      <c r="G187">
        <v>0</v>
      </c>
      <c r="H187">
        <v>2</v>
      </c>
      <c r="I187" t="s">
        <v>12249</v>
      </c>
      <c r="J187">
        <v>1</v>
      </c>
      <c r="K187" t="s">
        <v>131</v>
      </c>
      <c r="L187" t="s">
        <v>16115</v>
      </c>
      <c r="M187">
        <v>0</v>
      </c>
      <c r="N187" t="s">
        <v>131</v>
      </c>
      <c r="O187" t="s">
        <v>16115</v>
      </c>
      <c r="P187">
        <v>0</v>
      </c>
      <c r="Q187" t="s">
        <v>131</v>
      </c>
      <c r="R187" t="s">
        <v>16115</v>
      </c>
      <c r="S187">
        <v>0</v>
      </c>
      <c r="T187" t="s">
        <v>131</v>
      </c>
      <c r="U187" t="s">
        <v>16115</v>
      </c>
      <c r="V187" t="s">
        <v>131</v>
      </c>
      <c r="X187" t="s">
        <v>131</v>
      </c>
      <c r="Y187" t="s">
        <v>1810</v>
      </c>
      <c r="Z187" t="s">
        <v>16116</v>
      </c>
      <c r="AB187" t="s">
        <v>131</v>
      </c>
      <c r="AE187" t="s">
        <v>131</v>
      </c>
      <c r="AG187">
        <v>2</v>
      </c>
      <c r="AH187">
        <v>5</v>
      </c>
      <c r="AI187">
        <v>1</v>
      </c>
      <c r="AJ187">
        <v>12</v>
      </c>
      <c r="AK187">
        <v>18008</v>
      </c>
      <c r="AL187">
        <v>6</v>
      </c>
      <c r="AM187">
        <v>2019</v>
      </c>
      <c r="AN187">
        <v>268</v>
      </c>
      <c r="AO187">
        <v>2019</v>
      </c>
      <c r="AP187" t="s">
        <v>12277</v>
      </c>
      <c r="AQ187" t="s">
        <v>12305</v>
      </c>
      <c r="AR187" t="s">
        <v>1803</v>
      </c>
      <c r="AS187" t="s">
        <v>1810</v>
      </c>
      <c r="AT187" t="s">
        <v>1810</v>
      </c>
      <c r="AU187" t="s">
        <v>16115</v>
      </c>
      <c r="AV187" t="s">
        <v>16115</v>
      </c>
      <c r="AW187">
        <v>585</v>
      </c>
      <c r="AX187">
        <v>585</v>
      </c>
      <c r="AY187">
        <v>585</v>
      </c>
      <c r="AZ187" t="s">
        <v>1810</v>
      </c>
      <c r="BA187" t="s">
        <v>16115</v>
      </c>
      <c r="BB187">
        <v>23424927</v>
      </c>
      <c r="BC187">
        <v>23424927</v>
      </c>
      <c r="BD187" t="s">
        <v>12254</v>
      </c>
      <c r="BE187" t="s">
        <v>16115</v>
      </c>
      <c r="BG187" t="s">
        <v>16115</v>
      </c>
      <c r="BH187" t="s">
        <v>16115</v>
      </c>
      <c r="BI187" t="s">
        <v>16115</v>
      </c>
      <c r="BJ187" t="s">
        <v>16115</v>
      </c>
      <c r="BK187" t="s">
        <v>16115</v>
      </c>
      <c r="BL187" t="s">
        <v>16115</v>
      </c>
      <c r="BM187" t="s">
        <v>16115</v>
      </c>
      <c r="BN187" t="s">
        <v>16115</v>
      </c>
      <c r="BO187" t="s">
        <v>16115</v>
      </c>
      <c r="BP187" t="s">
        <v>16115</v>
      </c>
      <c r="BQ187" t="s">
        <v>16115</v>
      </c>
      <c r="BR187" t="s">
        <v>16115</v>
      </c>
      <c r="BS187" t="s">
        <v>16115</v>
      </c>
      <c r="BT187" t="s">
        <v>16115</v>
      </c>
      <c r="BU187" t="s">
        <v>16115</v>
      </c>
      <c r="BV187" t="s">
        <v>16115</v>
      </c>
      <c r="BW187" t="s">
        <v>16115</v>
      </c>
      <c r="BX187" t="s">
        <v>16115</v>
      </c>
      <c r="BY187" t="s">
        <v>16115</v>
      </c>
      <c r="BZ187" t="s">
        <v>16115</v>
      </c>
      <c r="CA187" t="s">
        <v>16115</v>
      </c>
      <c r="CB187" t="s">
        <v>16115</v>
      </c>
      <c r="CC187" t="s">
        <v>16115</v>
      </c>
      <c r="CD187" t="s">
        <v>16115</v>
      </c>
      <c r="CE187" t="s">
        <v>16115</v>
      </c>
      <c r="CF187" t="s">
        <v>16115</v>
      </c>
      <c r="CG187" t="s">
        <v>16115</v>
      </c>
      <c r="CH187" t="s">
        <v>16115</v>
      </c>
      <c r="CI187" t="s">
        <v>16115</v>
      </c>
      <c r="CJ187" t="s">
        <v>16115</v>
      </c>
      <c r="CK187" t="s">
        <v>16115</v>
      </c>
      <c r="CL187" t="s">
        <v>16115</v>
      </c>
      <c r="CM187">
        <v>-99</v>
      </c>
      <c r="CN187">
        <v>-99</v>
      </c>
      <c r="CO187" t="s">
        <v>12537</v>
      </c>
      <c r="CP187" t="s">
        <v>12537</v>
      </c>
      <c r="CQ187" t="s">
        <v>13998</v>
      </c>
      <c r="CR187" t="s">
        <v>12539</v>
      </c>
      <c r="CS187">
        <v>5</v>
      </c>
      <c r="CT187">
        <v>5</v>
      </c>
      <c r="CU187">
        <v>5</v>
      </c>
      <c r="CV187">
        <v>2</v>
      </c>
      <c r="CW187">
        <v>1</v>
      </c>
      <c r="CX187">
        <v>0</v>
      </c>
      <c r="CY187">
        <v>5</v>
      </c>
      <c r="CZ187">
        <v>10</v>
      </c>
      <c r="DA187">
        <v>134.58015700000001</v>
      </c>
      <c r="DB187">
        <v>7.5182520000000004</v>
      </c>
      <c r="DC187">
        <v>1159321171</v>
      </c>
      <c r="DD187" t="s">
        <v>16117</v>
      </c>
      <c r="DE187" t="s">
        <v>16118</v>
      </c>
      <c r="DF187" t="s">
        <v>16119</v>
      </c>
      <c r="DG187" t="s">
        <v>131</v>
      </c>
      <c r="DH187" t="s">
        <v>131</v>
      </c>
      <c r="DI187" t="s">
        <v>16120</v>
      </c>
      <c r="DJ187" t="s">
        <v>16121</v>
      </c>
      <c r="DK187" t="s">
        <v>16120</v>
      </c>
      <c r="DL187" t="s">
        <v>16122</v>
      </c>
      <c r="DM187" t="s">
        <v>16123</v>
      </c>
      <c r="DN187" t="s">
        <v>16124</v>
      </c>
      <c r="DO187" t="s">
        <v>131</v>
      </c>
      <c r="DP187" t="s">
        <v>131</v>
      </c>
      <c r="DQ187" t="s">
        <v>131</v>
      </c>
      <c r="DR187" t="s">
        <v>16125</v>
      </c>
      <c r="DS187" t="s">
        <v>16126</v>
      </c>
      <c r="DT187" t="s">
        <v>131</v>
      </c>
      <c r="DU187" t="s">
        <v>131</v>
      </c>
      <c r="DV187" t="s">
        <v>131</v>
      </c>
      <c r="DW187" t="s">
        <v>16127</v>
      </c>
      <c r="DX187" t="s">
        <v>131</v>
      </c>
      <c r="DY187" t="s">
        <v>131</v>
      </c>
      <c r="DZ187" t="s">
        <v>16128</v>
      </c>
      <c r="EA187" t="s">
        <v>16129</v>
      </c>
      <c r="EB187" t="s">
        <v>131</v>
      </c>
      <c r="EC187" t="s">
        <v>16130</v>
      </c>
      <c r="ED187" t="s">
        <v>16131</v>
      </c>
      <c r="EE187" t="s">
        <v>12247</v>
      </c>
      <c r="EG187" t="s">
        <v>12247</v>
      </c>
    </row>
    <row r="188" spans="1:167" x14ac:dyDescent="0.25">
      <c r="A188" t="s">
        <v>17714</v>
      </c>
      <c r="B188" t="s">
        <v>12247</v>
      </c>
      <c r="C188">
        <v>0</v>
      </c>
      <c r="D188">
        <v>5</v>
      </c>
      <c r="E188" t="s">
        <v>80</v>
      </c>
      <c r="F188" t="s">
        <v>15866</v>
      </c>
      <c r="G188">
        <v>1</v>
      </c>
      <c r="H188">
        <v>2</v>
      </c>
      <c r="I188" t="s">
        <v>12371</v>
      </c>
      <c r="J188">
        <v>1</v>
      </c>
      <c r="K188" t="s">
        <v>17714</v>
      </c>
      <c r="L188" t="s">
        <v>15870</v>
      </c>
      <c r="M188">
        <v>0</v>
      </c>
      <c r="N188" t="s">
        <v>17714</v>
      </c>
      <c r="O188" t="s">
        <v>15870</v>
      </c>
      <c r="P188">
        <v>0</v>
      </c>
      <c r="Q188" t="s">
        <v>17714</v>
      </c>
      <c r="R188" t="s">
        <v>15870</v>
      </c>
      <c r="S188">
        <v>0</v>
      </c>
      <c r="T188" t="s">
        <v>17714</v>
      </c>
      <c r="U188" t="s">
        <v>15870</v>
      </c>
      <c r="V188" t="s">
        <v>17714</v>
      </c>
      <c r="X188" t="s">
        <v>17715</v>
      </c>
      <c r="Y188" t="s">
        <v>17716</v>
      </c>
      <c r="Z188" t="s">
        <v>17717</v>
      </c>
      <c r="AD188" t="s">
        <v>17718</v>
      </c>
      <c r="AE188" t="s">
        <v>17719</v>
      </c>
      <c r="AG188">
        <v>3</v>
      </c>
      <c r="AH188">
        <v>2</v>
      </c>
      <c r="AI188">
        <v>5</v>
      </c>
      <c r="AJ188">
        <v>8</v>
      </c>
      <c r="AK188">
        <v>4685306</v>
      </c>
      <c r="AL188">
        <v>12</v>
      </c>
      <c r="AM188">
        <v>2019</v>
      </c>
      <c r="AN188">
        <v>16276</v>
      </c>
      <c r="AO188">
        <v>2018</v>
      </c>
      <c r="AP188" t="s">
        <v>12277</v>
      </c>
      <c r="AQ188" t="s">
        <v>12278</v>
      </c>
      <c r="AR188">
        <v>-99</v>
      </c>
      <c r="AS188" t="s">
        <v>1803</v>
      </c>
      <c r="AT188" t="s">
        <v>1803</v>
      </c>
      <c r="AU188" t="s">
        <v>17720</v>
      </c>
      <c r="AV188" t="s">
        <v>17720</v>
      </c>
      <c r="AW188">
        <v>275</v>
      </c>
      <c r="AX188">
        <v>275</v>
      </c>
      <c r="AY188">
        <v>275</v>
      </c>
      <c r="AZ188" t="s">
        <v>17721</v>
      </c>
      <c r="BA188" t="s">
        <v>17722</v>
      </c>
      <c r="BB188">
        <v>28289408</v>
      </c>
      <c r="BC188">
        <v>28289408</v>
      </c>
      <c r="BD188" t="s">
        <v>12254</v>
      </c>
      <c r="BE188" t="s">
        <v>15870</v>
      </c>
      <c r="BG188" t="s">
        <v>15870</v>
      </c>
      <c r="BH188" t="s">
        <v>15870</v>
      </c>
      <c r="BI188" t="s">
        <v>15870</v>
      </c>
      <c r="BJ188" t="s">
        <v>15870</v>
      </c>
      <c r="BK188" t="s">
        <v>15870</v>
      </c>
      <c r="BL188" t="s">
        <v>15870</v>
      </c>
      <c r="BM188" t="s">
        <v>15870</v>
      </c>
      <c r="BN188" t="s">
        <v>15870</v>
      </c>
      <c r="BO188" t="s">
        <v>15870</v>
      </c>
      <c r="BP188" t="s">
        <v>15870</v>
      </c>
      <c r="BQ188" t="s">
        <v>15870</v>
      </c>
      <c r="BR188" t="s">
        <v>15870</v>
      </c>
      <c r="BS188" t="s">
        <v>15870</v>
      </c>
      <c r="BT188" t="s">
        <v>15870</v>
      </c>
      <c r="BU188" t="s">
        <v>15870</v>
      </c>
      <c r="BV188" t="s">
        <v>15870</v>
      </c>
      <c r="BW188" t="s">
        <v>15870</v>
      </c>
      <c r="BX188" t="s">
        <v>15870</v>
      </c>
      <c r="BY188" t="s">
        <v>15870</v>
      </c>
      <c r="BZ188" t="s">
        <v>15870</v>
      </c>
      <c r="CA188" t="s">
        <v>15870</v>
      </c>
      <c r="CB188" t="s">
        <v>15870</v>
      </c>
      <c r="CC188" t="s">
        <v>15870</v>
      </c>
      <c r="CD188" t="s">
        <v>15870</v>
      </c>
      <c r="CE188" t="s">
        <v>15870</v>
      </c>
      <c r="CF188" t="s">
        <v>15870</v>
      </c>
      <c r="CG188" t="s">
        <v>15870</v>
      </c>
      <c r="CH188" t="s">
        <v>15870</v>
      </c>
      <c r="CI188" t="s">
        <v>15870</v>
      </c>
      <c r="CJ188" t="s">
        <v>15870</v>
      </c>
      <c r="CK188" t="s">
        <v>15870</v>
      </c>
      <c r="CL188" t="s">
        <v>15870</v>
      </c>
      <c r="CM188">
        <v>-99</v>
      </c>
      <c r="CN188">
        <v>-99</v>
      </c>
      <c r="CO188" t="s">
        <v>12255</v>
      </c>
      <c r="CP188" t="s">
        <v>12255</v>
      </c>
      <c r="CQ188" t="s">
        <v>12458</v>
      </c>
      <c r="CR188" t="s">
        <v>12308</v>
      </c>
      <c r="CS188">
        <v>9</v>
      </c>
      <c r="CT188">
        <v>9</v>
      </c>
      <c r="CU188">
        <v>4</v>
      </c>
      <c r="CV188">
        <v>-99</v>
      </c>
      <c r="CW188">
        <v>-99</v>
      </c>
      <c r="CX188">
        <v>7</v>
      </c>
      <c r="CY188">
        <v>4.5</v>
      </c>
      <c r="CZ188">
        <v>9.5</v>
      </c>
      <c r="DA188">
        <v>35.291341000000003</v>
      </c>
      <c r="DB188">
        <v>32.047431000000003</v>
      </c>
      <c r="DC188">
        <v>1159320899</v>
      </c>
      <c r="DD188" t="s">
        <v>17723</v>
      </c>
      <c r="DE188" t="s">
        <v>17724</v>
      </c>
      <c r="DF188" t="s">
        <v>17725</v>
      </c>
      <c r="DG188" t="s">
        <v>17726</v>
      </c>
      <c r="DH188" t="s">
        <v>17714</v>
      </c>
      <c r="DI188" t="s">
        <v>17727</v>
      </c>
      <c r="DJ188" t="s">
        <v>17728</v>
      </c>
      <c r="DK188" t="s">
        <v>17714</v>
      </c>
      <c r="DL188" t="s">
        <v>17729</v>
      </c>
      <c r="DM188" t="s">
        <v>17730</v>
      </c>
      <c r="DN188" t="s">
        <v>17731</v>
      </c>
      <c r="DO188" t="s">
        <v>17732</v>
      </c>
      <c r="DP188" t="s">
        <v>17727</v>
      </c>
      <c r="DQ188" t="s">
        <v>17727</v>
      </c>
      <c r="DR188" t="s">
        <v>17733</v>
      </c>
      <c r="DS188" t="s">
        <v>17734</v>
      </c>
      <c r="DT188" t="s">
        <v>17727</v>
      </c>
      <c r="DU188" t="s">
        <v>17735</v>
      </c>
      <c r="DV188" t="s">
        <v>17727</v>
      </c>
      <c r="DW188" t="s">
        <v>17736</v>
      </c>
      <c r="DX188" t="s">
        <v>17727</v>
      </c>
      <c r="DY188" t="s">
        <v>17737</v>
      </c>
      <c r="DZ188" t="s">
        <v>17736</v>
      </c>
      <c r="EA188" t="s">
        <v>17728</v>
      </c>
      <c r="EB188" t="s">
        <v>17714</v>
      </c>
      <c r="EC188" t="s">
        <v>17738</v>
      </c>
      <c r="ED188" t="s">
        <v>17739</v>
      </c>
      <c r="EE188" t="s">
        <v>12397</v>
      </c>
      <c r="EG188" t="s">
        <v>12397</v>
      </c>
      <c r="EP188" t="s">
        <v>12247</v>
      </c>
      <c r="EU188" t="s">
        <v>12247</v>
      </c>
      <c r="EV188" t="s">
        <v>12247</v>
      </c>
      <c r="FK188" t="s">
        <v>12247</v>
      </c>
    </row>
    <row r="189" spans="1:167" x14ac:dyDescent="0.25">
      <c r="A189" t="s">
        <v>132</v>
      </c>
      <c r="B189" t="s">
        <v>12247</v>
      </c>
      <c r="C189">
        <v>0</v>
      </c>
      <c r="D189">
        <v>4</v>
      </c>
      <c r="E189" t="s">
        <v>132</v>
      </c>
      <c r="F189" t="s">
        <v>16132</v>
      </c>
      <c r="G189">
        <v>0</v>
      </c>
      <c r="H189">
        <v>2</v>
      </c>
      <c r="I189" t="s">
        <v>12249</v>
      </c>
      <c r="J189">
        <v>1</v>
      </c>
      <c r="K189" t="s">
        <v>132</v>
      </c>
      <c r="L189" t="s">
        <v>16132</v>
      </c>
      <c r="M189">
        <v>0</v>
      </c>
      <c r="N189" t="s">
        <v>132</v>
      </c>
      <c r="O189" t="s">
        <v>16132</v>
      </c>
      <c r="P189">
        <v>0</v>
      </c>
      <c r="Q189" t="s">
        <v>132</v>
      </c>
      <c r="R189" t="s">
        <v>16132</v>
      </c>
      <c r="S189">
        <v>0</v>
      </c>
      <c r="T189" t="s">
        <v>132</v>
      </c>
      <c r="U189" t="s">
        <v>16132</v>
      </c>
      <c r="V189" t="s">
        <v>132</v>
      </c>
      <c r="X189" t="s">
        <v>16133</v>
      </c>
      <c r="Y189" t="s">
        <v>1770</v>
      </c>
      <c r="Z189" t="s">
        <v>16134</v>
      </c>
      <c r="AB189" t="s">
        <v>132</v>
      </c>
      <c r="AE189" t="s">
        <v>132</v>
      </c>
      <c r="AG189">
        <v>4</v>
      </c>
      <c r="AH189">
        <v>4</v>
      </c>
      <c r="AI189">
        <v>6</v>
      </c>
      <c r="AJ189">
        <v>3</v>
      </c>
      <c r="AK189">
        <v>4246439</v>
      </c>
      <c r="AL189">
        <v>12</v>
      </c>
      <c r="AM189">
        <v>2019</v>
      </c>
      <c r="AN189">
        <v>66800</v>
      </c>
      <c r="AO189">
        <v>2019</v>
      </c>
      <c r="AP189" t="s">
        <v>12277</v>
      </c>
      <c r="AQ189" t="s">
        <v>12305</v>
      </c>
      <c r="AR189" t="s">
        <v>1794</v>
      </c>
      <c r="AS189" t="s">
        <v>1770</v>
      </c>
      <c r="AT189" t="s">
        <v>1770</v>
      </c>
      <c r="AU189" t="s">
        <v>16132</v>
      </c>
      <c r="AV189" t="s">
        <v>16132</v>
      </c>
      <c r="AW189">
        <v>591</v>
      </c>
      <c r="AX189">
        <v>591</v>
      </c>
      <c r="AY189">
        <v>591</v>
      </c>
      <c r="AZ189" t="s">
        <v>1770</v>
      </c>
      <c r="BA189" t="s">
        <v>16132</v>
      </c>
      <c r="BB189">
        <v>23424924</v>
      </c>
      <c r="BC189">
        <v>23424924</v>
      </c>
      <c r="BD189" t="s">
        <v>12254</v>
      </c>
      <c r="BE189" t="s">
        <v>16132</v>
      </c>
      <c r="BG189" t="s">
        <v>16132</v>
      </c>
      <c r="BH189" t="s">
        <v>16132</v>
      </c>
      <c r="BI189" t="s">
        <v>16132</v>
      </c>
      <c r="BJ189" t="s">
        <v>16132</v>
      </c>
      <c r="BK189" t="s">
        <v>16132</v>
      </c>
      <c r="BL189" t="s">
        <v>16132</v>
      </c>
      <c r="BM189" t="s">
        <v>16132</v>
      </c>
      <c r="BN189" t="s">
        <v>16132</v>
      </c>
      <c r="BO189" t="s">
        <v>16132</v>
      </c>
      <c r="BP189" t="s">
        <v>16132</v>
      </c>
      <c r="BQ189" t="s">
        <v>16132</v>
      </c>
      <c r="BR189" t="s">
        <v>16132</v>
      </c>
      <c r="BS189" t="s">
        <v>16132</v>
      </c>
      <c r="BT189" t="s">
        <v>16132</v>
      </c>
      <c r="BU189" t="s">
        <v>16132</v>
      </c>
      <c r="BV189" t="s">
        <v>16132</v>
      </c>
      <c r="BW189" t="s">
        <v>16132</v>
      </c>
      <c r="BX189" t="s">
        <v>16132</v>
      </c>
      <c r="BY189" t="s">
        <v>16132</v>
      </c>
      <c r="BZ189" t="s">
        <v>16132</v>
      </c>
      <c r="CA189" t="s">
        <v>16132</v>
      </c>
      <c r="CB189" t="s">
        <v>16132</v>
      </c>
      <c r="CC189" t="s">
        <v>16132</v>
      </c>
      <c r="CD189" t="s">
        <v>16132</v>
      </c>
      <c r="CE189" t="s">
        <v>16132</v>
      </c>
      <c r="CF189" t="s">
        <v>16132</v>
      </c>
      <c r="CG189" t="s">
        <v>16132</v>
      </c>
      <c r="CH189" t="s">
        <v>16132</v>
      </c>
      <c r="CI189" t="s">
        <v>16132</v>
      </c>
      <c r="CJ189" t="s">
        <v>16132</v>
      </c>
      <c r="CK189" t="s">
        <v>16132</v>
      </c>
      <c r="CL189" t="s">
        <v>16132</v>
      </c>
      <c r="CM189">
        <v>-99</v>
      </c>
      <c r="CN189">
        <v>-99</v>
      </c>
      <c r="CO189" t="s">
        <v>12402</v>
      </c>
      <c r="CP189" t="s">
        <v>12403</v>
      </c>
      <c r="CQ189" t="s">
        <v>12829</v>
      </c>
      <c r="CR189" t="s">
        <v>12405</v>
      </c>
      <c r="CS189">
        <v>6</v>
      </c>
      <c r="CT189">
        <v>6</v>
      </c>
      <c r="CU189">
        <v>4</v>
      </c>
      <c r="CV189">
        <v>-99</v>
      </c>
      <c r="CW189">
        <v>1</v>
      </c>
      <c r="CX189">
        <v>0</v>
      </c>
      <c r="CY189">
        <v>4</v>
      </c>
      <c r="CZ189">
        <v>9</v>
      </c>
      <c r="DA189">
        <v>-80.352106000000006</v>
      </c>
      <c r="DB189">
        <v>8.7219800000000003</v>
      </c>
      <c r="DC189">
        <v>1159321161</v>
      </c>
      <c r="DD189" t="s">
        <v>16135</v>
      </c>
      <c r="DE189" t="s">
        <v>16136</v>
      </c>
      <c r="DF189" t="s">
        <v>16137</v>
      </c>
      <c r="DG189" t="s">
        <v>132</v>
      </c>
      <c r="DH189" t="s">
        <v>132</v>
      </c>
      <c r="DI189" t="s">
        <v>16138</v>
      </c>
      <c r="DJ189" t="s">
        <v>16139</v>
      </c>
      <c r="DK189" t="s">
        <v>132</v>
      </c>
      <c r="DL189" t="s">
        <v>16140</v>
      </c>
      <c r="DM189" t="s">
        <v>16141</v>
      </c>
      <c r="DN189" t="s">
        <v>16142</v>
      </c>
      <c r="DO189" t="s">
        <v>132</v>
      </c>
      <c r="DP189" t="s">
        <v>132</v>
      </c>
      <c r="DQ189" t="s">
        <v>132</v>
      </c>
      <c r="DR189" t="s">
        <v>16143</v>
      </c>
      <c r="DS189" t="s">
        <v>16144</v>
      </c>
      <c r="DT189" t="s">
        <v>132</v>
      </c>
      <c r="DU189" t="s">
        <v>132</v>
      </c>
      <c r="DV189" t="s">
        <v>16138</v>
      </c>
      <c r="DW189" t="s">
        <v>16145</v>
      </c>
      <c r="DX189" t="s">
        <v>132</v>
      </c>
      <c r="DY189" t="s">
        <v>132</v>
      </c>
      <c r="DZ189" t="s">
        <v>16145</v>
      </c>
      <c r="EA189" t="s">
        <v>16139</v>
      </c>
      <c r="EB189" t="s">
        <v>132</v>
      </c>
      <c r="EC189" t="s">
        <v>16146</v>
      </c>
      <c r="ED189" t="s">
        <v>16147</v>
      </c>
      <c r="EE189" t="s">
        <v>12247</v>
      </c>
      <c r="EG189" t="s">
        <v>12247</v>
      </c>
    </row>
    <row r="190" spans="1:167" x14ac:dyDescent="0.25">
      <c r="A190" t="s">
        <v>133</v>
      </c>
      <c r="B190" t="s">
        <v>12247</v>
      </c>
      <c r="C190">
        <v>0</v>
      </c>
      <c r="D190">
        <v>2</v>
      </c>
      <c r="E190" t="s">
        <v>133</v>
      </c>
      <c r="F190" t="s">
        <v>16148</v>
      </c>
      <c r="G190">
        <v>0</v>
      </c>
      <c r="H190">
        <v>2</v>
      </c>
      <c r="I190" t="s">
        <v>12249</v>
      </c>
      <c r="J190">
        <v>1</v>
      </c>
      <c r="K190" t="s">
        <v>133</v>
      </c>
      <c r="L190" t="s">
        <v>16148</v>
      </c>
      <c r="M190">
        <v>0</v>
      </c>
      <c r="N190" t="s">
        <v>133</v>
      </c>
      <c r="O190" t="s">
        <v>16148</v>
      </c>
      <c r="P190">
        <v>1</v>
      </c>
      <c r="Q190" t="s">
        <v>133</v>
      </c>
      <c r="R190" t="s">
        <v>16149</v>
      </c>
      <c r="S190">
        <v>0</v>
      </c>
      <c r="T190" t="s">
        <v>133</v>
      </c>
      <c r="U190" t="s">
        <v>16149</v>
      </c>
      <c r="V190" t="s">
        <v>133</v>
      </c>
      <c r="X190" t="s">
        <v>16150</v>
      </c>
      <c r="Y190" t="s">
        <v>1780</v>
      </c>
      <c r="Z190" t="s">
        <v>16151</v>
      </c>
      <c r="AB190" t="s">
        <v>133</v>
      </c>
      <c r="AE190" t="s">
        <v>133</v>
      </c>
      <c r="AG190">
        <v>4</v>
      </c>
      <c r="AH190">
        <v>2</v>
      </c>
      <c r="AI190">
        <v>3</v>
      </c>
      <c r="AJ190">
        <v>1</v>
      </c>
      <c r="AK190">
        <v>8776109</v>
      </c>
      <c r="AL190">
        <v>13</v>
      </c>
      <c r="AM190">
        <v>2019</v>
      </c>
      <c r="AN190">
        <v>24829</v>
      </c>
      <c r="AO190">
        <v>2019</v>
      </c>
      <c r="AP190" t="s">
        <v>12277</v>
      </c>
      <c r="AQ190" t="s">
        <v>12278</v>
      </c>
      <c r="AR190" t="s">
        <v>16152</v>
      </c>
      <c r="AS190" t="s">
        <v>1780</v>
      </c>
      <c r="AT190" t="s">
        <v>1780</v>
      </c>
      <c r="AU190" t="s">
        <v>16148</v>
      </c>
      <c r="AV190" t="s">
        <v>16148</v>
      </c>
      <c r="AW190">
        <v>598</v>
      </c>
      <c r="AX190">
        <v>598</v>
      </c>
      <c r="AY190">
        <v>598</v>
      </c>
      <c r="AZ190" t="s">
        <v>1780</v>
      </c>
      <c r="BA190" t="s">
        <v>16148</v>
      </c>
      <c r="BB190">
        <v>23424926</v>
      </c>
      <c r="BC190">
        <v>23424926</v>
      </c>
      <c r="BD190" t="s">
        <v>12254</v>
      </c>
      <c r="BE190" t="s">
        <v>16149</v>
      </c>
      <c r="BG190" t="s">
        <v>16149</v>
      </c>
      <c r="BH190" t="s">
        <v>16148</v>
      </c>
      <c r="BI190" t="s">
        <v>16148</v>
      </c>
      <c r="BJ190" t="s">
        <v>16148</v>
      </c>
      <c r="BK190" t="s">
        <v>16148</v>
      </c>
      <c r="BL190" t="s">
        <v>16148</v>
      </c>
      <c r="BM190" t="s">
        <v>16148</v>
      </c>
      <c r="BN190" t="s">
        <v>16148</v>
      </c>
      <c r="BO190" t="s">
        <v>16148</v>
      </c>
      <c r="BP190" t="s">
        <v>16148</v>
      </c>
      <c r="BQ190" t="s">
        <v>16148</v>
      </c>
      <c r="BR190" t="s">
        <v>16148</v>
      </c>
      <c r="BS190" t="s">
        <v>16148</v>
      </c>
      <c r="BT190" t="s">
        <v>16148</v>
      </c>
      <c r="BU190" t="s">
        <v>16148</v>
      </c>
      <c r="BV190" t="s">
        <v>16148</v>
      </c>
      <c r="BW190" t="s">
        <v>16148</v>
      </c>
      <c r="BX190" t="s">
        <v>16148</v>
      </c>
      <c r="BY190" t="s">
        <v>16148</v>
      </c>
      <c r="BZ190" t="s">
        <v>16148</v>
      </c>
      <c r="CA190" t="s">
        <v>16148</v>
      </c>
      <c r="CB190" t="s">
        <v>16148</v>
      </c>
      <c r="CC190" t="s">
        <v>16148</v>
      </c>
      <c r="CD190" t="s">
        <v>16148</v>
      </c>
      <c r="CE190" t="s">
        <v>16148</v>
      </c>
      <c r="CF190" t="s">
        <v>16148</v>
      </c>
      <c r="CG190" t="s">
        <v>16148</v>
      </c>
      <c r="CH190" t="s">
        <v>16148</v>
      </c>
      <c r="CI190" t="s">
        <v>16148</v>
      </c>
      <c r="CJ190" t="s">
        <v>16148</v>
      </c>
      <c r="CK190" t="s">
        <v>16148</v>
      </c>
      <c r="CL190" t="s">
        <v>16148</v>
      </c>
      <c r="CM190">
        <v>-99</v>
      </c>
      <c r="CN190">
        <v>-99</v>
      </c>
      <c r="CO190" t="s">
        <v>12537</v>
      </c>
      <c r="CP190" t="s">
        <v>12537</v>
      </c>
      <c r="CQ190" t="s">
        <v>14027</v>
      </c>
      <c r="CR190" t="s">
        <v>12539</v>
      </c>
      <c r="CS190">
        <v>16</v>
      </c>
      <c r="CT190">
        <v>16</v>
      </c>
      <c r="CU190">
        <v>6</v>
      </c>
      <c r="CV190">
        <v>-99</v>
      </c>
      <c r="CW190">
        <v>1</v>
      </c>
      <c r="CX190">
        <v>0</v>
      </c>
      <c r="CY190">
        <v>2.5</v>
      </c>
      <c r="CZ190">
        <v>7.5</v>
      </c>
      <c r="DA190">
        <v>143.91021599999999</v>
      </c>
      <c r="DB190">
        <v>-5.6952850000000002</v>
      </c>
      <c r="DC190">
        <v>1159321173</v>
      </c>
      <c r="DD190" t="s">
        <v>16153</v>
      </c>
      <c r="DE190" t="s">
        <v>16154</v>
      </c>
      <c r="DF190" t="s">
        <v>16155</v>
      </c>
      <c r="DG190" t="s">
        <v>16156</v>
      </c>
      <c r="DH190" t="s">
        <v>133</v>
      </c>
      <c r="DI190" t="s">
        <v>16157</v>
      </c>
      <c r="DJ190" t="s">
        <v>16158</v>
      </c>
      <c r="DK190" t="s">
        <v>16159</v>
      </c>
      <c r="DL190" t="s">
        <v>16160</v>
      </c>
      <c r="DM190" t="s">
        <v>16161</v>
      </c>
      <c r="DN190" t="s">
        <v>16162</v>
      </c>
      <c r="DO190" t="s">
        <v>16163</v>
      </c>
      <c r="DP190" t="s">
        <v>16164</v>
      </c>
      <c r="DQ190" t="s">
        <v>16165</v>
      </c>
      <c r="DR190" t="s">
        <v>16166</v>
      </c>
      <c r="DS190" t="s">
        <v>16167</v>
      </c>
      <c r="DT190" t="s">
        <v>16168</v>
      </c>
      <c r="DU190" t="s">
        <v>16169</v>
      </c>
      <c r="DV190" t="s">
        <v>16170</v>
      </c>
      <c r="DW190" t="s">
        <v>16171</v>
      </c>
      <c r="DX190" t="s">
        <v>16172</v>
      </c>
      <c r="DY190" t="s">
        <v>16173</v>
      </c>
      <c r="DZ190" t="s">
        <v>16174</v>
      </c>
      <c r="EA190" t="s">
        <v>16175</v>
      </c>
      <c r="EB190" t="s">
        <v>133</v>
      </c>
      <c r="EC190" t="s">
        <v>16176</v>
      </c>
      <c r="ED190" t="s">
        <v>16177</v>
      </c>
      <c r="EE190" t="s">
        <v>12247</v>
      </c>
      <c r="EG190" t="s">
        <v>12247</v>
      </c>
    </row>
    <row r="191" spans="1:167" x14ac:dyDescent="0.25">
      <c r="A191" t="s">
        <v>134</v>
      </c>
      <c r="B191" t="s">
        <v>12247</v>
      </c>
      <c r="C191">
        <v>0</v>
      </c>
      <c r="D191">
        <v>4</v>
      </c>
      <c r="E191" t="s">
        <v>134</v>
      </c>
      <c r="F191" t="s">
        <v>16178</v>
      </c>
      <c r="G191">
        <v>0</v>
      </c>
      <c r="H191">
        <v>2</v>
      </c>
      <c r="I191" t="s">
        <v>12249</v>
      </c>
      <c r="J191">
        <v>1</v>
      </c>
      <c r="K191" t="s">
        <v>134</v>
      </c>
      <c r="L191" t="s">
        <v>16178</v>
      </c>
      <c r="M191">
        <v>0</v>
      </c>
      <c r="N191" t="s">
        <v>134</v>
      </c>
      <c r="O191" t="s">
        <v>16178</v>
      </c>
      <c r="P191">
        <v>0</v>
      </c>
      <c r="Q191" t="s">
        <v>134</v>
      </c>
      <c r="R191" t="s">
        <v>16178</v>
      </c>
      <c r="S191">
        <v>0</v>
      </c>
      <c r="T191" t="s">
        <v>134</v>
      </c>
      <c r="U191" t="s">
        <v>16178</v>
      </c>
      <c r="V191" t="s">
        <v>134</v>
      </c>
      <c r="X191" t="s">
        <v>16179</v>
      </c>
      <c r="Y191" t="s">
        <v>1813</v>
      </c>
      <c r="Z191" t="s">
        <v>16180</v>
      </c>
      <c r="AB191" t="s">
        <v>134</v>
      </c>
      <c r="AE191" t="s">
        <v>134</v>
      </c>
      <c r="AG191">
        <v>6</v>
      </c>
      <c r="AH191">
        <v>3</v>
      </c>
      <c r="AI191">
        <v>6</v>
      </c>
      <c r="AJ191">
        <v>2</v>
      </c>
      <c r="AK191">
        <v>7044636</v>
      </c>
      <c r="AL191">
        <v>13</v>
      </c>
      <c r="AM191">
        <v>2019</v>
      </c>
      <c r="AN191">
        <v>38145</v>
      </c>
      <c r="AO191">
        <v>2019</v>
      </c>
      <c r="AP191" t="s">
        <v>12435</v>
      </c>
      <c r="AQ191" t="s">
        <v>12278</v>
      </c>
      <c r="AR191" t="s">
        <v>1770</v>
      </c>
      <c r="AS191" t="s">
        <v>1813</v>
      </c>
      <c r="AT191" t="s">
        <v>1813</v>
      </c>
      <c r="AU191" t="s">
        <v>16178</v>
      </c>
      <c r="AV191" t="s">
        <v>16178</v>
      </c>
      <c r="AW191">
        <v>600</v>
      </c>
      <c r="AX191">
        <v>600</v>
      </c>
      <c r="AY191">
        <v>600</v>
      </c>
      <c r="AZ191" t="s">
        <v>1813</v>
      </c>
      <c r="BA191" t="s">
        <v>16178</v>
      </c>
      <c r="BB191">
        <v>23424917</v>
      </c>
      <c r="BC191">
        <v>23424917</v>
      </c>
      <c r="BD191" t="s">
        <v>12254</v>
      </c>
      <c r="BE191" t="s">
        <v>16178</v>
      </c>
      <c r="BG191" t="s">
        <v>16178</v>
      </c>
      <c r="BH191" t="s">
        <v>16178</v>
      </c>
      <c r="BI191" t="s">
        <v>16178</v>
      </c>
      <c r="BJ191" t="s">
        <v>16178</v>
      </c>
      <c r="BK191" t="s">
        <v>16178</v>
      </c>
      <c r="BL191" t="s">
        <v>16178</v>
      </c>
      <c r="BM191" t="s">
        <v>16178</v>
      </c>
      <c r="BN191" t="s">
        <v>16178</v>
      </c>
      <c r="BO191" t="s">
        <v>16178</v>
      </c>
      <c r="BP191" t="s">
        <v>16178</v>
      </c>
      <c r="BQ191" t="s">
        <v>16178</v>
      </c>
      <c r="BR191" t="s">
        <v>16178</v>
      </c>
      <c r="BS191" t="s">
        <v>16178</v>
      </c>
      <c r="BT191" t="s">
        <v>16178</v>
      </c>
      <c r="BU191" t="s">
        <v>16178</v>
      </c>
      <c r="BV191" t="s">
        <v>16178</v>
      </c>
      <c r="BW191" t="s">
        <v>16178</v>
      </c>
      <c r="BX191" t="s">
        <v>16178</v>
      </c>
      <c r="BY191" t="s">
        <v>16178</v>
      </c>
      <c r="BZ191" t="s">
        <v>16178</v>
      </c>
      <c r="CA191" t="s">
        <v>16178</v>
      </c>
      <c r="CB191" t="s">
        <v>16178</v>
      </c>
      <c r="CC191" t="s">
        <v>16178</v>
      </c>
      <c r="CD191" t="s">
        <v>16178</v>
      </c>
      <c r="CE191" t="s">
        <v>16178</v>
      </c>
      <c r="CF191" t="s">
        <v>16178</v>
      </c>
      <c r="CG191" t="s">
        <v>16178</v>
      </c>
      <c r="CH191" t="s">
        <v>16178</v>
      </c>
      <c r="CI191" t="s">
        <v>16178</v>
      </c>
      <c r="CJ191" t="s">
        <v>16178</v>
      </c>
      <c r="CK191" t="s">
        <v>16178</v>
      </c>
      <c r="CL191" t="s">
        <v>16178</v>
      </c>
      <c r="CM191">
        <v>-99</v>
      </c>
      <c r="CN191">
        <v>-99</v>
      </c>
      <c r="CO191" t="s">
        <v>12436</v>
      </c>
      <c r="CP191" t="s">
        <v>12403</v>
      </c>
      <c r="CQ191" t="s">
        <v>12436</v>
      </c>
      <c r="CR191" t="s">
        <v>12405</v>
      </c>
      <c r="CS191">
        <v>8</v>
      </c>
      <c r="CT191">
        <v>8</v>
      </c>
      <c r="CU191">
        <v>5</v>
      </c>
      <c r="CV191">
        <v>-99</v>
      </c>
      <c r="CW191">
        <v>1</v>
      </c>
      <c r="CX191">
        <v>0</v>
      </c>
      <c r="CY191">
        <v>3</v>
      </c>
      <c r="CZ191">
        <v>8</v>
      </c>
      <c r="DA191">
        <v>-60.146394000000001</v>
      </c>
      <c r="DB191">
        <v>-21.674509</v>
      </c>
      <c r="DC191">
        <v>1159321195</v>
      </c>
      <c r="DD191" t="s">
        <v>16181</v>
      </c>
      <c r="DE191" t="s">
        <v>16182</v>
      </c>
      <c r="DF191" t="s">
        <v>16183</v>
      </c>
      <c r="DG191" t="s">
        <v>134</v>
      </c>
      <c r="DH191" t="s">
        <v>134</v>
      </c>
      <c r="DI191" t="s">
        <v>134</v>
      </c>
      <c r="DJ191" t="s">
        <v>16184</v>
      </c>
      <c r="DK191" t="s">
        <v>134</v>
      </c>
      <c r="DL191" t="s">
        <v>16185</v>
      </c>
      <c r="DM191" t="s">
        <v>16186</v>
      </c>
      <c r="DN191" t="s">
        <v>16187</v>
      </c>
      <c r="DO191" t="s">
        <v>134</v>
      </c>
      <c r="DP191" t="s">
        <v>134</v>
      </c>
      <c r="DQ191" t="s">
        <v>134</v>
      </c>
      <c r="DR191" t="s">
        <v>16188</v>
      </c>
      <c r="DS191" t="s">
        <v>16189</v>
      </c>
      <c r="DT191" t="s">
        <v>134</v>
      </c>
      <c r="DU191" t="s">
        <v>16190</v>
      </c>
      <c r="DV191" t="s">
        <v>16191</v>
      </c>
      <c r="DW191" t="s">
        <v>16192</v>
      </c>
      <c r="DX191" t="s">
        <v>134</v>
      </c>
      <c r="DY191" t="s">
        <v>134</v>
      </c>
      <c r="DZ191" t="s">
        <v>16192</v>
      </c>
      <c r="EA191" t="s">
        <v>16193</v>
      </c>
      <c r="EB191" t="s">
        <v>134</v>
      </c>
      <c r="EC191" t="s">
        <v>16194</v>
      </c>
      <c r="ED191" t="s">
        <v>16194</v>
      </c>
      <c r="EE191" t="s">
        <v>12247</v>
      </c>
      <c r="EG191" t="s">
        <v>12247</v>
      </c>
    </row>
    <row r="192" spans="1:167" x14ac:dyDescent="0.25">
      <c r="A192" t="s">
        <v>135</v>
      </c>
      <c r="B192" t="s">
        <v>12247</v>
      </c>
      <c r="C192">
        <v>0</v>
      </c>
      <c r="D192">
        <v>2</v>
      </c>
      <c r="E192" t="s">
        <v>135</v>
      </c>
      <c r="F192" t="s">
        <v>16195</v>
      </c>
      <c r="G192">
        <v>0</v>
      </c>
      <c r="H192">
        <v>2</v>
      </c>
      <c r="I192" t="s">
        <v>12249</v>
      </c>
      <c r="J192">
        <v>1</v>
      </c>
      <c r="K192" t="s">
        <v>135</v>
      </c>
      <c r="L192" t="s">
        <v>16195</v>
      </c>
      <c r="M192">
        <v>0</v>
      </c>
      <c r="N192" t="s">
        <v>135</v>
      </c>
      <c r="O192" t="s">
        <v>16195</v>
      </c>
      <c r="P192">
        <v>0</v>
      </c>
      <c r="Q192" t="s">
        <v>135</v>
      </c>
      <c r="R192" t="s">
        <v>16195</v>
      </c>
      <c r="S192">
        <v>0</v>
      </c>
      <c r="T192" t="s">
        <v>135</v>
      </c>
      <c r="U192" t="s">
        <v>16195</v>
      </c>
      <c r="V192" t="s">
        <v>135</v>
      </c>
      <c r="X192" t="s">
        <v>135</v>
      </c>
      <c r="Y192" t="s">
        <v>1773</v>
      </c>
      <c r="Z192" t="s">
        <v>16196</v>
      </c>
      <c r="AB192" t="s">
        <v>135</v>
      </c>
      <c r="AE192" t="s">
        <v>135</v>
      </c>
      <c r="AG192">
        <v>4</v>
      </c>
      <c r="AH192">
        <v>4</v>
      </c>
      <c r="AI192">
        <v>4</v>
      </c>
      <c r="AJ192">
        <v>11</v>
      </c>
      <c r="AK192">
        <v>32510453</v>
      </c>
      <c r="AL192">
        <v>15</v>
      </c>
      <c r="AM192">
        <v>2019</v>
      </c>
      <c r="AN192">
        <v>226848</v>
      </c>
      <c r="AO192">
        <v>2019</v>
      </c>
      <c r="AP192" t="s">
        <v>12435</v>
      </c>
      <c r="AQ192" t="s">
        <v>12305</v>
      </c>
      <c r="AR192" t="s">
        <v>1773</v>
      </c>
      <c r="AS192" t="s">
        <v>1773</v>
      </c>
      <c r="AT192" t="s">
        <v>1773</v>
      </c>
      <c r="AU192" t="s">
        <v>16195</v>
      </c>
      <c r="AV192" t="s">
        <v>16195</v>
      </c>
      <c r="AW192">
        <v>604</v>
      </c>
      <c r="AX192">
        <v>604</v>
      </c>
      <c r="AY192">
        <v>604</v>
      </c>
      <c r="AZ192" t="s">
        <v>1773</v>
      </c>
      <c r="BA192" t="s">
        <v>16195</v>
      </c>
      <c r="BB192">
        <v>23424919</v>
      </c>
      <c r="BC192">
        <v>23424919</v>
      </c>
      <c r="BD192" t="s">
        <v>12254</v>
      </c>
      <c r="BE192" t="s">
        <v>16195</v>
      </c>
      <c r="BG192" t="s">
        <v>16195</v>
      </c>
      <c r="BH192" t="s">
        <v>16195</v>
      </c>
      <c r="BI192" t="s">
        <v>16195</v>
      </c>
      <c r="BJ192" t="s">
        <v>16195</v>
      </c>
      <c r="BK192" t="s">
        <v>16195</v>
      </c>
      <c r="BL192" t="s">
        <v>16195</v>
      </c>
      <c r="BM192" t="s">
        <v>16195</v>
      </c>
      <c r="BN192" t="s">
        <v>16195</v>
      </c>
      <c r="BO192" t="s">
        <v>16195</v>
      </c>
      <c r="BP192" t="s">
        <v>16195</v>
      </c>
      <c r="BQ192" t="s">
        <v>16195</v>
      </c>
      <c r="BR192" t="s">
        <v>16195</v>
      </c>
      <c r="BS192" t="s">
        <v>16195</v>
      </c>
      <c r="BT192" t="s">
        <v>16195</v>
      </c>
      <c r="BU192" t="s">
        <v>16195</v>
      </c>
      <c r="BV192" t="s">
        <v>16195</v>
      </c>
      <c r="BW192" t="s">
        <v>16195</v>
      </c>
      <c r="BX192" t="s">
        <v>16195</v>
      </c>
      <c r="BY192" t="s">
        <v>16195</v>
      </c>
      <c r="BZ192" t="s">
        <v>16195</v>
      </c>
      <c r="CA192" t="s">
        <v>16195</v>
      </c>
      <c r="CB192" t="s">
        <v>16195</v>
      </c>
      <c r="CC192" t="s">
        <v>16195</v>
      </c>
      <c r="CD192" t="s">
        <v>16195</v>
      </c>
      <c r="CE192" t="s">
        <v>16195</v>
      </c>
      <c r="CF192" t="s">
        <v>16195</v>
      </c>
      <c r="CG192" t="s">
        <v>16195</v>
      </c>
      <c r="CH192" t="s">
        <v>16195</v>
      </c>
      <c r="CI192" t="s">
        <v>16195</v>
      </c>
      <c r="CJ192" t="s">
        <v>16195</v>
      </c>
      <c r="CK192" t="s">
        <v>16195</v>
      </c>
      <c r="CL192" t="s">
        <v>16195</v>
      </c>
      <c r="CM192">
        <v>-99</v>
      </c>
      <c r="CN192">
        <v>-99</v>
      </c>
      <c r="CO192" t="s">
        <v>12436</v>
      </c>
      <c r="CP192" t="s">
        <v>12403</v>
      </c>
      <c r="CQ192" t="s">
        <v>12436</v>
      </c>
      <c r="CR192" t="s">
        <v>12405</v>
      </c>
      <c r="CS192">
        <v>4</v>
      </c>
      <c r="CT192">
        <v>4</v>
      </c>
      <c r="CU192">
        <v>4</v>
      </c>
      <c r="CV192">
        <v>-99</v>
      </c>
      <c r="CW192">
        <v>1</v>
      </c>
      <c r="CX192">
        <v>0</v>
      </c>
      <c r="CY192">
        <v>2</v>
      </c>
      <c r="CZ192">
        <v>7</v>
      </c>
      <c r="DA192">
        <v>-72.90016</v>
      </c>
      <c r="DB192">
        <v>-12.976679000000001</v>
      </c>
      <c r="DC192">
        <v>1159321163</v>
      </c>
      <c r="DD192" t="s">
        <v>16197</v>
      </c>
      <c r="DE192" t="s">
        <v>16198</v>
      </c>
      <c r="DF192" t="s">
        <v>16199</v>
      </c>
      <c r="DG192" t="s">
        <v>135</v>
      </c>
      <c r="DH192" t="s">
        <v>135</v>
      </c>
      <c r="DI192" t="s">
        <v>16200</v>
      </c>
      <c r="DJ192" t="s">
        <v>16201</v>
      </c>
      <c r="DK192" t="s">
        <v>16202</v>
      </c>
      <c r="DL192" t="s">
        <v>16203</v>
      </c>
      <c r="DM192" t="s">
        <v>16204</v>
      </c>
      <c r="DN192" t="s">
        <v>16205</v>
      </c>
      <c r="DO192" t="s">
        <v>135</v>
      </c>
      <c r="DP192" t="s">
        <v>135</v>
      </c>
      <c r="DQ192" t="s">
        <v>16206</v>
      </c>
      <c r="DR192" t="s">
        <v>16207</v>
      </c>
      <c r="DS192" t="s">
        <v>16208</v>
      </c>
      <c r="DT192" t="s">
        <v>135</v>
      </c>
      <c r="DU192" t="s">
        <v>135</v>
      </c>
      <c r="DV192" t="s">
        <v>135</v>
      </c>
      <c r="DW192" t="s">
        <v>16209</v>
      </c>
      <c r="DX192" t="s">
        <v>135</v>
      </c>
      <c r="DY192" t="s">
        <v>135</v>
      </c>
      <c r="DZ192" t="s">
        <v>16209</v>
      </c>
      <c r="EA192" t="s">
        <v>16210</v>
      </c>
      <c r="EB192" t="s">
        <v>135</v>
      </c>
      <c r="EC192" t="s">
        <v>16211</v>
      </c>
      <c r="ED192" t="s">
        <v>16212</v>
      </c>
      <c r="EE192" t="s">
        <v>12247</v>
      </c>
      <c r="EG192" t="s">
        <v>12247</v>
      </c>
    </row>
    <row r="193" spans="1:252" x14ac:dyDescent="0.25">
      <c r="A193" t="s">
        <v>136</v>
      </c>
      <c r="B193" t="s">
        <v>12247</v>
      </c>
      <c r="C193">
        <v>0</v>
      </c>
      <c r="D193">
        <v>2</v>
      </c>
      <c r="E193" t="s">
        <v>136</v>
      </c>
      <c r="F193" t="s">
        <v>16213</v>
      </c>
      <c r="G193">
        <v>0</v>
      </c>
      <c r="H193">
        <v>2</v>
      </c>
      <c r="I193" t="s">
        <v>12249</v>
      </c>
      <c r="J193">
        <v>1</v>
      </c>
      <c r="K193" t="s">
        <v>136</v>
      </c>
      <c r="L193" t="s">
        <v>16213</v>
      </c>
      <c r="M193">
        <v>0</v>
      </c>
      <c r="N193" t="s">
        <v>136</v>
      </c>
      <c r="O193" t="s">
        <v>16213</v>
      </c>
      <c r="P193">
        <v>0</v>
      </c>
      <c r="Q193" t="s">
        <v>136</v>
      </c>
      <c r="R193" t="s">
        <v>16213</v>
      </c>
      <c r="S193">
        <v>0</v>
      </c>
      <c r="T193" t="s">
        <v>136</v>
      </c>
      <c r="U193" t="s">
        <v>16213</v>
      </c>
      <c r="V193" t="s">
        <v>136</v>
      </c>
      <c r="X193" t="s">
        <v>16214</v>
      </c>
      <c r="Y193" t="s">
        <v>1783</v>
      </c>
      <c r="Z193" t="s">
        <v>16215</v>
      </c>
      <c r="AB193" t="s">
        <v>136</v>
      </c>
      <c r="AE193" t="s">
        <v>136</v>
      </c>
      <c r="AG193">
        <v>3</v>
      </c>
      <c r="AH193">
        <v>2</v>
      </c>
      <c r="AI193">
        <v>2</v>
      </c>
      <c r="AJ193">
        <v>8</v>
      </c>
      <c r="AK193">
        <v>108116615</v>
      </c>
      <c r="AL193">
        <v>17</v>
      </c>
      <c r="AM193">
        <v>2019</v>
      </c>
      <c r="AN193">
        <v>376795</v>
      </c>
      <c r="AO193">
        <v>2019</v>
      </c>
      <c r="AP193" t="s">
        <v>12435</v>
      </c>
      <c r="AQ193" t="s">
        <v>12278</v>
      </c>
      <c r="AR193" t="s">
        <v>16216</v>
      </c>
      <c r="AS193" t="s">
        <v>1783</v>
      </c>
      <c r="AT193" t="s">
        <v>1783</v>
      </c>
      <c r="AU193" t="s">
        <v>16213</v>
      </c>
      <c r="AV193" t="s">
        <v>16213</v>
      </c>
      <c r="AW193">
        <v>608</v>
      </c>
      <c r="AX193">
        <v>608</v>
      </c>
      <c r="AY193">
        <v>608</v>
      </c>
      <c r="AZ193" t="s">
        <v>1783</v>
      </c>
      <c r="BA193" t="s">
        <v>16213</v>
      </c>
      <c r="BB193">
        <v>23424934</v>
      </c>
      <c r="BC193">
        <v>23424934</v>
      </c>
      <c r="BD193" t="s">
        <v>12254</v>
      </c>
      <c r="BE193" t="s">
        <v>16213</v>
      </c>
      <c r="BG193" t="s">
        <v>16213</v>
      </c>
      <c r="BH193" t="s">
        <v>16213</v>
      </c>
      <c r="BI193" t="s">
        <v>16213</v>
      </c>
      <c r="BJ193" t="s">
        <v>16213</v>
      </c>
      <c r="BK193" t="s">
        <v>16213</v>
      </c>
      <c r="BL193" t="s">
        <v>16213</v>
      </c>
      <c r="BM193" t="s">
        <v>16213</v>
      </c>
      <c r="BN193" t="s">
        <v>16213</v>
      </c>
      <c r="BO193" t="s">
        <v>16213</v>
      </c>
      <c r="BP193" t="s">
        <v>16213</v>
      </c>
      <c r="BQ193" t="s">
        <v>16213</v>
      </c>
      <c r="BR193" t="s">
        <v>16213</v>
      </c>
      <c r="BS193" t="s">
        <v>16213</v>
      </c>
      <c r="BT193" t="s">
        <v>16213</v>
      </c>
      <c r="BU193" t="s">
        <v>16213</v>
      </c>
      <c r="BV193" t="s">
        <v>16213</v>
      </c>
      <c r="BW193" t="s">
        <v>16213</v>
      </c>
      <c r="BX193" t="s">
        <v>16213</v>
      </c>
      <c r="BY193" t="s">
        <v>16213</v>
      </c>
      <c r="BZ193" t="s">
        <v>16213</v>
      </c>
      <c r="CA193" t="s">
        <v>16213</v>
      </c>
      <c r="CB193" t="s">
        <v>16213</v>
      </c>
      <c r="CC193" t="s">
        <v>16213</v>
      </c>
      <c r="CD193" t="s">
        <v>16213</v>
      </c>
      <c r="CE193" t="s">
        <v>16213</v>
      </c>
      <c r="CF193" t="s">
        <v>16213</v>
      </c>
      <c r="CG193" t="s">
        <v>16213</v>
      </c>
      <c r="CH193" t="s">
        <v>16213</v>
      </c>
      <c r="CI193" t="s">
        <v>16213</v>
      </c>
      <c r="CJ193" t="s">
        <v>16213</v>
      </c>
      <c r="CK193" t="s">
        <v>16213</v>
      </c>
      <c r="CL193" t="s">
        <v>16213</v>
      </c>
      <c r="CM193">
        <v>-99</v>
      </c>
      <c r="CN193">
        <v>-99</v>
      </c>
      <c r="CO193" t="s">
        <v>12255</v>
      </c>
      <c r="CP193" t="s">
        <v>12255</v>
      </c>
      <c r="CQ193" t="s">
        <v>13026</v>
      </c>
      <c r="CR193" t="s">
        <v>12539</v>
      </c>
      <c r="CS193">
        <v>11</v>
      </c>
      <c r="CT193">
        <v>11</v>
      </c>
      <c r="CU193">
        <v>5</v>
      </c>
      <c r="CV193">
        <v>-99</v>
      </c>
      <c r="CW193">
        <v>1</v>
      </c>
      <c r="CX193">
        <v>0</v>
      </c>
      <c r="CY193">
        <v>2.5</v>
      </c>
      <c r="CZ193">
        <v>7</v>
      </c>
      <c r="DA193">
        <v>122.465</v>
      </c>
      <c r="DB193">
        <v>11.198</v>
      </c>
      <c r="DC193">
        <v>1159321169</v>
      </c>
      <c r="DD193" t="s">
        <v>16217</v>
      </c>
      <c r="DE193" t="s">
        <v>16218</v>
      </c>
      <c r="DF193" t="s">
        <v>16219</v>
      </c>
      <c r="DG193" t="s">
        <v>16220</v>
      </c>
      <c r="DH193" t="s">
        <v>136</v>
      </c>
      <c r="DI193" t="s">
        <v>16221</v>
      </c>
      <c r="DJ193" t="s">
        <v>16222</v>
      </c>
      <c r="DK193" t="s">
        <v>136</v>
      </c>
      <c r="DL193" t="s">
        <v>16223</v>
      </c>
      <c r="DM193" t="s">
        <v>16224</v>
      </c>
      <c r="DN193" t="s">
        <v>16225</v>
      </c>
      <c r="DO193" t="s">
        <v>16226</v>
      </c>
      <c r="DP193" t="s">
        <v>16227</v>
      </c>
      <c r="DQ193" t="s">
        <v>16228</v>
      </c>
      <c r="DR193" t="s">
        <v>16229</v>
      </c>
      <c r="DS193" t="s">
        <v>16230</v>
      </c>
      <c r="DT193" t="s">
        <v>16231</v>
      </c>
      <c r="DU193" t="s">
        <v>16232</v>
      </c>
      <c r="DV193" t="s">
        <v>16221</v>
      </c>
      <c r="DW193" t="s">
        <v>16233</v>
      </c>
      <c r="DX193" t="s">
        <v>16234</v>
      </c>
      <c r="DY193" t="s">
        <v>16235</v>
      </c>
      <c r="DZ193" t="s">
        <v>16236</v>
      </c>
      <c r="EA193" t="s">
        <v>16237</v>
      </c>
      <c r="EB193" t="s">
        <v>136</v>
      </c>
      <c r="EC193" t="s">
        <v>16238</v>
      </c>
      <c r="ED193" t="s">
        <v>16239</v>
      </c>
      <c r="EE193" t="s">
        <v>12247</v>
      </c>
      <c r="EG193" t="s">
        <v>12247</v>
      </c>
    </row>
    <row r="194" spans="1:252" x14ac:dyDescent="0.25">
      <c r="A194" t="s">
        <v>17740</v>
      </c>
      <c r="B194" t="s">
        <v>12247</v>
      </c>
      <c r="C194">
        <v>5</v>
      </c>
      <c r="D194">
        <v>4</v>
      </c>
      <c r="E194" t="s">
        <v>182</v>
      </c>
      <c r="F194" t="s">
        <v>12479</v>
      </c>
      <c r="G194">
        <v>1</v>
      </c>
      <c r="H194">
        <v>2</v>
      </c>
      <c r="I194" t="s">
        <v>12480</v>
      </c>
      <c r="J194">
        <v>1</v>
      </c>
      <c r="K194" t="s">
        <v>17740</v>
      </c>
      <c r="L194" t="s">
        <v>17741</v>
      </c>
      <c r="M194">
        <v>0</v>
      </c>
      <c r="N194" t="s">
        <v>17740</v>
      </c>
      <c r="O194" t="s">
        <v>17741</v>
      </c>
      <c r="P194">
        <v>0</v>
      </c>
      <c r="Q194" t="s">
        <v>17740</v>
      </c>
      <c r="R194" t="s">
        <v>17741</v>
      </c>
      <c r="S194">
        <v>0</v>
      </c>
      <c r="T194" t="s">
        <v>17740</v>
      </c>
      <c r="U194" t="s">
        <v>17741</v>
      </c>
      <c r="V194" t="s">
        <v>17742</v>
      </c>
      <c r="X194" t="s">
        <v>17743</v>
      </c>
      <c r="Y194" t="s">
        <v>1797</v>
      </c>
      <c r="Z194" t="s">
        <v>17744</v>
      </c>
      <c r="AB194" t="s">
        <v>17740</v>
      </c>
      <c r="AC194" t="s">
        <v>12486</v>
      </c>
      <c r="AE194" t="s">
        <v>17740</v>
      </c>
      <c r="AG194">
        <v>6</v>
      </c>
      <c r="AH194">
        <v>6</v>
      </c>
      <c r="AI194">
        <v>6</v>
      </c>
      <c r="AJ194">
        <v>3</v>
      </c>
      <c r="AK194">
        <v>54</v>
      </c>
      <c r="AL194">
        <v>1</v>
      </c>
      <c r="AM194">
        <v>2016</v>
      </c>
      <c r="AN194">
        <v>0</v>
      </c>
      <c r="AO194">
        <v>2016</v>
      </c>
      <c r="AP194" t="s">
        <v>12252</v>
      </c>
      <c r="AQ194" t="s">
        <v>12253</v>
      </c>
      <c r="AR194" t="s">
        <v>17745</v>
      </c>
      <c r="AS194" t="s">
        <v>1797</v>
      </c>
      <c r="AT194" t="s">
        <v>1797</v>
      </c>
      <c r="AU194" t="s">
        <v>17741</v>
      </c>
      <c r="AV194" t="s">
        <v>17741</v>
      </c>
      <c r="AW194">
        <v>612</v>
      </c>
      <c r="AX194">
        <v>612</v>
      </c>
      <c r="AY194">
        <v>612</v>
      </c>
      <c r="AZ194">
        <v>-99</v>
      </c>
      <c r="BA194">
        <v>-99</v>
      </c>
      <c r="BB194">
        <v>23424918</v>
      </c>
      <c r="BC194">
        <v>23424918</v>
      </c>
      <c r="BD194" t="s">
        <v>12254</v>
      </c>
      <c r="BE194" t="s">
        <v>17741</v>
      </c>
      <c r="BG194" t="s">
        <v>17741</v>
      </c>
      <c r="BH194" t="s">
        <v>17741</v>
      </c>
      <c r="BI194" t="s">
        <v>17741</v>
      </c>
      <c r="BJ194" t="s">
        <v>17741</v>
      </c>
      <c r="BK194" t="s">
        <v>17741</v>
      </c>
      <c r="BL194" t="s">
        <v>17741</v>
      </c>
      <c r="BM194" t="s">
        <v>17741</v>
      </c>
      <c r="BN194" t="s">
        <v>17741</v>
      </c>
      <c r="BO194" t="s">
        <v>17741</v>
      </c>
      <c r="BP194" t="s">
        <v>17741</v>
      </c>
      <c r="BQ194" t="s">
        <v>17741</v>
      </c>
      <c r="BR194" t="s">
        <v>17741</v>
      </c>
      <c r="BS194" t="s">
        <v>17741</v>
      </c>
      <c r="BT194" t="s">
        <v>17741</v>
      </c>
      <c r="BU194" t="s">
        <v>17741</v>
      </c>
      <c r="BV194" t="s">
        <v>17741</v>
      </c>
      <c r="BW194" t="s">
        <v>17741</v>
      </c>
      <c r="BX194" t="s">
        <v>17741</v>
      </c>
      <c r="BY194" t="s">
        <v>17741</v>
      </c>
      <c r="BZ194" t="s">
        <v>17741</v>
      </c>
      <c r="CA194" t="s">
        <v>17741</v>
      </c>
      <c r="CB194" t="s">
        <v>17741</v>
      </c>
      <c r="CC194" t="s">
        <v>17741</v>
      </c>
      <c r="CD194" t="s">
        <v>17741</v>
      </c>
      <c r="CE194" t="s">
        <v>17741</v>
      </c>
      <c r="CF194" t="s">
        <v>17741</v>
      </c>
      <c r="CG194" t="s">
        <v>17741</v>
      </c>
      <c r="CH194" t="s">
        <v>17741</v>
      </c>
      <c r="CI194" t="s">
        <v>17741</v>
      </c>
      <c r="CJ194" t="s">
        <v>17741</v>
      </c>
      <c r="CK194" t="s">
        <v>17741</v>
      </c>
      <c r="CL194" t="s">
        <v>17741</v>
      </c>
      <c r="CM194">
        <v>-99</v>
      </c>
      <c r="CN194">
        <v>-99</v>
      </c>
      <c r="CO194" t="s">
        <v>12537</v>
      </c>
      <c r="CP194" t="s">
        <v>12537</v>
      </c>
      <c r="CQ194" t="s">
        <v>12538</v>
      </c>
      <c r="CR194" t="s">
        <v>12539</v>
      </c>
      <c r="CS194">
        <v>12</v>
      </c>
      <c r="CT194">
        <v>16</v>
      </c>
      <c r="CU194">
        <v>8</v>
      </c>
      <c r="CV194">
        <v>-99</v>
      </c>
      <c r="CW194">
        <v>-99</v>
      </c>
      <c r="CX194">
        <v>0</v>
      </c>
      <c r="CY194">
        <v>5</v>
      </c>
      <c r="CZ194">
        <v>9</v>
      </c>
      <c r="DA194">
        <v>-128.31753599999999</v>
      </c>
      <c r="DB194">
        <v>-24.364576</v>
      </c>
      <c r="DC194">
        <v>1159320729</v>
      </c>
      <c r="DD194" t="s">
        <v>17746</v>
      </c>
      <c r="DE194" t="s">
        <v>17747</v>
      </c>
      <c r="DF194" t="s">
        <v>17748</v>
      </c>
      <c r="DG194" t="s">
        <v>17749</v>
      </c>
      <c r="DH194" t="s">
        <v>17740</v>
      </c>
      <c r="DI194" t="s">
        <v>17750</v>
      </c>
      <c r="DJ194" t="s">
        <v>17751</v>
      </c>
      <c r="DK194" t="s">
        <v>17752</v>
      </c>
      <c r="DL194" t="s">
        <v>17753</v>
      </c>
      <c r="DM194" t="s">
        <v>17754</v>
      </c>
      <c r="DN194" t="s">
        <v>17755</v>
      </c>
      <c r="DO194" t="s">
        <v>17756</v>
      </c>
      <c r="DP194" t="s">
        <v>17757</v>
      </c>
      <c r="DQ194" t="s">
        <v>17758</v>
      </c>
      <c r="DR194" t="s">
        <v>17759</v>
      </c>
      <c r="DS194" t="s">
        <v>17760</v>
      </c>
      <c r="DT194" t="s">
        <v>17761</v>
      </c>
      <c r="DU194" t="s">
        <v>1228</v>
      </c>
      <c r="DV194" t="s">
        <v>17762</v>
      </c>
      <c r="DW194" t="s">
        <v>17763</v>
      </c>
      <c r="DX194" t="s">
        <v>17764</v>
      </c>
      <c r="DY194" t="s">
        <v>17765</v>
      </c>
      <c r="DZ194" t="s">
        <v>17766</v>
      </c>
      <c r="EA194" t="s">
        <v>17767</v>
      </c>
      <c r="EB194" t="s">
        <v>17768</v>
      </c>
      <c r="EC194" t="s">
        <v>17769</v>
      </c>
      <c r="ED194" t="s">
        <v>17770</v>
      </c>
      <c r="EE194" t="s">
        <v>12397</v>
      </c>
      <c r="EG194" t="s">
        <v>12397</v>
      </c>
    </row>
    <row r="195" spans="1:252" x14ac:dyDescent="0.25">
      <c r="A195" t="s">
        <v>137</v>
      </c>
      <c r="B195" t="s">
        <v>12247</v>
      </c>
      <c r="C195">
        <v>0</v>
      </c>
      <c r="D195">
        <v>3</v>
      </c>
      <c r="E195" t="s">
        <v>137</v>
      </c>
      <c r="F195" t="s">
        <v>16240</v>
      </c>
      <c r="G195">
        <v>0</v>
      </c>
      <c r="H195">
        <v>2</v>
      </c>
      <c r="I195" t="s">
        <v>12249</v>
      </c>
      <c r="J195">
        <v>1</v>
      </c>
      <c r="K195" t="s">
        <v>137</v>
      </c>
      <c r="L195" t="s">
        <v>16240</v>
      </c>
      <c r="M195">
        <v>0</v>
      </c>
      <c r="N195" t="s">
        <v>137</v>
      </c>
      <c r="O195" t="s">
        <v>16240</v>
      </c>
      <c r="P195">
        <v>0</v>
      </c>
      <c r="Q195" t="s">
        <v>137</v>
      </c>
      <c r="R195" t="s">
        <v>16240</v>
      </c>
      <c r="S195">
        <v>0</v>
      </c>
      <c r="T195" t="s">
        <v>137</v>
      </c>
      <c r="U195" t="s">
        <v>16240</v>
      </c>
      <c r="V195" t="s">
        <v>137</v>
      </c>
      <c r="X195" t="s">
        <v>16241</v>
      </c>
      <c r="Y195" t="s">
        <v>1791</v>
      </c>
      <c r="Z195" t="s">
        <v>16242</v>
      </c>
      <c r="AB195" t="s">
        <v>137</v>
      </c>
      <c r="AE195" t="s">
        <v>137</v>
      </c>
      <c r="AG195">
        <v>3</v>
      </c>
      <c r="AH195">
        <v>7</v>
      </c>
      <c r="AI195">
        <v>1</v>
      </c>
      <c r="AJ195">
        <v>2</v>
      </c>
      <c r="AK195">
        <v>37970874</v>
      </c>
      <c r="AL195">
        <v>15</v>
      </c>
      <c r="AM195">
        <v>2019</v>
      </c>
      <c r="AN195">
        <v>595858</v>
      </c>
      <c r="AO195">
        <v>2019</v>
      </c>
      <c r="AP195" t="s">
        <v>12334</v>
      </c>
      <c r="AQ195" t="s">
        <v>12513</v>
      </c>
      <c r="AR195" t="s">
        <v>1791</v>
      </c>
      <c r="AS195" t="s">
        <v>1791</v>
      </c>
      <c r="AT195" t="s">
        <v>1791</v>
      </c>
      <c r="AU195" t="s">
        <v>16240</v>
      </c>
      <c r="AV195" t="s">
        <v>16240</v>
      </c>
      <c r="AW195">
        <v>616</v>
      </c>
      <c r="AX195">
        <v>616</v>
      </c>
      <c r="AY195">
        <v>616</v>
      </c>
      <c r="AZ195" t="s">
        <v>1791</v>
      </c>
      <c r="BA195" t="s">
        <v>16240</v>
      </c>
      <c r="BB195">
        <v>23424923</v>
      </c>
      <c r="BC195">
        <v>23424923</v>
      </c>
      <c r="BD195" t="s">
        <v>12254</v>
      </c>
      <c r="BE195" t="s">
        <v>16240</v>
      </c>
      <c r="BG195" t="s">
        <v>16240</v>
      </c>
      <c r="BH195" t="s">
        <v>16240</v>
      </c>
      <c r="BI195" t="s">
        <v>16240</v>
      </c>
      <c r="BJ195" t="s">
        <v>16240</v>
      </c>
      <c r="BK195" t="s">
        <v>16240</v>
      </c>
      <c r="BL195" t="s">
        <v>16240</v>
      </c>
      <c r="BM195" t="s">
        <v>16240</v>
      </c>
      <c r="BN195" t="s">
        <v>16240</v>
      </c>
      <c r="BO195" t="s">
        <v>16240</v>
      </c>
      <c r="BP195" t="s">
        <v>16240</v>
      </c>
      <c r="BQ195" t="s">
        <v>16240</v>
      </c>
      <c r="BR195" t="s">
        <v>16240</v>
      </c>
      <c r="BS195" t="s">
        <v>16240</v>
      </c>
      <c r="BT195" t="s">
        <v>16240</v>
      </c>
      <c r="BU195" t="s">
        <v>16240</v>
      </c>
      <c r="BV195" t="s">
        <v>16240</v>
      </c>
      <c r="BW195" t="s">
        <v>16240</v>
      </c>
      <c r="BX195" t="s">
        <v>16240</v>
      </c>
      <c r="BY195" t="s">
        <v>16240</v>
      </c>
      <c r="BZ195" t="s">
        <v>16240</v>
      </c>
      <c r="CA195" t="s">
        <v>16240</v>
      </c>
      <c r="CB195" t="s">
        <v>16240</v>
      </c>
      <c r="CC195" t="s">
        <v>16240</v>
      </c>
      <c r="CD195" t="s">
        <v>16240</v>
      </c>
      <c r="CE195" t="s">
        <v>16240</v>
      </c>
      <c r="CF195" t="s">
        <v>16240</v>
      </c>
      <c r="CG195" t="s">
        <v>16240</v>
      </c>
      <c r="CH195" t="s">
        <v>16240</v>
      </c>
      <c r="CI195" t="s">
        <v>16240</v>
      </c>
      <c r="CJ195" t="s">
        <v>16240</v>
      </c>
      <c r="CK195" t="s">
        <v>16240</v>
      </c>
      <c r="CL195" t="s">
        <v>16240</v>
      </c>
      <c r="CM195">
        <v>-99</v>
      </c>
      <c r="CN195">
        <v>-99</v>
      </c>
      <c r="CO195" t="s">
        <v>12279</v>
      </c>
      <c r="CP195" t="s">
        <v>12279</v>
      </c>
      <c r="CQ195" t="s">
        <v>12779</v>
      </c>
      <c r="CR195" t="s">
        <v>12281</v>
      </c>
      <c r="CS195">
        <v>6</v>
      </c>
      <c r="CT195">
        <v>6</v>
      </c>
      <c r="CU195">
        <v>4</v>
      </c>
      <c r="CV195">
        <v>-99</v>
      </c>
      <c r="CW195">
        <v>1</v>
      </c>
      <c r="CX195">
        <v>0</v>
      </c>
      <c r="CY195">
        <v>2.5</v>
      </c>
      <c r="CZ195">
        <v>7</v>
      </c>
      <c r="DA195">
        <v>19.490468</v>
      </c>
      <c r="DB195">
        <v>51.990316</v>
      </c>
      <c r="DC195">
        <v>1159321179</v>
      </c>
      <c r="DD195" t="s">
        <v>16243</v>
      </c>
      <c r="DE195" t="s">
        <v>16244</v>
      </c>
      <c r="DF195" t="s">
        <v>16245</v>
      </c>
      <c r="DG195" t="s">
        <v>16246</v>
      </c>
      <c r="DH195" t="s">
        <v>137</v>
      </c>
      <c r="DI195" t="s">
        <v>16247</v>
      </c>
      <c r="DJ195" t="s">
        <v>16248</v>
      </c>
      <c r="DK195" t="s">
        <v>16249</v>
      </c>
      <c r="DL195" t="s">
        <v>16250</v>
      </c>
      <c r="DM195" t="s">
        <v>16251</v>
      </c>
      <c r="DN195" t="s">
        <v>16252</v>
      </c>
      <c r="DO195" t="s">
        <v>16253</v>
      </c>
      <c r="DP195" t="s">
        <v>16254</v>
      </c>
      <c r="DQ195" t="s">
        <v>16247</v>
      </c>
      <c r="DR195" t="s">
        <v>16255</v>
      </c>
      <c r="DS195" t="s">
        <v>16256</v>
      </c>
      <c r="DT195" t="s">
        <v>16246</v>
      </c>
      <c r="DU195" t="s">
        <v>16257</v>
      </c>
      <c r="DV195" t="s">
        <v>16258</v>
      </c>
      <c r="DW195" t="s">
        <v>16259</v>
      </c>
      <c r="DX195" t="s">
        <v>16246</v>
      </c>
      <c r="DY195" t="s">
        <v>16260</v>
      </c>
      <c r="DZ195" t="s">
        <v>16261</v>
      </c>
      <c r="EA195" t="s">
        <v>16262</v>
      </c>
      <c r="EB195" t="s">
        <v>16263</v>
      </c>
      <c r="EC195" t="s">
        <v>16264</v>
      </c>
      <c r="ED195" t="s">
        <v>16265</v>
      </c>
      <c r="EE195" t="s">
        <v>12247</v>
      </c>
      <c r="EG195" t="s">
        <v>12247</v>
      </c>
    </row>
    <row r="196" spans="1:252" x14ac:dyDescent="0.25">
      <c r="A196" t="s">
        <v>138</v>
      </c>
      <c r="B196" t="s">
        <v>12247</v>
      </c>
      <c r="C196">
        <v>0</v>
      </c>
      <c r="D196">
        <v>2</v>
      </c>
      <c r="E196" t="s">
        <v>138</v>
      </c>
      <c r="F196" t="s">
        <v>16266</v>
      </c>
      <c r="G196">
        <v>0</v>
      </c>
      <c r="H196">
        <v>2</v>
      </c>
      <c r="I196" t="s">
        <v>12249</v>
      </c>
      <c r="J196">
        <v>1</v>
      </c>
      <c r="K196" t="s">
        <v>138</v>
      </c>
      <c r="L196" t="s">
        <v>16266</v>
      </c>
      <c r="M196">
        <v>0</v>
      </c>
      <c r="N196" t="s">
        <v>138</v>
      </c>
      <c r="O196" t="s">
        <v>16266</v>
      </c>
      <c r="P196">
        <v>1</v>
      </c>
      <c r="Q196" t="s">
        <v>138</v>
      </c>
      <c r="R196" t="s">
        <v>16267</v>
      </c>
      <c r="S196">
        <v>0</v>
      </c>
      <c r="T196" t="s">
        <v>138</v>
      </c>
      <c r="U196" t="s">
        <v>16267</v>
      </c>
      <c r="V196" t="s">
        <v>138</v>
      </c>
      <c r="X196" t="s">
        <v>16268</v>
      </c>
      <c r="Y196" t="s">
        <v>1243</v>
      </c>
      <c r="Z196" t="s">
        <v>16269</v>
      </c>
      <c r="AB196" t="s">
        <v>138</v>
      </c>
      <c r="AE196" t="s">
        <v>138</v>
      </c>
      <c r="AG196">
        <v>1</v>
      </c>
      <c r="AH196">
        <v>7</v>
      </c>
      <c r="AI196">
        <v>1</v>
      </c>
      <c r="AJ196">
        <v>4</v>
      </c>
      <c r="AK196">
        <v>10269417</v>
      </c>
      <c r="AL196">
        <v>14</v>
      </c>
      <c r="AM196">
        <v>2019</v>
      </c>
      <c r="AN196">
        <v>238785</v>
      </c>
      <c r="AO196">
        <v>2019</v>
      </c>
      <c r="AP196" t="s">
        <v>12334</v>
      </c>
      <c r="AQ196" t="s">
        <v>12513</v>
      </c>
      <c r="AR196" t="s">
        <v>16270</v>
      </c>
      <c r="AS196" t="s">
        <v>1807</v>
      </c>
      <c r="AT196" t="s">
        <v>1807</v>
      </c>
      <c r="AU196" t="s">
        <v>16266</v>
      </c>
      <c r="AV196" t="s">
        <v>16266</v>
      </c>
      <c r="AW196">
        <v>620</v>
      </c>
      <c r="AX196">
        <v>620</v>
      </c>
      <c r="AY196">
        <v>620</v>
      </c>
      <c r="AZ196" t="s">
        <v>1807</v>
      </c>
      <c r="BA196" t="s">
        <v>16266</v>
      </c>
      <c r="BB196">
        <v>23424925</v>
      </c>
      <c r="BC196">
        <v>23424925</v>
      </c>
      <c r="BD196" t="s">
        <v>12254</v>
      </c>
      <c r="BE196" t="s">
        <v>16267</v>
      </c>
      <c r="BG196" t="s">
        <v>16267</v>
      </c>
      <c r="BH196" t="s">
        <v>16266</v>
      </c>
      <c r="BI196" t="s">
        <v>16266</v>
      </c>
      <c r="BJ196" t="s">
        <v>16266</v>
      </c>
      <c r="BK196" t="s">
        <v>16266</v>
      </c>
      <c r="BL196" t="s">
        <v>16266</v>
      </c>
      <c r="BM196" t="s">
        <v>16266</v>
      </c>
      <c r="BN196" t="s">
        <v>16266</v>
      </c>
      <c r="BO196" t="s">
        <v>16266</v>
      </c>
      <c r="BP196" t="s">
        <v>16266</v>
      </c>
      <c r="BQ196" t="s">
        <v>16266</v>
      </c>
      <c r="BR196" t="s">
        <v>16266</v>
      </c>
      <c r="BS196" t="s">
        <v>16266</v>
      </c>
      <c r="BT196" t="s">
        <v>16266</v>
      </c>
      <c r="BU196" t="s">
        <v>16266</v>
      </c>
      <c r="BV196" t="s">
        <v>16266</v>
      </c>
      <c r="BW196" t="s">
        <v>16266</v>
      </c>
      <c r="BX196" t="s">
        <v>16266</v>
      </c>
      <c r="BY196" t="s">
        <v>16266</v>
      </c>
      <c r="BZ196" t="s">
        <v>16266</v>
      </c>
      <c r="CA196" t="s">
        <v>16266</v>
      </c>
      <c r="CB196" t="s">
        <v>16266</v>
      </c>
      <c r="CC196" t="s">
        <v>16266</v>
      </c>
      <c r="CD196" t="s">
        <v>16266</v>
      </c>
      <c r="CE196" t="s">
        <v>16266</v>
      </c>
      <c r="CF196" t="s">
        <v>16266</v>
      </c>
      <c r="CG196" t="s">
        <v>16266</v>
      </c>
      <c r="CH196" t="s">
        <v>16266</v>
      </c>
      <c r="CI196" t="s">
        <v>16266</v>
      </c>
      <c r="CJ196" t="s">
        <v>16266</v>
      </c>
      <c r="CK196" t="s">
        <v>16266</v>
      </c>
      <c r="CL196" t="s">
        <v>16266</v>
      </c>
      <c r="CM196">
        <v>-99</v>
      </c>
      <c r="CN196">
        <v>-99</v>
      </c>
      <c r="CO196" t="s">
        <v>12279</v>
      </c>
      <c r="CP196" t="s">
        <v>12279</v>
      </c>
      <c r="CQ196" t="s">
        <v>12280</v>
      </c>
      <c r="CR196" t="s">
        <v>12281</v>
      </c>
      <c r="CS196">
        <v>8</v>
      </c>
      <c r="CT196">
        <v>8</v>
      </c>
      <c r="CU196">
        <v>5</v>
      </c>
      <c r="CV196">
        <v>-99</v>
      </c>
      <c r="CW196">
        <v>1</v>
      </c>
      <c r="CX196">
        <v>0</v>
      </c>
      <c r="CY196">
        <v>3</v>
      </c>
      <c r="CZ196">
        <v>8</v>
      </c>
      <c r="DA196">
        <v>-8.2717539999999996</v>
      </c>
      <c r="DB196">
        <v>39.606675000000003</v>
      </c>
      <c r="DC196">
        <v>1159321187</v>
      </c>
      <c r="DD196" t="s">
        <v>16271</v>
      </c>
      <c r="DE196" t="s">
        <v>16272</v>
      </c>
      <c r="DF196" t="s">
        <v>16273</v>
      </c>
      <c r="DG196" t="s">
        <v>138</v>
      </c>
      <c r="DH196" t="s">
        <v>138</v>
      </c>
      <c r="DI196" t="s">
        <v>138</v>
      </c>
      <c r="DJ196" t="s">
        <v>16274</v>
      </c>
      <c r="DK196" t="s">
        <v>138</v>
      </c>
      <c r="DL196" t="s">
        <v>16275</v>
      </c>
      <c r="DM196" t="s">
        <v>16276</v>
      </c>
      <c r="DN196" t="s">
        <v>16277</v>
      </c>
      <c r="DO196" t="s">
        <v>16278</v>
      </c>
      <c r="DP196" t="s">
        <v>138</v>
      </c>
      <c r="DQ196" t="s">
        <v>16279</v>
      </c>
      <c r="DR196" t="s">
        <v>16280</v>
      </c>
      <c r="DS196" t="s">
        <v>16281</v>
      </c>
      <c r="DT196" t="s">
        <v>138</v>
      </c>
      <c r="DU196" t="s">
        <v>16282</v>
      </c>
      <c r="DV196" t="s">
        <v>138</v>
      </c>
      <c r="DW196" t="s">
        <v>16283</v>
      </c>
      <c r="DX196" t="s">
        <v>138</v>
      </c>
      <c r="DY196" t="s">
        <v>16284</v>
      </c>
      <c r="DZ196" t="s">
        <v>16285</v>
      </c>
      <c r="EA196" t="s">
        <v>16286</v>
      </c>
      <c r="EB196" t="s">
        <v>16287</v>
      </c>
      <c r="EC196" t="s">
        <v>16288</v>
      </c>
      <c r="ED196" t="s">
        <v>16288</v>
      </c>
      <c r="EE196" t="s">
        <v>12247</v>
      </c>
      <c r="EG196" t="s">
        <v>12247</v>
      </c>
    </row>
    <row r="197" spans="1:252" x14ac:dyDescent="0.25">
      <c r="A197" t="s">
        <v>138</v>
      </c>
      <c r="B197" t="s">
        <v>12247</v>
      </c>
      <c r="C197">
        <v>0</v>
      </c>
      <c r="D197">
        <v>2</v>
      </c>
      <c r="E197" t="s">
        <v>138</v>
      </c>
      <c r="F197" t="s">
        <v>16266</v>
      </c>
      <c r="G197">
        <v>0</v>
      </c>
      <c r="H197">
        <v>2</v>
      </c>
      <c r="I197" t="s">
        <v>12249</v>
      </c>
      <c r="J197">
        <v>1</v>
      </c>
      <c r="K197" t="s">
        <v>138</v>
      </c>
      <c r="L197" t="s">
        <v>16266</v>
      </c>
      <c r="M197">
        <v>0</v>
      </c>
      <c r="N197" t="s">
        <v>138</v>
      </c>
      <c r="O197" t="s">
        <v>16266</v>
      </c>
      <c r="P197">
        <v>1</v>
      </c>
      <c r="Q197" t="s">
        <v>138</v>
      </c>
      <c r="R197" t="s">
        <v>16267</v>
      </c>
      <c r="S197">
        <v>0</v>
      </c>
      <c r="T197" t="s">
        <v>138</v>
      </c>
      <c r="U197" t="s">
        <v>16267</v>
      </c>
      <c r="V197" t="s">
        <v>138</v>
      </c>
      <c r="X197" t="s">
        <v>16268</v>
      </c>
      <c r="Y197" t="s">
        <v>1243</v>
      </c>
      <c r="Z197" t="s">
        <v>16269</v>
      </c>
      <c r="AB197" t="s">
        <v>138</v>
      </c>
      <c r="AE197" t="s">
        <v>138</v>
      </c>
      <c r="AG197">
        <v>1</v>
      </c>
      <c r="AH197">
        <v>7</v>
      </c>
      <c r="AI197">
        <v>1</v>
      </c>
      <c r="AJ197">
        <v>4</v>
      </c>
      <c r="AK197">
        <v>10269417</v>
      </c>
      <c r="AL197">
        <v>14</v>
      </c>
      <c r="AM197">
        <v>2019</v>
      </c>
      <c r="AN197">
        <v>238785</v>
      </c>
      <c r="AO197">
        <v>2019</v>
      </c>
      <c r="AP197" t="s">
        <v>12334</v>
      </c>
      <c r="AQ197" t="s">
        <v>12513</v>
      </c>
      <c r="AR197" t="s">
        <v>16270</v>
      </c>
      <c r="AS197" t="s">
        <v>1807</v>
      </c>
      <c r="AT197" t="s">
        <v>1807</v>
      </c>
      <c r="AU197" t="s">
        <v>16266</v>
      </c>
      <c r="AV197" t="s">
        <v>16266</v>
      </c>
      <c r="AW197">
        <v>620</v>
      </c>
      <c r="AX197">
        <v>620</v>
      </c>
      <c r="AY197">
        <v>620</v>
      </c>
      <c r="AZ197" t="s">
        <v>1807</v>
      </c>
      <c r="BA197" t="s">
        <v>16266</v>
      </c>
      <c r="BB197">
        <v>23424925</v>
      </c>
      <c r="BC197">
        <v>23424925</v>
      </c>
      <c r="BD197" t="s">
        <v>12254</v>
      </c>
      <c r="BE197" t="s">
        <v>16267</v>
      </c>
      <c r="BG197" t="s">
        <v>16267</v>
      </c>
      <c r="BH197" t="s">
        <v>16266</v>
      </c>
      <c r="BI197" t="s">
        <v>16266</v>
      </c>
      <c r="BJ197" t="s">
        <v>16266</v>
      </c>
      <c r="BK197" t="s">
        <v>16266</v>
      </c>
      <c r="BL197" t="s">
        <v>16266</v>
      </c>
      <c r="BM197" t="s">
        <v>16266</v>
      </c>
      <c r="BN197" t="s">
        <v>16266</v>
      </c>
      <c r="BO197" t="s">
        <v>16266</v>
      </c>
      <c r="BP197" t="s">
        <v>16266</v>
      </c>
      <c r="BQ197" t="s">
        <v>16266</v>
      </c>
      <c r="BR197" t="s">
        <v>16266</v>
      </c>
      <c r="BS197" t="s">
        <v>16266</v>
      </c>
      <c r="BT197" t="s">
        <v>16266</v>
      </c>
      <c r="BU197" t="s">
        <v>16266</v>
      </c>
      <c r="BV197" t="s">
        <v>16266</v>
      </c>
      <c r="BW197" t="s">
        <v>16266</v>
      </c>
      <c r="BX197" t="s">
        <v>16266</v>
      </c>
      <c r="BY197" t="s">
        <v>16266</v>
      </c>
      <c r="BZ197" t="s">
        <v>16266</v>
      </c>
      <c r="CA197" t="s">
        <v>16266</v>
      </c>
      <c r="CB197" t="s">
        <v>16266</v>
      </c>
      <c r="CC197" t="s">
        <v>16266</v>
      </c>
      <c r="CD197" t="s">
        <v>16266</v>
      </c>
      <c r="CE197" t="s">
        <v>16266</v>
      </c>
      <c r="CF197" t="s">
        <v>16266</v>
      </c>
      <c r="CG197" t="s">
        <v>16266</v>
      </c>
      <c r="CH197" t="s">
        <v>16266</v>
      </c>
      <c r="CI197" t="s">
        <v>16266</v>
      </c>
      <c r="CJ197" t="s">
        <v>16266</v>
      </c>
      <c r="CK197" t="s">
        <v>16266</v>
      </c>
      <c r="CL197" t="s">
        <v>16266</v>
      </c>
      <c r="CM197">
        <v>-99</v>
      </c>
      <c r="CN197">
        <v>-99</v>
      </c>
      <c r="CO197" t="s">
        <v>12279</v>
      </c>
      <c r="CP197" t="s">
        <v>12279</v>
      </c>
      <c r="CQ197" t="s">
        <v>12280</v>
      </c>
      <c r="CR197" t="s">
        <v>12281</v>
      </c>
      <c r="CS197">
        <v>8</v>
      </c>
      <c r="CT197">
        <v>8</v>
      </c>
      <c r="CU197">
        <v>5</v>
      </c>
      <c r="CV197">
        <v>-99</v>
      </c>
      <c r="CW197">
        <v>1</v>
      </c>
      <c r="CX197">
        <v>0</v>
      </c>
      <c r="CY197">
        <v>3</v>
      </c>
      <c r="CZ197">
        <v>8</v>
      </c>
      <c r="DA197">
        <v>-8.2717539999999996</v>
      </c>
      <c r="DB197">
        <v>39.606675000000003</v>
      </c>
      <c r="DC197">
        <v>1159321187</v>
      </c>
      <c r="DD197" t="s">
        <v>16271</v>
      </c>
      <c r="DE197" t="s">
        <v>16272</v>
      </c>
      <c r="DF197" t="s">
        <v>16273</v>
      </c>
      <c r="DG197" t="s">
        <v>138</v>
      </c>
      <c r="DH197" t="s">
        <v>138</v>
      </c>
      <c r="DI197" t="s">
        <v>138</v>
      </c>
      <c r="DJ197" t="s">
        <v>16274</v>
      </c>
      <c r="DK197" t="s">
        <v>138</v>
      </c>
      <c r="DL197" t="s">
        <v>16275</v>
      </c>
      <c r="DM197" t="s">
        <v>16276</v>
      </c>
      <c r="DN197" t="s">
        <v>16277</v>
      </c>
      <c r="DO197" t="s">
        <v>16278</v>
      </c>
      <c r="DP197" t="s">
        <v>138</v>
      </c>
      <c r="DQ197" t="s">
        <v>16279</v>
      </c>
      <c r="DR197" t="s">
        <v>16280</v>
      </c>
      <c r="DS197" t="s">
        <v>16281</v>
      </c>
      <c r="DT197" t="s">
        <v>138</v>
      </c>
      <c r="DU197" t="s">
        <v>16282</v>
      </c>
      <c r="DV197" t="s">
        <v>138</v>
      </c>
      <c r="DW197" t="s">
        <v>16283</v>
      </c>
      <c r="DX197" t="s">
        <v>138</v>
      </c>
      <c r="DY197" t="s">
        <v>16284</v>
      </c>
      <c r="DZ197" t="s">
        <v>16285</v>
      </c>
      <c r="EA197" t="s">
        <v>16286</v>
      </c>
      <c r="EB197" t="s">
        <v>16287</v>
      </c>
      <c r="EC197" t="s">
        <v>16288</v>
      </c>
      <c r="ED197" t="s">
        <v>16288</v>
      </c>
      <c r="EE197" t="s">
        <v>12247</v>
      </c>
      <c r="EG197" t="s">
        <v>12247</v>
      </c>
    </row>
    <row r="198" spans="1:252" x14ac:dyDescent="0.25">
      <c r="A198" t="s">
        <v>138</v>
      </c>
      <c r="B198" t="s">
        <v>12247</v>
      </c>
      <c r="C198">
        <v>0</v>
      </c>
      <c r="D198">
        <v>2</v>
      </c>
      <c r="E198" t="s">
        <v>138</v>
      </c>
      <c r="F198" t="s">
        <v>16266</v>
      </c>
      <c r="G198">
        <v>0</v>
      </c>
      <c r="H198">
        <v>2</v>
      </c>
      <c r="I198" t="s">
        <v>12249</v>
      </c>
      <c r="J198">
        <v>1</v>
      </c>
      <c r="K198" t="s">
        <v>138</v>
      </c>
      <c r="L198" t="s">
        <v>16266</v>
      </c>
      <c r="M198">
        <v>0</v>
      </c>
      <c r="N198" t="s">
        <v>138</v>
      </c>
      <c r="O198" t="s">
        <v>16266</v>
      </c>
      <c r="P198">
        <v>1</v>
      </c>
      <c r="Q198" t="s">
        <v>138</v>
      </c>
      <c r="R198" t="s">
        <v>16267</v>
      </c>
      <c r="S198">
        <v>0</v>
      </c>
      <c r="T198" t="s">
        <v>138</v>
      </c>
      <c r="U198" t="s">
        <v>16267</v>
      </c>
      <c r="V198" t="s">
        <v>138</v>
      </c>
      <c r="X198" t="s">
        <v>16268</v>
      </c>
      <c r="Y198" t="s">
        <v>1243</v>
      </c>
      <c r="Z198" t="s">
        <v>16269</v>
      </c>
      <c r="AB198" t="s">
        <v>138</v>
      </c>
      <c r="AE198" t="s">
        <v>138</v>
      </c>
      <c r="AG198">
        <v>1</v>
      </c>
      <c r="AH198">
        <v>7</v>
      </c>
      <c r="AI198">
        <v>1</v>
      </c>
      <c r="AJ198">
        <v>4</v>
      </c>
      <c r="AK198">
        <v>10269417</v>
      </c>
      <c r="AL198">
        <v>14</v>
      </c>
      <c r="AM198">
        <v>2019</v>
      </c>
      <c r="AN198">
        <v>238785</v>
      </c>
      <c r="AO198">
        <v>2019</v>
      </c>
      <c r="AP198" t="s">
        <v>12334</v>
      </c>
      <c r="AQ198" t="s">
        <v>12513</v>
      </c>
      <c r="AR198" t="s">
        <v>16270</v>
      </c>
      <c r="AS198" t="s">
        <v>1807</v>
      </c>
      <c r="AT198" t="s">
        <v>1807</v>
      </c>
      <c r="AU198" t="s">
        <v>16266</v>
      </c>
      <c r="AV198" t="s">
        <v>16266</v>
      </c>
      <c r="AW198">
        <v>620</v>
      </c>
      <c r="AX198">
        <v>620</v>
      </c>
      <c r="AY198">
        <v>620</v>
      </c>
      <c r="AZ198" t="s">
        <v>1807</v>
      </c>
      <c r="BA198" t="s">
        <v>16266</v>
      </c>
      <c r="BB198">
        <v>23424925</v>
      </c>
      <c r="BC198">
        <v>23424925</v>
      </c>
      <c r="BD198" t="s">
        <v>12254</v>
      </c>
      <c r="BE198" t="s">
        <v>16267</v>
      </c>
      <c r="BG198" t="s">
        <v>16267</v>
      </c>
      <c r="BH198" t="s">
        <v>16266</v>
      </c>
      <c r="BI198" t="s">
        <v>16266</v>
      </c>
      <c r="BJ198" t="s">
        <v>16266</v>
      </c>
      <c r="BK198" t="s">
        <v>16266</v>
      </c>
      <c r="BL198" t="s">
        <v>16266</v>
      </c>
      <c r="BM198" t="s">
        <v>16266</v>
      </c>
      <c r="BN198" t="s">
        <v>16266</v>
      </c>
      <c r="BO198" t="s">
        <v>16266</v>
      </c>
      <c r="BP198" t="s">
        <v>16266</v>
      </c>
      <c r="BQ198" t="s">
        <v>16266</v>
      </c>
      <c r="BR198" t="s">
        <v>16266</v>
      </c>
      <c r="BS198" t="s">
        <v>16266</v>
      </c>
      <c r="BT198" t="s">
        <v>16266</v>
      </c>
      <c r="BU198" t="s">
        <v>16266</v>
      </c>
      <c r="BV198" t="s">
        <v>16266</v>
      </c>
      <c r="BW198" t="s">
        <v>16266</v>
      </c>
      <c r="BX198" t="s">
        <v>16266</v>
      </c>
      <c r="BY198" t="s">
        <v>16266</v>
      </c>
      <c r="BZ198" t="s">
        <v>16266</v>
      </c>
      <c r="CA198" t="s">
        <v>16266</v>
      </c>
      <c r="CB198" t="s">
        <v>16266</v>
      </c>
      <c r="CC198" t="s">
        <v>16266</v>
      </c>
      <c r="CD198" t="s">
        <v>16266</v>
      </c>
      <c r="CE198" t="s">
        <v>16266</v>
      </c>
      <c r="CF198" t="s">
        <v>16266</v>
      </c>
      <c r="CG198" t="s">
        <v>16266</v>
      </c>
      <c r="CH198" t="s">
        <v>16266</v>
      </c>
      <c r="CI198" t="s">
        <v>16266</v>
      </c>
      <c r="CJ198" t="s">
        <v>16266</v>
      </c>
      <c r="CK198" t="s">
        <v>16266</v>
      </c>
      <c r="CL198" t="s">
        <v>16266</v>
      </c>
      <c r="CM198">
        <v>-99</v>
      </c>
      <c r="CN198">
        <v>-99</v>
      </c>
      <c r="CO198" t="s">
        <v>12279</v>
      </c>
      <c r="CP198" t="s">
        <v>12279</v>
      </c>
      <c r="CQ198" t="s">
        <v>12280</v>
      </c>
      <c r="CR198" t="s">
        <v>12281</v>
      </c>
      <c r="CS198">
        <v>8</v>
      </c>
      <c r="CT198">
        <v>8</v>
      </c>
      <c r="CU198">
        <v>5</v>
      </c>
      <c r="CV198">
        <v>-99</v>
      </c>
      <c r="CW198">
        <v>1</v>
      </c>
      <c r="CX198">
        <v>0</v>
      </c>
      <c r="CY198">
        <v>3</v>
      </c>
      <c r="CZ198">
        <v>8</v>
      </c>
      <c r="DA198">
        <v>-8.2717539999999996</v>
      </c>
      <c r="DB198">
        <v>39.606675000000003</v>
      </c>
      <c r="DC198">
        <v>1159321187</v>
      </c>
      <c r="DD198" t="s">
        <v>16271</v>
      </c>
      <c r="DE198" t="s">
        <v>16272</v>
      </c>
      <c r="DF198" t="s">
        <v>16273</v>
      </c>
      <c r="DG198" t="s">
        <v>138</v>
      </c>
      <c r="DH198" t="s">
        <v>138</v>
      </c>
      <c r="DI198" t="s">
        <v>138</v>
      </c>
      <c r="DJ198" t="s">
        <v>16274</v>
      </c>
      <c r="DK198" t="s">
        <v>138</v>
      </c>
      <c r="DL198" t="s">
        <v>16275</v>
      </c>
      <c r="DM198" t="s">
        <v>16276</v>
      </c>
      <c r="DN198" t="s">
        <v>16277</v>
      </c>
      <c r="DO198" t="s">
        <v>16278</v>
      </c>
      <c r="DP198" t="s">
        <v>138</v>
      </c>
      <c r="DQ198" t="s">
        <v>16279</v>
      </c>
      <c r="DR198" t="s">
        <v>16280</v>
      </c>
      <c r="DS198" t="s">
        <v>16281</v>
      </c>
      <c r="DT198" t="s">
        <v>138</v>
      </c>
      <c r="DU198" t="s">
        <v>16282</v>
      </c>
      <c r="DV198" t="s">
        <v>138</v>
      </c>
      <c r="DW198" t="s">
        <v>16283</v>
      </c>
      <c r="DX198" t="s">
        <v>138</v>
      </c>
      <c r="DY198" t="s">
        <v>16284</v>
      </c>
      <c r="DZ198" t="s">
        <v>16285</v>
      </c>
      <c r="EA198" t="s">
        <v>16286</v>
      </c>
      <c r="EB198" t="s">
        <v>16287</v>
      </c>
      <c r="EC198" t="s">
        <v>16288</v>
      </c>
      <c r="ED198" t="s">
        <v>16288</v>
      </c>
      <c r="EE198" t="s">
        <v>12247</v>
      </c>
      <c r="EG198" t="s">
        <v>12247</v>
      </c>
    </row>
    <row r="199" spans="1:252" x14ac:dyDescent="0.25">
      <c r="A199" t="s">
        <v>1229</v>
      </c>
      <c r="B199" t="s">
        <v>12247</v>
      </c>
      <c r="C199">
        <v>1</v>
      </c>
      <c r="D199">
        <v>5</v>
      </c>
      <c r="E199" t="s">
        <v>12532</v>
      </c>
      <c r="F199" t="s">
        <v>12533</v>
      </c>
      <c r="G199">
        <v>1</v>
      </c>
      <c r="H199">
        <v>2</v>
      </c>
      <c r="I199" t="s">
        <v>12480</v>
      </c>
      <c r="J199">
        <v>1</v>
      </c>
      <c r="K199" t="s">
        <v>1229</v>
      </c>
      <c r="L199" t="s">
        <v>17771</v>
      </c>
      <c r="M199">
        <v>0</v>
      </c>
      <c r="N199" t="s">
        <v>1229</v>
      </c>
      <c r="O199" t="s">
        <v>17771</v>
      </c>
      <c r="P199">
        <v>0</v>
      </c>
      <c r="Q199" t="s">
        <v>1229</v>
      </c>
      <c r="R199" t="s">
        <v>17771</v>
      </c>
      <c r="S199">
        <v>0</v>
      </c>
      <c r="T199" t="s">
        <v>1229</v>
      </c>
      <c r="U199" t="s">
        <v>17771</v>
      </c>
      <c r="V199" t="s">
        <v>1229</v>
      </c>
      <c r="X199" t="s">
        <v>17772</v>
      </c>
      <c r="Y199" t="s">
        <v>1800</v>
      </c>
      <c r="Z199" t="s">
        <v>17773</v>
      </c>
      <c r="AB199" t="s">
        <v>1229</v>
      </c>
      <c r="AC199" t="s">
        <v>12536</v>
      </c>
      <c r="AE199" t="s">
        <v>1229</v>
      </c>
      <c r="AG199">
        <v>4</v>
      </c>
      <c r="AH199">
        <v>5</v>
      </c>
      <c r="AI199">
        <v>1</v>
      </c>
      <c r="AJ199">
        <v>1</v>
      </c>
      <c r="AK199">
        <v>3193694</v>
      </c>
      <c r="AL199">
        <v>12</v>
      </c>
      <c r="AM199">
        <v>2019</v>
      </c>
      <c r="AN199">
        <v>104988</v>
      </c>
      <c r="AO199">
        <v>2019</v>
      </c>
      <c r="AP199" t="s">
        <v>12277</v>
      </c>
      <c r="AQ199" t="s">
        <v>12335</v>
      </c>
      <c r="AR199" t="s">
        <v>17774</v>
      </c>
      <c r="AS199" t="s">
        <v>1800</v>
      </c>
      <c r="AT199" t="s">
        <v>1800</v>
      </c>
      <c r="AU199" t="s">
        <v>17771</v>
      </c>
      <c r="AV199" t="s">
        <v>17771</v>
      </c>
      <c r="AW199">
        <v>630</v>
      </c>
      <c r="AX199">
        <v>630</v>
      </c>
      <c r="AY199">
        <v>630</v>
      </c>
      <c r="AZ199" t="s">
        <v>1800</v>
      </c>
      <c r="BA199" t="s">
        <v>17771</v>
      </c>
      <c r="BB199">
        <v>23424935</v>
      </c>
      <c r="BC199">
        <v>23424935</v>
      </c>
      <c r="BD199" t="s">
        <v>12254</v>
      </c>
      <c r="BE199" t="s">
        <v>17771</v>
      </c>
      <c r="BG199" t="s">
        <v>17771</v>
      </c>
      <c r="BH199" t="s">
        <v>17771</v>
      </c>
      <c r="BI199" t="s">
        <v>17771</v>
      </c>
      <c r="BJ199" t="s">
        <v>17771</v>
      </c>
      <c r="BK199" t="s">
        <v>17771</v>
      </c>
      <c r="BL199" t="s">
        <v>17771</v>
      </c>
      <c r="BM199" t="s">
        <v>17771</v>
      </c>
      <c r="BN199" t="s">
        <v>17771</v>
      </c>
      <c r="BO199" t="s">
        <v>17771</v>
      </c>
      <c r="BP199" t="s">
        <v>17771</v>
      </c>
      <c r="BQ199" t="s">
        <v>17771</v>
      </c>
      <c r="BR199" t="s">
        <v>17771</v>
      </c>
      <c r="BS199" t="s">
        <v>17771</v>
      </c>
      <c r="BT199" t="s">
        <v>17771</v>
      </c>
      <c r="BU199" t="s">
        <v>17771</v>
      </c>
      <c r="BV199" t="s">
        <v>17771</v>
      </c>
      <c r="BW199" t="s">
        <v>17771</v>
      </c>
      <c r="BX199" t="s">
        <v>17771</v>
      </c>
      <c r="BY199" t="s">
        <v>17771</v>
      </c>
      <c r="BZ199" t="s">
        <v>17771</v>
      </c>
      <c r="CA199" t="s">
        <v>17771</v>
      </c>
      <c r="CB199" t="s">
        <v>17771</v>
      </c>
      <c r="CC199" t="s">
        <v>17771</v>
      </c>
      <c r="CD199" t="s">
        <v>17771</v>
      </c>
      <c r="CE199" t="s">
        <v>17771</v>
      </c>
      <c r="CF199" t="s">
        <v>17771</v>
      </c>
      <c r="CG199" t="s">
        <v>17771</v>
      </c>
      <c r="CH199" t="s">
        <v>17771</v>
      </c>
      <c r="CI199" t="s">
        <v>17771</v>
      </c>
      <c r="CJ199" t="s">
        <v>17771</v>
      </c>
      <c r="CK199" t="s">
        <v>17771</v>
      </c>
      <c r="CL199" t="s">
        <v>17771</v>
      </c>
      <c r="CM199">
        <v>-99</v>
      </c>
      <c r="CN199">
        <v>-99</v>
      </c>
      <c r="CO199" t="s">
        <v>12402</v>
      </c>
      <c r="CP199" t="s">
        <v>12403</v>
      </c>
      <c r="CQ199" t="s">
        <v>12404</v>
      </c>
      <c r="CR199" t="s">
        <v>12405</v>
      </c>
      <c r="CS199">
        <v>11</v>
      </c>
      <c r="CT199">
        <v>11</v>
      </c>
      <c r="CU199">
        <v>4</v>
      </c>
      <c r="CV199">
        <v>-99</v>
      </c>
      <c r="CW199">
        <v>-99</v>
      </c>
      <c r="CX199">
        <v>0</v>
      </c>
      <c r="CY199">
        <v>3</v>
      </c>
      <c r="CZ199">
        <v>8</v>
      </c>
      <c r="DA199">
        <v>-66.481065000000001</v>
      </c>
      <c r="DB199">
        <v>18.234667999999999</v>
      </c>
      <c r="DC199">
        <v>1159321363</v>
      </c>
      <c r="DD199" t="s">
        <v>17775</v>
      </c>
      <c r="DE199" t="s">
        <v>17776</v>
      </c>
      <c r="DF199" t="s">
        <v>17777</v>
      </c>
      <c r="DG199" t="s">
        <v>1229</v>
      </c>
      <c r="DH199" t="s">
        <v>1229</v>
      </c>
      <c r="DI199" t="s">
        <v>1229</v>
      </c>
      <c r="DJ199" t="s">
        <v>17778</v>
      </c>
      <c r="DK199" t="s">
        <v>17779</v>
      </c>
      <c r="DL199" t="s">
        <v>17780</v>
      </c>
      <c r="DM199" t="s">
        <v>17781</v>
      </c>
      <c r="DN199" t="s">
        <v>17782</v>
      </c>
      <c r="DO199" t="s">
        <v>1229</v>
      </c>
      <c r="DP199" t="s">
        <v>17783</v>
      </c>
      <c r="DQ199" t="s">
        <v>17779</v>
      </c>
      <c r="DR199" t="s">
        <v>17784</v>
      </c>
      <c r="DS199" t="s">
        <v>17785</v>
      </c>
      <c r="DT199" t="s">
        <v>1229</v>
      </c>
      <c r="DU199" t="s">
        <v>17786</v>
      </c>
      <c r="DV199" t="s">
        <v>17779</v>
      </c>
      <c r="DW199" t="s">
        <v>17787</v>
      </c>
      <c r="DX199" t="s">
        <v>1229</v>
      </c>
      <c r="DY199" t="s">
        <v>17788</v>
      </c>
      <c r="DZ199" t="s">
        <v>17789</v>
      </c>
      <c r="EA199" t="s">
        <v>17790</v>
      </c>
      <c r="EB199" t="s">
        <v>1229</v>
      </c>
      <c r="EC199" t="s">
        <v>17791</v>
      </c>
      <c r="ED199" t="s">
        <v>17791</v>
      </c>
      <c r="EE199" t="s">
        <v>12397</v>
      </c>
      <c r="EG199" t="s">
        <v>12397</v>
      </c>
    </row>
    <row r="200" spans="1:252" x14ac:dyDescent="0.25">
      <c r="A200" t="s">
        <v>139</v>
      </c>
      <c r="B200" t="s">
        <v>12247</v>
      </c>
      <c r="C200">
        <v>0</v>
      </c>
      <c r="D200">
        <v>5</v>
      </c>
      <c r="E200" t="s">
        <v>139</v>
      </c>
      <c r="F200" t="s">
        <v>16289</v>
      </c>
      <c r="G200">
        <v>0</v>
      </c>
      <c r="H200">
        <v>2</v>
      </c>
      <c r="I200" t="s">
        <v>12249</v>
      </c>
      <c r="J200">
        <v>1</v>
      </c>
      <c r="K200" t="s">
        <v>139</v>
      </c>
      <c r="L200" t="s">
        <v>16289</v>
      </c>
      <c r="M200">
        <v>0</v>
      </c>
      <c r="N200" t="s">
        <v>139</v>
      </c>
      <c r="O200" t="s">
        <v>16289</v>
      </c>
      <c r="P200">
        <v>0</v>
      </c>
      <c r="Q200" t="s">
        <v>139</v>
      </c>
      <c r="R200" t="s">
        <v>16289</v>
      </c>
      <c r="S200">
        <v>0</v>
      </c>
      <c r="T200" t="s">
        <v>139</v>
      </c>
      <c r="U200" t="s">
        <v>16289</v>
      </c>
      <c r="V200" t="s">
        <v>139</v>
      </c>
      <c r="X200" t="s">
        <v>139</v>
      </c>
      <c r="Y200" t="s">
        <v>1816</v>
      </c>
      <c r="Z200" t="s">
        <v>16290</v>
      </c>
      <c r="AB200" t="s">
        <v>139</v>
      </c>
      <c r="AE200" t="s">
        <v>139</v>
      </c>
      <c r="AG200">
        <v>3</v>
      </c>
      <c r="AH200">
        <v>6</v>
      </c>
      <c r="AI200">
        <v>2</v>
      </c>
      <c r="AJ200">
        <v>4</v>
      </c>
      <c r="AK200">
        <v>2832067</v>
      </c>
      <c r="AL200">
        <v>12</v>
      </c>
      <c r="AM200">
        <v>2019</v>
      </c>
      <c r="AN200">
        <v>175837</v>
      </c>
      <c r="AO200">
        <v>2019</v>
      </c>
      <c r="AP200" t="s">
        <v>12277</v>
      </c>
      <c r="AQ200" t="s">
        <v>12335</v>
      </c>
      <c r="AR200" t="s">
        <v>1816</v>
      </c>
      <c r="AS200" t="s">
        <v>1816</v>
      </c>
      <c r="AT200" t="s">
        <v>1816</v>
      </c>
      <c r="AU200" t="s">
        <v>16289</v>
      </c>
      <c r="AV200" t="s">
        <v>16289</v>
      </c>
      <c r="AW200">
        <v>634</v>
      </c>
      <c r="AX200">
        <v>634</v>
      </c>
      <c r="AY200">
        <v>634</v>
      </c>
      <c r="AZ200" t="s">
        <v>1816</v>
      </c>
      <c r="BA200" t="s">
        <v>16289</v>
      </c>
      <c r="BB200">
        <v>23424930</v>
      </c>
      <c r="BC200">
        <v>23424930</v>
      </c>
      <c r="BD200" t="s">
        <v>12254</v>
      </c>
      <c r="BE200" t="s">
        <v>16289</v>
      </c>
      <c r="BG200" t="s">
        <v>16289</v>
      </c>
      <c r="BH200" t="s">
        <v>16289</v>
      </c>
      <c r="BI200" t="s">
        <v>16289</v>
      </c>
      <c r="BJ200" t="s">
        <v>16289</v>
      </c>
      <c r="BK200" t="s">
        <v>16289</v>
      </c>
      <c r="BL200" t="s">
        <v>16289</v>
      </c>
      <c r="BM200" t="s">
        <v>16289</v>
      </c>
      <c r="BN200" t="s">
        <v>16289</v>
      </c>
      <c r="BO200" t="s">
        <v>16289</v>
      </c>
      <c r="BP200" t="s">
        <v>16289</v>
      </c>
      <c r="BQ200" t="s">
        <v>16289</v>
      </c>
      <c r="BR200" t="s">
        <v>16289</v>
      </c>
      <c r="BS200" t="s">
        <v>16289</v>
      </c>
      <c r="BT200" t="s">
        <v>16289</v>
      </c>
      <c r="BU200" t="s">
        <v>16289</v>
      </c>
      <c r="BV200" t="s">
        <v>16289</v>
      </c>
      <c r="BW200" t="s">
        <v>16289</v>
      </c>
      <c r="BX200" t="s">
        <v>16289</v>
      </c>
      <c r="BY200" t="s">
        <v>16289</v>
      </c>
      <c r="BZ200" t="s">
        <v>16289</v>
      </c>
      <c r="CA200" t="s">
        <v>16289</v>
      </c>
      <c r="CB200" t="s">
        <v>16289</v>
      </c>
      <c r="CC200" t="s">
        <v>16289</v>
      </c>
      <c r="CD200" t="s">
        <v>16289</v>
      </c>
      <c r="CE200" t="s">
        <v>16289</v>
      </c>
      <c r="CF200" t="s">
        <v>16289</v>
      </c>
      <c r="CG200" t="s">
        <v>16289</v>
      </c>
      <c r="CH200" t="s">
        <v>16289</v>
      </c>
      <c r="CI200" t="s">
        <v>16289</v>
      </c>
      <c r="CJ200" t="s">
        <v>16289</v>
      </c>
      <c r="CK200" t="s">
        <v>16289</v>
      </c>
      <c r="CL200" t="s">
        <v>16289</v>
      </c>
      <c r="CM200">
        <v>-99</v>
      </c>
      <c r="CN200">
        <v>-99</v>
      </c>
      <c r="CO200" t="s">
        <v>12255</v>
      </c>
      <c r="CP200" t="s">
        <v>12255</v>
      </c>
      <c r="CQ200" t="s">
        <v>12458</v>
      </c>
      <c r="CR200" t="s">
        <v>12308</v>
      </c>
      <c r="CS200">
        <v>5</v>
      </c>
      <c r="CT200">
        <v>5</v>
      </c>
      <c r="CU200">
        <v>5</v>
      </c>
      <c r="CV200">
        <v>-99</v>
      </c>
      <c r="CW200">
        <v>1</v>
      </c>
      <c r="CX200">
        <v>0</v>
      </c>
      <c r="CY200">
        <v>4</v>
      </c>
      <c r="CZ200">
        <v>9</v>
      </c>
      <c r="DA200">
        <v>51.143509000000002</v>
      </c>
      <c r="DB200">
        <v>25.237383000000001</v>
      </c>
      <c r="DC200">
        <v>1159321197</v>
      </c>
      <c r="DD200" t="s">
        <v>16291</v>
      </c>
      <c r="DE200" t="s">
        <v>16292</v>
      </c>
      <c r="DF200" t="s">
        <v>16293</v>
      </c>
      <c r="DG200" t="s">
        <v>16294</v>
      </c>
      <c r="DH200" t="s">
        <v>139</v>
      </c>
      <c r="DI200" t="s">
        <v>16295</v>
      </c>
      <c r="DJ200" t="s">
        <v>16292</v>
      </c>
      <c r="DK200" t="s">
        <v>139</v>
      </c>
      <c r="DL200" t="s">
        <v>16296</v>
      </c>
      <c r="DM200" t="s">
        <v>16297</v>
      </c>
      <c r="DN200" t="s">
        <v>16298</v>
      </c>
      <c r="DO200" t="s">
        <v>16294</v>
      </c>
      <c r="DP200" t="s">
        <v>139</v>
      </c>
      <c r="DQ200" t="s">
        <v>139</v>
      </c>
      <c r="DR200" t="s">
        <v>16299</v>
      </c>
      <c r="DS200" t="s">
        <v>16300</v>
      </c>
      <c r="DT200" t="s">
        <v>139</v>
      </c>
      <c r="DU200" t="s">
        <v>16294</v>
      </c>
      <c r="DV200" t="s">
        <v>16295</v>
      </c>
      <c r="DW200" t="s">
        <v>16301</v>
      </c>
      <c r="DX200" t="s">
        <v>139</v>
      </c>
      <c r="DY200" t="s">
        <v>16294</v>
      </c>
      <c r="DZ200" t="s">
        <v>16301</v>
      </c>
      <c r="EA200" t="s">
        <v>16292</v>
      </c>
      <c r="EB200" t="s">
        <v>139</v>
      </c>
      <c r="EC200" t="s">
        <v>16302</v>
      </c>
      <c r="ED200" t="s">
        <v>16303</v>
      </c>
      <c r="EE200" t="s">
        <v>12247</v>
      </c>
      <c r="EG200" t="s">
        <v>12247</v>
      </c>
    </row>
    <row r="201" spans="1:252" x14ac:dyDescent="0.25">
      <c r="A201" t="s">
        <v>16329</v>
      </c>
      <c r="B201" t="s">
        <v>12247</v>
      </c>
      <c r="C201">
        <v>0</v>
      </c>
      <c r="D201">
        <v>4</v>
      </c>
      <c r="E201" t="s">
        <v>16329</v>
      </c>
      <c r="F201" t="s">
        <v>16330</v>
      </c>
      <c r="G201">
        <v>0</v>
      </c>
      <c r="H201">
        <v>2</v>
      </c>
      <c r="I201" t="s">
        <v>12249</v>
      </c>
      <c r="J201">
        <v>1</v>
      </c>
      <c r="K201" t="s">
        <v>16329</v>
      </c>
      <c r="L201" t="s">
        <v>16330</v>
      </c>
      <c r="M201">
        <v>0</v>
      </c>
      <c r="N201" t="s">
        <v>16329</v>
      </c>
      <c r="O201" t="s">
        <v>16330</v>
      </c>
      <c r="P201">
        <v>0</v>
      </c>
      <c r="Q201" t="s">
        <v>16329</v>
      </c>
      <c r="R201" t="s">
        <v>16330</v>
      </c>
      <c r="S201">
        <v>0</v>
      </c>
      <c r="T201" t="s">
        <v>16329</v>
      </c>
      <c r="U201" t="s">
        <v>16330</v>
      </c>
      <c r="V201" t="s">
        <v>16329</v>
      </c>
      <c r="X201" t="s">
        <v>16331</v>
      </c>
      <c r="Y201" t="s">
        <v>1368</v>
      </c>
      <c r="Z201" t="s">
        <v>16329</v>
      </c>
      <c r="AB201" t="s">
        <v>16332</v>
      </c>
      <c r="AE201" t="s">
        <v>16333</v>
      </c>
      <c r="AG201">
        <v>2</v>
      </c>
      <c r="AH201">
        <v>1</v>
      </c>
      <c r="AI201">
        <v>3</v>
      </c>
      <c r="AJ201">
        <v>10</v>
      </c>
      <c r="AK201">
        <v>5380508</v>
      </c>
      <c r="AL201">
        <v>13</v>
      </c>
      <c r="AM201">
        <v>2019</v>
      </c>
      <c r="AN201">
        <v>12267</v>
      </c>
      <c r="AO201">
        <v>2019</v>
      </c>
      <c r="AP201" t="s">
        <v>12277</v>
      </c>
      <c r="AQ201" t="s">
        <v>12278</v>
      </c>
      <c r="AR201" t="s">
        <v>1365</v>
      </c>
      <c r="AS201" t="s">
        <v>1368</v>
      </c>
      <c r="AT201" t="s">
        <v>1368</v>
      </c>
      <c r="AU201" t="s">
        <v>16330</v>
      </c>
      <c r="AV201" t="s">
        <v>16330</v>
      </c>
      <c r="AW201">
        <v>178</v>
      </c>
      <c r="AX201">
        <v>178</v>
      </c>
      <c r="AY201">
        <v>178</v>
      </c>
      <c r="AZ201" t="s">
        <v>1368</v>
      </c>
      <c r="BA201" t="s">
        <v>16330</v>
      </c>
      <c r="BB201">
        <v>23424779</v>
      </c>
      <c r="BC201">
        <v>23424779</v>
      </c>
      <c r="BD201" t="s">
        <v>12254</v>
      </c>
      <c r="BE201" t="s">
        <v>16330</v>
      </c>
      <c r="BG201" t="s">
        <v>16330</v>
      </c>
      <c r="BH201" t="s">
        <v>16330</v>
      </c>
      <c r="BI201" t="s">
        <v>16330</v>
      </c>
      <c r="BJ201" t="s">
        <v>16330</v>
      </c>
      <c r="BK201" t="s">
        <v>16330</v>
      </c>
      <c r="BL201" t="s">
        <v>16330</v>
      </c>
      <c r="BM201" t="s">
        <v>16330</v>
      </c>
      <c r="BN201" t="s">
        <v>16330</v>
      </c>
      <c r="BO201" t="s">
        <v>16330</v>
      </c>
      <c r="BP201" t="s">
        <v>16330</v>
      </c>
      <c r="BQ201" t="s">
        <v>16330</v>
      </c>
      <c r="BR201" t="s">
        <v>16330</v>
      </c>
      <c r="BS201" t="s">
        <v>16330</v>
      </c>
      <c r="BT201" t="s">
        <v>16330</v>
      </c>
      <c r="BU201" t="s">
        <v>16330</v>
      </c>
      <c r="BV201" t="s">
        <v>16330</v>
      </c>
      <c r="BW201" t="s">
        <v>16330</v>
      </c>
      <c r="BX201" t="s">
        <v>16330</v>
      </c>
      <c r="BY201" t="s">
        <v>16330</v>
      </c>
      <c r="BZ201" t="s">
        <v>16330</v>
      </c>
      <c r="CA201" t="s">
        <v>16330</v>
      </c>
      <c r="CB201" t="s">
        <v>16330</v>
      </c>
      <c r="CC201" t="s">
        <v>16330</v>
      </c>
      <c r="CD201" t="s">
        <v>16330</v>
      </c>
      <c r="CE201" t="s">
        <v>16330</v>
      </c>
      <c r="CF201" t="s">
        <v>16330</v>
      </c>
      <c r="CG201" t="s">
        <v>16330</v>
      </c>
      <c r="CH201" t="s">
        <v>16330</v>
      </c>
      <c r="CI201" t="s">
        <v>16330</v>
      </c>
      <c r="CJ201" t="s">
        <v>16330</v>
      </c>
      <c r="CK201" t="s">
        <v>16330</v>
      </c>
      <c r="CL201" t="s">
        <v>16330</v>
      </c>
      <c r="CM201">
        <v>-99</v>
      </c>
      <c r="CN201">
        <v>-99</v>
      </c>
      <c r="CO201" t="s">
        <v>12306</v>
      </c>
      <c r="CP201" t="s">
        <v>12306</v>
      </c>
      <c r="CQ201" t="s">
        <v>12356</v>
      </c>
      <c r="CR201" t="s">
        <v>12357</v>
      </c>
      <c r="CS201">
        <v>5</v>
      </c>
      <c r="CT201">
        <v>21</v>
      </c>
      <c r="CU201">
        <v>10</v>
      </c>
      <c r="CV201">
        <v>-99</v>
      </c>
      <c r="CW201">
        <v>1</v>
      </c>
      <c r="CX201">
        <v>0</v>
      </c>
      <c r="CY201">
        <v>4</v>
      </c>
      <c r="CZ201">
        <v>9</v>
      </c>
      <c r="DA201">
        <v>15.900499999999999</v>
      </c>
      <c r="DB201">
        <v>0.14233099999999901</v>
      </c>
      <c r="DC201">
        <v>1159320515</v>
      </c>
      <c r="DD201" t="s">
        <v>16334</v>
      </c>
      <c r="DE201" t="s">
        <v>16335</v>
      </c>
      <c r="DF201" t="s">
        <v>16336</v>
      </c>
      <c r="DG201" t="s">
        <v>16337</v>
      </c>
      <c r="DH201" t="s">
        <v>16329</v>
      </c>
      <c r="DI201" t="s">
        <v>16338</v>
      </c>
      <c r="DJ201" t="s">
        <v>16339</v>
      </c>
      <c r="DK201" t="s">
        <v>16340</v>
      </c>
      <c r="DL201" t="s">
        <v>16341</v>
      </c>
      <c r="DM201" t="s">
        <v>16342</v>
      </c>
      <c r="DN201" t="s">
        <v>16343</v>
      </c>
      <c r="DO201" t="s">
        <v>16344</v>
      </c>
      <c r="DP201" t="s">
        <v>16337</v>
      </c>
      <c r="DQ201" t="s">
        <v>16345</v>
      </c>
      <c r="DR201" t="s">
        <v>16346</v>
      </c>
      <c r="DS201" t="s">
        <v>16347</v>
      </c>
      <c r="DT201" t="s">
        <v>16348</v>
      </c>
      <c r="DU201" t="s">
        <v>16349</v>
      </c>
      <c r="DV201" t="s">
        <v>16350</v>
      </c>
      <c r="DW201" t="s">
        <v>16351</v>
      </c>
      <c r="DX201" t="s">
        <v>16352</v>
      </c>
      <c r="DY201" t="s">
        <v>16353</v>
      </c>
      <c r="DZ201" t="s">
        <v>16354</v>
      </c>
      <c r="EA201" t="s">
        <v>16355</v>
      </c>
      <c r="EB201" t="s">
        <v>16356</v>
      </c>
      <c r="EC201" t="s">
        <v>16357</v>
      </c>
      <c r="ED201" t="s">
        <v>16358</v>
      </c>
      <c r="EE201" t="s">
        <v>12247</v>
      </c>
      <c r="EG201" t="s">
        <v>12247</v>
      </c>
    </row>
    <row r="202" spans="1:252" x14ac:dyDescent="0.25">
      <c r="A202" t="s">
        <v>140</v>
      </c>
      <c r="B202" t="s">
        <v>12247</v>
      </c>
      <c r="C202">
        <v>0</v>
      </c>
      <c r="D202">
        <v>3</v>
      </c>
      <c r="E202" t="s">
        <v>140</v>
      </c>
      <c r="F202" t="s">
        <v>16359</v>
      </c>
      <c r="G202">
        <v>0</v>
      </c>
      <c r="H202">
        <v>2</v>
      </c>
      <c r="I202" t="s">
        <v>12249</v>
      </c>
      <c r="J202">
        <v>1</v>
      </c>
      <c r="K202" t="s">
        <v>140</v>
      </c>
      <c r="L202" t="s">
        <v>16359</v>
      </c>
      <c r="M202">
        <v>0</v>
      </c>
      <c r="N202" t="s">
        <v>140</v>
      </c>
      <c r="O202" t="s">
        <v>16359</v>
      </c>
      <c r="P202">
        <v>0</v>
      </c>
      <c r="Q202" t="s">
        <v>140</v>
      </c>
      <c r="R202" t="s">
        <v>16359</v>
      </c>
      <c r="S202">
        <v>0</v>
      </c>
      <c r="T202" t="s">
        <v>140</v>
      </c>
      <c r="U202" t="s">
        <v>16359</v>
      </c>
      <c r="V202" t="s">
        <v>140</v>
      </c>
      <c r="X202" t="s">
        <v>16360</v>
      </c>
      <c r="Y202" t="s">
        <v>1822</v>
      </c>
      <c r="Z202" t="s">
        <v>140</v>
      </c>
      <c r="AB202" t="s">
        <v>140</v>
      </c>
      <c r="AE202" t="s">
        <v>140</v>
      </c>
      <c r="AG202">
        <v>1</v>
      </c>
      <c r="AH202">
        <v>4</v>
      </c>
      <c r="AI202">
        <v>3</v>
      </c>
      <c r="AJ202">
        <v>13</v>
      </c>
      <c r="AK202">
        <v>19356544</v>
      </c>
      <c r="AL202">
        <v>14</v>
      </c>
      <c r="AM202">
        <v>2019</v>
      </c>
      <c r="AN202">
        <v>250077</v>
      </c>
      <c r="AO202">
        <v>2019</v>
      </c>
      <c r="AP202" t="s">
        <v>12334</v>
      </c>
      <c r="AQ202" t="s">
        <v>12305</v>
      </c>
      <c r="AR202" t="s">
        <v>1822</v>
      </c>
      <c r="AS202" t="s">
        <v>1822</v>
      </c>
      <c r="AT202" t="s">
        <v>1822</v>
      </c>
      <c r="AU202" t="s">
        <v>16359</v>
      </c>
      <c r="AV202" t="s">
        <v>16359</v>
      </c>
      <c r="AW202">
        <v>642</v>
      </c>
      <c r="AX202">
        <v>642</v>
      </c>
      <c r="AY202">
        <v>642</v>
      </c>
      <c r="AZ202" t="s">
        <v>1822</v>
      </c>
      <c r="BA202" t="s">
        <v>16361</v>
      </c>
      <c r="BB202">
        <v>23424933</v>
      </c>
      <c r="BC202">
        <v>23424933</v>
      </c>
      <c r="BD202" t="s">
        <v>12254</v>
      </c>
      <c r="BE202" t="s">
        <v>16359</v>
      </c>
      <c r="BG202" t="s">
        <v>16359</v>
      </c>
      <c r="BH202" t="s">
        <v>16359</v>
      </c>
      <c r="BI202" t="s">
        <v>16359</v>
      </c>
      <c r="BJ202" t="s">
        <v>16359</v>
      </c>
      <c r="BK202" t="s">
        <v>16359</v>
      </c>
      <c r="BL202" t="s">
        <v>16359</v>
      </c>
      <c r="BM202" t="s">
        <v>16359</v>
      </c>
      <c r="BN202" t="s">
        <v>16359</v>
      </c>
      <c r="BO202" t="s">
        <v>16359</v>
      </c>
      <c r="BP202" t="s">
        <v>16359</v>
      </c>
      <c r="BQ202" t="s">
        <v>16359</v>
      </c>
      <c r="BR202" t="s">
        <v>16359</v>
      </c>
      <c r="BS202" t="s">
        <v>16359</v>
      </c>
      <c r="BT202" t="s">
        <v>16359</v>
      </c>
      <c r="BU202" t="s">
        <v>16359</v>
      </c>
      <c r="BV202" t="s">
        <v>16359</v>
      </c>
      <c r="BW202" t="s">
        <v>16359</v>
      </c>
      <c r="BX202" t="s">
        <v>16359</v>
      </c>
      <c r="BY202" t="s">
        <v>16359</v>
      </c>
      <c r="BZ202" t="s">
        <v>16359</v>
      </c>
      <c r="CA202" t="s">
        <v>16359</v>
      </c>
      <c r="CB202" t="s">
        <v>16359</v>
      </c>
      <c r="CC202" t="s">
        <v>16359</v>
      </c>
      <c r="CD202" t="s">
        <v>16359</v>
      </c>
      <c r="CE202" t="s">
        <v>16359</v>
      </c>
      <c r="CF202" t="s">
        <v>16359</v>
      </c>
      <c r="CG202" t="s">
        <v>16359</v>
      </c>
      <c r="CH202" t="s">
        <v>16359</v>
      </c>
      <c r="CI202" t="s">
        <v>16359</v>
      </c>
      <c r="CJ202" t="s">
        <v>16359</v>
      </c>
      <c r="CK202" t="s">
        <v>16359</v>
      </c>
      <c r="CL202" t="s">
        <v>16359</v>
      </c>
      <c r="CM202">
        <v>-99</v>
      </c>
      <c r="CN202">
        <v>-99</v>
      </c>
      <c r="CO202" t="s">
        <v>12279</v>
      </c>
      <c r="CP202" t="s">
        <v>12279</v>
      </c>
      <c r="CQ202" t="s">
        <v>12779</v>
      </c>
      <c r="CR202" t="s">
        <v>12281</v>
      </c>
      <c r="CS202">
        <v>7</v>
      </c>
      <c r="CT202">
        <v>7</v>
      </c>
      <c r="CU202">
        <v>4</v>
      </c>
      <c r="CV202">
        <v>-99</v>
      </c>
      <c r="CW202">
        <v>1</v>
      </c>
      <c r="CX202">
        <v>0</v>
      </c>
      <c r="CY202">
        <v>3</v>
      </c>
      <c r="CZ202">
        <v>8</v>
      </c>
      <c r="DA202">
        <v>24.972624</v>
      </c>
      <c r="DB202">
        <v>45.733237000000003</v>
      </c>
      <c r="DC202">
        <v>1159321199</v>
      </c>
      <c r="DD202" t="s">
        <v>16362</v>
      </c>
      <c r="DE202" t="s">
        <v>16363</v>
      </c>
      <c r="DF202" t="s">
        <v>16364</v>
      </c>
      <c r="DG202" t="s">
        <v>16365</v>
      </c>
      <c r="DH202" t="s">
        <v>140</v>
      </c>
      <c r="DI202" t="s">
        <v>16366</v>
      </c>
      <c r="DJ202" t="s">
        <v>16367</v>
      </c>
      <c r="DK202" t="s">
        <v>16368</v>
      </c>
      <c r="DL202" t="s">
        <v>16369</v>
      </c>
      <c r="DM202" t="s">
        <v>16370</v>
      </c>
      <c r="DN202" t="s">
        <v>16371</v>
      </c>
      <c r="DO202" t="s">
        <v>16372</v>
      </c>
      <c r="DP202" t="s">
        <v>16366</v>
      </c>
      <c r="DQ202" t="s">
        <v>140</v>
      </c>
      <c r="DR202" t="s">
        <v>16373</v>
      </c>
      <c r="DS202" t="s">
        <v>16374</v>
      </c>
      <c r="DT202" t="s">
        <v>16375</v>
      </c>
      <c r="DU202" t="s">
        <v>16376</v>
      </c>
      <c r="DV202" t="s">
        <v>16377</v>
      </c>
      <c r="DW202" t="s">
        <v>16378</v>
      </c>
      <c r="DX202" t="s">
        <v>16365</v>
      </c>
      <c r="DY202" t="s">
        <v>16379</v>
      </c>
      <c r="DZ202" t="s">
        <v>16380</v>
      </c>
      <c r="EA202" t="s">
        <v>16381</v>
      </c>
      <c r="EB202" t="s">
        <v>140</v>
      </c>
      <c r="EC202" t="s">
        <v>16382</v>
      </c>
      <c r="ED202" t="s">
        <v>16383</v>
      </c>
      <c r="EE202" t="s">
        <v>12247</v>
      </c>
      <c r="EG202" t="s">
        <v>12247</v>
      </c>
    </row>
    <row r="203" spans="1:252" x14ac:dyDescent="0.25">
      <c r="A203" t="s">
        <v>141</v>
      </c>
      <c r="B203" t="s">
        <v>12247</v>
      </c>
      <c r="C203">
        <v>0</v>
      </c>
      <c r="D203">
        <v>2</v>
      </c>
      <c r="E203" t="s">
        <v>141</v>
      </c>
      <c r="F203" t="s">
        <v>16384</v>
      </c>
      <c r="G203">
        <v>0</v>
      </c>
      <c r="H203">
        <v>2</v>
      </c>
      <c r="I203" t="s">
        <v>12249</v>
      </c>
      <c r="J203">
        <v>1</v>
      </c>
      <c r="K203" t="s">
        <v>141</v>
      </c>
      <c r="L203" t="s">
        <v>16384</v>
      </c>
      <c r="M203">
        <v>0</v>
      </c>
      <c r="N203" t="s">
        <v>141</v>
      </c>
      <c r="O203" t="s">
        <v>16384</v>
      </c>
      <c r="P203">
        <v>0</v>
      </c>
      <c r="Q203" t="s">
        <v>141</v>
      </c>
      <c r="R203" t="s">
        <v>16384</v>
      </c>
      <c r="S203">
        <v>0</v>
      </c>
      <c r="T203" t="s">
        <v>16385</v>
      </c>
      <c r="U203" t="s">
        <v>16384</v>
      </c>
      <c r="V203" t="s">
        <v>141</v>
      </c>
      <c r="X203" t="s">
        <v>16386</v>
      </c>
      <c r="Y203" t="s">
        <v>16384</v>
      </c>
      <c r="Z203" t="s">
        <v>16385</v>
      </c>
      <c r="AB203" t="s">
        <v>141</v>
      </c>
      <c r="AE203" t="s">
        <v>16385</v>
      </c>
      <c r="AG203">
        <v>2</v>
      </c>
      <c r="AH203">
        <v>5</v>
      </c>
      <c r="AI203">
        <v>7</v>
      </c>
      <c r="AJ203">
        <v>7</v>
      </c>
      <c r="AK203">
        <v>144373535</v>
      </c>
      <c r="AL203">
        <v>17</v>
      </c>
      <c r="AM203">
        <v>2019</v>
      </c>
      <c r="AN203">
        <v>1699876</v>
      </c>
      <c r="AO203">
        <v>2019</v>
      </c>
      <c r="AP203" t="s">
        <v>12973</v>
      </c>
      <c r="AQ203" t="s">
        <v>12305</v>
      </c>
      <c r="AR203" t="s">
        <v>1825</v>
      </c>
      <c r="AS203" t="s">
        <v>1829</v>
      </c>
      <c r="AT203" t="s">
        <v>1829</v>
      </c>
      <c r="AU203" t="s">
        <v>16384</v>
      </c>
      <c r="AV203" t="s">
        <v>16384</v>
      </c>
      <c r="AW203">
        <v>643</v>
      </c>
      <c r="AX203">
        <v>643</v>
      </c>
      <c r="AY203">
        <v>643</v>
      </c>
      <c r="AZ203" t="s">
        <v>1829</v>
      </c>
      <c r="BA203" t="s">
        <v>16384</v>
      </c>
      <c r="BB203">
        <v>23424936</v>
      </c>
      <c r="BC203">
        <v>23424936</v>
      </c>
      <c r="BD203" t="s">
        <v>12254</v>
      </c>
      <c r="BE203" t="s">
        <v>16384</v>
      </c>
      <c r="BG203" t="s">
        <v>16384</v>
      </c>
      <c r="BH203" t="s">
        <v>16384</v>
      </c>
      <c r="BI203" t="s">
        <v>16384</v>
      </c>
      <c r="BJ203" t="s">
        <v>16384</v>
      </c>
      <c r="BK203" t="s">
        <v>16384</v>
      </c>
      <c r="BL203" t="s">
        <v>16384</v>
      </c>
      <c r="BM203" t="s">
        <v>16384</v>
      </c>
      <c r="BN203" t="s">
        <v>16384</v>
      </c>
      <c r="BO203" t="s">
        <v>16384</v>
      </c>
      <c r="BP203" t="s">
        <v>16384</v>
      </c>
      <c r="BQ203" t="s">
        <v>16384</v>
      </c>
      <c r="BR203" t="s">
        <v>16384</v>
      </c>
      <c r="BS203" t="s">
        <v>16384</v>
      </c>
      <c r="BT203" t="s">
        <v>16384</v>
      </c>
      <c r="BU203" t="s">
        <v>16384</v>
      </c>
      <c r="BV203" t="s">
        <v>16384</v>
      </c>
      <c r="BW203" t="s">
        <v>16384</v>
      </c>
      <c r="BX203" t="s">
        <v>16384</v>
      </c>
      <c r="BY203" t="s">
        <v>16384</v>
      </c>
      <c r="BZ203" t="s">
        <v>16384</v>
      </c>
      <c r="CA203" t="s">
        <v>16384</v>
      </c>
      <c r="CB203" t="s">
        <v>16384</v>
      </c>
      <c r="CC203" t="s">
        <v>16384</v>
      </c>
      <c r="CD203" t="s">
        <v>16384</v>
      </c>
      <c r="CE203" t="s">
        <v>16384</v>
      </c>
      <c r="CF203" t="s">
        <v>16384</v>
      </c>
      <c r="CG203" t="s">
        <v>16384</v>
      </c>
      <c r="CH203" t="s">
        <v>16384</v>
      </c>
      <c r="CI203" t="s">
        <v>16384</v>
      </c>
      <c r="CJ203" t="s">
        <v>16384</v>
      </c>
      <c r="CK203" t="s">
        <v>16384</v>
      </c>
      <c r="CL203" t="s">
        <v>16384</v>
      </c>
      <c r="CM203">
        <v>-99</v>
      </c>
      <c r="CN203">
        <v>-99</v>
      </c>
      <c r="CO203" t="s">
        <v>12279</v>
      </c>
      <c r="CP203" t="s">
        <v>12279</v>
      </c>
      <c r="CQ203" t="s">
        <v>12779</v>
      </c>
      <c r="CR203" t="s">
        <v>12281</v>
      </c>
      <c r="CS203">
        <v>6</v>
      </c>
      <c r="CT203">
        <v>18</v>
      </c>
      <c r="CU203">
        <v>4</v>
      </c>
      <c r="CV203">
        <v>-99</v>
      </c>
      <c r="CW203">
        <v>1</v>
      </c>
      <c r="CX203">
        <v>0</v>
      </c>
      <c r="CY203">
        <v>1.7</v>
      </c>
      <c r="CZ203">
        <v>5.2</v>
      </c>
      <c r="DA203">
        <v>44.686469000000002</v>
      </c>
      <c r="DB203">
        <v>58.249357000000003</v>
      </c>
      <c r="DC203">
        <v>1159321201</v>
      </c>
      <c r="DD203" t="s">
        <v>16387</v>
      </c>
      <c r="DE203" t="s">
        <v>16388</v>
      </c>
      <c r="DF203" t="s">
        <v>16389</v>
      </c>
      <c r="DG203" t="s">
        <v>16390</v>
      </c>
      <c r="DH203" t="s">
        <v>141</v>
      </c>
      <c r="DI203" t="s">
        <v>16391</v>
      </c>
      <c r="DJ203" t="s">
        <v>16392</v>
      </c>
      <c r="DK203" t="s">
        <v>16393</v>
      </c>
      <c r="DL203" t="s">
        <v>16394</v>
      </c>
      <c r="DM203" t="s">
        <v>16395</v>
      </c>
      <c r="DN203" t="s">
        <v>16396</v>
      </c>
      <c r="DO203" t="s">
        <v>16397</v>
      </c>
      <c r="DP203" t="s">
        <v>16391</v>
      </c>
      <c r="DQ203" t="s">
        <v>141</v>
      </c>
      <c r="DR203" t="s">
        <v>16398</v>
      </c>
      <c r="DS203" t="s">
        <v>16399</v>
      </c>
      <c r="DT203" t="s">
        <v>16400</v>
      </c>
      <c r="DU203" t="s">
        <v>16401</v>
      </c>
      <c r="DV203" t="s">
        <v>16402</v>
      </c>
      <c r="DW203" t="s">
        <v>16403</v>
      </c>
      <c r="DX203" t="s">
        <v>16404</v>
      </c>
      <c r="DY203" t="s">
        <v>16405</v>
      </c>
      <c r="DZ203" t="s">
        <v>16406</v>
      </c>
      <c r="EA203" t="s">
        <v>16407</v>
      </c>
      <c r="EB203" t="s">
        <v>16408</v>
      </c>
      <c r="EC203" t="s">
        <v>16409</v>
      </c>
      <c r="ED203" t="s">
        <v>16410</v>
      </c>
      <c r="EE203" t="s">
        <v>12247</v>
      </c>
      <c r="EG203" t="s">
        <v>12247</v>
      </c>
    </row>
    <row r="204" spans="1:252" x14ac:dyDescent="0.25">
      <c r="A204" t="s">
        <v>142</v>
      </c>
      <c r="B204" t="s">
        <v>12247</v>
      </c>
      <c r="C204">
        <v>0</v>
      </c>
      <c r="D204">
        <v>3</v>
      </c>
      <c r="E204" t="s">
        <v>142</v>
      </c>
      <c r="F204" t="s">
        <v>16411</v>
      </c>
      <c r="G204">
        <v>0</v>
      </c>
      <c r="H204">
        <v>2</v>
      </c>
      <c r="I204" t="s">
        <v>12249</v>
      </c>
      <c r="J204">
        <v>1</v>
      </c>
      <c r="K204" t="s">
        <v>142</v>
      </c>
      <c r="L204" t="s">
        <v>16411</v>
      </c>
      <c r="M204">
        <v>0</v>
      </c>
      <c r="N204" t="s">
        <v>142</v>
      </c>
      <c r="O204" t="s">
        <v>16411</v>
      </c>
      <c r="P204">
        <v>0</v>
      </c>
      <c r="Q204" t="s">
        <v>142</v>
      </c>
      <c r="R204" t="s">
        <v>16411</v>
      </c>
      <c r="S204">
        <v>0</v>
      </c>
      <c r="T204" t="s">
        <v>142</v>
      </c>
      <c r="U204" t="s">
        <v>16411</v>
      </c>
      <c r="V204" t="s">
        <v>142</v>
      </c>
      <c r="X204" t="s">
        <v>16412</v>
      </c>
      <c r="Y204" t="s">
        <v>1832</v>
      </c>
      <c r="Z204" t="s">
        <v>16413</v>
      </c>
      <c r="AB204" t="s">
        <v>142</v>
      </c>
      <c r="AE204" t="s">
        <v>142</v>
      </c>
      <c r="AG204">
        <v>5</v>
      </c>
      <c r="AH204">
        <v>2</v>
      </c>
      <c r="AI204">
        <v>3</v>
      </c>
      <c r="AJ204">
        <v>10</v>
      </c>
      <c r="AK204">
        <v>12626950</v>
      </c>
      <c r="AL204">
        <v>14</v>
      </c>
      <c r="AM204">
        <v>2019</v>
      </c>
      <c r="AN204">
        <v>10354</v>
      </c>
      <c r="AO204">
        <v>2019</v>
      </c>
      <c r="AP204" t="s">
        <v>12252</v>
      </c>
      <c r="AQ204" t="s">
        <v>12253</v>
      </c>
      <c r="AR204" t="s">
        <v>1832</v>
      </c>
      <c r="AS204" t="s">
        <v>1832</v>
      </c>
      <c r="AT204" t="s">
        <v>1832</v>
      </c>
      <c r="AU204" t="s">
        <v>16411</v>
      </c>
      <c r="AV204" t="s">
        <v>16411</v>
      </c>
      <c r="AW204">
        <v>646</v>
      </c>
      <c r="AX204">
        <v>646</v>
      </c>
      <c r="AY204">
        <v>646</v>
      </c>
      <c r="AZ204" t="s">
        <v>1832</v>
      </c>
      <c r="BA204" t="s">
        <v>16411</v>
      </c>
      <c r="BB204">
        <v>23424937</v>
      </c>
      <c r="BC204">
        <v>23424937</v>
      </c>
      <c r="BD204" t="s">
        <v>12254</v>
      </c>
      <c r="BE204" t="s">
        <v>16411</v>
      </c>
      <c r="BG204" t="s">
        <v>16411</v>
      </c>
      <c r="BH204" t="s">
        <v>16411</v>
      </c>
      <c r="BI204" t="s">
        <v>16411</v>
      </c>
      <c r="BJ204" t="s">
        <v>16411</v>
      </c>
      <c r="BK204" t="s">
        <v>16411</v>
      </c>
      <c r="BL204" t="s">
        <v>16411</v>
      </c>
      <c r="BM204" t="s">
        <v>16411</v>
      </c>
      <c r="BN204" t="s">
        <v>16411</v>
      </c>
      <c r="BO204" t="s">
        <v>16411</v>
      </c>
      <c r="BP204" t="s">
        <v>16411</v>
      </c>
      <c r="BQ204" t="s">
        <v>16411</v>
      </c>
      <c r="BR204" t="s">
        <v>16411</v>
      </c>
      <c r="BS204" t="s">
        <v>16411</v>
      </c>
      <c r="BT204" t="s">
        <v>16411</v>
      </c>
      <c r="BU204" t="s">
        <v>16411</v>
      </c>
      <c r="BV204" t="s">
        <v>16411</v>
      </c>
      <c r="BW204" t="s">
        <v>16411</v>
      </c>
      <c r="BX204" t="s">
        <v>16411</v>
      </c>
      <c r="BY204" t="s">
        <v>16411</v>
      </c>
      <c r="BZ204" t="s">
        <v>16411</v>
      </c>
      <c r="CA204" t="s">
        <v>16411</v>
      </c>
      <c r="CB204" t="s">
        <v>16411</v>
      </c>
      <c r="CC204" t="s">
        <v>16411</v>
      </c>
      <c r="CD204" t="s">
        <v>16411</v>
      </c>
      <c r="CE204" t="s">
        <v>16411</v>
      </c>
      <c r="CF204" t="s">
        <v>16411</v>
      </c>
      <c r="CG204" t="s">
        <v>16411</v>
      </c>
      <c r="CH204" t="s">
        <v>16411</v>
      </c>
      <c r="CI204" t="s">
        <v>16411</v>
      </c>
      <c r="CJ204" t="s">
        <v>16411</v>
      </c>
      <c r="CK204" t="s">
        <v>16411</v>
      </c>
      <c r="CL204" t="s">
        <v>16411</v>
      </c>
      <c r="CM204">
        <v>-99</v>
      </c>
      <c r="CN204">
        <v>-99</v>
      </c>
      <c r="CO204" t="s">
        <v>12306</v>
      </c>
      <c r="CP204" t="s">
        <v>12306</v>
      </c>
      <c r="CQ204" t="s">
        <v>13085</v>
      </c>
      <c r="CR204" t="s">
        <v>12357</v>
      </c>
      <c r="CS204">
        <v>6</v>
      </c>
      <c r="CT204">
        <v>6</v>
      </c>
      <c r="CU204">
        <v>4</v>
      </c>
      <c r="CV204">
        <v>-99</v>
      </c>
      <c r="CW204">
        <v>1</v>
      </c>
      <c r="CX204">
        <v>0</v>
      </c>
      <c r="CY204">
        <v>3</v>
      </c>
      <c r="CZ204">
        <v>8</v>
      </c>
      <c r="DA204">
        <v>30.103894</v>
      </c>
      <c r="DB204">
        <v>-1.8971960000000001</v>
      </c>
      <c r="DC204">
        <v>1159321219</v>
      </c>
      <c r="DD204" t="s">
        <v>16414</v>
      </c>
      <c r="DE204" t="s">
        <v>16415</v>
      </c>
      <c r="DF204" t="s">
        <v>16416</v>
      </c>
      <c r="DG204" t="s">
        <v>16417</v>
      </c>
      <c r="DH204" t="s">
        <v>142</v>
      </c>
      <c r="DI204" t="s">
        <v>16417</v>
      </c>
      <c r="DJ204" t="s">
        <v>16415</v>
      </c>
      <c r="DK204" t="s">
        <v>142</v>
      </c>
      <c r="DL204" t="s">
        <v>16418</v>
      </c>
      <c r="DM204" t="s">
        <v>16419</v>
      </c>
      <c r="DN204" t="s">
        <v>16420</v>
      </c>
      <c r="DO204" t="s">
        <v>16417</v>
      </c>
      <c r="DP204" t="s">
        <v>142</v>
      </c>
      <c r="DQ204" t="s">
        <v>16417</v>
      </c>
      <c r="DR204" t="s">
        <v>16421</v>
      </c>
      <c r="DS204" t="s">
        <v>16422</v>
      </c>
      <c r="DT204" t="s">
        <v>142</v>
      </c>
      <c r="DU204" t="s">
        <v>142</v>
      </c>
      <c r="DV204" t="s">
        <v>16417</v>
      </c>
      <c r="DW204" t="s">
        <v>16423</v>
      </c>
      <c r="DX204" t="s">
        <v>142</v>
      </c>
      <c r="DY204" t="s">
        <v>16417</v>
      </c>
      <c r="DZ204" t="s">
        <v>16423</v>
      </c>
      <c r="EA204" t="s">
        <v>16424</v>
      </c>
      <c r="EB204" t="s">
        <v>142</v>
      </c>
      <c r="EC204" t="s">
        <v>16425</v>
      </c>
      <c r="ED204" t="s">
        <v>16426</v>
      </c>
      <c r="EE204" t="s">
        <v>12247</v>
      </c>
      <c r="EG204" t="s">
        <v>12247</v>
      </c>
    </row>
    <row r="205" spans="1:252" x14ac:dyDescent="0.25">
      <c r="A205" t="s">
        <v>18386</v>
      </c>
      <c r="B205" t="s">
        <v>12247</v>
      </c>
      <c r="C205">
        <v>3</v>
      </c>
      <c r="D205">
        <v>6</v>
      </c>
      <c r="E205" t="s">
        <v>16427</v>
      </c>
      <c r="F205" t="s">
        <v>16428</v>
      </c>
      <c r="G205">
        <v>0</v>
      </c>
      <c r="H205">
        <v>2</v>
      </c>
      <c r="I205" t="s">
        <v>12249</v>
      </c>
      <c r="J205">
        <v>1</v>
      </c>
      <c r="K205" t="s">
        <v>16427</v>
      </c>
      <c r="L205" t="s">
        <v>16428</v>
      </c>
      <c r="M205">
        <v>0</v>
      </c>
      <c r="N205" t="s">
        <v>16427</v>
      </c>
      <c r="O205" t="s">
        <v>16428</v>
      </c>
      <c r="P205">
        <v>0</v>
      </c>
      <c r="Q205" t="s">
        <v>16427</v>
      </c>
      <c r="R205" t="s">
        <v>16428</v>
      </c>
      <c r="S205">
        <v>0</v>
      </c>
      <c r="T205" t="s">
        <v>16427</v>
      </c>
      <c r="U205" t="s">
        <v>16428</v>
      </c>
      <c r="V205" t="s">
        <v>148</v>
      </c>
      <c r="X205" t="s">
        <v>16429</v>
      </c>
      <c r="Y205" t="s">
        <v>1468</v>
      </c>
      <c r="Z205" t="s">
        <v>16430</v>
      </c>
      <c r="AB205" t="s">
        <v>148</v>
      </c>
      <c r="AE205" t="s">
        <v>148</v>
      </c>
      <c r="AG205">
        <v>1</v>
      </c>
      <c r="AH205">
        <v>6</v>
      </c>
      <c r="AI205">
        <v>1</v>
      </c>
      <c r="AJ205">
        <v>7</v>
      </c>
      <c r="AK205">
        <v>215056</v>
      </c>
      <c r="AL205">
        <v>10</v>
      </c>
      <c r="AM205">
        <v>2019</v>
      </c>
      <c r="AN205">
        <v>418</v>
      </c>
      <c r="AO205">
        <v>2019</v>
      </c>
      <c r="AP205" t="s">
        <v>12252</v>
      </c>
      <c r="AQ205" t="s">
        <v>12278</v>
      </c>
      <c r="AR205" t="s">
        <v>13781</v>
      </c>
      <c r="AS205" t="s">
        <v>1468</v>
      </c>
      <c r="AT205" t="s">
        <v>1468</v>
      </c>
      <c r="AU205" t="s">
        <v>16428</v>
      </c>
      <c r="AV205" t="s">
        <v>16428</v>
      </c>
      <c r="AW205">
        <v>678</v>
      </c>
      <c r="AX205">
        <v>678</v>
      </c>
      <c r="AY205">
        <v>678</v>
      </c>
      <c r="AZ205" t="s">
        <v>1468</v>
      </c>
      <c r="BA205" t="s">
        <v>16428</v>
      </c>
      <c r="BB205">
        <v>23424966</v>
      </c>
      <c r="BC205">
        <v>23424966</v>
      </c>
      <c r="BD205" t="s">
        <v>12254</v>
      </c>
      <c r="BE205" t="s">
        <v>16428</v>
      </c>
      <c r="BG205" t="s">
        <v>16428</v>
      </c>
      <c r="BH205" t="s">
        <v>16428</v>
      </c>
      <c r="BI205" t="s">
        <v>16428</v>
      </c>
      <c r="BJ205" t="s">
        <v>16428</v>
      </c>
      <c r="BK205" t="s">
        <v>16428</v>
      </c>
      <c r="BL205" t="s">
        <v>16428</v>
      </c>
      <c r="BM205" t="s">
        <v>16428</v>
      </c>
      <c r="BN205" t="s">
        <v>16428</v>
      </c>
      <c r="BO205" t="s">
        <v>16428</v>
      </c>
      <c r="BP205" t="s">
        <v>16428</v>
      </c>
      <c r="BQ205" t="s">
        <v>16428</v>
      </c>
      <c r="BR205" t="s">
        <v>16428</v>
      </c>
      <c r="BS205" t="s">
        <v>16428</v>
      </c>
      <c r="BT205" t="s">
        <v>16428</v>
      </c>
      <c r="BU205" t="s">
        <v>16428</v>
      </c>
      <c r="BV205" t="s">
        <v>16428</v>
      </c>
      <c r="BW205" t="s">
        <v>16428</v>
      </c>
      <c r="BX205" t="s">
        <v>16428</v>
      </c>
      <c r="BY205" t="s">
        <v>16428</v>
      </c>
      <c r="BZ205" t="s">
        <v>16428</v>
      </c>
      <c r="CA205" t="s">
        <v>16428</v>
      </c>
      <c r="CB205" t="s">
        <v>16428</v>
      </c>
      <c r="CC205" t="s">
        <v>16428</v>
      </c>
      <c r="CD205" t="s">
        <v>16428</v>
      </c>
      <c r="CE205" t="s">
        <v>16428</v>
      </c>
      <c r="CF205" t="s">
        <v>16428</v>
      </c>
      <c r="CG205" t="s">
        <v>16428</v>
      </c>
      <c r="CH205" t="s">
        <v>16428</v>
      </c>
      <c r="CI205" t="s">
        <v>16428</v>
      </c>
      <c r="CJ205" t="s">
        <v>16428</v>
      </c>
      <c r="CK205" t="s">
        <v>16428</v>
      </c>
      <c r="CL205" t="s">
        <v>16428</v>
      </c>
      <c r="CM205">
        <v>-99</v>
      </c>
      <c r="CN205">
        <v>-99</v>
      </c>
      <c r="CO205" t="s">
        <v>12306</v>
      </c>
      <c r="CP205" t="s">
        <v>12306</v>
      </c>
      <c r="CQ205" t="s">
        <v>12356</v>
      </c>
      <c r="CR205" t="s">
        <v>12357</v>
      </c>
      <c r="CS205">
        <v>21</v>
      </c>
      <c r="CT205">
        <v>21</v>
      </c>
      <c r="CU205">
        <v>6</v>
      </c>
      <c r="CV205">
        <v>3</v>
      </c>
      <c r="CW205">
        <v>1</v>
      </c>
      <c r="CX205">
        <v>0</v>
      </c>
      <c r="CY205">
        <v>5</v>
      </c>
      <c r="CZ205">
        <v>10</v>
      </c>
      <c r="DA205">
        <v>7.0209999999999999</v>
      </c>
      <c r="DB205">
        <v>0.97089999999999999</v>
      </c>
      <c r="DC205">
        <v>1159321273</v>
      </c>
      <c r="DD205" t="s">
        <v>16431</v>
      </c>
      <c r="DE205" t="s">
        <v>16432</v>
      </c>
      <c r="DF205" t="s">
        <v>16433</v>
      </c>
      <c r="DG205" t="s">
        <v>16434</v>
      </c>
      <c r="DH205" t="s">
        <v>16435</v>
      </c>
      <c r="DI205" t="s">
        <v>16436</v>
      </c>
      <c r="DJ205" t="s">
        <v>16437</v>
      </c>
      <c r="DK205" t="s">
        <v>16438</v>
      </c>
      <c r="DL205" t="s">
        <v>16439</v>
      </c>
      <c r="DM205" t="s">
        <v>16440</v>
      </c>
      <c r="DN205" t="s">
        <v>16441</v>
      </c>
      <c r="DO205" t="s">
        <v>16442</v>
      </c>
      <c r="DP205" t="s">
        <v>16443</v>
      </c>
      <c r="DQ205" t="s">
        <v>16444</v>
      </c>
      <c r="DR205" t="s">
        <v>16445</v>
      </c>
      <c r="DS205" t="s">
        <v>16446</v>
      </c>
      <c r="DT205" t="s">
        <v>16447</v>
      </c>
      <c r="DU205" t="s">
        <v>16448</v>
      </c>
      <c r="DV205" t="s">
        <v>16444</v>
      </c>
      <c r="DW205" t="s">
        <v>16449</v>
      </c>
      <c r="DX205" t="s">
        <v>16450</v>
      </c>
      <c r="DY205" t="s">
        <v>16451</v>
      </c>
      <c r="DZ205" t="s">
        <v>16452</v>
      </c>
      <c r="EA205" t="s">
        <v>16453</v>
      </c>
      <c r="EB205" t="s">
        <v>16454</v>
      </c>
      <c r="EC205" t="s">
        <v>16455</v>
      </c>
      <c r="ED205" t="s">
        <v>16456</v>
      </c>
      <c r="EE205" t="s">
        <v>12247</v>
      </c>
      <c r="EG205" t="s">
        <v>12247</v>
      </c>
    </row>
    <row r="206" spans="1:252" x14ac:dyDescent="0.25">
      <c r="A206" t="s">
        <v>3059</v>
      </c>
      <c r="B206" t="s">
        <v>17202</v>
      </c>
      <c r="C206">
        <v>10</v>
      </c>
      <c r="L206" t="s">
        <v>8866</v>
      </c>
      <c r="FN206" t="s">
        <v>18757</v>
      </c>
      <c r="FO206">
        <v>5147</v>
      </c>
      <c r="FP206" t="s">
        <v>18758</v>
      </c>
      <c r="FQ206" t="s">
        <v>1748</v>
      </c>
      <c r="FR206">
        <v>3</v>
      </c>
      <c r="FU206" t="s">
        <v>18737</v>
      </c>
      <c r="FV206" t="s">
        <v>18738</v>
      </c>
      <c r="FX206" t="s">
        <v>18759</v>
      </c>
      <c r="GB206">
        <v>0</v>
      </c>
      <c r="GC206">
        <v>0</v>
      </c>
      <c r="GD206">
        <v>0</v>
      </c>
      <c r="GE206">
        <v>10</v>
      </c>
      <c r="GH206">
        <v>0</v>
      </c>
      <c r="GI206">
        <v>-99</v>
      </c>
      <c r="GJ206">
        <v>20</v>
      </c>
      <c r="GK206">
        <v>4</v>
      </c>
      <c r="GL206">
        <v>2</v>
      </c>
      <c r="GM206">
        <v>0</v>
      </c>
      <c r="GP206">
        <v>24549808</v>
      </c>
      <c r="GR206" t="s">
        <v>3059</v>
      </c>
      <c r="GS206">
        <v>17.6325</v>
      </c>
      <c r="GT206">
        <v>-63.237099999999998</v>
      </c>
      <c r="GU206" t="s">
        <v>12583</v>
      </c>
      <c r="GV206" t="s">
        <v>8866</v>
      </c>
      <c r="GW206">
        <v>8</v>
      </c>
      <c r="GX206" t="s">
        <v>123</v>
      </c>
      <c r="GZ206" t="s">
        <v>17558</v>
      </c>
      <c r="HA206">
        <v>7610358</v>
      </c>
      <c r="HB206" t="s">
        <v>3059</v>
      </c>
      <c r="HC206">
        <v>0</v>
      </c>
      <c r="HE206">
        <v>1</v>
      </c>
      <c r="HG206" t="s">
        <v>18760</v>
      </c>
      <c r="HJ206">
        <v>0</v>
      </c>
      <c r="HN206">
        <v>11</v>
      </c>
      <c r="HO206">
        <v>11</v>
      </c>
      <c r="HP206">
        <v>8</v>
      </c>
      <c r="HQ206" t="s">
        <v>18761</v>
      </c>
      <c r="HR206" t="s">
        <v>18762</v>
      </c>
      <c r="HS206" t="s">
        <v>18763</v>
      </c>
      <c r="HT206" t="s">
        <v>3059</v>
      </c>
      <c r="HU206" t="s">
        <v>3059</v>
      </c>
      <c r="HV206" t="s">
        <v>3059</v>
      </c>
      <c r="HW206" t="s">
        <v>3059</v>
      </c>
      <c r="HX206" t="s">
        <v>18764</v>
      </c>
      <c r="HY206" t="s">
        <v>18765</v>
      </c>
      <c r="HZ206" t="s">
        <v>3059</v>
      </c>
      <c r="IA206" t="s">
        <v>3059</v>
      </c>
      <c r="IB206" t="s">
        <v>3059</v>
      </c>
      <c r="IC206" t="s">
        <v>18766</v>
      </c>
      <c r="ID206" t="s">
        <v>18767</v>
      </c>
      <c r="IE206" t="s">
        <v>3059</v>
      </c>
      <c r="IF206" t="s">
        <v>3059</v>
      </c>
      <c r="IG206" t="s">
        <v>3059</v>
      </c>
      <c r="IH206" t="s">
        <v>18768</v>
      </c>
      <c r="II206" t="s">
        <v>3059</v>
      </c>
      <c r="IJ206" t="s">
        <v>3059</v>
      </c>
      <c r="IK206" t="s">
        <v>3059</v>
      </c>
      <c r="IL206" t="s">
        <v>18769</v>
      </c>
      <c r="IM206">
        <v>1159316511</v>
      </c>
      <c r="IN206" t="s">
        <v>18770</v>
      </c>
      <c r="IO206" t="s">
        <v>18768</v>
      </c>
      <c r="IP206" t="s">
        <v>18771</v>
      </c>
      <c r="IQ206" t="s">
        <v>18772</v>
      </c>
      <c r="IR206" t="s">
        <v>18769</v>
      </c>
    </row>
    <row r="207" spans="1:252" x14ac:dyDescent="0.25">
      <c r="A207" t="s">
        <v>1231</v>
      </c>
      <c r="B207" t="s">
        <v>12247</v>
      </c>
      <c r="C207">
        <v>5</v>
      </c>
      <c r="D207">
        <v>6</v>
      </c>
      <c r="E207" t="s">
        <v>182</v>
      </c>
      <c r="F207" t="s">
        <v>12479</v>
      </c>
      <c r="G207">
        <v>1</v>
      </c>
      <c r="H207">
        <v>2</v>
      </c>
      <c r="I207" t="s">
        <v>12480</v>
      </c>
      <c r="J207">
        <v>1</v>
      </c>
      <c r="K207" t="s">
        <v>1231</v>
      </c>
      <c r="L207" t="s">
        <v>17814</v>
      </c>
      <c r="M207">
        <v>0</v>
      </c>
      <c r="N207" t="s">
        <v>1231</v>
      </c>
      <c r="O207" t="s">
        <v>17814</v>
      </c>
      <c r="P207">
        <v>0</v>
      </c>
      <c r="Q207" t="s">
        <v>1231</v>
      </c>
      <c r="R207" t="s">
        <v>17814</v>
      </c>
      <c r="S207">
        <v>0</v>
      </c>
      <c r="T207" t="s">
        <v>1231</v>
      </c>
      <c r="U207" t="s">
        <v>17814</v>
      </c>
      <c r="V207" t="s">
        <v>1231</v>
      </c>
      <c r="X207" t="s">
        <v>17815</v>
      </c>
      <c r="Y207" t="s">
        <v>1851</v>
      </c>
      <c r="AB207" t="s">
        <v>17816</v>
      </c>
      <c r="AC207" t="s">
        <v>12486</v>
      </c>
      <c r="AE207" t="s">
        <v>17817</v>
      </c>
      <c r="AG207">
        <v>6</v>
      </c>
      <c r="AH207">
        <v>6</v>
      </c>
      <c r="AI207">
        <v>6</v>
      </c>
      <c r="AJ207">
        <v>3</v>
      </c>
      <c r="AK207">
        <v>4534</v>
      </c>
      <c r="AL207">
        <v>4</v>
      </c>
      <c r="AM207">
        <v>2016</v>
      </c>
      <c r="AN207">
        <v>31</v>
      </c>
      <c r="AO207">
        <v>2010</v>
      </c>
      <c r="AP207" t="s">
        <v>12277</v>
      </c>
      <c r="AQ207" t="s">
        <v>12278</v>
      </c>
      <c r="AR207" t="s">
        <v>1851</v>
      </c>
      <c r="AS207" t="s">
        <v>1851</v>
      </c>
      <c r="AT207" t="s">
        <v>1851</v>
      </c>
      <c r="AU207" t="s">
        <v>17814</v>
      </c>
      <c r="AV207" t="s">
        <v>17814</v>
      </c>
      <c r="AW207">
        <v>654</v>
      </c>
      <c r="AX207">
        <v>654</v>
      </c>
      <c r="AY207">
        <v>654</v>
      </c>
      <c r="AZ207">
        <v>-99</v>
      </c>
      <c r="BA207">
        <v>-99</v>
      </c>
      <c r="BB207">
        <v>23424944</v>
      </c>
      <c r="BC207">
        <v>23424944</v>
      </c>
      <c r="BD207" t="s">
        <v>12254</v>
      </c>
      <c r="BE207" t="s">
        <v>17814</v>
      </c>
      <c r="BG207" t="s">
        <v>17814</v>
      </c>
      <c r="BH207" t="s">
        <v>17814</v>
      </c>
      <c r="BI207" t="s">
        <v>17814</v>
      </c>
      <c r="BJ207" t="s">
        <v>17814</v>
      </c>
      <c r="BK207" t="s">
        <v>17814</v>
      </c>
      <c r="BL207" t="s">
        <v>17814</v>
      </c>
      <c r="BM207" t="s">
        <v>17814</v>
      </c>
      <c r="BN207" t="s">
        <v>17814</v>
      </c>
      <c r="BO207" t="s">
        <v>17814</v>
      </c>
      <c r="BP207" t="s">
        <v>17814</v>
      </c>
      <c r="BQ207" t="s">
        <v>17814</v>
      </c>
      <c r="BR207" t="s">
        <v>17814</v>
      </c>
      <c r="BS207" t="s">
        <v>17814</v>
      </c>
      <c r="BT207" t="s">
        <v>17814</v>
      </c>
      <c r="BU207" t="s">
        <v>17814</v>
      </c>
      <c r="BV207" t="s">
        <v>17814</v>
      </c>
      <c r="BW207" t="s">
        <v>17814</v>
      </c>
      <c r="BX207" t="s">
        <v>17814</v>
      </c>
      <c r="BY207" t="s">
        <v>17814</v>
      </c>
      <c r="BZ207" t="s">
        <v>17814</v>
      </c>
      <c r="CA207" t="s">
        <v>17814</v>
      </c>
      <c r="CB207" t="s">
        <v>17814</v>
      </c>
      <c r="CC207" t="s">
        <v>17814</v>
      </c>
      <c r="CD207" t="s">
        <v>17814</v>
      </c>
      <c r="CE207" t="s">
        <v>17814</v>
      </c>
      <c r="CF207" t="s">
        <v>17814</v>
      </c>
      <c r="CG207" t="s">
        <v>17814</v>
      </c>
      <c r="CH207" t="s">
        <v>17814</v>
      </c>
      <c r="CI207" t="s">
        <v>17814</v>
      </c>
      <c r="CJ207" t="s">
        <v>17814</v>
      </c>
      <c r="CK207" t="s">
        <v>17814</v>
      </c>
      <c r="CL207" t="s">
        <v>17814</v>
      </c>
      <c r="CM207">
        <v>-99</v>
      </c>
      <c r="CN207">
        <v>-99</v>
      </c>
      <c r="CO207" t="s">
        <v>13437</v>
      </c>
      <c r="CP207" t="s">
        <v>12306</v>
      </c>
      <c r="CQ207" t="s">
        <v>12847</v>
      </c>
      <c r="CR207" t="s">
        <v>12357</v>
      </c>
      <c r="CS207">
        <v>12</v>
      </c>
      <c r="CT207">
        <v>12</v>
      </c>
      <c r="CU207">
        <v>5</v>
      </c>
      <c r="CV207">
        <v>-99</v>
      </c>
      <c r="CW207">
        <v>-99</v>
      </c>
      <c r="CX207">
        <v>0</v>
      </c>
      <c r="CY207">
        <v>5</v>
      </c>
      <c r="CZ207">
        <v>10</v>
      </c>
      <c r="DA207">
        <v>-5.7126200000000003</v>
      </c>
      <c r="DB207">
        <v>-15.950487000000001</v>
      </c>
      <c r="DC207">
        <v>1159320733</v>
      </c>
      <c r="DD207" t="s">
        <v>17818</v>
      </c>
      <c r="DE207" t="s">
        <v>17819</v>
      </c>
      <c r="DF207" t="s">
        <v>17820</v>
      </c>
      <c r="DG207" t="s">
        <v>17817</v>
      </c>
      <c r="DH207" t="s">
        <v>1231</v>
      </c>
      <c r="DI207" t="s">
        <v>17821</v>
      </c>
      <c r="DJ207" t="s">
        <v>17822</v>
      </c>
      <c r="DK207" t="s">
        <v>17823</v>
      </c>
      <c r="DL207" t="s">
        <v>17824</v>
      </c>
      <c r="DM207" t="s">
        <v>17825</v>
      </c>
      <c r="DN207" t="s">
        <v>17826</v>
      </c>
      <c r="DO207" t="s">
        <v>17827</v>
      </c>
      <c r="DP207" t="s">
        <v>1231</v>
      </c>
      <c r="DQ207" t="s">
        <v>17828</v>
      </c>
      <c r="DR207" t="s">
        <v>17829</v>
      </c>
      <c r="DS207" t="s">
        <v>17830</v>
      </c>
      <c r="DT207" t="s">
        <v>17831</v>
      </c>
      <c r="DU207" t="s">
        <v>17832</v>
      </c>
      <c r="DV207" t="s">
        <v>17833</v>
      </c>
      <c r="DW207" t="s">
        <v>17834</v>
      </c>
      <c r="DX207" t="s">
        <v>17835</v>
      </c>
      <c r="DY207" t="s">
        <v>1231</v>
      </c>
      <c r="DZ207" t="s">
        <v>17836</v>
      </c>
      <c r="EA207" t="s">
        <v>17837</v>
      </c>
      <c r="EB207" t="s">
        <v>1231</v>
      </c>
      <c r="EC207" t="s">
        <v>17838</v>
      </c>
      <c r="ED207" t="s">
        <v>17839</v>
      </c>
      <c r="EE207" t="s">
        <v>12397</v>
      </c>
      <c r="EG207" t="s">
        <v>12397</v>
      </c>
    </row>
    <row r="208" spans="1:252" x14ac:dyDescent="0.25">
      <c r="A208" t="s">
        <v>143</v>
      </c>
      <c r="B208" t="s">
        <v>12247</v>
      </c>
      <c r="C208">
        <v>3</v>
      </c>
      <c r="D208">
        <v>6</v>
      </c>
      <c r="E208" t="s">
        <v>18856</v>
      </c>
      <c r="F208" t="s">
        <v>16457</v>
      </c>
      <c r="G208">
        <v>0</v>
      </c>
      <c r="H208">
        <v>2</v>
      </c>
      <c r="I208" t="s">
        <v>12249</v>
      </c>
      <c r="J208">
        <v>1</v>
      </c>
      <c r="K208" t="s">
        <v>143</v>
      </c>
      <c r="L208" t="s">
        <v>16457</v>
      </c>
      <c r="M208">
        <v>0</v>
      </c>
      <c r="N208" t="s">
        <v>143</v>
      </c>
      <c r="O208" t="s">
        <v>16457</v>
      </c>
      <c r="P208">
        <v>0</v>
      </c>
      <c r="Q208" t="s">
        <v>143</v>
      </c>
      <c r="R208" t="s">
        <v>16457</v>
      </c>
      <c r="S208">
        <v>0</v>
      </c>
      <c r="T208" t="s">
        <v>143</v>
      </c>
      <c r="U208" t="s">
        <v>16457</v>
      </c>
      <c r="V208" t="s">
        <v>143</v>
      </c>
      <c r="X208" t="s">
        <v>16459</v>
      </c>
      <c r="Y208" t="s">
        <v>1610</v>
      </c>
      <c r="Z208" t="s">
        <v>16460</v>
      </c>
      <c r="AB208" t="s">
        <v>143</v>
      </c>
      <c r="AE208" t="s">
        <v>16458</v>
      </c>
      <c r="AG208">
        <v>1</v>
      </c>
      <c r="AH208">
        <v>4</v>
      </c>
      <c r="AI208">
        <v>1</v>
      </c>
      <c r="AJ208">
        <v>8</v>
      </c>
      <c r="AK208">
        <v>52834</v>
      </c>
      <c r="AL208">
        <v>8</v>
      </c>
      <c r="AM208">
        <v>2019</v>
      </c>
      <c r="AN208">
        <v>1053</v>
      </c>
      <c r="AO208">
        <v>2019</v>
      </c>
      <c r="AP208" t="s">
        <v>12277</v>
      </c>
      <c r="AQ208" t="s">
        <v>12335</v>
      </c>
      <c r="AR208" t="s">
        <v>1841</v>
      </c>
      <c r="AS208" t="s">
        <v>1610</v>
      </c>
      <c r="AT208" t="s">
        <v>1610</v>
      </c>
      <c r="AU208" t="s">
        <v>16457</v>
      </c>
      <c r="AV208" t="s">
        <v>16457</v>
      </c>
      <c r="AW208">
        <v>659</v>
      </c>
      <c r="AX208">
        <v>659</v>
      </c>
      <c r="AY208">
        <v>659</v>
      </c>
      <c r="AZ208" t="s">
        <v>1610</v>
      </c>
      <c r="BA208" t="s">
        <v>16457</v>
      </c>
      <c r="BB208">
        <v>23424940</v>
      </c>
      <c r="BC208">
        <v>23424940</v>
      </c>
      <c r="BD208" t="s">
        <v>12254</v>
      </c>
      <c r="BE208" t="s">
        <v>16457</v>
      </c>
      <c r="BG208" t="s">
        <v>16457</v>
      </c>
      <c r="BH208" t="s">
        <v>16457</v>
      </c>
      <c r="BI208" t="s">
        <v>16457</v>
      </c>
      <c r="BJ208" t="s">
        <v>16457</v>
      </c>
      <c r="BK208" t="s">
        <v>16457</v>
      </c>
      <c r="BL208" t="s">
        <v>16457</v>
      </c>
      <c r="BM208" t="s">
        <v>16457</v>
      </c>
      <c r="BN208" t="s">
        <v>16457</v>
      </c>
      <c r="BO208" t="s">
        <v>16457</v>
      </c>
      <c r="BP208" t="s">
        <v>16457</v>
      </c>
      <c r="BQ208" t="s">
        <v>16457</v>
      </c>
      <c r="BR208" t="s">
        <v>16457</v>
      </c>
      <c r="BS208" t="s">
        <v>16457</v>
      </c>
      <c r="BT208" t="s">
        <v>16457</v>
      </c>
      <c r="BU208" t="s">
        <v>16457</v>
      </c>
      <c r="BV208" t="s">
        <v>16457</v>
      </c>
      <c r="BW208" t="s">
        <v>16457</v>
      </c>
      <c r="BX208" t="s">
        <v>16457</v>
      </c>
      <c r="BY208" t="s">
        <v>16457</v>
      </c>
      <c r="BZ208" t="s">
        <v>16457</v>
      </c>
      <c r="CA208" t="s">
        <v>16457</v>
      </c>
      <c r="CB208" t="s">
        <v>16457</v>
      </c>
      <c r="CC208" t="s">
        <v>16457</v>
      </c>
      <c r="CD208" t="s">
        <v>16457</v>
      </c>
      <c r="CE208" t="s">
        <v>16457</v>
      </c>
      <c r="CF208" t="s">
        <v>16457</v>
      </c>
      <c r="CG208" t="s">
        <v>16457</v>
      </c>
      <c r="CH208" t="s">
        <v>16457</v>
      </c>
      <c r="CI208" t="s">
        <v>16457</v>
      </c>
      <c r="CJ208" t="s">
        <v>16457</v>
      </c>
      <c r="CK208" t="s">
        <v>16457</v>
      </c>
      <c r="CL208" t="s">
        <v>16457</v>
      </c>
      <c r="CM208">
        <v>-99</v>
      </c>
      <c r="CN208">
        <v>-99</v>
      </c>
      <c r="CO208" t="s">
        <v>12402</v>
      </c>
      <c r="CP208" t="s">
        <v>12403</v>
      </c>
      <c r="CQ208" t="s">
        <v>12404</v>
      </c>
      <c r="CR208" t="s">
        <v>12405</v>
      </c>
      <c r="CS208">
        <v>19</v>
      </c>
      <c r="CT208">
        <v>21</v>
      </c>
      <c r="CU208">
        <v>7</v>
      </c>
      <c r="CV208">
        <v>4</v>
      </c>
      <c r="CW208">
        <v>1</v>
      </c>
      <c r="CX208">
        <v>0</v>
      </c>
      <c r="CY208">
        <v>5</v>
      </c>
      <c r="CZ208">
        <v>10</v>
      </c>
      <c r="DA208">
        <v>-62.757975000000002</v>
      </c>
      <c r="DB208">
        <v>17.336558</v>
      </c>
      <c r="DC208">
        <v>1159320983</v>
      </c>
      <c r="DD208" t="s">
        <v>16461</v>
      </c>
      <c r="DE208" t="s">
        <v>16462</v>
      </c>
      <c r="DF208" t="s">
        <v>16463</v>
      </c>
      <c r="DG208" t="s">
        <v>16464</v>
      </c>
      <c r="DH208" t="s">
        <v>143</v>
      </c>
      <c r="DI208" t="s">
        <v>16465</v>
      </c>
      <c r="DJ208" t="s">
        <v>16466</v>
      </c>
      <c r="DK208" t="s">
        <v>16467</v>
      </c>
      <c r="DL208" t="s">
        <v>16468</v>
      </c>
      <c r="DM208" t="s">
        <v>16469</v>
      </c>
      <c r="DN208" t="s">
        <v>16470</v>
      </c>
      <c r="DO208" t="s">
        <v>16471</v>
      </c>
      <c r="DP208" t="s">
        <v>16472</v>
      </c>
      <c r="DQ208" t="s">
        <v>16473</v>
      </c>
      <c r="DR208" t="s">
        <v>16474</v>
      </c>
      <c r="DS208" t="s">
        <v>16475</v>
      </c>
      <c r="DT208" t="s">
        <v>16476</v>
      </c>
      <c r="DU208" t="s">
        <v>16477</v>
      </c>
      <c r="DV208" t="s">
        <v>16478</v>
      </c>
      <c r="DW208" t="s">
        <v>16479</v>
      </c>
      <c r="DX208" t="s">
        <v>16480</v>
      </c>
      <c r="DY208" t="s">
        <v>16481</v>
      </c>
      <c r="DZ208" t="s">
        <v>16482</v>
      </c>
      <c r="EA208" t="s">
        <v>16483</v>
      </c>
      <c r="EB208" t="s">
        <v>16484</v>
      </c>
      <c r="EC208" t="s">
        <v>16485</v>
      </c>
      <c r="ED208" t="s">
        <v>16486</v>
      </c>
      <c r="EE208" t="s">
        <v>12247</v>
      </c>
      <c r="EG208" t="s">
        <v>12247</v>
      </c>
    </row>
    <row r="209" spans="1:168" x14ac:dyDescent="0.25">
      <c r="A209" t="s">
        <v>144</v>
      </c>
      <c r="B209" t="s">
        <v>12247</v>
      </c>
      <c r="C209">
        <v>3</v>
      </c>
      <c r="D209">
        <v>6</v>
      </c>
      <c r="E209" t="s">
        <v>144</v>
      </c>
      <c r="F209" t="s">
        <v>16487</v>
      </c>
      <c r="G209">
        <v>0</v>
      </c>
      <c r="H209">
        <v>2</v>
      </c>
      <c r="I209" t="s">
        <v>12249</v>
      </c>
      <c r="J209">
        <v>1</v>
      </c>
      <c r="K209" t="s">
        <v>144</v>
      </c>
      <c r="L209" t="s">
        <v>16487</v>
      </c>
      <c r="M209">
        <v>0</v>
      </c>
      <c r="N209" t="s">
        <v>144</v>
      </c>
      <c r="O209" t="s">
        <v>16487</v>
      </c>
      <c r="P209">
        <v>0</v>
      </c>
      <c r="Q209" t="s">
        <v>144</v>
      </c>
      <c r="R209" t="s">
        <v>16487</v>
      </c>
      <c r="S209">
        <v>0</v>
      </c>
      <c r="T209" t="s">
        <v>144</v>
      </c>
      <c r="U209" t="s">
        <v>16487</v>
      </c>
      <c r="V209" t="s">
        <v>144</v>
      </c>
      <c r="X209" t="s">
        <v>16488</v>
      </c>
      <c r="Y209" t="s">
        <v>1634</v>
      </c>
      <c r="Z209" t="s">
        <v>144</v>
      </c>
      <c r="AB209" t="s">
        <v>144</v>
      </c>
      <c r="AE209" t="s">
        <v>16489</v>
      </c>
      <c r="AG209">
        <v>3</v>
      </c>
      <c r="AH209">
        <v>4</v>
      </c>
      <c r="AI209">
        <v>3</v>
      </c>
      <c r="AJ209">
        <v>4</v>
      </c>
      <c r="AK209">
        <v>182790</v>
      </c>
      <c r="AL209">
        <v>9</v>
      </c>
      <c r="AM209">
        <v>2019</v>
      </c>
      <c r="AN209">
        <v>2122</v>
      </c>
      <c r="AO209">
        <v>2019</v>
      </c>
      <c r="AP209" t="s">
        <v>12277</v>
      </c>
      <c r="AQ209" t="s">
        <v>12305</v>
      </c>
      <c r="AR209" t="s">
        <v>1468</v>
      </c>
      <c r="AS209" t="s">
        <v>1634</v>
      </c>
      <c r="AT209" t="s">
        <v>1634</v>
      </c>
      <c r="AU209" t="s">
        <v>16487</v>
      </c>
      <c r="AV209" t="s">
        <v>16487</v>
      </c>
      <c r="AW209">
        <v>662</v>
      </c>
      <c r="AX209">
        <v>662</v>
      </c>
      <c r="AY209">
        <v>662</v>
      </c>
      <c r="AZ209" t="s">
        <v>1634</v>
      </c>
      <c r="BA209" t="s">
        <v>16487</v>
      </c>
      <c r="BB209">
        <v>23424951</v>
      </c>
      <c r="BC209">
        <v>23424951</v>
      </c>
      <c r="BD209" t="s">
        <v>12254</v>
      </c>
      <c r="BE209" t="s">
        <v>16487</v>
      </c>
      <c r="BG209" t="s">
        <v>16487</v>
      </c>
      <c r="BH209" t="s">
        <v>16487</v>
      </c>
      <c r="BI209" t="s">
        <v>16487</v>
      </c>
      <c r="BJ209" t="s">
        <v>16487</v>
      </c>
      <c r="BK209" t="s">
        <v>16487</v>
      </c>
      <c r="BL209" t="s">
        <v>16487</v>
      </c>
      <c r="BM209" t="s">
        <v>16487</v>
      </c>
      <c r="BN209" t="s">
        <v>16487</v>
      </c>
      <c r="BO209" t="s">
        <v>16487</v>
      </c>
      <c r="BP209" t="s">
        <v>16487</v>
      </c>
      <c r="BQ209" t="s">
        <v>16487</v>
      </c>
      <c r="BR209" t="s">
        <v>16487</v>
      </c>
      <c r="BS209" t="s">
        <v>16487</v>
      </c>
      <c r="BT209" t="s">
        <v>16487</v>
      </c>
      <c r="BU209" t="s">
        <v>16487</v>
      </c>
      <c r="BV209" t="s">
        <v>16487</v>
      </c>
      <c r="BW209" t="s">
        <v>16487</v>
      </c>
      <c r="BX209" t="s">
        <v>16487</v>
      </c>
      <c r="BY209" t="s">
        <v>16487</v>
      </c>
      <c r="BZ209" t="s">
        <v>16487</v>
      </c>
      <c r="CA209" t="s">
        <v>16487</v>
      </c>
      <c r="CB209" t="s">
        <v>16487</v>
      </c>
      <c r="CC209" t="s">
        <v>16487</v>
      </c>
      <c r="CD209" t="s">
        <v>16487</v>
      </c>
      <c r="CE209" t="s">
        <v>16487</v>
      </c>
      <c r="CF209" t="s">
        <v>16487</v>
      </c>
      <c r="CG209" t="s">
        <v>16487</v>
      </c>
      <c r="CH209" t="s">
        <v>16487</v>
      </c>
      <c r="CI209" t="s">
        <v>16487</v>
      </c>
      <c r="CJ209" t="s">
        <v>16487</v>
      </c>
      <c r="CK209" t="s">
        <v>16487</v>
      </c>
      <c r="CL209" t="s">
        <v>16487</v>
      </c>
      <c r="CM209">
        <v>-99</v>
      </c>
      <c r="CN209">
        <v>-99</v>
      </c>
      <c r="CO209" t="s">
        <v>12402</v>
      </c>
      <c r="CP209" t="s">
        <v>12403</v>
      </c>
      <c r="CQ209" t="s">
        <v>12404</v>
      </c>
      <c r="CR209" t="s">
        <v>12405</v>
      </c>
      <c r="CS209">
        <v>11</v>
      </c>
      <c r="CT209">
        <v>11</v>
      </c>
      <c r="CU209">
        <v>4</v>
      </c>
      <c r="CV209">
        <v>4</v>
      </c>
      <c r="CW209">
        <v>1</v>
      </c>
      <c r="CX209">
        <v>0</v>
      </c>
      <c r="CY209">
        <v>5</v>
      </c>
      <c r="CZ209">
        <v>9.5</v>
      </c>
      <c r="DA209">
        <v>-60.980094000000001</v>
      </c>
      <c r="DB209">
        <v>13.892371000000001</v>
      </c>
      <c r="DC209">
        <v>1159321019</v>
      </c>
      <c r="DD209" t="s">
        <v>16490</v>
      </c>
      <c r="DE209" t="s">
        <v>16491</v>
      </c>
      <c r="DF209" t="s">
        <v>16492</v>
      </c>
      <c r="DG209" t="s">
        <v>16489</v>
      </c>
      <c r="DH209" t="s">
        <v>144</v>
      </c>
      <c r="DI209" t="s">
        <v>16493</v>
      </c>
      <c r="DJ209" t="s">
        <v>16494</v>
      </c>
      <c r="DK209" t="s">
        <v>16495</v>
      </c>
      <c r="DL209" t="s">
        <v>16496</v>
      </c>
      <c r="DM209" t="s">
        <v>16497</v>
      </c>
      <c r="DN209" t="s">
        <v>16498</v>
      </c>
      <c r="DO209" t="s">
        <v>144</v>
      </c>
      <c r="DP209" t="s">
        <v>144</v>
      </c>
      <c r="DQ209" t="s">
        <v>144</v>
      </c>
      <c r="DR209" t="s">
        <v>16499</v>
      </c>
      <c r="DS209" t="s">
        <v>16500</v>
      </c>
      <c r="DT209" t="s">
        <v>144</v>
      </c>
      <c r="DU209" t="s">
        <v>144</v>
      </c>
      <c r="DV209" t="s">
        <v>16501</v>
      </c>
      <c r="DW209" t="s">
        <v>16502</v>
      </c>
      <c r="DX209" t="s">
        <v>144</v>
      </c>
      <c r="DY209" t="s">
        <v>144</v>
      </c>
      <c r="DZ209" t="s">
        <v>16503</v>
      </c>
      <c r="EA209" t="s">
        <v>16504</v>
      </c>
      <c r="EB209" t="s">
        <v>144</v>
      </c>
      <c r="EC209" t="s">
        <v>16505</v>
      </c>
      <c r="ED209" t="s">
        <v>16506</v>
      </c>
      <c r="EE209" t="s">
        <v>12247</v>
      </c>
      <c r="EG209" t="s">
        <v>12247</v>
      </c>
    </row>
    <row r="210" spans="1:168" x14ac:dyDescent="0.25">
      <c r="A210" t="s">
        <v>17840</v>
      </c>
      <c r="B210" t="s">
        <v>12247</v>
      </c>
      <c r="C210">
        <v>3</v>
      </c>
      <c r="D210">
        <v>6</v>
      </c>
      <c r="E210" t="s">
        <v>58</v>
      </c>
      <c r="F210" t="s">
        <v>13674</v>
      </c>
      <c r="G210">
        <v>1</v>
      </c>
      <c r="H210">
        <v>2</v>
      </c>
      <c r="I210" t="s">
        <v>12480</v>
      </c>
      <c r="J210">
        <v>1</v>
      </c>
      <c r="K210" t="s">
        <v>17840</v>
      </c>
      <c r="L210" t="s">
        <v>17841</v>
      </c>
      <c r="M210">
        <v>0</v>
      </c>
      <c r="N210" t="s">
        <v>17840</v>
      </c>
      <c r="O210" t="s">
        <v>17841</v>
      </c>
      <c r="P210">
        <v>0</v>
      </c>
      <c r="Q210" t="s">
        <v>17840</v>
      </c>
      <c r="R210" t="s">
        <v>17841</v>
      </c>
      <c r="S210">
        <v>0</v>
      </c>
      <c r="T210" t="s">
        <v>17842</v>
      </c>
      <c r="U210" t="s">
        <v>17841</v>
      </c>
      <c r="V210" t="s">
        <v>17842</v>
      </c>
      <c r="X210" t="s">
        <v>17843</v>
      </c>
      <c r="Y210" t="s">
        <v>1669</v>
      </c>
      <c r="Z210" t="s">
        <v>17844</v>
      </c>
      <c r="AB210" t="s">
        <v>17840</v>
      </c>
      <c r="AC210" t="s">
        <v>13679</v>
      </c>
      <c r="AE210" t="s">
        <v>17845</v>
      </c>
      <c r="AG210">
        <v>7</v>
      </c>
      <c r="AH210">
        <v>5</v>
      </c>
      <c r="AI210">
        <v>9</v>
      </c>
      <c r="AJ210">
        <v>11</v>
      </c>
      <c r="AK210">
        <v>38002</v>
      </c>
      <c r="AL210">
        <v>7</v>
      </c>
      <c r="AM210">
        <v>2019</v>
      </c>
      <c r="AN210">
        <v>562</v>
      </c>
      <c r="AO210">
        <v>2016</v>
      </c>
      <c r="AP210" t="s">
        <v>12277</v>
      </c>
      <c r="AQ210" t="s">
        <v>12335</v>
      </c>
      <c r="AR210" t="s">
        <v>17846</v>
      </c>
      <c r="AS210" t="s">
        <v>1669</v>
      </c>
      <c r="AT210" t="s">
        <v>1669</v>
      </c>
      <c r="AU210" t="s">
        <v>17841</v>
      </c>
      <c r="AV210" t="s">
        <v>17841</v>
      </c>
      <c r="AW210">
        <v>663</v>
      </c>
      <c r="AX210">
        <v>663</v>
      </c>
      <c r="AY210">
        <v>663</v>
      </c>
      <c r="AZ210" t="s">
        <v>1669</v>
      </c>
      <c r="BA210" t="s">
        <v>17841</v>
      </c>
      <c r="BB210">
        <v>56042305</v>
      </c>
      <c r="BC210">
        <v>56042305</v>
      </c>
      <c r="BD210" t="s">
        <v>12254</v>
      </c>
      <c r="BE210" t="s">
        <v>17841</v>
      </c>
      <c r="BG210" t="s">
        <v>17841</v>
      </c>
      <c r="BH210" t="s">
        <v>17841</v>
      </c>
      <c r="BI210" t="s">
        <v>17841</v>
      </c>
      <c r="BJ210" t="s">
        <v>17841</v>
      </c>
      <c r="BK210" t="s">
        <v>17841</v>
      </c>
      <c r="BL210" t="s">
        <v>17841</v>
      </c>
      <c r="BM210" t="s">
        <v>17841</v>
      </c>
      <c r="BN210" t="s">
        <v>17841</v>
      </c>
      <c r="BO210" t="s">
        <v>17841</v>
      </c>
      <c r="BP210" t="s">
        <v>17841</v>
      </c>
      <c r="BQ210" t="s">
        <v>17841</v>
      </c>
      <c r="BR210" t="s">
        <v>17841</v>
      </c>
      <c r="BS210" t="s">
        <v>17841</v>
      </c>
      <c r="BT210" t="s">
        <v>17841</v>
      </c>
      <c r="BU210" t="s">
        <v>17841</v>
      </c>
      <c r="BV210" t="s">
        <v>17841</v>
      </c>
      <c r="BW210" t="s">
        <v>17841</v>
      </c>
      <c r="BX210" t="s">
        <v>17841</v>
      </c>
      <c r="BY210" t="s">
        <v>17841</v>
      </c>
      <c r="BZ210" t="s">
        <v>17841</v>
      </c>
      <c r="CA210" t="s">
        <v>17841</v>
      </c>
      <c r="CB210" t="s">
        <v>17841</v>
      </c>
      <c r="CC210" t="s">
        <v>17841</v>
      </c>
      <c r="CD210" t="s">
        <v>17841</v>
      </c>
      <c r="CE210" t="s">
        <v>17841</v>
      </c>
      <c r="CF210" t="s">
        <v>17841</v>
      </c>
      <c r="CG210" t="s">
        <v>17841</v>
      </c>
      <c r="CH210" t="s">
        <v>17841</v>
      </c>
      <c r="CI210" t="s">
        <v>17841</v>
      </c>
      <c r="CJ210" t="s">
        <v>17841</v>
      </c>
      <c r="CK210" t="s">
        <v>17841</v>
      </c>
      <c r="CL210" t="s">
        <v>17841</v>
      </c>
      <c r="CM210">
        <v>-99</v>
      </c>
      <c r="CN210">
        <v>-99</v>
      </c>
      <c r="CO210" t="s">
        <v>12402</v>
      </c>
      <c r="CP210" t="s">
        <v>12403</v>
      </c>
      <c r="CQ210" t="s">
        <v>12404</v>
      </c>
      <c r="CR210" t="s">
        <v>12405</v>
      </c>
      <c r="CS210">
        <v>9</v>
      </c>
      <c r="CT210">
        <v>12</v>
      </c>
      <c r="CU210">
        <v>6</v>
      </c>
      <c r="CV210">
        <v>4</v>
      </c>
      <c r="CW210">
        <v>-99</v>
      </c>
      <c r="CX210">
        <v>0</v>
      </c>
      <c r="CY210">
        <v>5</v>
      </c>
      <c r="CZ210">
        <v>10</v>
      </c>
      <c r="DA210">
        <v>-63.049399000000001</v>
      </c>
      <c r="DB210">
        <v>18.081302000000001</v>
      </c>
      <c r="DC210">
        <v>1159320639</v>
      </c>
      <c r="DD210" t="s">
        <v>17847</v>
      </c>
      <c r="DE210" t="s">
        <v>17848</v>
      </c>
      <c r="DF210" t="s">
        <v>17849</v>
      </c>
      <c r="DG210" t="s">
        <v>17842</v>
      </c>
      <c r="DH210" t="s">
        <v>17840</v>
      </c>
      <c r="DI210" t="s">
        <v>17850</v>
      </c>
      <c r="DJ210" t="s">
        <v>17851</v>
      </c>
      <c r="DK210" t="s">
        <v>17842</v>
      </c>
      <c r="DL210" t="s">
        <v>17852</v>
      </c>
      <c r="DM210" t="s">
        <v>17853</v>
      </c>
      <c r="DN210" t="s">
        <v>17854</v>
      </c>
      <c r="DO210" t="s">
        <v>17842</v>
      </c>
      <c r="DP210" t="s">
        <v>17840</v>
      </c>
      <c r="DQ210" t="s">
        <v>17842</v>
      </c>
      <c r="DR210" t="s">
        <v>17855</v>
      </c>
      <c r="DS210" t="s">
        <v>17856</v>
      </c>
      <c r="DT210" t="s">
        <v>17857</v>
      </c>
      <c r="DU210" t="s">
        <v>17842</v>
      </c>
      <c r="DV210" t="s">
        <v>17858</v>
      </c>
      <c r="DW210" t="s">
        <v>17859</v>
      </c>
      <c r="DX210" t="s">
        <v>17840</v>
      </c>
      <c r="DY210" t="s">
        <v>17840</v>
      </c>
      <c r="DZ210" t="s">
        <v>17859</v>
      </c>
      <c r="EA210" t="s">
        <v>17860</v>
      </c>
      <c r="EB210" t="s">
        <v>17842</v>
      </c>
      <c r="EC210" t="s">
        <v>17861</v>
      </c>
      <c r="ED210" t="s">
        <v>17862</v>
      </c>
      <c r="EE210" t="s">
        <v>12397</v>
      </c>
      <c r="EG210" t="s">
        <v>12397</v>
      </c>
    </row>
    <row r="211" spans="1:168" x14ac:dyDescent="0.25">
      <c r="A211" t="s">
        <v>1232</v>
      </c>
      <c r="B211" t="s">
        <v>12247</v>
      </c>
      <c r="C211">
        <v>3</v>
      </c>
      <c r="D211">
        <v>4</v>
      </c>
      <c r="E211" t="s">
        <v>58</v>
      </c>
      <c r="F211" t="s">
        <v>13674</v>
      </c>
      <c r="G211">
        <v>1</v>
      </c>
      <c r="H211">
        <v>2</v>
      </c>
      <c r="I211" t="s">
        <v>12480</v>
      </c>
      <c r="J211">
        <v>1</v>
      </c>
      <c r="K211" t="s">
        <v>1232</v>
      </c>
      <c r="L211" t="s">
        <v>17863</v>
      </c>
      <c r="M211">
        <v>0</v>
      </c>
      <c r="N211" t="s">
        <v>1232</v>
      </c>
      <c r="O211" t="s">
        <v>17863</v>
      </c>
      <c r="P211">
        <v>0</v>
      </c>
      <c r="Q211" t="s">
        <v>1232</v>
      </c>
      <c r="R211" t="s">
        <v>17863</v>
      </c>
      <c r="S211">
        <v>0</v>
      </c>
      <c r="T211" t="s">
        <v>1232</v>
      </c>
      <c r="U211" t="s">
        <v>17863</v>
      </c>
      <c r="V211" t="s">
        <v>17864</v>
      </c>
      <c r="X211" t="s">
        <v>17865</v>
      </c>
      <c r="Y211" t="s">
        <v>1794</v>
      </c>
      <c r="Z211" t="s">
        <v>1232</v>
      </c>
      <c r="AB211" t="s">
        <v>1232</v>
      </c>
      <c r="AC211" t="s">
        <v>13679</v>
      </c>
      <c r="AE211" t="s">
        <v>17864</v>
      </c>
      <c r="AG211">
        <v>7</v>
      </c>
      <c r="AH211">
        <v>5</v>
      </c>
      <c r="AI211">
        <v>9</v>
      </c>
      <c r="AJ211">
        <v>11</v>
      </c>
      <c r="AK211">
        <v>5997</v>
      </c>
      <c r="AL211">
        <v>5</v>
      </c>
      <c r="AM211">
        <v>2017</v>
      </c>
      <c r="AN211">
        <v>215</v>
      </c>
      <c r="AO211">
        <v>2016</v>
      </c>
      <c r="AP211" t="s">
        <v>12334</v>
      </c>
      <c r="AQ211" t="s">
        <v>12305</v>
      </c>
      <c r="AR211" t="s">
        <v>1838</v>
      </c>
      <c r="AS211" t="s">
        <v>1794</v>
      </c>
      <c r="AT211" t="s">
        <v>1794</v>
      </c>
      <c r="AU211" t="s">
        <v>17863</v>
      </c>
      <c r="AV211" t="s">
        <v>17863</v>
      </c>
      <c r="AW211">
        <v>666</v>
      </c>
      <c r="AX211">
        <v>666</v>
      </c>
      <c r="AY211">
        <v>666</v>
      </c>
      <c r="AZ211">
        <v>-99</v>
      </c>
      <c r="BA211">
        <v>-99</v>
      </c>
      <c r="BB211">
        <v>23424939</v>
      </c>
      <c r="BC211">
        <v>23424939</v>
      </c>
      <c r="BD211" t="s">
        <v>12254</v>
      </c>
      <c r="BE211" t="s">
        <v>17863</v>
      </c>
      <c r="BG211" t="s">
        <v>17863</v>
      </c>
      <c r="BH211" t="s">
        <v>17863</v>
      </c>
      <c r="BI211" t="s">
        <v>17863</v>
      </c>
      <c r="BJ211" t="s">
        <v>17863</v>
      </c>
      <c r="BK211" t="s">
        <v>17863</v>
      </c>
      <c r="BL211" t="s">
        <v>17863</v>
      </c>
      <c r="BM211" t="s">
        <v>17863</v>
      </c>
      <c r="BN211" t="s">
        <v>17863</v>
      </c>
      <c r="BO211" t="s">
        <v>17863</v>
      </c>
      <c r="BP211" t="s">
        <v>17863</v>
      </c>
      <c r="BQ211" t="s">
        <v>17863</v>
      </c>
      <c r="BR211" t="s">
        <v>17863</v>
      </c>
      <c r="BS211" t="s">
        <v>17863</v>
      </c>
      <c r="BT211" t="s">
        <v>17863</v>
      </c>
      <c r="BU211" t="s">
        <v>17863</v>
      </c>
      <c r="BV211" t="s">
        <v>17863</v>
      </c>
      <c r="BW211" t="s">
        <v>17863</v>
      </c>
      <c r="BX211" t="s">
        <v>17863</v>
      </c>
      <c r="BY211" t="s">
        <v>17863</v>
      </c>
      <c r="BZ211" t="s">
        <v>17863</v>
      </c>
      <c r="CA211" t="s">
        <v>17863</v>
      </c>
      <c r="CB211" t="s">
        <v>17863</v>
      </c>
      <c r="CC211" t="s">
        <v>17863</v>
      </c>
      <c r="CD211" t="s">
        <v>17863</v>
      </c>
      <c r="CE211" t="s">
        <v>17863</v>
      </c>
      <c r="CF211" t="s">
        <v>17863</v>
      </c>
      <c r="CG211" t="s">
        <v>17863</v>
      </c>
      <c r="CH211" t="s">
        <v>17863</v>
      </c>
      <c r="CI211" t="s">
        <v>17863</v>
      </c>
      <c r="CJ211" t="s">
        <v>17863</v>
      </c>
      <c r="CK211" t="s">
        <v>17863</v>
      </c>
      <c r="CL211" t="s">
        <v>17863</v>
      </c>
      <c r="CM211">
        <v>-99</v>
      </c>
      <c r="CN211">
        <v>-99</v>
      </c>
      <c r="CO211" t="s">
        <v>12402</v>
      </c>
      <c r="CP211" t="s">
        <v>12403</v>
      </c>
      <c r="CQ211" t="s">
        <v>13178</v>
      </c>
      <c r="CR211" t="s">
        <v>12402</v>
      </c>
      <c r="CS211">
        <v>23</v>
      </c>
      <c r="CT211">
        <v>25</v>
      </c>
      <c r="CU211">
        <v>8</v>
      </c>
      <c r="CV211">
        <v>3</v>
      </c>
      <c r="CW211">
        <v>-99</v>
      </c>
      <c r="CX211">
        <v>0</v>
      </c>
      <c r="CY211">
        <v>5</v>
      </c>
      <c r="CZ211">
        <v>10</v>
      </c>
      <c r="DA211">
        <v>-56.332352</v>
      </c>
      <c r="DB211">
        <v>47.040343999999997</v>
      </c>
      <c r="DC211">
        <v>1159320647</v>
      </c>
      <c r="DD211" t="s">
        <v>17866</v>
      </c>
      <c r="DE211" t="s">
        <v>17867</v>
      </c>
      <c r="DF211" t="s">
        <v>17868</v>
      </c>
      <c r="DG211" t="s">
        <v>17869</v>
      </c>
      <c r="DH211" t="s">
        <v>1232</v>
      </c>
      <c r="DI211" t="s">
        <v>17870</v>
      </c>
      <c r="DJ211" t="s">
        <v>17871</v>
      </c>
      <c r="DK211" t="s">
        <v>4996</v>
      </c>
      <c r="DL211" t="s">
        <v>17872</v>
      </c>
      <c r="DM211" t="s">
        <v>17873</v>
      </c>
      <c r="DN211" t="s">
        <v>17874</v>
      </c>
      <c r="DO211" t="s">
        <v>17875</v>
      </c>
      <c r="DP211" t="s">
        <v>17876</v>
      </c>
      <c r="DQ211" t="s">
        <v>17877</v>
      </c>
      <c r="DR211" t="s">
        <v>17878</v>
      </c>
      <c r="DS211" t="s">
        <v>17879</v>
      </c>
      <c r="DT211" t="s">
        <v>17880</v>
      </c>
      <c r="DU211" t="s">
        <v>17881</v>
      </c>
      <c r="DV211" t="s">
        <v>17877</v>
      </c>
      <c r="DW211" t="s">
        <v>17882</v>
      </c>
      <c r="DX211" t="s">
        <v>17883</v>
      </c>
      <c r="DY211" t="s">
        <v>17884</v>
      </c>
      <c r="DZ211" t="s">
        <v>17885</v>
      </c>
      <c r="EA211" t="s">
        <v>17886</v>
      </c>
      <c r="EB211" t="s">
        <v>17887</v>
      </c>
      <c r="EC211" t="s">
        <v>17888</v>
      </c>
      <c r="ED211" t="s">
        <v>17889</v>
      </c>
      <c r="EE211" t="s">
        <v>12397</v>
      </c>
      <c r="EG211" t="s">
        <v>12397</v>
      </c>
    </row>
    <row r="212" spans="1:168" x14ac:dyDescent="0.25">
      <c r="A212" t="s">
        <v>145</v>
      </c>
      <c r="B212" t="s">
        <v>12247</v>
      </c>
      <c r="C212">
        <v>3</v>
      </c>
      <c r="D212">
        <v>6</v>
      </c>
      <c r="E212" t="s">
        <v>145</v>
      </c>
      <c r="F212" t="s">
        <v>16507</v>
      </c>
      <c r="G212">
        <v>0</v>
      </c>
      <c r="H212">
        <v>2</v>
      </c>
      <c r="I212" t="s">
        <v>12249</v>
      </c>
      <c r="J212">
        <v>1</v>
      </c>
      <c r="K212" t="s">
        <v>145</v>
      </c>
      <c r="L212" t="s">
        <v>16507</v>
      </c>
      <c r="M212">
        <v>0</v>
      </c>
      <c r="N212" t="s">
        <v>145</v>
      </c>
      <c r="O212" t="s">
        <v>16507</v>
      </c>
      <c r="P212">
        <v>0</v>
      </c>
      <c r="Q212" t="s">
        <v>145</v>
      </c>
      <c r="R212" t="s">
        <v>16507</v>
      </c>
      <c r="S212">
        <v>0</v>
      </c>
      <c r="T212" t="s">
        <v>145</v>
      </c>
      <c r="U212" t="s">
        <v>16507</v>
      </c>
      <c r="V212" t="s">
        <v>16508</v>
      </c>
      <c r="X212" t="s">
        <v>16509</v>
      </c>
      <c r="Y212" t="s">
        <v>1960</v>
      </c>
      <c r="Z212" t="s">
        <v>145</v>
      </c>
      <c r="AB212" t="s">
        <v>145</v>
      </c>
      <c r="AE212" t="s">
        <v>16510</v>
      </c>
      <c r="AG212">
        <v>1</v>
      </c>
      <c r="AH212">
        <v>1</v>
      </c>
      <c r="AI212">
        <v>5</v>
      </c>
      <c r="AJ212">
        <v>7</v>
      </c>
      <c r="AK212">
        <v>110589</v>
      </c>
      <c r="AL212">
        <v>9</v>
      </c>
      <c r="AM212">
        <v>2019</v>
      </c>
      <c r="AN212">
        <v>824</v>
      </c>
      <c r="AO212">
        <v>2019</v>
      </c>
      <c r="AP212" t="s">
        <v>12277</v>
      </c>
      <c r="AQ212" t="s">
        <v>12305</v>
      </c>
      <c r="AR212" t="s">
        <v>1960</v>
      </c>
      <c r="AS212" t="s">
        <v>1960</v>
      </c>
      <c r="AT212" t="s">
        <v>1960</v>
      </c>
      <c r="AU212" t="s">
        <v>16507</v>
      </c>
      <c r="AV212" t="s">
        <v>16507</v>
      </c>
      <c r="AW212">
        <v>670</v>
      </c>
      <c r="AX212">
        <v>670</v>
      </c>
      <c r="AY212">
        <v>670</v>
      </c>
      <c r="AZ212" t="s">
        <v>1960</v>
      </c>
      <c r="BA212" t="s">
        <v>16507</v>
      </c>
      <c r="BB212">
        <v>23424981</v>
      </c>
      <c r="BC212">
        <v>23424981</v>
      </c>
      <c r="BD212" t="s">
        <v>12254</v>
      </c>
      <c r="BE212" t="s">
        <v>16507</v>
      </c>
      <c r="BG212" t="s">
        <v>16507</v>
      </c>
      <c r="BH212" t="s">
        <v>16507</v>
      </c>
      <c r="BI212" t="s">
        <v>16507</v>
      </c>
      <c r="BJ212" t="s">
        <v>16507</v>
      </c>
      <c r="BK212" t="s">
        <v>16507</v>
      </c>
      <c r="BL212" t="s">
        <v>16507</v>
      </c>
      <c r="BM212" t="s">
        <v>16507</v>
      </c>
      <c r="BN212" t="s">
        <v>16507</v>
      </c>
      <c r="BO212" t="s">
        <v>16507</v>
      </c>
      <c r="BP212" t="s">
        <v>16507</v>
      </c>
      <c r="BQ212" t="s">
        <v>16507</v>
      </c>
      <c r="BR212" t="s">
        <v>16507</v>
      </c>
      <c r="BS212" t="s">
        <v>16507</v>
      </c>
      <c r="BT212" t="s">
        <v>16507</v>
      </c>
      <c r="BU212" t="s">
        <v>16507</v>
      </c>
      <c r="BV212" t="s">
        <v>16507</v>
      </c>
      <c r="BW212" t="s">
        <v>16507</v>
      </c>
      <c r="BX212" t="s">
        <v>16507</v>
      </c>
      <c r="BY212" t="s">
        <v>16507</v>
      </c>
      <c r="BZ212" t="s">
        <v>16507</v>
      </c>
      <c r="CA212" t="s">
        <v>16507</v>
      </c>
      <c r="CB212" t="s">
        <v>16507</v>
      </c>
      <c r="CC212" t="s">
        <v>16507</v>
      </c>
      <c r="CD212" t="s">
        <v>16507</v>
      </c>
      <c r="CE212" t="s">
        <v>16507</v>
      </c>
      <c r="CF212" t="s">
        <v>16507</v>
      </c>
      <c r="CG212" t="s">
        <v>16507</v>
      </c>
      <c r="CH212" t="s">
        <v>16507</v>
      </c>
      <c r="CI212" t="s">
        <v>16507</v>
      </c>
      <c r="CJ212" t="s">
        <v>16507</v>
      </c>
      <c r="CK212" t="s">
        <v>16507</v>
      </c>
      <c r="CL212" t="s">
        <v>16507</v>
      </c>
      <c r="CM212">
        <v>-99</v>
      </c>
      <c r="CN212">
        <v>-99</v>
      </c>
      <c r="CO212" t="s">
        <v>12402</v>
      </c>
      <c r="CP212" t="s">
        <v>12403</v>
      </c>
      <c r="CQ212" t="s">
        <v>12404</v>
      </c>
      <c r="CR212" t="s">
        <v>12405</v>
      </c>
      <c r="CS212">
        <v>18</v>
      </c>
      <c r="CT212">
        <v>32</v>
      </c>
      <c r="CU212">
        <v>7</v>
      </c>
      <c r="CV212">
        <v>-99</v>
      </c>
      <c r="CW212">
        <v>1</v>
      </c>
      <c r="CX212">
        <v>0</v>
      </c>
      <c r="CY212">
        <v>5</v>
      </c>
      <c r="CZ212">
        <v>10</v>
      </c>
      <c r="DA212">
        <v>-61.335900000000002</v>
      </c>
      <c r="DB212">
        <v>13.087899999999999</v>
      </c>
      <c r="DC212">
        <v>1159321409</v>
      </c>
      <c r="DD212" t="s">
        <v>16511</v>
      </c>
      <c r="DE212" t="s">
        <v>16512</v>
      </c>
      <c r="DF212" t="s">
        <v>16513</v>
      </c>
      <c r="DG212" t="s">
        <v>16514</v>
      </c>
      <c r="DH212" t="s">
        <v>145</v>
      </c>
      <c r="DI212" t="s">
        <v>16515</v>
      </c>
      <c r="DJ212" t="s">
        <v>16516</v>
      </c>
      <c r="DK212" t="s">
        <v>16517</v>
      </c>
      <c r="DL212" t="s">
        <v>16518</v>
      </c>
      <c r="DM212" t="s">
        <v>16519</v>
      </c>
      <c r="DN212" t="s">
        <v>16520</v>
      </c>
      <c r="DO212" t="s">
        <v>16521</v>
      </c>
      <c r="DP212" t="s">
        <v>16522</v>
      </c>
      <c r="DQ212" t="s">
        <v>16523</v>
      </c>
      <c r="DR212" t="s">
        <v>16524</v>
      </c>
      <c r="DS212" t="s">
        <v>16525</v>
      </c>
      <c r="DT212" t="s">
        <v>16526</v>
      </c>
      <c r="DU212" t="s">
        <v>16527</v>
      </c>
      <c r="DV212" t="s">
        <v>16528</v>
      </c>
      <c r="DW212" t="s">
        <v>16529</v>
      </c>
      <c r="DX212" t="s">
        <v>16530</v>
      </c>
      <c r="DY212" t="s">
        <v>16531</v>
      </c>
      <c r="DZ212" t="s">
        <v>16532</v>
      </c>
      <c r="EA212" t="s">
        <v>16533</v>
      </c>
      <c r="EB212" t="s">
        <v>16534</v>
      </c>
      <c r="EC212" t="s">
        <v>16535</v>
      </c>
      <c r="ED212" t="s">
        <v>16536</v>
      </c>
      <c r="EE212" t="s">
        <v>12397</v>
      </c>
      <c r="EG212" t="s">
        <v>12397</v>
      </c>
    </row>
    <row r="213" spans="1:168" x14ac:dyDescent="0.25">
      <c r="A213" t="s">
        <v>18854</v>
      </c>
      <c r="B213" t="s">
        <v>12247</v>
      </c>
      <c r="C213">
        <v>6</v>
      </c>
      <c r="D213">
        <v>6</v>
      </c>
      <c r="E213" t="s">
        <v>58</v>
      </c>
      <c r="F213" t="s">
        <v>13674</v>
      </c>
      <c r="G213">
        <v>1</v>
      </c>
      <c r="H213">
        <v>2</v>
      </c>
      <c r="I213" t="s">
        <v>12480</v>
      </c>
      <c r="J213">
        <v>1</v>
      </c>
      <c r="K213" t="s">
        <v>1230</v>
      </c>
      <c r="L213" t="s">
        <v>17792</v>
      </c>
      <c r="M213">
        <v>0</v>
      </c>
      <c r="N213" t="s">
        <v>1230</v>
      </c>
      <c r="O213" t="s">
        <v>17792</v>
      </c>
      <c r="P213">
        <v>0</v>
      </c>
      <c r="Q213" t="s">
        <v>1230</v>
      </c>
      <c r="R213" t="s">
        <v>17792</v>
      </c>
      <c r="S213">
        <v>0</v>
      </c>
      <c r="T213" t="s">
        <v>17794</v>
      </c>
      <c r="U213" t="s">
        <v>17792</v>
      </c>
      <c r="V213" t="s">
        <v>17793</v>
      </c>
      <c r="X213" t="s">
        <v>17795</v>
      </c>
      <c r="Y213" t="s">
        <v>1323</v>
      </c>
      <c r="Z213" t="s">
        <v>17794</v>
      </c>
      <c r="AB213" t="s">
        <v>1230</v>
      </c>
      <c r="AC213" t="s">
        <v>13679</v>
      </c>
      <c r="AE213" t="s">
        <v>17793</v>
      </c>
      <c r="AG213">
        <v>7</v>
      </c>
      <c r="AH213">
        <v>5</v>
      </c>
      <c r="AI213">
        <v>9</v>
      </c>
      <c r="AJ213">
        <v>11</v>
      </c>
      <c r="AK213">
        <v>9961</v>
      </c>
      <c r="AL213">
        <v>5</v>
      </c>
      <c r="AM213">
        <v>2017</v>
      </c>
      <c r="AN213">
        <v>255</v>
      </c>
      <c r="AO213">
        <v>2016</v>
      </c>
      <c r="AP213" t="s">
        <v>12334</v>
      </c>
      <c r="AQ213" t="s">
        <v>12513</v>
      </c>
      <c r="AR213" t="s">
        <v>17796</v>
      </c>
      <c r="AS213" t="s">
        <v>1323</v>
      </c>
      <c r="AT213" t="s">
        <v>1323</v>
      </c>
      <c r="AU213" t="s">
        <v>17792</v>
      </c>
      <c r="AV213" t="s">
        <v>17792</v>
      </c>
      <c r="AW213">
        <v>652</v>
      </c>
      <c r="AX213">
        <v>652</v>
      </c>
      <c r="AY213">
        <v>652</v>
      </c>
      <c r="AZ213">
        <v>-99</v>
      </c>
      <c r="BA213">
        <v>-99</v>
      </c>
      <c r="BB213">
        <v>56042304</v>
      </c>
      <c r="BC213">
        <v>56042304</v>
      </c>
      <c r="BD213" t="s">
        <v>12254</v>
      </c>
      <c r="BE213" t="s">
        <v>17792</v>
      </c>
      <c r="BG213" t="s">
        <v>17792</v>
      </c>
      <c r="BH213" t="s">
        <v>17792</v>
      </c>
      <c r="BI213" t="s">
        <v>17792</v>
      </c>
      <c r="BJ213" t="s">
        <v>17792</v>
      </c>
      <c r="BK213" t="s">
        <v>17792</v>
      </c>
      <c r="BL213" t="s">
        <v>17792</v>
      </c>
      <c r="BM213" t="s">
        <v>17792</v>
      </c>
      <c r="BN213" t="s">
        <v>17792</v>
      </c>
      <c r="BO213" t="s">
        <v>17792</v>
      </c>
      <c r="BP213" t="s">
        <v>17792</v>
      </c>
      <c r="BQ213" t="s">
        <v>17792</v>
      </c>
      <c r="BR213" t="s">
        <v>17792</v>
      </c>
      <c r="BS213" t="s">
        <v>17792</v>
      </c>
      <c r="BT213" t="s">
        <v>17792</v>
      </c>
      <c r="BU213" t="s">
        <v>17792</v>
      </c>
      <c r="BV213" t="s">
        <v>17792</v>
      </c>
      <c r="BW213" t="s">
        <v>17792</v>
      </c>
      <c r="BX213" t="s">
        <v>17792</v>
      </c>
      <c r="BY213" t="s">
        <v>17792</v>
      </c>
      <c r="BZ213" t="s">
        <v>17792</v>
      </c>
      <c r="CA213" t="s">
        <v>17792</v>
      </c>
      <c r="CB213" t="s">
        <v>17792</v>
      </c>
      <c r="CC213" t="s">
        <v>17792</v>
      </c>
      <c r="CD213" t="s">
        <v>17792</v>
      </c>
      <c r="CE213" t="s">
        <v>17792</v>
      </c>
      <c r="CF213" t="s">
        <v>17792</v>
      </c>
      <c r="CG213" t="s">
        <v>17792</v>
      </c>
      <c r="CH213" t="s">
        <v>17792</v>
      </c>
      <c r="CI213" t="s">
        <v>17792</v>
      </c>
      <c r="CJ213" t="s">
        <v>17792</v>
      </c>
      <c r="CK213" t="s">
        <v>17792</v>
      </c>
      <c r="CL213" t="s">
        <v>17792</v>
      </c>
      <c r="CM213">
        <v>-99</v>
      </c>
      <c r="CN213">
        <v>-99</v>
      </c>
      <c r="CO213" t="s">
        <v>12402</v>
      </c>
      <c r="CP213" t="s">
        <v>12403</v>
      </c>
      <c r="CQ213" t="s">
        <v>12404</v>
      </c>
      <c r="CR213" t="s">
        <v>12405</v>
      </c>
      <c r="CS213">
        <v>13</v>
      </c>
      <c r="CT213">
        <v>16</v>
      </c>
      <c r="CU213">
        <v>6</v>
      </c>
      <c r="CV213">
        <v>4</v>
      </c>
      <c r="CW213">
        <v>-99</v>
      </c>
      <c r="CX213">
        <v>0</v>
      </c>
      <c r="CY213">
        <v>5.7</v>
      </c>
      <c r="CZ213">
        <v>10</v>
      </c>
      <c r="DA213">
        <v>-62.833193000000001</v>
      </c>
      <c r="DB213">
        <v>17.901986999999998</v>
      </c>
      <c r="DC213">
        <v>1159320633</v>
      </c>
      <c r="DD213" t="s">
        <v>17797</v>
      </c>
      <c r="DE213" t="s">
        <v>17798</v>
      </c>
      <c r="DF213" t="s">
        <v>17799</v>
      </c>
      <c r="DG213" t="s">
        <v>17794</v>
      </c>
      <c r="DH213" t="s">
        <v>17800</v>
      </c>
      <c r="DI213" t="s">
        <v>17801</v>
      </c>
      <c r="DJ213" t="s">
        <v>17802</v>
      </c>
      <c r="DK213" t="s">
        <v>17794</v>
      </c>
      <c r="DL213" t="s">
        <v>17803</v>
      </c>
      <c r="DM213" t="s">
        <v>17804</v>
      </c>
      <c r="DN213" t="s">
        <v>17805</v>
      </c>
      <c r="DO213" t="s">
        <v>17794</v>
      </c>
      <c r="DP213" t="s">
        <v>17794</v>
      </c>
      <c r="DQ213" t="s">
        <v>17794</v>
      </c>
      <c r="DR213" t="s">
        <v>17806</v>
      </c>
      <c r="DS213" t="s">
        <v>17807</v>
      </c>
      <c r="DT213" t="s">
        <v>17794</v>
      </c>
      <c r="DU213" t="s">
        <v>17794</v>
      </c>
      <c r="DV213" t="s">
        <v>17808</v>
      </c>
      <c r="DW213" t="s">
        <v>17809</v>
      </c>
      <c r="DX213" t="s">
        <v>17794</v>
      </c>
      <c r="DY213" t="s">
        <v>17800</v>
      </c>
      <c r="DZ213" t="s">
        <v>17810</v>
      </c>
      <c r="EA213" t="s">
        <v>17811</v>
      </c>
      <c r="EB213" t="s">
        <v>17794</v>
      </c>
      <c r="EC213" t="s">
        <v>17812</v>
      </c>
      <c r="ED213" t="s">
        <v>17813</v>
      </c>
      <c r="EE213" t="s">
        <v>12397</v>
      </c>
      <c r="EG213" t="s">
        <v>12397</v>
      </c>
    </row>
    <row r="214" spans="1:168" x14ac:dyDescent="0.25">
      <c r="A214" t="s">
        <v>146</v>
      </c>
      <c r="B214" t="s">
        <v>12247</v>
      </c>
      <c r="C214">
        <v>3</v>
      </c>
      <c r="D214">
        <v>4</v>
      </c>
      <c r="E214" t="s">
        <v>146</v>
      </c>
      <c r="F214" t="s">
        <v>16537</v>
      </c>
      <c r="G214">
        <v>0</v>
      </c>
      <c r="H214">
        <v>2</v>
      </c>
      <c r="I214" t="s">
        <v>12249</v>
      </c>
      <c r="J214">
        <v>1</v>
      </c>
      <c r="K214" t="s">
        <v>146</v>
      </c>
      <c r="L214" t="s">
        <v>16537</v>
      </c>
      <c r="M214">
        <v>0</v>
      </c>
      <c r="N214" t="s">
        <v>146</v>
      </c>
      <c r="O214" t="s">
        <v>16537</v>
      </c>
      <c r="P214">
        <v>0</v>
      </c>
      <c r="Q214" t="s">
        <v>146</v>
      </c>
      <c r="R214" t="s">
        <v>16537</v>
      </c>
      <c r="S214">
        <v>0</v>
      </c>
      <c r="T214" t="s">
        <v>146</v>
      </c>
      <c r="U214" t="s">
        <v>16537</v>
      </c>
      <c r="V214" t="s">
        <v>146</v>
      </c>
      <c r="X214" t="s">
        <v>146</v>
      </c>
      <c r="Y214" t="s">
        <v>1981</v>
      </c>
      <c r="Z214" t="s">
        <v>16538</v>
      </c>
      <c r="AB214" t="s">
        <v>146</v>
      </c>
      <c r="AE214" t="s">
        <v>146</v>
      </c>
      <c r="AG214">
        <v>3</v>
      </c>
      <c r="AH214">
        <v>3</v>
      </c>
      <c r="AI214">
        <v>4</v>
      </c>
      <c r="AJ214">
        <v>6</v>
      </c>
      <c r="AK214">
        <v>197097</v>
      </c>
      <c r="AL214">
        <v>9</v>
      </c>
      <c r="AM214">
        <v>2019</v>
      </c>
      <c r="AN214">
        <v>852</v>
      </c>
      <c r="AO214">
        <v>2019</v>
      </c>
      <c r="AP214" t="s">
        <v>12252</v>
      </c>
      <c r="AQ214" t="s">
        <v>12278</v>
      </c>
      <c r="AR214" t="s">
        <v>1981</v>
      </c>
      <c r="AS214" t="s">
        <v>1981</v>
      </c>
      <c r="AT214" t="s">
        <v>1981</v>
      </c>
      <c r="AU214" t="s">
        <v>16537</v>
      </c>
      <c r="AV214" t="s">
        <v>16537</v>
      </c>
      <c r="AW214">
        <v>882</v>
      </c>
      <c r="AX214">
        <v>882</v>
      </c>
      <c r="AY214">
        <v>882</v>
      </c>
      <c r="AZ214" t="s">
        <v>1981</v>
      </c>
      <c r="BA214" t="s">
        <v>16537</v>
      </c>
      <c r="BB214">
        <v>23424992</v>
      </c>
      <c r="BC214">
        <v>23424992</v>
      </c>
      <c r="BD214" t="s">
        <v>12254</v>
      </c>
      <c r="BE214" t="s">
        <v>16537</v>
      </c>
      <c r="BG214" t="s">
        <v>16537</v>
      </c>
      <c r="BH214" t="s">
        <v>16537</v>
      </c>
      <c r="BI214" t="s">
        <v>16537</v>
      </c>
      <c r="BJ214" t="s">
        <v>16537</v>
      </c>
      <c r="BK214" t="s">
        <v>16537</v>
      </c>
      <c r="BL214" t="s">
        <v>16537</v>
      </c>
      <c r="BM214" t="s">
        <v>16537</v>
      </c>
      <c r="BN214" t="s">
        <v>16537</v>
      </c>
      <c r="BO214" t="s">
        <v>16537</v>
      </c>
      <c r="BP214" t="s">
        <v>16537</v>
      </c>
      <c r="BQ214" t="s">
        <v>16537</v>
      </c>
      <c r="BR214" t="s">
        <v>16537</v>
      </c>
      <c r="BS214" t="s">
        <v>16537</v>
      </c>
      <c r="BT214" t="s">
        <v>16537</v>
      </c>
      <c r="BU214" t="s">
        <v>16537</v>
      </c>
      <c r="BV214" t="s">
        <v>16537</v>
      </c>
      <c r="BW214" t="s">
        <v>16537</v>
      </c>
      <c r="BX214" t="s">
        <v>16537</v>
      </c>
      <c r="BY214" t="s">
        <v>16537</v>
      </c>
      <c r="BZ214" t="s">
        <v>16537</v>
      </c>
      <c r="CA214" t="s">
        <v>16537</v>
      </c>
      <c r="CB214" t="s">
        <v>16537</v>
      </c>
      <c r="CC214" t="s">
        <v>16537</v>
      </c>
      <c r="CD214" t="s">
        <v>16537</v>
      </c>
      <c r="CE214" t="s">
        <v>16537</v>
      </c>
      <c r="CF214" t="s">
        <v>16537</v>
      </c>
      <c r="CG214" t="s">
        <v>16537</v>
      </c>
      <c r="CH214" t="s">
        <v>16537</v>
      </c>
      <c r="CI214" t="s">
        <v>16537</v>
      </c>
      <c r="CJ214" t="s">
        <v>16537</v>
      </c>
      <c r="CK214" t="s">
        <v>16537</v>
      </c>
      <c r="CL214" t="s">
        <v>16537</v>
      </c>
      <c r="CM214">
        <v>-99</v>
      </c>
      <c r="CN214">
        <v>-99</v>
      </c>
      <c r="CO214" t="s">
        <v>12537</v>
      </c>
      <c r="CP214" t="s">
        <v>12537</v>
      </c>
      <c r="CQ214" t="s">
        <v>12538</v>
      </c>
      <c r="CR214" t="s">
        <v>12539</v>
      </c>
      <c r="CS214">
        <v>5</v>
      </c>
      <c r="CT214">
        <v>5</v>
      </c>
      <c r="CU214">
        <v>5</v>
      </c>
      <c r="CV214">
        <v>-99</v>
      </c>
      <c r="CW214">
        <v>1</v>
      </c>
      <c r="CX214">
        <v>0</v>
      </c>
      <c r="CY214">
        <v>3</v>
      </c>
      <c r="CZ214">
        <v>8</v>
      </c>
      <c r="DA214">
        <v>-172.438241</v>
      </c>
      <c r="DB214">
        <v>-13.639139</v>
      </c>
      <c r="DC214">
        <v>1159321423</v>
      </c>
      <c r="DD214" t="s">
        <v>16539</v>
      </c>
      <c r="DE214" t="s">
        <v>16540</v>
      </c>
      <c r="DF214" t="s">
        <v>16541</v>
      </c>
      <c r="DG214" t="s">
        <v>146</v>
      </c>
      <c r="DH214" t="s">
        <v>146</v>
      </c>
      <c r="DI214" t="s">
        <v>146</v>
      </c>
      <c r="DJ214" t="s">
        <v>16542</v>
      </c>
      <c r="DK214" t="s">
        <v>146</v>
      </c>
      <c r="DL214" t="s">
        <v>16543</v>
      </c>
      <c r="DM214" t="s">
        <v>16544</v>
      </c>
      <c r="DN214" t="s">
        <v>16545</v>
      </c>
      <c r="DO214" t="s">
        <v>16546</v>
      </c>
      <c r="DP214" t="s">
        <v>146</v>
      </c>
      <c r="DQ214" t="s">
        <v>146</v>
      </c>
      <c r="DR214" t="s">
        <v>16547</v>
      </c>
      <c r="DS214" t="s">
        <v>16548</v>
      </c>
      <c r="DT214" t="s">
        <v>146</v>
      </c>
      <c r="DU214" t="s">
        <v>146</v>
      </c>
      <c r="DV214" t="s">
        <v>146</v>
      </c>
      <c r="DW214" t="s">
        <v>16549</v>
      </c>
      <c r="DX214" t="s">
        <v>146</v>
      </c>
      <c r="DY214" t="s">
        <v>146</v>
      </c>
      <c r="DZ214" t="s">
        <v>16549</v>
      </c>
      <c r="EA214" t="s">
        <v>16550</v>
      </c>
      <c r="EB214" t="s">
        <v>146</v>
      </c>
      <c r="EC214" t="s">
        <v>16551</v>
      </c>
      <c r="ED214" t="s">
        <v>16552</v>
      </c>
      <c r="EE214" t="s">
        <v>12247</v>
      </c>
      <c r="EG214" t="s">
        <v>12247</v>
      </c>
    </row>
    <row r="215" spans="1:168" x14ac:dyDescent="0.25">
      <c r="A215" t="s">
        <v>147</v>
      </c>
      <c r="B215" t="s">
        <v>12247</v>
      </c>
      <c r="C215">
        <v>0</v>
      </c>
      <c r="D215">
        <v>6</v>
      </c>
      <c r="E215" t="s">
        <v>147</v>
      </c>
      <c r="F215" t="s">
        <v>16553</v>
      </c>
      <c r="G215">
        <v>0</v>
      </c>
      <c r="H215">
        <v>2</v>
      </c>
      <c r="I215" t="s">
        <v>12249</v>
      </c>
      <c r="J215">
        <v>1</v>
      </c>
      <c r="K215" t="s">
        <v>147</v>
      </c>
      <c r="L215" t="s">
        <v>16553</v>
      </c>
      <c r="M215">
        <v>0</v>
      </c>
      <c r="N215" t="s">
        <v>147</v>
      </c>
      <c r="O215" t="s">
        <v>16553</v>
      </c>
      <c r="P215">
        <v>0</v>
      </c>
      <c r="Q215" t="s">
        <v>147</v>
      </c>
      <c r="R215" t="s">
        <v>16553</v>
      </c>
      <c r="S215">
        <v>0</v>
      </c>
      <c r="T215" t="s">
        <v>147</v>
      </c>
      <c r="U215" t="s">
        <v>16553</v>
      </c>
      <c r="V215" t="s">
        <v>147</v>
      </c>
      <c r="X215" t="s">
        <v>16554</v>
      </c>
      <c r="Y215" t="s">
        <v>16555</v>
      </c>
      <c r="Z215" t="s">
        <v>16556</v>
      </c>
      <c r="AB215" t="s">
        <v>147</v>
      </c>
      <c r="AE215" t="s">
        <v>147</v>
      </c>
      <c r="AG215">
        <v>2</v>
      </c>
      <c r="AH215">
        <v>3</v>
      </c>
      <c r="AI215">
        <v>1</v>
      </c>
      <c r="AJ215">
        <v>6</v>
      </c>
      <c r="AK215">
        <v>33860</v>
      </c>
      <c r="AL215">
        <v>7</v>
      </c>
      <c r="AM215">
        <v>2019</v>
      </c>
      <c r="AN215">
        <v>1655</v>
      </c>
      <c r="AO215">
        <v>2018</v>
      </c>
      <c r="AP215" t="s">
        <v>12334</v>
      </c>
      <c r="AQ215" t="s">
        <v>12335</v>
      </c>
      <c r="AR215" t="s">
        <v>1865</v>
      </c>
      <c r="AS215" t="s">
        <v>1865</v>
      </c>
      <c r="AT215" t="s">
        <v>1865</v>
      </c>
      <c r="AU215" t="s">
        <v>16553</v>
      </c>
      <c r="AV215" t="s">
        <v>16553</v>
      </c>
      <c r="AW215">
        <v>674</v>
      </c>
      <c r="AX215">
        <v>674</v>
      </c>
      <c r="AY215">
        <v>674</v>
      </c>
      <c r="AZ215" t="s">
        <v>1865</v>
      </c>
      <c r="BA215" t="s">
        <v>16553</v>
      </c>
      <c r="BB215">
        <v>23424947</v>
      </c>
      <c r="BC215">
        <v>23424947</v>
      </c>
      <c r="BD215" t="s">
        <v>12254</v>
      </c>
      <c r="BE215" t="s">
        <v>16553</v>
      </c>
      <c r="BG215" t="s">
        <v>16553</v>
      </c>
      <c r="BH215" t="s">
        <v>16553</v>
      </c>
      <c r="BI215" t="s">
        <v>16553</v>
      </c>
      <c r="BJ215" t="s">
        <v>16553</v>
      </c>
      <c r="BK215" t="s">
        <v>16553</v>
      </c>
      <c r="BL215" t="s">
        <v>16553</v>
      </c>
      <c r="BM215" t="s">
        <v>16553</v>
      </c>
      <c r="BN215" t="s">
        <v>16553</v>
      </c>
      <c r="BO215" t="s">
        <v>16553</v>
      </c>
      <c r="BP215" t="s">
        <v>16553</v>
      </c>
      <c r="BQ215" t="s">
        <v>16553</v>
      </c>
      <c r="BR215" t="s">
        <v>16553</v>
      </c>
      <c r="BS215" t="s">
        <v>16553</v>
      </c>
      <c r="BT215" t="s">
        <v>16553</v>
      </c>
      <c r="BU215" t="s">
        <v>16553</v>
      </c>
      <c r="BV215" t="s">
        <v>16553</v>
      </c>
      <c r="BW215" t="s">
        <v>16553</v>
      </c>
      <c r="BX215" t="s">
        <v>16553</v>
      </c>
      <c r="BY215" t="s">
        <v>16553</v>
      </c>
      <c r="BZ215" t="s">
        <v>16553</v>
      </c>
      <c r="CA215" t="s">
        <v>16553</v>
      </c>
      <c r="CB215" t="s">
        <v>16553</v>
      </c>
      <c r="CC215" t="s">
        <v>16553</v>
      </c>
      <c r="CD215" t="s">
        <v>16553</v>
      </c>
      <c r="CE215" t="s">
        <v>16553</v>
      </c>
      <c r="CF215" t="s">
        <v>16553</v>
      </c>
      <c r="CG215" t="s">
        <v>16553</v>
      </c>
      <c r="CH215" t="s">
        <v>16553</v>
      </c>
      <c r="CI215" t="s">
        <v>16553</v>
      </c>
      <c r="CJ215" t="s">
        <v>16553</v>
      </c>
      <c r="CK215" t="s">
        <v>16553</v>
      </c>
      <c r="CL215" t="s">
        <v>16553</v>
      </c>
      <c r="CM215">
        <v>-99</v>
      </c>
      <c r="CN215">
        <v>-99</v>
      </c>
      <c r="CO215" t="s">
        <v>12279</v>
      </c>
      <c r="CP215" t="s">
        <v>12279</v>
      </c>
      <c r="CQ215" t="s">
        <v>12280</v>
      </c>
      <c r="CR215" t="s">
        <v>12281</v>
      </c>
      <c r="CS215">
        <v>10</v>
      </c>
      <c r="CT215">
        <v>10</v>
      </c>
      <c r="CU215">
        <v>4</v>
      </c>
      <c r="CV215">
        <v>5</v>
      </c>
      <c r="CW215">
        <v>1</v>
      </c>
      <c r="CX215">
        <v>0</v>
      </c>
      <c r="CY215">
        <v>5</v>
      </c>
      <c r="CZ215">
        <v>10</v>
      </c>
      <c r="DA215">
        <v>12.441205999999999</v>
      </c>
      <c r="DB215">
        <v>43.933915999999897</v>
      </c>
      <c r="DC215">
        <v>1159321255</v>
      </c>
      <c r="DD215" t="s">
        <v>16557</v>
      </c>
      <c r="DE215" t="s">
        <v>16558</v>
      </c>
      <c r="DF215" t="s">
        <v>16559</v>
      </c>
      <c r="DG215" t="s">
        <v>147</v>
      </c>
      <c r="DH215" t="s">
        <v>147</v>
      </c>
      <c r="DI215" t="s">
        <v>147</v>
      </c>
      <c r="DJ215" t="s">
        <v>16560</v>
      </c>
      <c r="DK215" t="s">
        <v>16561</v>
      </c>
      <c r="DL215" t="s">
        <v>16562</v>
      </c>
      <c r="DM215" t="s">
        <v>16563</v>
      </c>
      <c r="DN215" t="s">
        <v>16564</v>
      </c>
      <c r="DO215" t="s">
        <v>147</v>
      </c>
      <c r="DP215" t="s">
        <v>147</v>
      </c>
      <c r="DQ215" t="s">
        <v>147</v>
      </c>
      <c r="DR215" t="s">
        <v>16565</v>
      </c>
      <c r="DS215" t="s">
        <v>16566</v>
      </c>
      <c r="DT215" t="s">
        <v>147</v>
      </c>
      <c r="DU215" t="s">
        <v>147</v>
      </c>
      <c r="DV215" t="s">
        <v>147</v>
      </c>
      <c r="DW215" t="s">
        <v>16567</v>
      </c>
      <c r="DX215" t="s">
        <v>147</v>
      </c>
      <c r="DY215" t="s">
        <v>147</v>
      </c>
      <c r="DZ215" t="s">
        <v>16567</v>
      </c>
      <c r="EA215" t="s">
        <v>16560</v>
      </c>
      <c r="EB215" t="s">
        <v>147</v>
      </c>
      <c r="EC215" t="s">
        <v>16568</v>
      </c>
      <c r="ED215" t="s">
        <v>16569</v>
      </c>
      <c r="EE215" t="s">
        <v>12247</v>
      </c>
      <c r="EG215" t="s">
        <v>12247</v>
      </c>
    </row>
    <row r="216" spans="1:168" x14ac:dyDescent="0.25">
      <c r="A216" t="s">
        <v>149</v>
      </c>
      <c r="B216" t="s">
        <v>12247</v>
      </c>
      <c r="C216">
        <v>0</v>
      </c>
      <c r="D216">
        <v>2</v>
      </c>
      <c r="E216" t="s">
        <v>149</v>
      </c>
      <c r="F216" t="s">
        <v>16570</v>
      </c>
      <c r="G216">
        <v>0</v>
      </c>
      <c r="H216">
        <v>2</v>
      </c>
      <c r="I216" t="s">
        <v>12249</v>
      </c>
      <c r="J216">
        <v>1</v>
      </c>
      <c r="K216" t="s">
        <v>149</v>
      </c>
      <c r="L216" t="s">
        <v>16570</v>
      </c>
      <c r="M216">
        <v>0</v>
      </c>
      <c r="N216" t="s">
        <v>149</v>
      </c>
      <c r="O216" t="s">
        <v>16570</v>
      </c>
      <c r="P216">
        <v>0</v>
      </c>
      <c r="Q216" t="s">
        <v>149</v>
      </c>
      <c r="R216" t="s">
        <v>16570</v>
      </c>
      <c r="S216">
        <v>0</v>
      </c>
      <c r="T216" t="s">
        <v>149</v>
      </c>
      <c r="U216" t="s">
        <v>16570</v>
      </c>
      <c r="V216" t="s">
        <v>149</v>
      </c>
      <c r="X216" t="s">
        <v>16571</v>
      </c>
      <c r="Y216" t="s">
        <v>1835</v>
      </c>
      <c r="Z216" t="s">
        <v>16572</v>
      </c>
      <c r="AB216" t="s">
        <v>149</v>
      </c>
      <c r="AE216" t="s">
        <v>149</v>
      </c>
      <c r="AG216">
        <v>6</v>
      </c>
      <c r="AH216">
        <v>1</v>
      </c>
      <c r="AI216">
        <v>6</v>
      </c>
      <c r="AJ216">
        <v>7</v>
      </c>
      <c r="AK216">
        <v>34268528</v>
      </c>
      <c r="AL216">
        <v>15</v>
      </c>
      <c r="AM216">
        <v>2019</v>
      </c>
      <c r="AN216">
        <v>792966</v>
      </c>
      <c r="AO216">
        <v>2019</v>
      </c>
      <c r="AP216" t="s">
        <v>12334</v>
      </c>
      <c r="AQ216" t="s">
        <v>12335</v>
      </c>
      <c r="AR216" t="s">
        <v>1835</v>
      </c>
      <c r="AS216" t="s">
        <v>1835</v>
      </c>
      <c r="AT216" t="s">
        <v>1835</v>
      </c>
      <c r="AU216" t="s">
        <v>16570</v>
      </c>
      <c r="AV216" t="s">
        <v>16570</v>
      </c>
      <c r="AW216">
        <v>682</v>
      </c>
      <c r="AX216">
        <v>682</v>
      </c>
      <c r="AY216">
        <v>682</v>
      </c>
      <c r="AZ216" t="s">
        <v>1835</v>
      </c>
      <c r="BA216" t="s">
        <v>16570</v>
      </c>
      <c r="BB216">
        <v>23424938</v>
      </c>
      <c r="BC216">
        <v>23424938</v>
      </c>
      <c r="BD216" t="s">
        <v>12254</v>
      </c>
      <c r="BE216" t="s">
        <v>16570</v>
      </c>
      <c r="BG216" t="s">
        <v>16570</v>
      </c>
      <c r="BH216" t="s">
        <v>16570</v>
      </c>
      <c r="BI216" t="s">
        <v>16570</v>
      </c>
      <c r="BJ216" t="s">
        <v>16570</v>
      </c>
      <c r="BK216" t="s">
        <v>16570</v>
      </c>
      <c r="BL216" t="s">
        <v>16570</v>
      </c>
      <c r="BM216" t="s">
        <v>16570</v>
      </c>
      <c r="BN216" t="s">
        <v>16570</v>
      </c>
      <c r="BO216" t="s">
        <v>16570</v>
      </c>
      <c r="BP216" t="s">
        <v>16570</v>
      </c>
      <c r="BQ216" t="s">
        <v>16570</v>
      </c>
      <c r="BR216" t="s">
        <v>16570</v>
      </c>
      <c r="BS216" t="s">
        <v>16570</v>
      </c>
      <c r="BT216" t="s">
        <v>16570</v>
      </c>
      <c r="BU216" t="s">
        <v>16570</v>
      </c>
      <c r="BV216" t="s">
        <v>16570</v>
      </c>
      <c r="BW216" t="s">
        <v>16570</v>
      </c>
      <c r="BX216" t="s">
        <v>16570</v>
      </c>
      <c r="BY216" t="s">
        <v>16570</v>
      </c>
      <c r="BZ216" t="s">
        <v>16570</v>
      </c>
      <c r="CA216" t="s">
        <v>16570</v>
      </c>
      <c r="CB216" t="s">
        <v>16570</v>
      </c>
      <c r="CC216" t="s">
        <v>16570</v>
      </c>
      <c r="CD216" t="s">
        <v>16570</v>
      </c>
      <c r="CE216" t="s">
        <v>16570</v>
      </c>
      <c r="CF216" t="s">
        <v>16570</v>
      </c>
      <c r="CG216" t="s">
        <v>16570</v>
      </c>
      <c r="CH216" t="s">
        <v>16570</v>
      </c>
      <c r="CI216" t="s">
        <v>16570</v>
      </c>
      <c r="CJ216" t="s">
        <v>16570</v>
      </c>
      <c r="CK216" t="s">
        <v>16570</v>
      </c>
      <c r="CL216" t="s">
        <v>16570</v>
      </c>
      <c r="CM216">
        <v>-99</v>
      </c>
      <c r="CN216">
        <v>-99</v>
      </c>
      <c r="CO216" t="s">
        <v>12255</v>
      </c>
      <c r="CP216" t="s">
        <v>12255</v>
      </c>
      <c r="CQ216" t="s">
        <v>12458</v>
      </c>
      <c r="CR216" t="s">
        <v>12308</v>
      </c>
      <c r="CS216">
        <v>12</v>
      </c>
      <c r="CT216">
        <v>12</v>
      </c>
      <c r="CU216">
        <v>5</v>
      </c>
      <c r="CV216">
        <v>-99</v>
      </c>
      <c r="CW216">
        <v>1</v>
      </c>
      <c r="CX216">
        <v>0</v>
      </c>
      <c r="CY216">
        <v>1.7</v>
      </c>
      <c r="CZ216">
        <v>7</v>
      </c>
      <c r="DA216">
        <v>44.699599999999997</v>
      </c>
      <c r="DB216">
        <v>23.806908</v>
      </c>
      <c r="DC216">
        <v>1159321225</v>
      </c>
      <c r="DD216" t="s">
        <v>16573</v>
      </c>
      <c r="DE216" t="s">
        <v>16574</v>
      </c>
      <c r="DF216" t="s">
        <v>16575</v>
      </c>
      <c r="DG216" t="s">
        <v>16576</v>
      </c>
      <c r="DH216" t="s">
        <v>149</v>
      </c>
      <c r="DI216" t="s">
        <v>16577</v>
      </c>
      <c r="DJ216" t="s">
        <v>16578</v>
      </c>
      <c r="DK216" t="s">
        <v>16579</v>
      </c>
      <c r="DL216" t="s">
        <v>16580</v>
      </c>
      <c r="DM216" t="s">
        <v>16581</v>
      </c>
      <c r="DN216" t="s">
        <v>16582</v>
      </c>
      <c r="DO216" t="s">
        <v>16583</v>
      </c>
      <c r="DP216" t="s">
        <v>16584</v>
      </c>
      <c r="DQ216" t="s">
        <v>16577</v>
      </c>
      <c r="DR216" t="s">
        <v>16585</v>
      </c>
      <c r="DS216" t="s">
        <v>16586</v>
      </c>
      <c r="DT216" t="s">
        <v>16587</v>
      </c>
      <c r="DU216" t="s">
        <v>16588</v>
      </c>
      <c r="DV216" t="s">
        <v>16589</v>
      </c>
      <c r="DW216" t="s">
        <v>16590</v>
      </c>
      <c r="DX216" t="s">
        <v>16591</v>
      </c>
      <c r="DY216" t="s">
        <v>16592</v>
      </c>
      <c r="DZ216" t="s">
        <v>16593</v>
      </c>
      <c r="EA216" t="s">
        <v>16594</v>
      </c>
      <c r="EB216" t="s">
        <v>16595</v>
      </c>
      <c r="EC216" t="s">
        <v>16596</v>
      </c>
      <c r="ED216" t="s">
        <v>16597</v>
      </c>
      <c r="EE216" t="s">
        <v>12247</v>
      </c>
      <c r="EG216" t="s">
        <v>12247</v>
      </c>
    </row>
    <row r="217" spans="1:168" x14ac:dyDescent="0.25">
      <c r="A217" t="s">
        <v>16598</v>
      </c>
      <c r="B217" t="s">
        <v>12247</v>
      </c>
      <c r="C217">
        <v>6</v>
      </c>
      <c r="D217">
        <v>6</v>
      </c>
      <c r="E217" t="s">
        <v>16598</v>
      </c>
      <c r="F217" t="s">
        <v>16599</v>
      </c>
      <c r="G217">
        <v>0</v>
      </c>
      <c r="H217">
        <v>2</v>
      </c>
      <c r="I217" t="s">
        <v>12371</v>
      </c>
      <c r="J217">
        <v>1</v>
      </c>
      <c r="K217" t="s">
        <v>16598</v>
      </c>
      <c r="L217" t="s">
        <v>16599</v>
      </c>
      <c r="M217">
        <v>0</v>
      </c>
      <c r="N217" t="s">
        <v>16598</v>
      </c>
      <c r="O217" t="s">
        <v>16599</v>
      </c>
      <c r="P217">
        <v>0</v>
      </c>
      <c r="Q217" t="s">
        <v>16598</v>
      </c>
      <c r="R217" t="s">
        <v>16599</v>
      </c>
      <c r="S217">
        <v>1</v>
      </c>
      <c r="T217" t="s">
        <v>16598</v>
      </c>
      <c r="U217" t="s">
        <v>16600</v>
      </c>
      <c r="V217" t="s">
        <v>16598</v>
      </c>
      <c r="X217" t="s">
        <v>16601</v>
      </c>
      <c r="Y217" t="s">
        <v>1873</v>
      </c>
      <c r="AC217" t="s">
        <v>12714</v>
      </c>
      <c r="AG217">
        <v>3</v>
      </c>
      <c r="AH217">
        <v>7</v>
      </c>
      <c r="AI217">
        <v>6</v>
      </c>
      <c r="AJ217">
        <v>-99</v>
      </c>
      <c r="AK217">
        <v>0</v>
      </c>
      <c r="AL217">
        <v>1</v>
      </c>
      <c r="AM217">
        <v>2019</v>
      </c>
      <c r="AN217">
        <v>0</v>
      </c>
      <c r="AO217">
        <v>2016</v>
      </c>
      <c r="AP217" t="s">
        <v>12252</v>
      </c>
      <c r="AQ217" t="s">
        <v>12253</v>
      </c>
      <c r="AR217">
        <v>-99</v>
      </c>
      <c r="AS217">
        <v>-99</v>
      </c>
      <c r="AT217">
        <v>-99</v>
      </c>
      <c r="AU217">
        <v>-99</v>
      </c>
      <c r="AV217">
        <v>-99</v>
      </c>
      <c r="AW217">
        <v>-99</v>
      </c>
      <c r="AX217">
        <v>-99</v>
      </c>
      <c r="AY217">
        <v>-99</v>
      </c>
      <c r="AZ217">
        <v>-99</v>
      </c>
      <c r="BA217">
        <v>-99</v>
      </c>
      <c r="BB217">
        <v>-99</v>
      </c>
      <c r="BC217">
        <v>-99</v>
      </c>
      <c r="BD217" t="s">
        <v>12488</v>
      </c>
      <c r="BE217">
        <v>-99</v>
      </c>
      <c r="BF217">
        <v>1</v>
      </c>
      <c r="BG217" t="s">
        <v>16599</v>
      </c>
      <c r="BH217" t="s">
        <v>16599</v>
      </c>
      <c r="BI217" t="s">
        <v>16599</v>
      </c>
      <c r="BJ217" t="s">
        <v>16599</v>
      </c>
      <c r="BK217" t="s">
        <v>16599</v>
      </c>
      <c r="BL217" t="s">
        <v>16599</v>
      </c>
      <c r="BM217" t="s">
        <v>16599</v>
      </c>
      <c r="BN217" t="s">
        <v>16599</v>
      </c>
      <c r="BO217" t="s">
        <v>16599</v>
      </c>
      <c r="BP217" t="s">
        <v>16599</v>
      </c>
      <c r="BQ217" t="s">
        <v>16599</v>
      </c>
      <c r="BR217" t="s">
        <v>16599</v>
      </c>
      <c r="BS217" t="s">
        <v>16599</v>
      </c>
      <c r="BT217" t="s">
        <v>16599</v>
      </c>
      <c r="BU217" t="s">
        <v>16599</v>
      </c>
      <c r="BV217" t="s">
        <v>16599</v>
      </c>
      <c r="BW217" t="s">
        <v>16599</v>
      </c>
      <c r="BX217" t="s">
        <v>16599</v>
      </c>
      <c r="BY217" t="s">
        <v>16599</v>
      </c>
      <c r="BZ217" t="s">
        <v>16599</v>
      </c>
      <c r="CA217" t="s">
        <v>16599</v>
      </c>
      <c r="CB217" t="s">
        <v>16599</v>
      </c>
      <c r="CC217" t="s">
        <v>16599</v>
      </c>
      <c r="CD217" t="s">
        <v>16599</v>
      </c>
      <c r="CE217" t="s">
        <v>16599</v>
      </c>
      <c r="CF217" t="s">
        <v>16599</v>
      </c>
      <c r="CG217" t="s">
        <v>16599</v>
      </c>
      <c r="CH217" t="s">
        <v>16599</v>
      </c>
      <c r="CI217" t="s">
        <v>16599</v>
      </c>
      <c r="CJ217" t="s">
        <v>16599</v>
      </c>
      <c r="CK217" t="s">
        <v>16599</v>
      </c>
      <c r="CL217" t="s">
        <v>16599</v>
      </c>
      <c r="CM217">
        <v>-99</v>
      </c>
      <c r="CN217">
        <v>-99</v>
      </c>
      <c r="CO217" t="s">
        <v>12255</v>
      </c>
      <c r="CP217" t="s">
        <v>12255</v>
      </c>
      <c r="CQ217" t="s">
        <v>13026</v>
      </c>
      <c r="CR217" t="s">
        <v>12539</v>
      </c>
      <c r="CS217">
        <v>16</v>
      </c>
      <c r="CT217">
        <v>16</v>
      </c>
      <c r="CU217">
        <v>4</v>
      </c>
      <c r="CV217">
        <v>-99</v>
      </c>
      <c r="CW217">
        <v>1</v>
      </c>
      <c r="CX217">
        <v>7</v>
      </c>
      <c r="CY217">
        <v>6</v>
      </c>
      <c r="CZ217">
        <v>10</v>
      </c>
      <c r="DA217">
        <v>117.753812</v>
      </c>
      <c r="DB217">
        <v>15.152039</v>
      </c>
      <c r="DC217">
        <v>1159321227</v>
      </c>
      <c r="DD217" t="s">
        <v>16602</v>
      </c>
      <c r="DE217" t="s">
        <v>16603</v>
      </c>
      <c r="DF217" t="s">
        <v>16604</v>
      </c>
      <c r="DG217" t="s">
        <v>16605</v>
      </c>
      <c r="DH217" t="s">
        <v>16606</v>
      </c>
      <c r="DI217" t="s">
        <v>16607</v>
      </c>
      <c r="DJ217" t="s">
        <v>16608</v>
      </c>
      <c r="DK217" t="s">
        <v>16609</v>
      </c>
      <c r="DL217" t="s">
        <v>16610</v>
      </c>
      <c r="DM217" t="s">
        <v>16611</v>
      </c>
      <c r="DN217" t="s">
        <v>16612</v>
      </c>
      <c r="DO217" t="s">
        <v>16613</v>
      </c>
      <c r="DP217" t="s">
        <v>16614</v>
      </c>
      <c r="DQ217" t="s">
        <v>16606</v>
      </c>
      <c r="DR217" t="s">
        <v>16615</v>
      </c>
      <c r="DS217" t="s">
        <v>16616</v>
      </c>
      <c r="DT217" t="s">
        <v>16617</v>
      </c>
      <c r="DU217" t="s">
        <v>16618</v>
      </c>
      <c r="DV217" t="s">
        <v>16619</v>
      </c>
      <c r="DW217" t="s">
        <v>16620</v>
      </c>
      <c r="DX217" t="s">
        <v>16621</v>
      </c>
      <c r="DY217" t="s">
        <v>16606</v>
      </c>
      <c r="DZ217" t="s">
        <v>16622</v>
      </c>
      <c r="EA217" t="s">
        <v>16623</v>
      </c>
      <c r="EB217" t="s">
        <v>16624</v>
      </c>
      <c r="EC217" t="s">
        <v>16625</v>
      </c>
      <c r="ED217" t="s">
        <v>16626</v>
      </c>
      <c r="EE217" t="s">
        <v>12505</v>
      </c>
      <c r="EF217">
        <v>1</v>
      </c>
      <c r="EG217" t="s">
        <v>12738</v>
      </c>
    </row>
    <row r="218" spans="1:168" x14ac:dyDescent="0.25">
      <c r="A218" t="s">
        <v>150</v>
      </c>
      <c r="B218" t="s">
        <v>12247</v>
      </c>
      <c r="C218">
        <v>0</v>
      </c>
      <c r="D218">
        <v>3</v>
      </c>
      <c r="E218" t="s">
        <v>150</v>
      </c>
      <c r="F218" t="s">
        <v>16627</v>
      </c>
      <c r="G218">
        <v>0</v>
      </c>
      <c r="H218">
        <v>2</v>
      </c>
      <c r="I218" t="s">
        <v>12249</v>
      </c>
      <c r="J218">
        <v>1</v>
      </c>
      <c r="K218" t="s">
        <v>150</v>
      </c>
      <c r="L218" t="s">
        <v>16627</v>
      </c>
      <c r="M218">
        <v>0</v>
      </c>
      <c r="N218" t="s">
        <v>150</v>
      </c>
      <c r="O218" t="s">
        <v>16627</v>
      </c>
      <c r="P218">
        <v>0</v>
      </c>
      <c r="Q218" t="s">
        <v>150</v>
      </c>
      <c r="R218" t="s">
        <v>16627</v>
      </c>
      <c r="S218">
        <v>0</v>
      </c>
      <c r="T218" t="s">
        <v>150</v>
      </c>
      <c r="U218" t="s">
        <v>16627</v>
      </c>
      <c r="V218" t="s">
        <v>150</v>
      </c>
      <c r="X218" t="s">
        <v>16628</v>
      </c>
      <c r="Y218" t="s">
        <v>1868</v>
      </c>
      <c r="Z218" t="s">
        <v>16629</v>
      </c>
      <c r="AB218" t="s">
        <v>150</v>
      </c>
      <c r="AE218" t="s">
        <v>150</v>
      </c>
      <c r="AG218">
        <v>2</v>
      </c>
      <c r="AH218">
        <v>6</v>
      </c>
      <c r="AI218">
        <v>5</v>
      </c>
      <c r="AJ218">
        <v>5</v>
      </c>
      <c r="AK218">
        <v>16296364</v>
      </c>
      <c r="AL218">
        <v>14</v>
      </c>
      <c r="AM218">
        <v>2019</v>
      </c>
      <c r="AN218">
        <v>23578</v>
      </c>
      <c r="AO218">
        <v>2019</v>
      </c>
      <c r="AP218" t="s">
        <v>12252</v>
      </c>
      <c r="AQ218" t="s">
        <v>12278</v>
      </c>
      <c r="AR218" t="s">
        <v>1848</v>
      </c>
      <c r="AS218" t="s">
        <v>1868</v>
      </c>
      <c r="AT218" t="s">
        <v>1868</v>
      </c>
      <c r="AU218" t="s">
        <v>16627</v>
      </c>
      <c r="AV218" t="s">
        <v>16627</v>
      </c>
      <c r="AW218">
        <v>686</v>
      </c>
      <c r="AX218">
        <v>686</v>
      </c>
      <c r="AY218">
        <v>686</v>
      </c>
      <c r="AZ218" t="s">
        <v>1868</v>
      </c>
      <c r="BA218" t="s">
        <v>16627</v>
      </c>
      <c r="BB218">
        <v>23424943</v>
      </c>
      <c r="BC218">
        <v>23424943</v>
      </c>
      <c r="BD218" t="s">
        <v>12254</v>
      </c>
      <c r="BE218" t="s">
        <v>16627</v>
      </c>
      <c r="BG218" t="s">
        <v>16627</v>
      </c>
      <c r="BH218" t="s">
        <v>16627</v>
      </c>
      <c r="BI218" t="s">
        <v>16627</v>
      </c>
      <c r="BJ218" t="s">
        <v>16627</v>
      </c>
      <c r="BK218" t="s">
        <v>16627</v>
      </c>
      <c r="BL218" t="s">
        <v>16627</v>
      </c>
      <c r="BM218" t="s">
        <v>16627</v>
      </c>
      <c r="BN218" t="s">
        <v>16627</v>
      </c>
      <c r="BO218" t="s">
        <v>16627</v>
      </c>
      <c r="BP218" t="s">
        <v>16627</v>
      </c>
      <c r="BQ218" t="s">
        <v>16627</v>
      </c>
      <c r="BR218" t="s">
        <v>16627</v>
      </c>
      <c r="BS218" t="s">
        <v>16627</v>
      </c>
      <c r="BT218" t="s">
        <v>16627</v>
      </c>
      <c r="BU218" t="s">
        <v>16627</v>
      </c>
      <c r="BV218" t="s">
        <v>16627</v>
      </c>
      <c r="BW218" t="s">
        <v>16627</v>
      </c>
      <c r="BX218" t="s">
        <v>16627</v>
      </c>
      <c r="BY218" t="s">
        <v>16627</v>
      </c>
      <c r="BZ218" t="s">
        <v>16627</v>
      </c>
      <c r="CA218" t="s">
        <v>16627</v>
      </c>
      <c r="CB218" t="s">
        <v>16627</v>
      </c>
      <c r="CC218" t="s">
        <v>16627</v>
      </c>
      <c r="CD218" t="s">
        <v>16627</v>
      </c>
      <c r="CE218" t="s">
        <v>16627</v>
      </c>
      <c r="CF218" t="s">
        <v>16627</v>
      </c>
      <c r="CG218" t="s">
        <v>16627</v>
      </c>
      <c r="CH218" t="s">
        <v>16627</v>
      </c>
      <c r="CI218" t="s">
        <v>16627</v>
      </c>
      <c r="CJ218" t="s">
        <v>16627</v>
      </c>
      <c r="CK218" t="s">
        <v>16627</v>
      </c>
      <c r="CL218" t="s">
        <v>16627</v>
      </c>
      <c r="CM218">
        <v>-99</v>
      </c>
      <c r="CN218">
        <v>-99</v>
      </c>
      <c r="CO218" t="s">
        <v>12306</v>
      </c>
      <c r="CP218" t="s">
        <v>12306</v>
      </c>
      <c r="CQ218" t="s">
        <v>12847</v>
      </c>
      <c r="CR218" t="s">
        <v>12357</v>
      </c>
      <c r="CS218">
        <v>7</v>
      </c>
      <c r="CT218">
        <v>7</v>
      </c>
      <c r="CU218">
        <v>4</v>
      </c>
      <c r="CV218">
        <v>-99</v>
      </c>
      <c r="CW218">
        <v>1</v>
      </c>
      <c r="CX218">
        <v>0</v>
      </c>
      <c r="CY218">
        <v>2.7</v>
      </c>
      <c r="CZ218">
        <v>8</v>
      </c>
      <c r="DA218">
        <v>-14.778586000000001</v>
      </c>
      <c r="DB218">
        <v>15.138125</v>
      </c>
      <c r="DC218">
        <v>1159321243</v>
      </c>
      <c r="DD218" t="s">
        <v>16630</v>
      </c>
      <c r="DE218" t="s">
        <v>16631</v>
      </c>
      <c r="DF218" t="s">
        <v>16632</v>
      </c>
      <c r="DG218" t="s">
        <v>150</v>
      </c>
      <c r="DH218" t="s">
        <v>150</v>
      </c>
      <c r="DI218" t="s">
        <v>150</v>
      </c>
      <c r="DJ218" t="s">
        <v>16633</v>
      </c>
      <c r="DK218" t="s">
        <v>16634</v>
      </c>
      <c r="DL218" t="s">
        <v>16635</v>
      </c>
      <c r="DM218" t="s">
        <v>16636</v>
      </c>
      <c r="DN218" t="s">
        <v>16637</v>
      </c>
      <c r="DO218" t="s">
        <v>16638</v>
      </c>
      <c r="DP218" t="s">
        <v>150</v>
      </c>
      <c r="DQ218" t="s">
        <v>150</v>
      </c>
      <c r="DR218" t="s">
        <v>16639</v>
      </c>
      <c r="DS218" t="s">
        <v>16640</v>
      </c>
      <c r="DT218" t="s">
        <v>150</v>
      </c>
      <c r="DU218" t="s">
        <v>150</v>
      </c>
      <c r="DV218" t="s">
        <v>150</v>
      </c>
      <c r="DW218" t="s">
        <v>16641</v>
      </c>
      <c r="DX218" t="s">
        <v>150</v>
      </c>
      <c r="DY218" t="s">
        <v>150</v>
      </c>
      <c r="DZ218" t="s">
        <v>16641</v>
      </c>
      <c r="EA218" t="s">
        <v>16642</v>
      </c>
      <c r="EB218" t="s">
        <v>16634</v>
      </c>
      <c r="EC218" t="s">
        <v>16643</v>
      </c>
      <c r="ED218" t="s">
        <v>16644</v>
      </c>
      <c r="EE218" t="s">
        <v>12247</v>
      </c>
      <c r="EG218" t="s">
        <v>12247</v>
      </c>
    </row>
    <row r="219" spans="1:168" x14ac:dyDescent="0.25">
      <c r="A219" t="s">
        <v>151</v>
      </c>
      <c r="B219" t="s">
        <v>12247</v>
      </c>
      <c r="C219">
        <v>0</v>
      </c>
      <c r="D219">
        <v>5</v>
      </c>
      <c r="E219" t="s">
        <v>16304</v>
      </c>
      <c r="F219" t="s">
        <v>15066</v>
      </c>
      <c r="G219">
        <v>0</v>
      </c>
      <c r="H219">
        <v>2</v>
      </c>
      <c r="I219" t="s">
        <v>12249</v>
      </c>
      <c r="J219">
        <v>1</v>
      </c>
      <c r="K219" t="s">
        <v>16304</v>
      </c>
      <c r="L219" t="s">
        <v>15066</v>
      </c>
      <c r="M219">
        <v>0</v>
      </c>
      <c r="N219" t="s">
        <v>16304</v>
      </c>
      <c r="O219" t="s">
        <v>15066</v>
      </c>
      <c r="P219">
        <v>0</v>
      </c>
      <c r="Q219" t="s">
        <v>16304</v>
      </c>
      <c r="R219" t="s">
        <v>15066</v>
      </c>
      <c r="S219">
        <v>0</v>
      </c>
      <c r="T219" t="s">
        <v>151</v>
      </c>
      <c r="U219" t="s">
        <v>15066</v>
      </c>
      <c r="V219" t="s">
        <v>151</v>
      </c>
      <c r="X219" t="s">
        <v>16305</v>
      </c>
      <c r="Y219" t="s">
        <v>1825</v>
      </c>
      <c r="Z219" t="s">
        <v>16304</v>
      </c>
      <c r="AB219" t="s">
        <v>151</v>
      </c>
      <c r="AE219" t="s">
        <v>151</v>
      </c>
      <c r="AG219">
        <v>3</v>
      </c>
      <c r="AH219">
        <v>3</v>
      </c>
      <c r="AI219">
        <v>2</v>
      </c>
      <c r="AJ219">
        <v>10</v>
      </c>
      <c r="AK219">
        <v>6944975</v>
      </c>
      <c r="AL219">
        <v>13</v>
      </c>
      <c r="AM219">
        <v>2019</v>
      </c>
      <c r="AN219">
        <v>51475</v>
      </c>
      <c r="AO219">
        <v>2019</v>
      </c>
      <c r="AP219" t="s">
        <v>12277</v>
      </c>
      <c r="AQ219" t="s">
        <v>12305</v>
      </c>
      <c r="AR219" t="s">
        <v>16306</v>
      </c>
      <c r="AS219" t="s">
        <v>1825</v>
      </c>
      <c r="AT219" t="s">
        <v>1825</v>
      </c>
      <c r="AU219" t="s">
        <v>15066</v>
      </c>
      <c r="AV219" t="s">
        <v>15066</v>
      </c>
      <c r="AW219">
        <v>688</v>
      </c>
      <c r="AX219">
        <v>688</v>
      </c>
      <c r="AY219">
        <v>688</v>
      </c>
      <c r="AZ219" t="s">
        <v>16307</v>
      </c>
      <c r="BA219" t="s">
        <v>15066</v>
      </c>
      <c r="BB219">
        <v>-90</v>
      </c>
      <c r="BC219">
        <v>20069818</v>
      </c>
      <c r="BD219" t="s">
        <v>16308</v>
      </c>
      <c r="BE219" t="s">
        <v>15066</v>
      </c>
      <c r="BG219" t="s">
        <v>15066</v>
      </c>
      <c r="BH219" t="s">
        <v>15066</v>
      </c>
      <c r="BI219" t="s">
        <v>15066</v>
      </c>
      <c r="BJ219" t="s">
        <v>15066</v>
      </c>
      <c r="BK219" t="s">
        <v>15066</v>
      </c>
      <c r="BL219" t="s">
        <v>15066</v>
      </c>
      <c r="BM219" t="s">
        <v>15066</v>
      </c>
      <c r="BN219" t="s">
        <v>15066</v>
      </c>
      <c r="BO219" t="s">
        <v>15066</v>
      </c>
      <c r="BP219" t="s">
        <v>15066</v>
      </c>
      <c r="BQ219" t="s">
        <v>15066</v>
      </c>
      <c r="BR219" t="s">
        <v>15066</v>
      </c>
      <c r="BS219" t="s">
        <v>15066</v>
      </c>
      <c r="BT219" t="s">
        <v>15066</v>
      </c>
      <c r="BU219" t="s">
        <v>15066</v>
      </c>
      <c r="BV219" t="s">
        <v>15066</v>
      </c>
      <c r="BW219" t="s">
        <v>15066</v>
      </c>
      <c r="BX219" t="s">
        <v>15066</v>
      </c>
      <c r="BY219" t="s">
        <v>15066</v>
      </c>
      <c r="BZ219" t="s">
        <v>15066</v>
      </c>
      <c r="CA219" t="s">
        <v>15066</v>
      </c>
      <c r="CB219" t="s">
        <v>15066</v>
      </c>
      <c r="CC219" t="s">
        <v>15066</v>
      </c>
      <c r="CD219" t="s">
        <v>15066</v>
      </c>
      <c r="CE219" t="s">
        <v>15066</v>
      </c>
      <c r="CF219" t="s">
        <v>15066</v>
      </c>
      <c r="CG219" t="s">
        <v>15066</v>
      </c>
      <c r="CH219" t="s">
        <v>15066</v>
      </c>
      <c r="CI219" t="s">
        <v>15066</v>
      </c>
      <c r="CJ219" t="s">
        <v>15066</v>
      </c>
      <c r="CK219" t="s">
        <v>15066</v>
      </c>
      <c r="CL219" t="s">
        <v>15066</v>
      </c>
      <c r="CM219">
        <v>-99</v>
      </c>
      <c r="CN219">
        <v>-99</v>
      </c>
      <c r="CO219" t="s">
        <v>12279</v>
      </c>
      <c r="CP219" t="s">
        <v>12279</v>
      </c>
      <c r="CQ219" t="s">
        <v>12280</v>
      </c>
      <c r="CR219" t="s">
        <v>12281</v>
      </c>
      <c r="CS219">
        <v>6</v>
      </c>
      <c r="CT219">
        <v>6</v>
      </c>
      <c r="CU219">
        <v>5</v>
      </c>
      <c r="CV219">
        <v>-99</v>
      </c>
      <c r="CW219">
        <v>1</v>
      </c>
      <c r="CX219">
        <v>0</v>
      </c>
      <c r="CY219">
        <v>4</v>
      </c>
      <c r="CZ219">
        <v>7</v>
      </c>
      <c r="DA219">
        <v>20.787989</v>
      </c>
      <c r="DB219">
        <v>44.189919000000003</v>
      </c>
      <c r="DC219">
        <v>1159321267</v>
      </c>
      <c r="DD219" t="s">
        <v>16309</v>
      </c>
      <c r="DE219" t="s">
        <v>16310</v>
      </c>
      <c r="DF219" t="s">
        <v>16311</v>
      </c>
      <c r="DG219" t="s">
        <v>16312</v>
      </c>
      <c r="DH219" t="s">
        <v>151</v>
      </c>
      <c r="DI219" t="s">
        <v>151</v>
      </c>
      <c r="DJ219" t="s">
        <v>16313</v>
      </c>
      <c r="DK219" t="s">
        <v>16314</v>
      </c>
      <c r="DL219" t="s">
        <v>16315</v>
      </c>
      <c r="DM219" t="s">
        <v>16316</v>
      </c>
      <c r="DN219" t="s">
        <v>16317</v>
      </c>
      <c r="DO219" t="s">
        <v>16318</v>
      </c>
      <c r="DP219" t="s">
        <v>151</v>
      </c>
      <c r="DQ219" t="s">
        <v>151</v>
      </c>
      <c r="DR219" t="s">
        <v>16319</v>
      </c>
      <c r="DS219" t="s">
        <v>16320</v>
      </c>
      <c r="DT219" t="s">
        <v>16321</v>
      </c>
      <c r="DU219" t="s">
        <v>151</v>
      </c>
      <c r="DV219" t="s">
        <v>16322</v>
      </c>
      <c r="DW219" t="s">
        <v>16323</v>
      </c>
      <c r="DX219" t="s">
        <v>16312</v>
      </c>
      <c r="DY219" t="s">
        <v>16324</v>
      </c>
      <c r="DZ219" t="s">
        <v>16325</v>
      </c>
      <c r="EA219" t="s">
        <v>16326</v>
      </c>
      <c r="EB219" t="s">
        <v>151</v>
      </c>
      <c r="EC219" t="s">
        <v>16327</v>
      </c>
      <c r="ED219" t="s">
        <v>16328</v>
      </c>
      <c r="EE219" t="s">
        <v>12247</v>
      </c>
      <c r="EG219" t="s">
        <v>12247</v>
      </c>
    </row>
    <row r="220" spans="1:168" x14ac:dyDescent="0.25">
      <c r="A220" t="s">
        <v>16645</v>
      </c>
      <c r="B220" t="s">
        <v>12247</v>
      </c>
      <c r="C220">
        <v>6</v>
      </c>
      <c r="D220">
        <v>5</v>
      </c>
      <c r="E220" t="s">
        <v>16645</v>
      </c>
      <c r="F220" t="s">
        <v>16646</v>
      </c>
      <c r="G220">
        <v>0</v>
      </c>
      <c r="H220">
        <v>2</v>
      </c>
      <c r="I220" t="s">
        <v>12371</v>
      </c>
      <c r="J220">
        <v>1</v>
      </c>
      <c r="K220" t="s">
        <v>16645</v>
      </c>
      <c r="L220" t="s">
        <v>16646</v>
      </c>
      <c r="M220">
        <v>0</v>
      </c>
      <c r="N220" t="s">
        <v>16645</v>
      </c>
      <c r="O220" t="s">
        <v>16646</v>
      </c>
      <c r="P220">
        <v>0</v>
      </c>
      <c r="Q220" t="s">
        <v>16645</v>
      </c>
      <c r="R220" t="s">
        <v>16646</v>
      </c>
      <c r="S220">
        <v>1</v>
      </c>
      <c r="T220" t="s">
        <v>16645</v>
      </c>
      <c r="U220" t="s">
        <v>16647</v>
      </c>
      <c r="V220" t="s">
        <v>16645</v>
      </c>
      <c r="X220" t="s">
        <v>16648</v>
      </c>
      <c r="Y220" t="s">
        <v>1838</v>
      </c>
      <c r="AC220" t="s">
        <v>12714</v>
      </c>
      <c r="AD220" t="s">
        <v>16649</v>
      </c>
      <c r="AE220" t="s">
        <v>16645</v>
      </c>
      <c r="AG220">
        <v>3</v>
      </c>
      <c r="AH220">
        <v>7</v>
      </c>
      <c r="AI220">
        <v>6</v>
      </c>
      <c r="AJ220">
        <v>-99</v>
      </c>
      <c r="AK220">
        <v>0</v>
      </c>
      <c r="AL220">
        <v>1</v>
      </c>
      <c r="AM220">
        <v>2019</v>
      </c>
      <c r="AN220">
        <v>0</v>
      </c>
      <c r="AO220">
        <v>2012</v>
      </c>
      <c r="AP220" t="s">
        <v>12252</v>
      </c>
      <c r="AQ220" t="s">
        <v>12253</v>
      </c>
      <c r="AR220">
        <v>-99</v>
      </c>
      <c r="AS220">
        <v>-99</v>
      </c>
      <c r="AT220">
        <v>-99</v>
      </c>
      <c r="AU220">
        <v>-99</v>
      </c>
      <c r="AV220">
        <v>-99</v>
      </c>
      <c r="AW220">
        <v>-99</v>
      </c>
      <c r="AX220">
        <v>-99</v>
      </c>
      <c r="AY220">
        <v>-99</v>
      </c>
      <c r="AZ220">
        <v>-99</v>
      </c>
      <c r="BA220">
        <v>-99</v>
      </c>
      <c r="BB220">
        <v>-99</v>
      </c>
      <c r="BC220">
        <v>-99</v>
      </c>
      <c r="BD220" t="s">
        <v>12488</v>
      </c>
      <c r="BE220">
        <v>-99</v>
      </c>
      <c r="BF220">
        <v>1</v>
      </c>
      <c r="BG220" t="s">
        <v>16646</v>
      </c>
      <c r="BH220" t="s">
        <v>12716</v>
      </c>
      <c r="BI220" t="s">
        <v>12717</v>
      </c>
      <c r="BJ220" t="s">
        <v>12717</v>
      </c>
      <c r="BK220" t="s">
        <v>12717</v>
      </c>
      <c r="BL220" t="s">
        <v>12717</v>
      </c>
      <c r="BM220" t="s">
        <v>12717</v>
      </c>
      <c r="BN220" t="s">
        <v>12717</v>
      </c>
      <c r="BO220" t="s">
        <v>12717</v>
      </c>
      <c r="BP220" t="s">
        <v>12717</v>
      </c>
      <c r="BQ220" t="s">
        <v>12717</v>
      </c>
      <c r="BR220" t="s">
        <v>12717</v>
      </c>
      <c r="BS220" t="s">
        <v>12717</v>
      </c>
      <c r="BT220" t="s">
        <v>12717</v>
      </c>
      <c r="BU220" t="s">
        <v>12717</v>
      </c>
      <c r="BV220" t="s">
        <v>12717</v>
      </c>
      <c r="BW220" t="s">
        <v>12717</v>
      </c>
      <c r="BX220" t="s">
        <v>12717</v>
      </c>
      <c r="BY220" t="s">
        <v>12717</v>
      </c>
      <c r="BZ220" t="s">
        <v>12717</v>
      </c>
      <c r="CA220" t="s">
        <v>12717</v>
      </c>
      <c r="CB220" t="s">
        <v>12717</v>
      </c>
      <c r="CC220" t="s">
        <v>12717</v>
      </c>
      <c r="CD220" t="s">
        <v>12717</v>
      </c>
      <c r="CE220" t="s">
        <v>12717</v>
      </c>
      <c r="CF220" t="s">
        <v>12717</v>
      </c>
      <c r="CG220" t="s">
        <v>12717</v>
      </c>
      <c r="CH220" t="s">
        <v>12717</v>
      </c>
      <c r="CI220" t="s">
        <v>12717</v>
      </c>
      <c r="CJ220" t="s">
        <v>12717</v>
      </c>
      <c r="CK220" t="s">
        <v>12717</v>
      </c>
      <c r="CL220" t="s">
        <v>12717</v>
      </c>
      <c r="CM220">
        <v>-99</v>
      </c>
      <c r="CN220">
        <v>-99</v>
      </c>
      <c r="CO220" t="s">
        <v>12402</v>
      </c>
      <c r="CP220" t="s">
        <v>12403</v>
      </c>
      <c r="CQ220" t="s">
        <v>12404</v>
      </c>
      <c r="CR220" t="s">
        <v>12405</v>
      </c>
      <c r="CS220">
        <v>15</v>
      </c>
      <c r="CT220">
        <v>15</v>
      </c>
      <c r="CU220">
        <v>4</v>
      </c>
      <c r="CV220">
        <v>-99</v>
      </c>
      <c r="CW220">
        <v>1</v>
      </c>
      <c r="CX220">
        <v>7</v>
      </c>
      <c r="CY220">
        <v>7</v>
      </c>
      <c r="CZ220">
        <v>9.5</v>
      </c>
      <c r="DA220">
        <v>-78.638238999999999</v>
      </c>
      <c r="DB220">
        <v>15.864307999999999</v>
      </c>
      <c r="DC220">
        <v>1159321245</v>
      </c>
      <c r="DD220" t="s">
        <v>16650</v>
      </c>
      <c r="DE220" t="s">
        <v>16651</v>
      </c>
      <c r="DF220" t="s">
        <v>16652</v>
      </c>
      <c r="DG220" t="s">
        <v>16645</v>
      </c>
      <c r="DH220" t="s">
        <v>16645</v>
      </c>
      <c r="DI220" t="s">
        <v>16653</v>
      </c>
      <c r="DJ220" t="s">
        <v>16654</v>
      </c>
      <c r="DK220" t="s">
        <v>16655</v>
      </c>
      <c r="DL220" t="s">
        <v>16656</v>
      </c>
      <c r="DM220" t="s">
        <v>16657</v>
      </c>
      <c r="DN220" t="s">
        <v>16658</v>
      </c>
      <c r="DO220" t="s">
        <v>16659</v>
      </c>
      <c r="DP220" t="s">
        <v>16660</v>
      </c>
      <c r="DQ220" t="s">
        <v>16661</v>
      </c>
      <c r="DR220" t="s">
        <v>16662</v>
      </c>
      <c r="DS220" t="s">
        <v>16663</v>
      </c>
      <c r="DT220" t="s">
        <v>16664</v>
      </c>
      <c r="DU220" t="s">
        <v>16653</v>
      </c>
      <c r="DV220" t="s">
        <v>16665</v>
      </c>
      <c r="DW220" t="s">
        <v>16666</v>
      </c>
      <c r="DX220" t="s">
        <v>16645</v>
      </c>
      <c r="DY220" t="s">
        <v>16645</v>
      </c>
      <c r="DZ220" t="s">
        <v>16667</v>
      </c>
      <c r="EA220" t="s">
        <v>16668</v>
      </c>
      <c r="EB220" t="s">
        <v>16645</v>
      </c>
      <c r="EC220" t="s">
        <v>16669</v>
      </c>
      <c r="ED220" t="s">
        <v>16670</v>
      </c>
      <c r="EE220" t="s">
        <v>12505</v>
      </c>
      <c r="EF220">
        <v>1</v>
      </c>
      <c r="EG220" t="s">
        <v>12738</v>
      </c>
      <c r="EH220" t="s">
        <v>12505</v>
      </c>
      <c r="EI220" t="s">
        <v>12505</v>
      </c>
      <c r="EJ220" t="s">
        <v>12505</v>
      </c>
      <c r="EK220" t="s">
        <v>12505</v>
      </c>
      <c r="EL220" t="s">
        <v>12505</v>
      </c>
      <c r="EM220" t="s">
        <v>12505</v>
      </c>
      <c r="EN220" t="s">
        <v>12505</v>
      </c>
      <c r="EO220" t="s">
        <v>12505</v>
      </c>
      <c r="EP220" t="s">
        <v>12505</v>
      </c>
      <c r="EQ220" t="s">
        <v>12505</v>
      </c>
      <c r="ER220" t="s">
        <v>12505</v>
      </c>
      <c r="ES220" t="s">
        <v>12505</v>
      </c>
      <c r="ET220" t="s">
        <v>12505</v>
      </c>
      <c r="EU220" t="s">
        <v>12505</v>
      </c>
      <c r="EV220" t="s">
        <v>12505</v>
      </c>
      <c r="EW220" t="s">
        <v>12505</v>
      </c>
      <c r="EX220" t="s">
        <v>12505</v>
      </c>
      <c r="EY220" t="s">
        <v>12505</v>
      </c>
      <c r="EZ220" t="s">
        <v>12505</v>
      </c>
      <c r="FA220" t="s">
        <v>12505</v>
      </c>
      <c r="FB220" t="s">
        <v>12505</v>
      </c>
      <c r="FC220" t="s">
        <v>12505</v>
      </c>
      <c r="FD220" t="s">
        <v>12505</v>
      </c>
      <c r="FE220" t="s">
        <v>12505</v>
      </c>
      <c r="FF220" t="s">
        <v>12505</v>
      </c>
      <c r="FG220" t="s">
        <v>12505</v>
      </c>
      <c r="FH220" t="s">
        <v>12505</v>
      </c>
      <c r="FI220" t="s">
        <v>12505</v>
      </c>
      <c r="FJ220" t="s">
        <v>12505</v>
      </c>
      <c r="FK220" t="s">
        <v>12505</v>
      </c>
      <c r="FL220" t="s">
        <v>12505</v>
      </c>
    </row>
    <row r="221" spans="1:168" x14ac:dyDescent="0.25">
      <c r="A221" t="s">
        <v>152</v>
      </c>
      <c r="B221" t="s">
        <v>12247</v>
      </c>
      <c r="C221">
        <v>5</v>
      </c>
      <c r="D221">
        <v>6</v>
      </c>
      <c r="E221" t="s">
        <v>152</v>
      </c>
      <c r="F221" t="s">
        <v>16671</v>
      </c>
      <c r="G221">
        <v>0</v>
      </c>
      <c r="H221">
        <v>2</v>
      </c>
      <c r="I221" t="s">
        <v>12249</v>
      </c>
      <c r="J221">
        <v>1</v>
      </c>
      <c r="K221" t="s">
        <v>152</v>
      </c>
      <c r="L221" t="s">
        <v>16671</v>
      </c>
      <c r="M221">
        <v>0</v>
      </c>
      <c r="N221" t="s">
        <v>152</v>
      </c>
      <c r="O221" t="s">
        <v>16671</v>
      </c>
      <c r="P221">
        <v>0</v>
      </c>
      <c r="Q221" t="s">
        <v>152</v>
      </c>
      <c r="R221" t="s">
        <v>16671</v>
      </c>
      <c r="S221">
        <v>0</v>
      </c>
      <c r="T221" t="s">
        <v>152</v>
      </c>
      <c r="U221" t="s">
        <v>16671</v>
      </c>
      <c r="V221" t="s">
        <v>152</v>
      </c>
      <c r="X221" t="s">
        <v>16672</v>
      </c>
      <c r="Y221" t="s">
        <v>1841</v>
      </c>
      <c r="Z221" t="s">
        <v>16673</v>
      </c>
      <c r="AB221" t="s">
        <v>152</v>
      </c>
      <c r="AE221" t="s">
        <v>152</v>
      </c>
      <c r="AG221">
        <v>5</v>
      </c>
      <c r="AH221">
        <v>8</v>
      </c>
      <c r="AI221">
        <v>3</v>
      </c>
      <c r="AJ221">
        <v>1</v>
      </c>
      <c r="AK221">
        <v>97625</v>
      </c>
      <c r="AL221">
        <v>8</v>
      </c>
      <c r="AM221">
        <v>2019</v>
      </c>
      <c r="AN221">
        <v>1703</v>
      </c>
      <c r="AO221">
        <v>2019</v>
      </c>
      <c r="AP221" t="s">
        <v>12277</v>
      </c>
      <c r="AQ221" t="s">
        <v>12305</v>
      </c>
      <c r="AR221" t="s">
        <v>1826</v>
      </c>
      <c r="AS221" t="s">
        <v>1841</v>
      </c>
      <c r="AT221" t="s">
        <v>1841</v>
      </c>
      <c r="AU221" t="s">
        <v>16671</v>
      </c>
      <c r="AV221" t="s">
        <v>16671</v>
      </c>
      <c r="AW221">
        <v>690</v>
      </c>
      <c r="AX221">
        <v>690</v>
      </c>
      <c r="AY221">
        <v>690</v>
      </c>
      <c r="AZ221" t="s">
        <v>1841</v>
      </c>
      <c r="BA221" t="s">
        <v>16671</v>
      </c>
      <c r="BB221">
        <v>23424941</v>
      </c>
      <c r="BC221">
        <v>23424941</v>
      </c>
      <c r="BD221" t="s">
        <v>12254</v>
      </c>
      <c r="BE221" t="s">
        <v>16671</v>
      </c>
      <c r="BG221" t="s">
        <v>16671</v>
      </c>
      <c r="BH221" t="s">
        <v>16671</v>
      </c>
      <c r="BI221" t="s">
        <v>16671</v>
      </c>
      <c r="BJ221" t="s">
        <v>16671</v>
      </c>
      <c r="BK221" t="s">
        <v>16671</v>
      </c>
      <c r="BL221" t="s">
        <v>16671</v>
      </c>
      <c r="BM221" t="s">
        <v>16671</v>
      </c>
      <c r="BN221" t="s">
        <v>16671</v>
      </c>
      <c r="BO221" t="s">
        <v>16671</v>
      </c>
      <c r="BP221" t="s">
        <v>16671</v>
      </c>
      <c r="BQ221" t="s">
        <v>16671</v>
      </c>
      <c r="BR221" t="s">
        <v>16671</v>
      </c>
      <c r="BS221" t="s">
        <v>16671</v>
      </c>
      <c r="BT221" t="s">
        <v>16671</v>
      </c>
      <c r="BU221" t="s">
        <v>16671</v>
      </c>
      <c r="BV221" t="s">
        <v>16671</v>
      </c>
      <c r="BW221" t="s">
        <v>16671</v>
      </c>
      <c r="BX221" t="s">
        <v>16671</v>
      </c>
      <c r="BY221" t="s">
        <v>16671</v>
      </c>
      <c r="BZ221" t="s">
        <v>16671</v>
      </c>
      <c r="CA221" t="s">
        <v>16671</v>
      </c>
      <c r="CB221" t="s">
        <v>16671</v>
      </c>
      <c r="CC221" t="s">
        <v>16671</v>
      </c>
      <c r="CD221" t="s">
        <v>16671</v>
      </c>
      <c r="CE221" t="s">
        <v>16671</v>
      </c>
      <c r="CF221" t="s">
        <v>16671</v>
      </c>
      <c r="CG221" t="s">
        <v>16671</v>
      </c>
      <c r="CH221" t="s">
        <v>16671</v>
      </c>
      <c r="CI221" t="s">
        <v>16671</v>
      </c>
      <c r="CJ221" t="s">
        <v>16671</v>
      </c>
      <c r="CK221" t="s">
        <v>16671</v>
      </c>
      <c r="CL221" t="s">
        <v>16671</v>
      </c>
      <c r="CM221">
        <v>-99</v>
      </c>
      <c r="CN221">
        <v>-99</v>
      </c>
      <c r="CO221" t="s">
        <v>13437</v>
      </c>
      <c r="CP221" t="s">
        <v>12306</v>
      </c>
      <c r="CQ221" t="s">
        <v>13085</v>
      </c>
      <c r="CR221" t="s">
        <v>12357</v>
      </c>
      <c r="CS221">
        <v>10</v>
      </c>
      <c r="CT221">
        <v>10</v>
      </c>
      <c r="CU221">
        <v>4</v>
      </c>
      <c r="CV221">
        <v>2</v>
      </c>
      <c r="CW221">
        <v>1</v>
      </c>
      <c r="CX221">
        <v>0</v>
      </c>
      <c r="CY221">
        <v>5</v>
      </c>
      <c r="CZ221">
        <v>10</v>
      </c>
      <c r="DA221">
        <v>55.480175000000003</v>
      </c>
      <c r="DB221">
        <v>-4.6766589999999999</v>
      </c>
      <c r="DC221">
        <v>1159321291</v>
      </c>
      <c r="DD221" t="s">
        <v>16674</v>
      </c>
      <c r="DE221" t="s">
        <v>16675</v>
      </c>
      <c r="DF221" t="s">
        <v>16676</v>
      </c>
      <c r="DG221" t="s">
        <v>16677</v>
      </c>
      <c r="DH221" t="s">
        <v>152</v>
      </c>
      <c r="DI221" t="s">
        <v>152</v>
      </c>
      <c r="DJ221" t="s">
        <v>16678</v>
      </c>
      <c r="DK221" t="s">
        <v>152</v>
      </c>
      <c r="DL221" t="s">
        <v>16679</v>
      </c>
      <c r="DM221" t="s">
        <v>16680</v>
      </c>
      <c r="DN221" t="s">
        <v>16681</v>
      </c>
      <c r="DO221" t="s">
        <v>16682</v>
      </c>
      <c r="DP221" t="s">
        <v>152</v>
      </c>
      <c r="DQ221" t="s">
        <v>152</v>
      </c>
      <c r="DR221" t="s">
        <v>16683</v>
      </c>
      <c r="DS221" t="s">
        <v>16684</v>
      </c>
      <c r="DT221" t="s">
        <v>16677</v>
      </c>
      <c r="DU221" t="s">
        <v>16685</v>
      </c>
      <c r="DV221" t="s">
        <v>152</v>
      </c>
      <c r="DW221" t="s">
        <v>16686</v>
      </c>
      <c r="DX221" t="s">
        <v>16687</v>
      </c>
      <c r="DY221" t="s">
        <v>16688</v>
      </c>
      <c r="DZ221" t="s">
        <v>16689</v>
      </c>
      <c r="EA221" t="s">
        <v>16690</v>
      </c>
      <c r="EB221" t="s">
        <v>152</v>
      </c>
      <c r="EC221" t="s">
        <v>16691</v>
      </c>
      <c r="ED221" t="s">
        <v>16692</v>
      </c>
      <c r="EE221" t="s">
        <v>12247</v>
      </c>
      <c r="EG221" t="s">
        <v>12247</v>
      </c>
    </row>
    <row r="222" spans="1:168" x14ac:dyDescent="0.25">
      <c r="A222" t="s">
        <v>14958</v>
      </c>
      <c r="B222" t="s">
        <v>12247</v>
      </c>
      <c r="C222">
        <v>0</v>
      </c>
      <c r="D222">
        <v>5</v>
      </c>
      <c r="E222" t="s">
        <v>14956</v>
      </c>
      <c r="F222" t="s">
        <v>14957</v>
      </c>
      <c r="G222">
        <v>0</v>
      </c>
      <c r="H222">
        <v>2</v>
      </c>
      <c r="I222" t="s">
        <v>12371</v>
      </c>
      <c r="K222" t="s">
        <v>14958</v>
      </c>
      <c r="L222" t="s">
        <v>14957</v>
      </c>
      <c r="M222">
        <v>0</v>
      </c>
      <c r="N222" t="s">
        <v>14958</v>
      </c>
      <c r="O222" t="s">
        <v>14957</v>
      </c>
      <c r="P222">
        <v>0</v>
      </c>
      <c r="Q222" t="s">
        <v>14958</v>
      </c>
      <c r="R222" t="s">
        <v>14957</v>
      </c>
      <c r="S222">
        <v>1</v>
      </c>
      <c r="T222" t="s">
        <v>14958</v>
      </c>
      <c r="U222" t="s">
        <v>14959</v>
      </c>
      <c r="V222" t="s">
        <v>14958</v>
      </c>
      <c r="W222" t="s">
        <v>14960</v>
      </c>
      <c r="X222" t="s">
        <v>14961</v>
      </c>
      <c r="Y222" t="s">
        <v>1848</v>
      </c>
      <c r="AD222" t="s">
        <v>14962</v>
      </c>
      <c r="AE222" t="s">
        <v>14956</v>
      </c>
      <c r="AG222">
        <v>3</v>
      </c>
      <c r="AH222">
        <v>7</v>
      </c>
      <c r="AI222">
        <v>6</v>
      </c>
      <c r="AJ222">
        <v>-99</v>
      </c>
      <c r="AK222">
        <v>6000</v>
      </c>
      <c r="AL222">
        <v>5</v>
      </c>
      <c r="AM222">
        <v>2013</v>
      </c>
      <c r="AN222">
        <v>15</v>
      </c>
      <c r="AO222">
        <v>2013</v>
      </c>
      <c r="AP222" t="s">
        <v>12277</v>
      </c>
      <c r="AQ222" t="s">
        <v>12278</v>
      </c>
      <c r="AR222">
        <v>-99</v>
      </c>
      <c r="AS222">
        <v>-99</v>
      </c>
      <c r="AT222">
        <v>-99</v>
      </c>
      <c r="AU222">
        <v>-99</v>
      </c>
      <c r="AV222">
        <v>-99</v>
      </c>
      <c r="AW222">
        <v>-99</v>
      </c>
      <c r="AX222">
        <v>-99</v>
      </c>
      <c r="AY222">
        <v>-99</v>
      </c>
      <c r="AZ222">
        <v>-99</v>
      </c>
      <c r="BA222">
        <v>-99</v>
      </c>
      <c r="BB222">
        <v>23424928</v>
      </c>
      <c r="BC222">
        <v>23424928</v>
      </c>
      <c r="BD222" t="s">
        <v>12254</v>
      </c>
      <c r="BE222">
        <v>-99</v>
      </c>
      <c r="BG222">
        <v>-99</v>
      </c>
      <c r="BH222" t="s">
        <v>14959</v>
      </c>
      <c r="BI222" t="s">
        <v>14668</v>
      </c>
      <c r="BJ222" t="s">
        <v>14668</v>
      </c>
      <c r="BK222" t="s">
        <v>14668</v>
      </c>
      <c r="BL222" t="s">
        <v>14668</v>
      </c>
      <c r="BM222" t="s">
        <v>14668</v>
      </c>
      <c r="BN222" t="s">
        <v>14668</v>
      </c>
      <c r="BO222" t="s">
        <v>14668</v>
      </c>
      <c r="BP222" t="s">
        <v>14963</v>
      </c>
      <c r="BQ222" t="s">
        <v>14668</v>
      </c>
      <c r="BR222" t="s">
        <v>14668</v>
      </c>
      <c r="BS222" t="s">
        <v>14668</v>
      </c>
      <c r="BT222" t="s">
        <v>14668</v>
      </c>
      <c r="BU222" t="s">
        <v>14668</v>
      </c>
      <c r="BV222" t="s">
        <v>14668</v>
      </c>
      <c r="BW222" t="s">
        <v>14668</v>
      </c>
      <c r="BX222" t="s">
        <v>14668</v>
      </c>
      <c r="BY222" t="s">
        <v>14668</v>
      </c>
      <c r="BZ222" t="s">
        <v>14668</v>
      </c>
      <c r="CA222" t="s">
        <v>14668</v>
      </c>
      <c r="CB222" t="s">
        <v>14668</v>
      </c>
      <c r="CC222" t="s">
        <v>14668</v>
      </c>
      <c r="CD222" t="s">
        <v>14963</v>
      </c>
      <c r="CE222" t="s">
        <v>14668</v>
      </c>
      <c r="CF222" t="s">
        <v>14668</v>
      </c>
      <c r="CG222" t="s">
        <v>14668</v>
      </c>
      <c r="CH222" t="s">
        <v>14668</v>
      </c>
      <c r="CI222" t="s">
        <v>14668</v>
      </c>
      <c r="CJ222" t="s">
        <v>14668</v>
      </c>
      <c r="CK222" t="s">
        <v>14668</v>
      </c>
      <c r="CL222" t="s">
        <v>14668</v>
      </c>
      <c r="CM222">
        <v>-99</v>
      </c>
      <c r="CN222">
        <v>-99</v>
      </c>
      <c r="CO222" t="s">
        <v>12255</v>
      </c>
      <c r="CP222" t="s">
        <v>12255</v>
      </c>
      <c r="CQ222" t="s">
        <v>12256</v>
      </c>
      <c r="CR222" t="s">
        <v>12257</v>
      </c>
      <c r="CS222">
        <v>15</v>
      </c>
      <c r="CT222">
        <v>15</v>
      </c>
      <c r="CU222">
        <v>7</v>
      </c>
      <c r="CV222">
        <v>-99</v>
      </c>
      <c r="CW222">
        <v>1</v>
      </c>
      <c r="CX222">
        <v>5</v>
      </c>
      <c r="CY222">
        <v>6.5</v>
      </c>
      <c r="CZ222">
        <v>9.5</v>
      </c>
      <c r="DA222">
        <v>77.129553000000001</v>
      </c>
      <c r="DB222">
        <v>35.340606000000001</v>
      </c>
      <c r="DC222">
        <v>1159320963</v>
      </c>
      <c r="DD222" t="s">
        <v>14964</v>
      </c>
      <c r="DE222" t="s">
        <v>14965</v>
      </c>
      <c r="DF222" t="s">
        <v>14966</v>
      </c>
      <c r="DG222" t="s">
        <v>14967</v>
      </c>
      <c r="DH222" t="s">
        <v>14958</v>
      </c>
      <c r="DI222" t="s">
        <v>14968</v>
      </c>
      <c r="DJ222" t="s">
        <v>14969</v>
      </c>
      <c r="DK222" t="s">
        <v>14970</v>
      </c>
      <c r="DL222" t="s">
        <v>14971</v>
      </c>
      <c r="DM222" t="s">
        <v>14972</v>
      </c>
      <c r="DN222" t="s">
        <v>14973</v>
      </c>
      <c r="DO222" t="s">
        <v>14974</v>
      </c>
      <c r="DP222" t="s">
        <v>14958</v>
      </c>
      <c r="DQ222" t="s">
        <v>14975</v>
      </c>
      <c r="DR222" t="s">
        <v>14976</v>
      </c>
      <c r="DS222" t="s">
        <v>14977</v>
      </c>
      <c r="DT222" t="s">
        <v>14978</v>
      </c>
      <c r="DU222" t="s">
        <v>14979</v>
      </c>
      <c r="DV222" t="s">
        <v>14968</v>
      </c>
      <c r="DW222" t="s">
        <v>14980</v>
      </c>
      <c r="DX222" t="s">
        <v>14981</v>
      </c>
      <c r="DY222" t="s">
        <v>14982</v>
      </c>
      <c r="DZ222" t="s">
        <v>14983</v>
      </c>
      <c r="EA222" t="s">
        <v>14984</v>
      </c>
      <c r="EB222" t="s">
        <v>14985</v>
      </c>
      <c r="EC222" t="s">
        <v>14986</v>
      </c>
      <c r="ED222" t="s">
        <v>14987</v>
      </c>
      <c r="EE222" t="s">
        <v>12505</v>
      </c>
      <c r="EG222" t="s">
        <v>12505</v>
      </c>
      <c r="EJ222" t="s">
        <v>12505</v>
      </c>
      <c r="EK222" t="s">
        <v>12505</v>
      </c>
      <c r="EM222" t="s">
        <v>12505</v>
      </c>
      <c r="EN222" t="s">
        <v>12505</v>
      </c>
      <c r="EO222" t="s">
        <v>12505</v>
      </c>
      <c r="EP222" t="s">
        <v>12505</v>
      </c>
      <c r="EQ222" t="s">
        <v>12505</v>
      </c>
      <c r="ER222" t="s">
        <v>12505</v>
      </c>
      <c r="ES222" t="s">
        <v>12505</v>
      </c>
      <c r="ET222" t="s">
        <v>12505</v>
      </c>
      <c r="EU222" t="s">
        <v>12505</v>
      </c>
      <c r="EV222" t="s">
        <v>12505</v>
      </c>
      <c r="EW222" t="s">
        <v>12505</v>
      </c>
      <c r="EX222" t="s">
        <v>12505</v>
      </c>
      <c r="EY222" t="s">
        <v>12505</v>
      </c>
      <c r="EZ222" t="s">
        <v>12505</v>
      </c>
      <c r="FA222" t="s">
        <v>12505</v>
      </c>
      <c r="FB222" t="s">
        <v>12505</v>
      </c>
      <c r="FC222" t="s">
        <v>12505</v>
      </c>
      <c r="FD222" t="s">
        <v>12505</v>
      </c>
      <c r="FE222" t="s">
        <v>12505</v>
      </c>
      <c r="FF222" t="s">
        <v>12505</v>
      </c>
      <c r="FG222" t="s">
        <v>12505</v>
      </c>
      <c r="FH222" t="s">
        <v>12505</v>
      </c>
      <c r="FI222" t="s">
        <v>12505</v>
      </c>
      <c r="FJ222" t="s">
        <v>12505</v>
      </c>
      <c r="FK222" t="s">
        <v>12505</v>
      </c>
      <c r="FL222" t="s">
        <v>12505</v>
      </c>
    </row>
    <row r="223" spans="1:168" x14ac:dyDescent="0.25">
      <c r="A223" t="s">
        <v>153</v>
      </c>
      <c r="B223" t="s">
        <v>12247</v>
      </c>
      <c r="C223">
        <v>0</v>
      </c>
      <c r="D223">
        <v>4</v>
      </c>
      <c r="E223" t="s">
        <v>153</v>
      </c>
      <c r="F223" t="s">
        <v>16693</v>
      </c>
      <c r="G223">
        <v>0</v>
      </c>
      <c r="H223">
        <v>2</v>
      </c>
      <c r="I223" t="s">
        <v>12249</v>
      </c>
      <c r="J223">
        <v>1</v>
      </c>
      <c r="K223" t="s">
        <v>153</v>
      </c>
      <c r="L223" t="s">
        <v>16693</v>
      </c>
      <c r="M223">
        <v>0</v>
      </c>
      <c r="N223" t="s">
        <v>153</v>
      </c>
      <c r="O223" t="s">
        <v>16693</v>
      </c>
      <c r="P223">
        <v>0</v>
      </c>
      <c r="Q223" t="s">
        <v>153</v>
      </c>
      <c r="R223" t="s">
        <v>16693</v>
      </c>
      <c r="S223">
        <v>0</v>
      </c>
      <c r="T223" t="s">
        <v>153</v>
      </c>
      <c r="U223" t="s">
        <v>16693</v>
      </c>
      <c r="V223" t="s">
        <v>153</v>
      </c>
      <c r="X223" t="s">
        <v>16488</v>
      </c>
      <c r="Y223" t="s">
        <v>1863</v>
      </c>
      <c r="Z223" t="s">
        <v>16694</v>
      </c>
      <c r="AB223" t="s">
        <v>153</v>
      </c>
      <c r="AE223" t="s">
        <v>153</v>
      </c>
      <c r="AG223">
        <v>1</v>
      </c>
      <c r="AH223">
        <v>4</v>
      </c>
      <c r="AI223">
        <v>1</v>
      </c>
      <c r="AJ223">
        <v>7</v>
      </c>
      <c r="AK223">
        <v>7813215</v>
      </c>
      <c r="AL223">
        <v>13</v>
      </c>
      <c r="AM223">
        <v>2019</v>
      </c>
      <c r="AN223">
        <v>4121</v>
      </c>
      <c r="AO223">
        <v>2019</v>
      </c>
      <c r="AP223" t="s">
        <v>12252</v>
      </c>
      <c r="AQ223" t="s">
        <v>12253</v>
      </c>
      <c r="AR223" t="s">
        <v>1863</v>
      </c>
      <c r="AS223" t="s">
        <v>1863</v>
      </c>
      <c r="AT223" t="s">
        <v>1863</v>
      </c>
      <c r="AU223" t="s">
        <v>16693</v>
      </c>
      <c r="AV223" t="s">
        <v>16693</v>
      </c>
      <c r="AW223">
        <v>694</v>
      </c>
      <c r="AX223">
        <v>694</v>
      </c>
      <c r="AY223">
        <v>694</v>
      </c>
      <c r="AZ223" t="s">
        <v>1863</v>
      </c>
      <c r="BA223" t="s">
        <v>16693</v>
      </c>
      <c r="BB223">
        <v>23424946</v>
      </c>
      <c r="BC223">
        <v>23424946</v>
      </c>
      <c r="BD223" t="s">
        <v>12254</v>
      </c>
      <c r="BE223" t="s">
        <v>16693</v>
      </c>
      <c r="BG223" t="s">
        <v>16693</v>
      </c>
      <c r="BH223" t="s">
        <v>16693</v>
      </c>
      <c r="BI223" t="s">
        <v>16693</v>
      </c>
      <c r="BJ223" t="s">
        <v>16693</v>
      </c>
      <c r="BK223" t="s">
        <v>16693</v>
      </c>
      <c r="BL223" t="s">
        <v>16693</v>
      </c>
      <c r="BM223" t="s">
        <v>16693</v>
      </c>
      <c r="BN223" t="s">
        <v>16693</v>
      </c>
      <c r="BO223" t="s">
        <v>16693</v>
      </c>
      <c r="BP223" t="s">
        <v>16693</v>
      </c>
      <c r="BQ223" t="s">
        <v>16693</v>
      </c>
      <c r="BR223" t="s">
        <v>16693</v>
      </c>
      <c r="BS223" t="s">
        <v>16693</v>
      </c>
      <c r="BT223" t="s">
        <v>16693</v>
      </c>
      <c r="BU223" t="s">
        <v>16693</v>
      </c>
      <c r="BV223" t="s">
        <v>16693</v>
      </c>
      <c r="BW223" t="s">
        <v>16693</v>
      </c>
      <c r="BX223" t="s">
        <v>16693</v>
      </c>
      <c r="BY223" t="s">
        <v>16693</v>
      </c>
      <c r="BZ223" t="s">
        <v>16693</v>
      </c>
      <c r="CA223" t="s">
        <v>16693</v>
      </c>
      <c r="CB223" t="s">
        <v>16693</v>
      </c>
      <c r="CC223" t="s">
        <v>16693</v>
      </c>
      <c r="CD223" t="s">
        <v>16693</v>
      </c>
      <c r="CE223" t="s">
        <v>16693</v>
      </c>
      <c r="CF223" t="s">
        <v>16693</v>
      </c>
      <c r="CG223" t="s">
        <v>16693</v>
      </c>
      <c r="CH223" t="s">
        <v>16693</v>
      </c>
      <c r="CI223" t="s">
        <v>16693</v>
      </c>
      <c r="CJ223" t="s">
        <v>16693</v>
      </c>
      <c r="CK223" t="s">
        <v>16693</v>
      </c>
      <c r="CL223" t="s">
        <v>16693</v>
      </c>
      <c r="CM223">
        <v>-99</v>
      </c>
      <c r="CN223">
        <v>-99</v>
      </c>
      <c r="CO223" t="s">
        <v>12306</v>
      </c>
      <c r="CP223" t="s">
        <v>12306</v>
      </c>
      <c r="CQ223" t="s">
        <v>12847</v>
      </c>
      <c r="CR223" t="s">
        <v>12357</v>
      </c>
      <c r="CS223">
        <v>12</v>
      </c>
      <c r="CT223">
        <v>12</v>
      </c>
      <c r="CU223">
        <v>4</v>
      </c>
      <c r="CV223">
        <v>-99</v>
      </c>
      <c r="CW223">
        <v>1</v>
      </c>
      <c r="CX223">
        <v>0</v>
      </c>
      <c r="CY223">
        <v>4</v>
      </c>
      <c r="CZ223">
        <v>9</v>
      </c>
      <c r="DA223">
        <v>-11.763676999999999</v>
      </c>
      <c r="DB223">
        <v>8.6174490000000006</v>
      </c>
      <c r="DC223">
        <v>1159321251</v>
      </c>
      <c r="DD223" t="s">
        <v>16695</v>
      </c>
      <c r="DE223" t="s">
        <v>16696</v>
      </c>
      <c r="DF223" t="s">
        <v>16697</v>
      </c>
      <c r="DG223" t="s">
        <v>153</v>
      </c>
      <c r="DH223" t="s">
        <v>153</v>
      </c>
      <c r="DI223" t="s">
        <v>16698</v>
      </c>
      <c r="DJ223" t="s">
        <v>16699</v>
      </c>
      <c r="DK223" t="s">
        <v>153</v>
      </c>
      <c r="DL223" t="s">
        <v>16700</v>
      </c>
      <c r="DM223" t="s">
        <v>16701</v>
      </c>
      <c r="DN223" t="s">
        <v>16702</v>
      </c>
      <c r="DO223" t="s">
        <v>153</v>
      </c>
      <c r="DP223" t="s">
        <v>153</v>
      </c>
      <c r="DQ223" t="s">
        <v>153</v>
      </c>
      <c r="DR223" t="s">
        <v>16703</v>
      </c>
      <c r="DS223" t="s">
        <v>16704</v>
      </c>
      <c r="DT223" t="s">
        <v>153</v>
      </c>
      <c r="DU223" t="s">
        <v>153</v>
      </c>
      <c r="DV223" t="s">
        <v>16705</v>
      </c>
      <c r="DW223" t="s">
        <v>16706</v>
      </c>
      <c r="DX223" t="s">
        <v>153</v>
      </c>
      <c r="DY223" t="s">
        <v>153</v>
      </c>
      <c r="DZ223" t="s">
        <v>16707</v>
      </c>
      <c r="EA223" t="s">
        <v>16708</v>
      </c>
      <c r="EB223" t="s">
        <v>153</v>
      </c>
      <c r="EC223" t="s">
        <v>16709</v>
      </c>
      <c r="ED223" t="s">
        <v>16710</v>
      </c>
      <c r="EE223" t="s">
        <v>12247</v>
      </c>
      <c r="EG223" t="s">
        <v>12247</v>
      </c>
    </row>
    <row r="224" spans="1:168" x14ac:dyDescent="0.25">
      <c r="A224" t="s">
        <v>154</v>
      </c>
      <c r="B224" t="s">
        <v>12247</v>
      </c>
      <c r="C224">
        <v>3</v>
      </c>
      <c r="D224">
        <v>6</v>
      </c>
      <c r="E224" t="s">
        <v>154</v>
      </c>
      <c r="F224" t="s">
        <v>16711</v>
      </c>
      <c r="G224">
        <v>0</v>
      </c>
      <c r="H224">
        <v>2</v>
      </c>
      <c r="I224" t="s">
        <v>12249</v>
      </c>
      <c r="J224">
        <v>1</v>
      </c>
      <c r="K224" t="s">
        <v>154</v>
      </c>
      <c r="L224" t="s">
        <v>16711</v>
      </c>
      <c r="M224">
        <v>0</v>
      </c>
      <c r="N224" t="s">
        <v>154</v>
      </c>
      <c r="O224" t="s">
        <v>16711</v>
      </c>
      <c r="P224">
        <v>0</v>
      </c>
      <c r="Q224" t="s">
        <v>154</v>
      </c>
      <c r="R224" t="s">
        <v>16711</v>
      </c>
      <c r="S224">
        <v>0</v>
      </c>
      <c r="T224" t="s">
        <v>154</v>
      </c>
      <c r="U224" t="s">
        <v>16711</v>
      </c>
      <c r="V224" t="s">
        <v>154</v>
      </c>
      <c r="X224" t="s">
        <v>16712</v>
      </c>
      <c r="Y224" t="s">
        <v>1848</v>
      </c>
      <c r="Z224" t="s">
        <v>16713</v>
      </c>
      <c r="AB224" t="s">
        <v>154</v>
      </c>
      <c r="AE224" t="s">
        <v>154</v>
      </c>
      <c r="AG224">
        <v>5</v>
      </c>
      <c r="AH224">
        <v>3</v>
      </c>
      <c r="AI224">
        <v>7</v>
      </c>
      <c r="AJ224">
        <v>3</v>
      </c>
      <c r="AK224">
        <v>5703569</v>
      </c>
      <c r="AL224">
        <v>13</v>
      </c>
      <c r="AM224">
        <v>2019</v>
      </c>
      <c r="AN224">
        <v>372062</v>
      </c>
      <c r="AO224">
        <v>2019</v>
      </c>
      <c r="AP224" t="s">
        <v>12277</v>
      </c>
      <c r="AQ224" t="s">
        <v>12335</v>
      </c>
      <c r="AR224" t="s">
        <v>1868</v>
      </c>
      <c r="AS224" t="s">
        <v>1848</v>
      </c>
      <c r="AT224" t="s">
        <v>1848</v>
      </c>
      <c r="AU224" t="s">
        <v>16711</v>
      </c>
      <c r="AV224" t="s">
        <v>16711</v>
      </c>
      <c r="AW224">
        <v>702</v>
      </c>
      <c r="AX224">
        <v>702</v>
      </c>
      <c r="AY224">
        <v>702</v>
      </c>
      <c r="AZ224" t="s">
        <v>1848</v>
      </c>
      <c r="BA224" t="s">
        <v>16711</v>
      </c>
      <c r="BB224">
        <v>23424948</v>
      </c>
      <c r="BC224">
        <v>23424948</v>
      </c>
      <c r="BD224" t="s">
        <v>12254</v>
      </c>
      <c r="BE224" t="s">
        <v>16711</v>
      </c>
      <c r="BG224" t="s">
        <v>16711</v>
      </c>
      <c r="BH224" t="s">
        <v>16711</v>
      </c>
      <c r="BI224" t="s">
        <v>16711</v>
      </c>
      <c r="BJ224" t="s">
        <v>16711</v>
      </c>
      <c r="BK224" t="s">
        <v>16711</v>
      </c>
      <c r="BL224" t="s">
        <v>16711</v>
      </c>
      <c r="BM224" t="s">
        <v>16711</v>
      </c>
      <c r="BN224" t="s">
        <v>16711</v>
      </c>
      <c r="BO224" t="s">
        <v>16711</v>
      </c>
      <c r="BP224" t="s">
        <v>16711</v>
      </c>
      <c r="BQ224" t="s">
        <v>16711</v>
      </c>
      <c r="BR224" t="s">
        <v>16711</v>
      </c>
      <c r="BS224" t="s">
        <v>16711</v>
      </c>
      <c r="BT224" t="s">
        <v>16711</v>
      </c>
      <c r="BU224" t="s">
        <v>16711</v>
      </c>
      <c r="BV224" t="s">
        <v>16711</v>
      </c>
      <c r="BW224" t="s">
        <v>16711</v>
      </c>
      <c r="BX224" t="s">
        <v>16711</v>
      </c>
      <c r="BY224" t="s">
        <v>16711</v>
      </c>
      <c r="BZ224" t="s">
        <v>16711</v>
      </c>
      <c r="CA224" t="s">
        <v>16711</v>
      </c>
      <c r="CB224" t="s">
        <v>16711</v>
      </c>
      <c r="CC224" t="s">
        <v>16711</v>
      </c>
      <c r="CD224" t="s">
        <v>16711</v>
      </c>
      <c r="CE224" t="s">
        <v>16711</v>
      </c>
      <c r="CF224" t="s">
        <v>16711</v>
      </c>
      <c r="CG224" t="s">
        <v>16711</v>
      </c>
      <c r="CH224" t="s">
        <v>16711</v>
      </c>
      <c r="CI224" t="s">
        <v>16711</v>
      </c>
      <c r="CJ224" t="s">
        <v>16711</v>
      </c>
      <c r="CK224" t="s">
        <v>16711</v>
      </c>
      <c r="CL224" t="s">
        <v>16711</v>
      </c>
      <c r="CM224">
        <v>-99</v>
      </c>
      <c r="CN224">
        <v>-99</v>
      </c>
      <c r="CO224" t="s">
        <v>12255</v>
      </c>
      <c r="CP224" t="s">
        <v>12255</v>
      </c>
      <c r="CQ224" t="s">
        <v>13026</v>
      </c>
      <c r="CR224" t="s">
        <v>12539</v>
      </c>
      <c r="CS224">
        <v>9</v>
      </c>
      <c r="CT224">
        <v>9</v>
      </c>
      <c r="CU224">
        <v>5</v>
      </c>
      <c r="CV224">
        <v>3</v>
      </c>
      <c r="CW224">
        <v>1</v>
      </c>
      <c r="CX224">
        <v>0</v>
      </c>
      <c r="CY224">
        <v>4</v>
      </c>
      <c r="CZ224">
        <v>9</v>
      </c>
      <c r="DA224">
        <v>103.816925</v>
      </c>
      <c r="DB224">
        <v>1.366587</v>
      </c>
      <c r="DC224">
        <v>1159321247</v>
      </c>
      <c r="DD224" t="s">
        <v>16714</v>
      </c>
      <c r="DE224" t="s">
        <v>16715</v>
      </c>
      <c r="DF224" t="s">
        <v>16716</v>
      </c>
      <c r="DG224" t="s">
        <v>16717</v>
      </c>
      <c r="DH224" t="s">
        <v>154</v>
      </c>
      <c r="DI224" t="s">
        <v>16717</v>
      </c>
      <c r="DJ224" t="s">
        <v>16718</v>
      </c>
      <c r="DK224" t="s">
        <v>16719</v>
      </c>
      <c r="DL224" t="s">
        <v>16720</v>
      </c>
      <c r="DM224" t="s">
        <v>16721</v>
      </c>
      <c r="DN224" t="s">
        <v>16722</v>
      </c>
      <c r="DO224" t="s">
        <v>16723</v>
      </c>
      <c r="DP224" t="s">
        <v>16724</v>
      </c>
      <c r="DQ224" t="s">
        <v>154</v>
      </c>
      <c r="DR224" t="s">
        <v>16725</v>
      </c>
      <c r="DS224" t="s">
        <v>16726</v>
      </c>
      <c r="DT224" t="s">
        <v>154</v>
      </c>
      <c r="DU224" t="s">
        <v>16717</v>
      </c>
      <c r="DV224" t="s">
        <v>16724</v>
      </c>
      <c r="DW224" t="s">
        <v>16727</v>
      </c>
      <c r="DX224" t="s">
        <v>154</v>
      </c>
      <c r="DY224" t="s">
        <v>16717</v>
      </c>
      <c r="DZ224" t="s">
        <v>16728</v>
      </c>
      <c r="EA224" t="s">
        <v>16718</v>
      </c>
      <c r="EB224" t="s">
        <v>154</v>
      </c>
      <c r="EC224" t="s">
        <v>16729</v>
      </c>
      <c r="ED224" t="s">
        <v>16729</v>
      </c>
      <c r="EE224" t="s">
        <v>12247</v>
      </c>
      <c r="EG224" t="s">
        <v>12247</v>
      </c>
    </row>
    <row r="225" spans="1:252" x14ac:dyDescent="0.25">
      <c r="A225" t="s">
        <v>8864</v>
      </c>
      <c r="B225" t="s">
        <v>12247</v>
      </c>
      <c r="C225">
        <v>3</v>
      </c>
      <c r="D225">
        <v>6</v>
      </c>
      <c r="E225" t="s">
        <v>123</v>
      </c>
      <c r="F225" t="s">
        <v>12583</v>
      </c>
      <c r="G225">
        <v>1</v>
      </c>
      <c r="H225">
        <v>2</v>
      </c>
      <c r="I225" t="s">
        <v>12507</v>
      </c>
      <c r="J225">
        <v>1</v>
      </c>
      <c r="K225" t="s">
        <v>8864</v>
      </c>
      <c r="L225" t="s">
        <v>17890</v>
      </c>
      <c r="M225">
        <v>0</v>
      </c>
      <c r="N225" t="s">
        <v>8864</v>
      </c>
      <c r="O225" t="s">
        <v>17890</v>
      </c>
      <c r="P225">
        <v>0</v>
      </c>
      <c r="Q225" t="s">
        <v>8864</v>
      </c>
      <c r="R225" t="s">
        <v>17890</v>
      </c>
      <c r="S225">
        <v>0</v>
      </c>
      <c r="T225" t="s">
        <v>8864</v>
      </c>
      <c r="U225" t="s">
        <v>17890</v>
      </c>
      <c r="V225" t="s">
        <v>8864</v>
      </c>
      <c r="X225" t="s">
        <v>17843</v>
      </c>
      <c r="Y225" t="s">
        <v>1884</v>
      </c>
      <c r="Z225" t="s">
        <v>1233</v>
      </c>
      <c r="AB225" t="s">
        <v>8864</v>
      </c>
      <c r="AC225" t="s">
        <v>12585</v>
      </c>
      <c r="AE225" t="s">
        <v>17891</v>
      </c>
      <c r="AG225">
        <v>4</v>
      </c>
      <c r="AH225">
        <v>2</v>
      </c>
      <c r="AI225">
        <v>2</v>
      </c>
      <c r="AJ225">
        <v>9</v>
      </c>
      <c r="AK225">
        <v>40733</v>
      </c>
      <c r="AL225">
        <v>7</v>
      </c>
      <c r="AM225">
        <v>2019</v>
      </c>
      <c r="AN225">
        <v>1185</v>
      </c>
      <c r="AO225">
        <v>2018</v>
      </c>
      <c r="AP225" t="s">
        <v>12277</v>
      </c>
      <c r="AQ225" t="s">
        <v>12335</v>
      </c>
      <c r="AR225" t="s">
        <v>14131</v>
      </c>
      <c r="AS225" t="s">
        <v>1884</v>
      </c>
      <c r="AT225" t="s">
        <v>1884</v>
      </c>
      <c r="AU225" t="s">
        <v>17890</v>
      </c>
      <c r="AV225" t="s">
        <v>17890</v>
      </c>
      <c r="AW225">
        <v>534</v>
      </c>
      <c r="AX225">
        <v>534</v>
      </c>
      <c r="AY225">
        <v>534</v>
      </c>
      <c r="AZ225" t="s">
        <v>1884</v>
      </c>
      <c r="BA225" t="s">
        <v>17890</v>
      </c>
      <c r="BB225">
        <v>-90</v>
      </c>
      <c r="BC225">
        <v>23425000</v>
      </c>
      <c r="BD225" t="s">
        <v>14132</v>
      </c>
      <c r="BE225" t="s">
        <v>17890</v>
      </c>
      <c r="BG225" t="s">
        <v>17890</v>
      </c>
      <c r="BH225" t="s">
        <v>17890</v>
      </c>
      <c r="BI225" t="s">
        <v>17890</v>
      </c>
      <c r="BJ225" t="s">
        <v>17890</v>
      </c>
      <c r="BK225" t="s">
        <v>17890</v>
      </c>
      <c r="BL225" t="s">
        <v>17890</v>
      </c>
      <c r="BM225" t="s">
        <v>17890</v>
      </c>
      <c r="BN225" t="s">
        <v>17890</v>
      </c>
      <c r="BO225" t="s">
        <v>17890</v>
      </c>
      <c r="BP225" t="s">
        <v>17890</v>
      </c>
      <c r="BQ225" t="s">
        <v>17890</v>
      </c>
      <c r="BR225" t="s">
        <v>17890</v>
      </c>
      <c r="BS225" t="s">
        <v>17890</v>
      </c>
      <c r="BT225" t="s">
        <v>17890</v>
      </c>
      <c r="BU225" t="s">
        <v>17890</v>
      </c>
      <c r="BV225" t="s">
        <v>17890</v>
      </c>
      <c r="BW225" t="s">
        <v>17890</v>
      </c>
      <c r="BX225" t="s">
        <v>17890</v>
      </c>
      <c r="BY225" t="s">
        <v>17890</v>
      </c>
      <c r="BZ225" t="s">
        <v>17890</v>
      </c>
      <c r="CA225" t="s">
        <v>17890</v>
      </c>
      <c r="CB225" t="s">
        <v>17890</v>
      </c>
      <c r="CC225" t="s">
        <v>17890</v>
      </c>
      <c r="CD225" t="s">
        <v>17890</v>
      </c>
      <c r="CE225" t="s">
        <v>17890</v>
      </c>
      <c r="CF225" t="s">
        <v>17890</v>
      </c>
      <c r="CG225" t="s">
        <v>17890</v>
      </c>
      <c r="CH225" t="s">
        <v>17890</v>
      </c>
      <c r="CI225" t="s">
        <v>17890</v>
      </c>
      <c r="CJ225" t="s">
        <v>17890</v>
      </c>
      <c r="CK225" t="s">
        <v>17890</v>
      </c>
      <c r="CL225" t="s">
        <v>17890</v>
      </c>
      <c r="CM225">
        <v>-99</v>
      </c>
      <c r="CN225">
        <v>-99</v>
      </c>
      <c r="CO225" t="s">
        <v>12402</v>
      </c>
      <c r="CP225" t="s">
        <v>12403</v>
      </c>
      <c r="CQ225" t="s">
        <v>12404</v>
      </c>
      <c r="CR225" t="s">
        <v>12405</v>
      </c>
      <c r="CS225">
        <v>12</v>
      </c>
      <c r="CT225">
        <v>12</v>
      </c>
      <c r="CU225">
        <v>6</v>
      </c>
      <c r="CV225">
        <v>4</v>
      </c>
      <c r="CW225">
        <v>-99</v>
      </c>
      <c r="CX225">
        <v>0</v>
      </c>
      <c r="CY225">
        <v>5</v>
      </c>
      <c r="CZ225">
        <v>10</v>
      </c>
      <c r="DA225">
        <v>-63.070132999999998</v>
      </c>
      <c r="DB225">
        <v>18.040880000000001</v>
      </c>
      <c r="DC225">
        <v>1159321103</v>
      </c>
      <c r="DD225" t="s">
        <v>17892</v>
      </c>
      <c r="DE225" t="s">
        <v>17893</v>
      </c>
      <c r="DF225" t="s">
        <v>17894</v>
      </c>
      <c r="DG225" t="s">
        <v>8864</v>
      </c>
      <c r="DH225" t="s">
        <v>8864</v>
      </c>
      <c r="DI225" t="s">
        <v>17850</v>
      </c>
      <c r="DJ225" t="s">
        <v>17895</v>
      </c>
      <c r="DK225" t="s">
        <v>17842</v>
      </c>
      <c r="DL225" t="s">
        <v>17852</v>
      </c>
      <c r="DM225" t="s">
        <v>17896</v>
      </c>
      <c r="DN225" t="s">
        <v>17897</v>
      </c>
      <c r="DO225" t="s">
        <v>8864</v>
      </c>
      <c r="DP225" t="s">
        <v>8864</v>
      </c>
      <c r="DQ225" t="s">
        <v>8864</v>
      </c>
      <c r="DR225" t="s">
        <v>17898</v>
      </c>
      <c r="DS225" t="s">
        <v>17899</v>
      </c>
      <c r="DT225" t="s">
        <v>8864</v>
      </c>
      <c r="DU225" t="s">
        <v>8864</v>
      </c>
      <c r="DV225" t="s">
        <v>17858</v>
      </c>
      <c r="DW225" t="s">
        <v>17900</v>
      </c>
      <c r="DX225" t="s">
        <v>8864</v>
      </c>
      <c r="DY225" t="s">
        <v>8864</v>
      </c>
      <c r="DZ225" t="s">
        <v>17901</v>
      </c>
      <c r="EA225" t="s">
        <v>17902</v>
      </c>
      <c r="EB225" t="s">
        <v>8864</v>
      </c>
      <c r="EC225" t="s">
        <v>17903</v>
      </c>
      <c r="ED225" t="s">
        <v>17904</v>
      </c>
      <c r="EE225" t="s">
        <v>12397</v>
      </c>
      <c r="EG225" t="s">
        <v>12397</v>
      </c>
    </row>
    <row r="226" spans="1:252" x14ac:dyDescent="0.25">
      <c r="A226" t="s">
        <v>155</v>
      </c>
      <c r="B226" t="s">
        <v>12247</v>
      </c>
      <c r="C226">
        <v>0</v>
      </c>
      <c r="D226">
        <v>6</v>
      </c>
      <c r="E226" t="s">
        <v>155</v>
      </c>
      <c r="F226" t="s">
        <v>16730</v>
      </c>
      <c r="G226">
        <v>0</v>
      </c>
      <c r="H226">
        <v>2</v>
      </c>
      <c r="I226" t="s">
        <v>12249</v>
      </c>
      <c r="J226">
        <v>1</v>
      </c>
      <c r="K226" t="s">
        <v>155</v>
      </c>
      <c r="L226" t="s">
        <v>16730</v>
      </c>
      <c r="M226">
        <v>0</v>
      </c>
      <c r="N226" t="s">
        <v>155</v>
      </c>
      <c r="O226" t="s">
        <v>16730</v>
      </c>
      <c r="P226">
        <v>0</v>
      </c>
      <c r="Q226" t="s">
        <v>155</v>
      </c>
      <c r="R226" t="s">
        <v>16730</v>
      </c>
      <c r="S226">
        <v>0</v>
      </c>
      <c r="T226" t="s">
        <v>155</v>
      </c>
      <c r="U226" t="s">
        <v>16730</v>
      </c>
      <c r="V226" t="s">
        <v>155</v>
      </c>
      <c r="X226" t="s">
        <v>16731</v>
      </c>
      <c r="Y226" t="s">
        <v>1860</v>
      </c>
      <c r="Z226" t="s">
        <v>16732</v>
      </c>
      <c r="AB226" t="s">
        <v>155</v>
      </c>
      <c r="AE226" t="s">
        <v>16732</v>
      </c>
      <c r="AG226">
        <v>2</v>
      </c>
      <c r="AH226">
        <v>4</v>
      </c>
      <c r="AI226">
        <v>4</v>
      </c>
      <c r="AJ226">
        <v>9</v>
      </c>
      <c r="AK226">
        <v>5454073</v>
      </c>
      <c r="AL226">
        <v>13</v>
      </c>
      <c r="AM226">
        <v>2019</v>
      </c>
      <c r="AN226">
        <v>105079</v>
      </c>
      <c r="AO226">
        <v>2019</v>
      </c>
      <c r="AP226" t="s">
        <v>12334</v>
      </c>
      <c r="AQ226" t="s">
        <v>12513</v>
      </c>
      <c r="AR226" t="s">
        <v>16733</v>
      </c>
      <c r="AS226" t="s">
        <v>1860</v>
      </c>
      <c r="AT226" t="s">
        <v>1860</v>
      </c>
      <c r="AU226" t="s">
        <v>16730</v>
      </c>
      <c r="AV226" t="s">
        <v>16730</v>
      </c>
      <c r="AW226">
        <v>703</v>
      </c>
      <c r="AX226">
        <v>703</v>
      </c>
      <c r="AY226">
        <v>703</v>
      </c>
      <c r="AZ226" t="s">
        <v>1860</v>
      </c>
      <c r="BA226" t="s">
        <v>16730</v>
      </c>
      <c r="BB226">
        <v>23424877</v>
      </c>
      <c r="BC226">
        <v>23424877</v>
      </c>
      <c r="BD226" t="s">
        <v>12254</v>
      </c>
      <c r="BE226" t="s">
        <v>16730</v>
      </c>
      <c r="BG226" t="s">
        <v>16730</v>
      </c>
      <c r="BH226" t="s">
        <v>16730</v>
      </c>
      <c r="BI226" t="s">
        <v>16730</v>
      </c>
      <c r="BJ226" t="s">
        <v>16730</v>
      </c>
      <c r="BK226" t="s">
        <v>16730</v>
      </c>
      <c r="BL226" t="s">
        <v>16730</v>
      </c>
      <c r="BM226" t="s">
        <v>16730</v>
      </c>
      <c r="BN226" t="s">
        <v>16730</v>
      </c>
      <c r="BO226" t="s">
        <v>16730</v>
      </c>
      <c r="BP226" t="s">
        <v>16730</v>
      </c>
      <c r="BQ226" t="s">
        <v>16730</v>
      </c>
      <c r="BR226" t="s">
        <v>16730</v>
      </c>
      <c r="BS226" t="s">
        <v>16730</v>
      </c>
      <c r="BT226" t="s">
        <v>16730</v>
      </c>
      <c r="BU226" t="s">
        <v>16730</v>
      </c>
      <c r="BV226" t="s">
        <v>16730</v>
      </c>
      <c r="BW226" t="s">
        <v>16730</v>
      </c>
      <c r="BX226" t="s">
        <v>16730</v>
      </c>
      <c r="BY226" t="s">
        <v>16730</v>
      </c>
      <c r="BZ226" t="s">
        <v>16730</v>
      </c>
      <c r="CA226" t="s">
        <v>16730</v>
      </c>
      <c r="CB226" t="s">
        <v>16730</v>
      </c>
      <c r="CC226" t="s">
        <v>16730</v>
      </c>
      <c r="CD226" t="s">
        <v>16730</v>
      </c>
      <c r="CE226" t="s">
        <v>16730</v>
      </c>
      <c r="CF226" t="s">
        <v>16730</v>
      </c>
      <c r="CG226" t="s">
        <v>16730</v>
      </c>
      <c r="CH226" t="s">
        <v>16730</v>
      </c>
      <c r="CI226" t="s">
        <v>16730</v>
      </c>
      <c r="CJ226" t="s">
        <v>16730</v>
      </c>
      <c r="CK226" t="s">
        <v>16730</v>
      </c>
      <c r="CL226" t="s">
        <v>16730</v>
      </c>
      <c r="CM226">
        <v>-99</v>
      </c>
      <c r="CN226">
        <v>-99</v>
      </c>
      <c r="CO226" t="s">
        <v>12279</v>
      </c>
      <c r="CP226" t="s">
        <v>12279</v>
      </c>
      <c r="CQ226" t="s">
        <v>12779</v>
      </c>
      <c r="CR226" t="s">
        <v>12281</v>
      </c>
      <c r="CS226">
        <v>8</v>
      </c>
      <c r="CT226">
        <v>8</v>
      </c>
      <c r="CU226">
        <v>4</v>
      </c>
      <c r="CV226">
        <v>-99</v>
      </c>
      <c r="CW226">
        <v>1</v>
      </c>
      <c r="CX226">
        <v>0</v>
      </c>
      <c r="CY226">
        <v>4</v>
      </c>
      <c r="CZ226">
        <v>9</v>
      </c>
      <c r="DA226">
        <v>19.049868</v>
      </c>
      <c r="DB226">
        <v>48.734043999999997</v>
      </c>
      <c r="DC226">
        <v>1159321283</v>
      </c>
      <c r="DD226" t="s">
        <v>16734</v>
      </c>
      <c r="DE226" t="s">
        <v>16735</v>
      </c>
      <c r="DF226" t="s">
        <v>16736</v>
      </c>
      <c r="DG226" t="s">
        <v>16737</v>
      </c>
      <c r="DH226" t="s">
        <v>155</v>
      </c>
      <c r="DI226" t="s">
        <v>16738</v>
      </c>
      <c r="DJ226" t="s">
        <v>16739</v>
      </c>
      <c r="DK226" t="s">
        <v>16740</v>
      </c>
      <c r="DL226" t="s">
        <v>16741</v>
      </c>
      <c r="DM226" t="s">
        <v>16742</v>
      </c>
      <c r="DN226" t="s">
        <v>16743</v>
      </c>
      <c r="DO226" t="s">
        <v>16744</v>
      </c>
      <c r="DP226" t="s">
        <v>16745</v>
      </c>
      <c r="DQ226" t="s">
        <v>16746</v>
      </c>
      <c r="DR226" t="s">
        <v>16747</v>
      </c>
      <c r="DS226" t="s">
        <v>16748</v>
      </c>
      <c r="DT226" t="s">
        <v>16749</v>
      </c>
      <c r="DU226" t="s">
        <v>16750</v>
      </c>
      <c r="DV226" t="s">
        <v>16751</v>
      </c>
      <c r="DW226" t="s">
        <v>16752</v>
      </c>
      <c r="DX226" t="s">
        <v>16753</v>
      </c>
      <c r="DY226" t="s">
        <v>16754</v>
      </c>
      <c r="DZ226" t="s">
        <v>16755</v>
      </c>
      <c r="EA226" t="s">
        <v>16756</v>
      </c>
      <c r="EB226" t="s">
        <v>155</v>
      </c>
      <c r="EC226" t="s">
        <v>16757</v>
      </c>
      <c r="ED226" t="s">
        <v>16757</v>
      </c>
      <c r="EE226" t="s">
        <v>12247</v>
      </c>
      <c r="EG226" t="s">
        <v>12247</v>
      </c>
    </row>
    <row r="227" spans="1:252" x14ac:dyDescent="0.25">
      <c r="A227" t="s">
        <v>156</v>
      </c>
      <c r="B227" t="s">
        <v>12247</v>
      </c>
      <c r="C227">
        <v>0</v>
      </c>
      <c r="D227">
        <v>6</v>
      </c>
      <c r="E227" t="s">
        <v>156</v>
      </c>
      <c r="F227" t="s">
        <v>16758</v>
      </c>
      <c r="G227">
        <v>0</v>
      </c>
      <c r="H227">
        <v>2</v>
      </c>
      <c r="I227" t="s">
        <v>12249</v>
      </c>
      <c r="J227">
        <v>1</v>
      </c>
      <c r="K227" t="s">
        <v>156</v>
      </c>
      <c r="L227" t="s">
        <v>16758</v>
      </c>
      <c r="M227">
        <v>0</v>
      </c>
      <c r="N227" t="s">
        <v>156</v>
      </c>
      <c r="O227" t="s">
        <v>16758</v>
      </c>
      <c r="P227">
        <v>0</v>
      </c>
      <c r="Q227" t="s">
        <v>156</v>
      </c>
      <c r="R227" t="s">
        <v>16758</v>
      </c>
      <c r="S227">
        <v>0</v>
      </c>
      <c r="T227" t="s">
        <v>156</v>
      </c>
      <c r="U227" t="s">
        <v>16758</v>
      </c>
      <c r="V227" t="s">
        <v>156</v>
      </c>
      <c r="X227" t="s">
        <v>16759</v>
      </c>
      <c r="Y227" t="s">
        <v>16760</v>
      </c>
      <c r="Z227" t="s">
        <v>16761</v>
      </c>
      <c r="AB227" t="s">
        <v>156</v>
      </c>
      <c r="AE227" t="s">
        <v>156</v>
      </c>
      <c r="AG227">
        <v>2</v>
      </c>
      <c r="AH227">
        <v>3</v>
      </c>
      <c r="AI227">
        <v>2</v>
      </c>
      <c r="AJ227">
        <v>12</v>
      </c>
      <c r="AK227">
        <v>2087946</v>
      </c>
      <c r="AL227">
        <v>12</v>
      </c>
      <c r="AM227">
        <v>2019</v>
      </c>
      <c r="AN227">
        <v>54174</v>
      </c>
      <c r="AO227">
        <v>2019</v>
      </c>
      <c r="AP227" t="s">
        <v>12334</v>
      </c>
      <c r="AQ227" t="s">
        <v>12513</v>
      </c>
      <c r="AR227" t="s">
        <v>1854</v>
      </c>
      <c r="AS227" t="s">
        <v>1854</v>
      </c>
      <c r="AT227" t="s">
        <v>1854</v>
      </c>
      <c r="AU227" t="s">
        <v>16758</v>
      </c>
      <c r="AV227" t="s">
        <v>16758</v>
      </c>
      <c r="AW227">
        <v>705</v>
      </c>
      <c r="AX227">
        <v>705</v>
      </c>
      <c r="AY227">
        <v>705</v>
      </c>
      <c r="AZ227" t="s">
        <v>1854</v>
      </c>
      <c r="BA227" t="s">
        <v>16758</v>
      </c>
      <c r="BB227">
        <v>23424945</v>
      </c>
      <c r="BC227">
        <v>23424945</v>
      </c>
      <c r="BD227" t="s">
        <v>12254</v>
      </c>
      <c r="BE227" t="s">
        <v>16758</v>
      </c>
      <c r="BG227" t="s">
        <v>16758</v>
      </c>
      <c r="BH227" t="s">
        <v>16758</v>
      </c>
      <c r="BI227" t="s">
        <v>16758</v>
      </c>
      <c r="BJ227" t="s">
        <v>16758</v>
      </c>
      <c r="BK227" t="s">
        <v>16758</v>
      </c>
      <c r="BL227" t="s">
        <v>16758</v>
      </c>
      <c r="BM227" t="s">
        <v>16758</v>
      </c>
      <c r="BN227" t="s">
        <v>16758</v>
      </c>
      <c r="BO227" t="s">
        <v>16758</v>
      </c>
      <c r="BP227" t="s">
        <v>16758</v>
      </c>
      <c r="BQ227" t="s">
        <v>16758</v>
      </c>
      <c r="BR227" t="s">
        <v>16758</v>
      </c>
      <c r="BS227" t="s">
        <v>16758</v>
      </c>
      <c r="BT227" t="s">
        <v>16758</v>
      </c>
      <c r="BU227" t="s">
        <v>16758</v>
      </c>
      <c r="BV227" t="s">
        <v>16758</v>
      </c>
      <c r="BW227" t="s">
        <v>16758</v>
      </c>
      <c r="BX227" t="s">
        <v>16758</v>
      </c>
      <c r="BY227" t="s">
        <v>16758</v>
      </c>
      <c r="BZ227" t="s">
        <v>16758</v>
      </c>
      <c r="CA227" t="s">
        <v>16758</v>
      </c>
      <c r="CB227" t="s">
        <v>16758</v>
      </c>
      <c r="CC227" t="s">
        <v>16758</v>
      </c>
      <c r="CD227" t="s">
        <v>16758</v>
      </c>
      <c r="CE227" t="s">
        <v>16758</v>
      </c>
      <c r="CF227" t="s">
        <v>16758</v>
      </c>
      <c r="CG227" t="s">
        <v>16758</v>
      </c>
      <c r="CH227" t="s">
        <v>16758</v>
      </c>
      <c r="CI227" t="s">
        <v>16758</v>
      </c>
      <c r="CJ227" t="s">
        <v>16758</v>
      </c>
      <c r="CK227" t="s">
        <v>16758</v>
      </c>
      <c r="CL227" t="s">
        <v>16758</v>
      </c>
      <c r="CM227">
        <v>-99</v>
      </c>
      <c r="CN227">
        <v>-99</v>
      </c>
      <c r="CO227" t="s">
        <v>12279</v>
      </c>
      <c r="CP227" t="s">
        <v>12279</v>
      </c>
      <c r="CQ227" t="s">
        <v>12280</v>
      </c>
      <c r="CR227" t="s">
        <v>12281</v>
      </c>
      <c r="CS227">
        <v>8</v>
      </c>
      <c r="CT227">
        <v>8</v>
      </c>
      <c r="CU227">
        <v>4</v>
      </c>
      <c r="CV227">
        <v>-99</v>
      </c>
      <c r="CW227">
        <v>1</v>
      </c>
      <c r="CX227">
        <v>0</v>
      </c>
      <c r="CY227">
        <v>5</v>
      </c>
      <c r="CZ227">
        <v>10</v>
      </c>
      <c r="DA227">
        <v>14.915312</v>
      </c>
      <c r="DB227">
        <v>46.060760000000002</v>
      </c>
      <c r="DC227">
        <v>1159321285</v>
      </c>
      <c r="DD227" t="s">
        <v>16762</v>
      </c>
      <c r="DE227" t="s">
        <v>16763</v>
      </c>
      <c r="DF227" t="s">
        <v>16764</v>
      </c>
      <c r="DG227" t="s">
        <v>16765</v>
      </c>
      <c r="DH227" t="s">
        <v>156</v>
      </c>
      <c r="DI227" t="s">
        <v>16766</v>
      </c>
      <c r="DJ227" t="s">
        <v>16767</v>
      </c>
      <c r="DK227" t="s">
        <v>16768</v>
      </c>
      <c r="DL227" t="s">
        <v>16769</v>
      </c>
      <c r="DM227" t="s">
        <v>16770</v>
      </c>
      <c r="DN227" t="s">
        <v>16771</v>
      </c>
      <c r="DO227" t="s">
        <v>16772</v>
      </c>
      <c r="DP227" t="s">
        <v>156</v>
      </c>
      <c r="DQ227" t="s">
        <v>156</v>
      </c>
      <c r="DR227" t="s">
        <v>16773</v>
      </c>
      <c r="DS227" t="s">
        <v>16774</v>
      </c>
      <c r="DT227" t="s">
        <v>16775</v>
      </c>
      <c r="DU227" t="s">
        <v>16776</v>
      </c>
      <c r="DV227" t="s">
        <v>16777</v>
      </c>
      <c r="DW227" t="s">
        <v>16778</v>
      </c>
      <c r="DX227" t="s">
        <v>16779</v>
      </c>
      <c r="DY227" t="s">
        <v>16780</v>
      </c>
      <c r="DZ227" t="s">
        <v>16781</v>
      </c>
      <c r="EA227" t="s">
        <v>16782</v>
      </c>
      <c r="EB227" t="s">
        <v>156</v>
      </c>
      <c r="EC227" t="s">
        <v>16783</v>
      </c>
      <c r="ED227" t="s">
        <v>16784</v>
      </c>
      <c r="EE227" t="s">
        <v>12247</v>
      </c>
      <c r="EG227" t="s">
        <v>12247</v>
      </c>
    </row>
    <row r="228" spans="1:252" x14ac:dyDescent="0.25">
      <c r="A228" t="s">
        <v>157</v>
      </c>
      <c r="B228" t="s">
        <v>12247</v>
      </c>
      <c r="C228">
        <v>1</v>
      </c>
      <c r="D228">
        <v>3</v>
      </c>
      <c r="E228" t="s">
        <v>157</v>
      </c>
      <c r="F228" t="s">
        <v>16785</v>
      </c>
      <c r="G228">
        <v>0</v>
      </c>
      <c r="H228">
        <v>2</v>
      </c>
      <c r="I228" t="s">
        <v>12249</v>
      </c>
      <c r="J228">
        <v>1</v>
      </c>
      <c r="K228" t="s">
        <v>157</v>
      </c>
      <c r="L228" t="s">
        <v>16785</v>
      </c>
      <c r="M228">
        <v>0</v>
      </c>
      <c r="N228" t="s">
        <v>157</v>
      </c>
      <c r="O228" t="s">
        <v>16785</v>
      </c>
      <c r="P228">
        <v>0</v>
      </c>
      <c r="Q228" t="s">
        <v>157</v>
      </c>
      <c r="R228" t="s">
        <v>16785</v>
      </c>
      <c r="S228">
        <v>0</v>
      </c>
      <c r="T228" t="s">
        <v>157</v>
      </c>
      <c r="U228" t="s">
        <v>16785</v>
      </c>
      <c r="V228" t="s">
        <v>16786</v>
      </c>
      <c r="X228" t="s">
        <v>16787</v>
      </c>
      <c r="Y228" t="s">
        <v>1838</v>
      </c>
      <c r="AB228" t="s">
        <v>157</v>
      </c>
      <c r="AE228" t="s">
        <v>157</v>
      </c>
      <c r="AG228">
        <v>1</v>
      </c>
      <c r="AH228">
        <v>4</v>
      </c>
      <c r="AI228">
        <v>1</v>
      </c>
      <c r="AJ228">
        <v>6</v>
      </c>
      <c r="AK228">
        <v>669823</v>
      </c>
      <c r="AL228">
        <v>11</v>
      </c>
      <c r="AM228">
        <v>2019</v>
      </c>
      <c r="AN228">
        <v>1589</v>
      </c>
      <c r="AO228">
        <v>2019</v>
      </c>
      <c r="AP228" t="s">
        <v>12252</v>
      </c>
      <c r="AQ228" t="s">
        <v>12278</v>
      </c>
      <c r="AR228" t="s">
        <v>16788</v>
      </c>
      <c r="AS228" t="s">
        <v>1838</v>
      </c>
      <c r="AT228" t="s">
        <v>1838</v>
      </c>
      <c r="AU228" t="s">
        <v>16785</v>
      </c>
      <c r="AV228" t="s">
        <v>16785</v>
      </c>
      <c r="AW228">
        <v>90</v>
      </c>
      <c r="AX228">
        <v>90</v>
      </c>
      <c r="AY228">
        <v>90</v>
      </c>
      <c r="AZ228" t="s">
        <v>1838</v>
      </c>
      <c r="BA228" t="s">
        <v>16785</v>
      </c>
      <c r="BB228">
        <v>23424766</v>
      </c>
      <c r="BC228">
        <v>23424766</v>
      </c>
      <c r="BD228" t="s">
        <v>12254</v>
      </c>
      <c r="BE228" t="s">
        <v>16785</v>
      </c>
      <c r="BG228" t="s">
        <v>16785</v>
      </c>
      <c r="BH228" t="s">
        <v>16785</v>
      </c>
      <c r="BI228" t="s">
        <v>16785</v>
      </c>
      <c r="BJ228" t="s">
        <v>16785</v>
      </c>
      <c r="BK228" t="s">
        <v>16785</v>
      </c>
      <c r="BL228" t="s">
        <v>16785</v>
      </c>
      <c r="BM228" t="s">
        <v>16785</v>
      </c>
      <c r="BN228" t="s">
        <v>16785</v>
      </c>
      <c r="BO228" t="s">
        <v>16785</v>
      </c>
      <c r="BP228" t="s">
        <v>16785</v>
      </c>
      <c r="BQ228" t="s">
        <v>16785</v>
      </c>
      <c r="BR228" t="s">
        <v>16785</v>
      </c>
      <c r="BS228" t="s">
        <v>16785</v>
      </c>
      <c r="BT228" t="s">
        <v>16785</v>
      </c>
      <c r="BU228" t="s">
        <v>16785</v>
      </c>
      <c r="BV228" t="s">
        <v>16785</v>
      </c>
      <c r="BW228" t="s">
        <v>16785</v>
      </c>
      <c r="BX228" t="s">
        <v>16785</v>
      </c>
      <c r="BY228" t="s">
        <v>16785</v>
      </c>
      <c r="BZ228" t="s">
        <v>16785</v>
      </c>
      <c r="CA228" t="s">
        <v>16785</v>
      </c>
      <c r="CB228" t="s">
        <v>16785</v>
      </c>
      <c r="CC228" t="s">
        <v>16785</v>
      </c>
      <c r="CD228" t="s">
        <v>16785</v>
      </c>
      <c r="CE228" t="s">
        <v>16785</v>
      </c>
      <c r="CF228" t="s">
        <v>16785</v>
      </c>
      <c r="CG228" t="s">
        <v>16785</v>
      </c>
      <c r="CH228" t="s">
        <v>16785</v>
      </c>
      <c r="CI228" t="s">
        <v>16785</v>
      </c>
      <c r="CJ228" t="s">
        <v>16785</v>
      </c>
      <c r="CK228" t="s">
        <v>16785</v>
      </c>
      <c r="CL228" t="s">
        <v>16785</v>
      </c>
      <c r="CM228">
        <v>-99</v>
      </c>
      <c r="CN228">
        <v>-99</v>
      </c>
      <c r="CO228" t="s">
        <v>12537</v>
      </c>
      <c r="CP228" t="s">
        <v>12537</v>
      </c>
      <c r="CQ228" t="s">
        <v>14027</v>
      </c>
      <c r="CR228" t="s">
        <v>12539</v>
      </c>
      <c r="CS228">
        <v>11</v>
      </c>
      <c r="CT228">
        <v>15</v>
      </c>
      <c r="CU228">
        <v>6</v>
      </c>
      <c r="CV228">
        <v>-99</v>
      </c>
      <c r="CW228">
        <v>1</v>
      </c>
      <c r="CX228">
        <v>0</v>
      </c>
      <c r="CY228">
        <v>3</v>
      </c>
      <c r="CZ228">
        <v>8</v>
      </c>
      <c r="DA228">
        <v>159.170468</v>
      </c>
      <c r="DB228">
        <v>-8.0295480000000001</v>
      </c>
      <c r="DC228">
        <v>1159321249</v>
      </c>
      <c r="DD228" t="s">
        <v>16789</v>
      </c>
      <c r="DE228" t="s">
        <v>16790</v>
      </c>
      <c r="DF228" t="s">
        <v>16791</v>
      </c>
      <c r="DG228" t="s">
        <v>16792</v>
      </c>
      <c r="DH228" t="s">
        <v>157</v>
      </c>
      <c r="DI228" t="s">
        <v>16793</v>
      </c>
      <c r="DJ228" t="s">
        <v>16794</v>
      </c>
      <c r="DK228" t="s">
        <v>16795</v>
      </c>
      <c r="DL228" t="s">
        <v>16796</v>
      </c>
      <c r="DM228" t="s">
        <v>16797</v>
      </c>
      <c r="DN228" t="s">
        <v>16798</v>
      </c>
      <c r="DO228" t="s">
        <v>16799</v>
      </c>
      <c r="DP228" t="s">
        <v>16800</v>
      </c>
      <c r="DQ228" t="s">
        <v>16801</v>
      </c>
      <c r="DR228" t="s">
        <v>16802</v>
      </c>
      <c r="DS228" t="s">
        <v>16803</v>
      </c>
      <c r="DT228" t="s">
        <v>16804</v>
      </c>
      <c r="DU228" t="s">
        <v>16805</v>
      </c>
      <c r="DV228" t="s">
        <v>16806</v>
      </c>
      <c r="DW228" t="s">
        <v>16807</v>
      </c>
      <c r="DX228" t="s">
        <v>16808</v>
      </c>
      <c r="DY228" t="s">
        <v>16809</v>
      </c>
      <c r="DZ228" t="s">
        <v>16810</v>
      </c>
      <c r="EA228" t="s">
        <v>16811</v>
      </c>
      <c r="EB228" t="s">
        <v>16812</v>
      </c>
      <c r="EC228" t="s">
        <v>16813</v>
      </c>
      <c r="ED228" t="s">
        <v>16814</v>
      </c>
      <c r="EE228" t="s">
        <v>12247</v>
      </c>
      <c r="EG228" t="s">
        <v>12247</v>
      </c>
    </row>
    <row r="229" spans="1:252" x14ac:dyDescent="0.25">
      <c r="A229" t="s">
        <v>158</v>
      </c>
      <c r="B229" t="s">
        <v>12247</v>
      </c>
      <c r="C229">
        <v>0</v>
      </c>
      <c r="D229">
        <v>6</v>
      </c>
      <c r="E229" t="s">
        <v>158</v>
      </c>
      <c r="F229" t="s">
        <v>16815</v>
      </c>
      <c r="G229">
        <v>0</v>
      </c>
      <c r="H229">
        <v>2</v>
      </c>
      <c r="I229" t="s">
        <v>12249</v>
      </c>
      <c r="J229">
        <v>1</v>
      </c>
      <c r="K229" t="s">
        <v>158</v>
      </c>
      <c r="L229" t="s">
        <v>16815</v>
      </c>
      <c r="M229">
        <v>0</v>
      </c>
      <c r="N229" t="s">
        <v>158</v>
      </c>
      <c r="O229" t="s">
        <v>16815</v>
      </c>
      <c r="P229">
        <v>0</v>
      </c>
      <c r="Q229" t="s">
        <v>158</v>
      </c>
      <c r="R229" t="s">
        <v>16815</v>
      </c>
      <c r="S229">
        <v>0</v>
      </c>
      <c r="T229" t="s">
        <v>158</v>
      </c>
      <c r="U229" t="s">
        <v>16815</v>
      </c>
      <c r="V229" t="s">
        <v>158</v>
      </c>
      <c r="X229" t="s">
        <v>16816</v>
      </c>
      <c r="Y229" t="s">
        <v>1464</v>
      </c>
      <c r="Z229" t="s">
        <v>16817</v>
      </c>
      <c r="AB229" t="s">
        <v>158</v>
      </c>
      <c r="AE229" t="s">
        <v>158</v>
      </c>
      <c r="AG229">
        <v>2</v>
      </c>
      <c r="AH229">
        <v>8</v>
      </c>
      <c r="AI229">
        <v>6</v>
      </c>
      <c r="AJ229">
        <v>7</v>
      </c>
      <c r="AK229">
        <v>10192317.300000001</v>
      </c>
      <c r="AL229">
        <v>14</v>
      </c>
      <c r="AM229">
        <v>2019</v>
      </c>
      <c r="AN229">
        <v>4719</v>
      </c>
      <c r="AO229">
        <v>2016</v>
      </c>
      <c r="AP229" t="s">
        <v>12252</v>
      </c>
      <c r="AQ229" t="s">
        <v>12253</v>
      </c>
      <c r="AR229" t="s">
        <v>1464</v>
      </c>
      <c r="AS229" t="s">
        <v>1464</v>
      </c>
      <c r="AT229" t="s">
        <v>1464</v>
      </c>
      <c r="AU229" t="s">
        <v>16815</v>
      </c>
      <c r="AV229" t="s">
        <v>16815</v>
      </c>
      <c r="AW229">
        <v>706</v>
      </c>
      <c r="AX229">
        <v>706</v>
      </c>
      <c r="AY229">
        <v>706</v>
      </c>
      <c r="AZ229" t="s">
        <v>1464</v>
      </c>
      <c r="BA229" t="s">
        <v>16815</v>
      </c>
      <c r="BB229">
        <v>-90</v>
      </c>
      <c r="BC229">
        <v>23424949</v>
      </c>
      <c r="BD229" t="s">
        <v>16818</v>
      </c>
      <c r="BE229" t="s">
        <v>16815</v>
      </c>
      <c r="BG229" t="s">
        <v>16815</v>
      </c>
      <c r="BH229" t="s">
        <v>16815</v>
      </c>
      <c r="BI229" t="s">
        <v>16815</v>
      </c>
      <c r="BJ229" t="s">
        <v>16815</v>
      </c>
      <c r="BK229" t="s">
        <v>16815</v>
      </c>
      <c r="BL229" t="s">
        <v>16815</v>
      </c>
      <c r="BM229" t="s">
        <v>16815</v>
      </c>
      <c r="BN229" t="s">
        <v>16815</v>
      </c>
      <c r="BO229" t="s">
        <v>16815</v>
      </c>
      <c r="BP229" t="s">
        <v>16815</v>
      </c>
      <c r="BQ229" t="s">
        <v>16815</v>
      </c>
      <c r="BR229" t="s">
        <v>16815</v>
      </c>
      <c r="BS229" t="s">
        <v>16815</v>
      </c>
      <c r="BT229" t="s">
        <v>16815</v>
      </c>
      <c r="BU229" t="s">
        <v>16815</v>
      </c>
      <c r="BV229" t="s">
        <v>16815</v>
      </c>
      <c r="BW229" t="s">
        <v>16815</v>
      </c>
      <c r="BX229" t="s">
        <v>16815</v>
      </c>
      <c r="BY229" t="s">
        <v>16815</v>
      </c>
      <c r="BZ229" t="s">
        <v>16815</v>
      </c>
      <c r="CA229" t="s">
        <v>16815</v>
      </c>
      <c r="CB229" t="s">
        <v>16815</v>
      </c>
      <c r="CC229" t="s">
        <v>16815</v>
      </c>
      <c r="CD229" t="s">
        <v>16815</v>
      </c>
      <c r="CE229" t="s">
        <v>16815</v>
      </c>
      <c r="CF229" t="s">
        <v>16815</v>
      </c>
      <c r="CG229" t="s">
        <v>16815</v>
      </c>
      <c r="CH229" t="s">
        <v>16815</v>
      </c>
      <c r="CI229" t="s">
        <v>16815</v>
      </c>
      <c r="CJ229" t="s">
        <v>16815</v>
      </c>
      <c r="CK229" t="s">
        <v>16815</v>
      </c>
      <c r="CL229" t="s">
        <v>16815</v>
      </c>
      <c r="CM229">
        <v>-99</v>
      </c>
      <c r="CN229">
        <v>-99</v>
      </c>
      <c r="CO229" t="s">
        <v>12306</v>
      </c>
      <c r="CP229" t="s">
        <v>12306</v>
      </c>
      <c r="CQ229" t="s">
        <v>13085</v>
      </c>
      <c r="CR229" t="s">
        <v>12357</v>
      </c>
      <c r="CS229">
        <v>7</v>
      </c>
      <c r="CT229">
        <v>7</v>
      </c>
      <c r="CU229">
        <v>4</v>
      </c>
      <c r="CV229">
        <v>-99</v>
      </c>
      <c r="CW229">
        <v>1</v>
      </c>
      <c r="CX229">
        <v>0</v>
      </c>
      <c r="CY229">
        <v>4</v>
      </c>
      <c r="CZ229">
        <v>9</v>
      </c>
      <c r="DA229">
        <v>45.19238</v>
      </c>
      <c r="DB229">
        <v>3.5689250000000001</v>
      </c>
      <c r="DC229">
        <v>1159321261</v>
      </c>
      <c r="DD229" t="s">
        <v>16819</v>
      </c>
      <c r="DE229" t="s">
        <v>16820</v>
      </c>
      <c r="DF229" t="s">
        <v>16821</v>
      </c>
      <c r="DG229" t="s">
        <v>158</v>
      </c>
      <c r="DH229" t="s">
        <v>158</v>
      </c>
      <c r="DI229" t="s">
        <v>158</v>
      </c>
      <c r="DJ229" t="s">
        <v>16822</v>
      </c>
      <c r="DK229" t="s">
        <v>16823</v>
      </c>
      <c r="DL229" t="s">
        <v>16824</v>
      </c>
      <c r="DM229" t="s">
        <v>16825</v>
      </c>
      <c r="DN229" t="s">
        <v>16826</v>
      </c>
      <c r="DO229" t="s">
        <v>16827</v>
      </c>
      <c r="DP229" t="s">
        <v>158</v>
      </c>
      <c r="DQ229" t="s">
        <v>158</v>
      </c>
      <c r="DR229" t="s">
        <v>16828</v>
      </c>
      <c r="DS229" t="s">
        <v>16829</v>
      </c>
      <c r="DT229" t="s">
        <v>16830</v>
      </c>
      <c r="DU229" t="s">
        <v>158</v>
      </c>
      <c r="DV229" t="s">
        <v>16831</v>
      </c>
      <c r="DW229" t="s">
        <v>16832</v>
      </c>
      <c r="DX229" t="s">
        <v>158</v>
      </c>
      <c r="DY229" t="s">
        <v>16833</v>
      </c>
      <c r="DZ229" t="s">
        <v>16834</v>
      </c>
      <c r="EA229" t="s">
        <v>16835</v>
      </c>
      <c r="EB229" t="s">
        <v>158</v>
      </c>
      <c r="EC229" t="s">
        <v>16836</v>
      </c>
      <c r="ED229" t="s">
        <v>16837</v>
      </c>
      <c r="EE229" t="s">
        <v>12247</v>
      </c>
      <c r="EG229" t="s">
        <v>12247</v>
      </c>
    </row>
    <row r="230" spans="1:252" x14ac:dyDescent="0.25">
      <c r="A230" t="s">
        <v>16838</v>
      </c>
      <c r="B230" t="s">
        <v>12247</v>
      </c>
      <c r="C230">
        <v>0</v>
      </c>
      <c r="D230">
        <v>5</v>
      </c>
      <c r="E230" t="s">
        <v>16838</v>
      </c>
      <c r="F230" t="s">
        <v>16839</v>
      </c>
      <c r="G230">
        <v>0</v>
      </c>
      <c r="H230">
        <v>2</v>
      </c>
      <c r="I230" t="s">
        <v>12249</v>
      </c>
      <c r="J230">
        <v>1</v>
      </c>
      <c r="K230" t="s">
        <v>16838</v>
      </c>
      <c r="L230" t="s">
        <v>16839</v>
      </c>
      <c r="M230">
        <v>0</v>
      </c>
      <c r="N230" t="s">
        <v>16838</v>
      </c>
      <c r="O230" t="s">
        <v>16839</v>
      </c>
      <c r="P230">
        <v>0</v>
      </c>
      <c r="Q230" t="s">
        <v>16838</v>
      </c>
      <c r="R230" t="s">
        <v>16839</v>
      </c>
      <c r="S230">
        <v>0</v>
      </c>
      <c r="T230" t="s">
        <v>16838</v>
      </c>
      <c r="U230" t="s">
        <v>16839</v>
      </c>
      <c r="V230" t="s">
        <v>16838</v>
      </c>
      <c r="X230" t="s">
        <v>16840</v>
      </c>
      <c r="Y230" t="s">
        <v>1863</v>
      </c>
      <c r="Z230" t="s">
        <v>16841</v>
      </c>
      <c r="AC230" t="s">
        <v>12714</v>
      </c>
      <c r="AD230" t="s">
        <v>16842</v>
      </c>
      <c r="AE230" t="s">
        <v>16838</v>
      </c>
      <c r="AG230">
        <v>3</v>
      </c>
      <c r="AH230">
        <v>6</v>
      </c>
      <c r="AI230">
        <v>5</v>
      </c>
      <c r="AJ230">
        <v>2</v>
      </c>
      <c r="AK230">
        <v>5096159</v>
      </c>
      <c r="AL230">
        <v>13</v>
      </c>
      <c r="AM230">
        <v>2014</v>
      </c>
      <c r="AN230">
        <v>17836</v>
      </c>
      <c r="AO230">
        <v>2013</v>
      </c>
      <c r="AP230" t="s">
        <v>12277</v>
      </c>
      <c r="AQ230" t="s">
        <v>12278</v>
      </c>
      <c r="AR230">
        <v>-99</v>
      </c>
      <c r="AS230">
        <v>-99</v>
      </c>
      <c r="AT230">
        <v>-99</v>
      </c>
      <c r="AU230">
        <v>-99</v>
      </c>
      <c r="AV230">
        <v>-99</v>
      </c>
      <c r="AW230">
        <v>-99</v>
      </c>
      <c r="AX230">
        <v>-99</v>
      </c>
      <c r="AY230">
        <v>-99</v>
      </c>
      <c r="AZ230">
        <v>-99</v>
      </c>
      <c r="BA230">
        <v>-99</v>
      </c>
      <c r="BB230">
        <v>-99</v>
      </c>
      <c r="BC230">
        <v>-99</v>
      </c>
      <c r="BD230" t="s">
        <v>16843</v>
      </c>
      <c r="BE230" t="s">
        <v>16815</v>
      </c>
      <c r="BF230">
        <v>1</v>
      </c>
      <c r="BG230" t="s">
        <v>16839</v>
      </c>
      <c r="BH230" t="s">
        <v>16815</v>
      </c>
      <c r="BI230" t="s">
        <v>16815</v>
      </c>
      <c r="BJ230" t="s">
        <v>16815</v>
      </c>
      <c r="BK230" t="s">
        <v>16815</v>
      </c>
      <c r="BL230" t="s">
        <v>16815</v>
      </c>
      <c r="BM230" t="s">
        <v>16839</v>
      </c>
      <c r="BN230" t="s">
        <v>16815</v>
      </c>
      <c r="BO230" t="s">
        <v>16815</v>
      </c>
      <c r="BP230" t="s">
        <v>16815</v>
      </c>
      <c r="BQ230" t="s">
        <v>16815</v>
      </c>
      <c r="BR230" t="s">
        <v>16815</v>
      </c>
      <c r="BS230" t="s">
        <v>16815</v>
      </c>
      <c r="BT230" t="s">
        <v>16815</v>
      </c>
      <c r="BU230" t="s">
        <v>16815</v>
      </c>
      <c r="BV230" t="s">
        <v>16815</v>
      </c>
      <c r="BW230" t="s">
        <v>16815</v>
      </c>
      <c r="BX230" t="s">
        <v>16815</v>
      </c>
      <c r="BY230" t="s">
        <v>16815</v>
      </c>
      <c r="BZ230" t="s">
        <v>16815</v>
      </c>
      <c r="CA230" t="s">
        <v>16815</v>
      </c>
      <c r="CB230" t="s">
        <v>16815</v>
      </c>
      <c r="CC230" t="s">
        <v>16815</v>
      </c>
      <c r="CD230" t="s">
        <v>16815</v>
      </c>
      <c r="CE230" t="s">
        <v>16815</v>
      </c>
      <c r="CF230" t="s">
        <v>16815</v>
      </c>
      <c r="CG230" t="s">
        <v>16815</v>
      </c>
      <c r="CH230" t="s">
        <v>16815</v>
      </c>
      <c r="CI230" t="s">
        <v>16815</v>
      </c>
      <c r="CJ230" t="s">
        <v>16815</v>
      </c>
      <c r="CK230" t="s">
        <v>16815</v>
      </c>
      <c r="CL230" t="s">
        <v>16815</v>
      </c>
      <c r="CM230">
        <v>-99</v>
      </c>
      <c r="CN230">
        <v>-99</v>
      </c>
      <c r="CO230" t="s">
        <v>12306</v>
      </c>
      <c r="CP230" t="s">
        <v>12306</v>
      </c>
      <c r="CQ230" t="s">
        <v>13085</v>
      </c>
      <c r="CR230" t="s">
        <v>12357</v>
      </c>
      <c r="CS230">
        <v>10</v>
      </c>
      <c r="CT230">
        <v>10</v>
      </c>
      <c r="CU230">
        <v>6</v>
      </c>
      <c r="CV230">
        <v>-99</v>
      </c>
      <c r="CW230">
        <v>1</v>
      </c>
      <c r="CX230">
        <v>4</v>
      </c>
      <c r="CY230">
        <v>4.5</v>
      </c>
      <c r="CZ230">
        <v>9</v>
      </c>
      <c r="DA230">
        <v>46.731594999999999</v>
      </c>
      <c r="DB230">
        <v>9.4438890000000004</v>
      </c>
      <c r="DC230">
        <v>1159321259</v>
      </c>
      <c r="DD230" t="s">
        <v>16844</v>
      </c>
      <c r="DE230" t="s">
        <v>16845</v>
      </c>
      <c r="DF230" t="s">
        <v>16846</v>
      </c>
      <c r="DG230" t="s">
        <v>16838</v>
      </c>
      <c r="DH230" t="s">
        <v>16838</v>
      </c>
      <c r="DI230" t="s">
        <v>16847</v>
      </c>
      <c r="DJ230" t="s">
        <v>16848</v>
      </c>
      <c r="DK230" t="s">
        <v>16838</v>
      </c>
      <c r="DL230" t="s">
        <v>16849</v>
      </c>
      <c r="DM230" t="s">
        <v>16850</v>
      </c>
      <c r="DN230" t="s">
        <v>16851</v>
      </c>
      <c r="DO230" t="s">
        <v>16852</v>
      </c>
      <c r="DP230" t="s">
        <v>16838</v>
      </c>
      <c r="DQ230" t="s">
        <v>16838</v>
      </c>
      <c r="DR230" t="s">
        <v>16853</v>
      </c>
      <c r="DS230" t="s">
        <v>16854</v>
      </c>
      <c r="DT230" t="s">
        <v>16838</v>
      </c>
      <c r="DU230" t="s">
        <v>16838</v>
      </c>
      <c r="DV230" t="s">
        <v>16855</v>
      </c>
      <c r="DW230" t="s">
        <v>16856</v>
      </c>
      <c r="DX230" t="s">
        <v>16838</v>
      </c>
      <c r="DY230" t="s">
        <v>16838</v>
      </c>
      <c r="DZ230" t="s">
        <v>16857</v>
      </c>
      <c r="EA230" t="s">
        <v>16858</v>
      </c>
      <c r="EB230" t="s">
        <v>16838</v>
      </c>
      <c r="EC230" t="s">
        <v>16859</v>
      </c>
      <c r="ED230" t="s">
        <v>16860</v>
      </c>
      <c r="EE230" t="s">
        <v>12505</v>
      </c>
      <c r="EF230">
        <v>1</v>
      </c>
      <c r="EG230" t="s">
        <v>12247</v>
      </c>
      <c r="EH230" t="s">
        <v>12505</v>
      </c>
      <c r="EI230" t="s">
        <v>12505</v>
      </c>
      <c r="EJ230" t="s">
        <v>12505</v>
      </c>
      <c r="EK230" t="s">
        <v>12505</v>
      </c>
      <c r="EL230" t="s">
        <v>12505</v>
      </c>
      <c r="EM230" t="s">
        <v>12247</v>
      </c>
      <c r="EN230" t="s">
        <v>12505</v>
      </c>
      <c r="EO230" t="s">
        <v>12505</v>
      </c>
      <c r="EP230" t="s">
        <v>12505</v>
      </c>
      <c r="EQ230" t="s">
        <v>12505</v>
      </c>
      <c r="ER230" t="s">
        <v>12505</v>
      </c>
      <c r="ES230" t="s">
        <v>12505</v>
      </c>
      <c r="ET230" t="s">
        <v>12505</v>
      </c>
      <c r="EU230" t="s">
        <v>12505</v>
      </c>
      <c r="EV230" t="s">
        <v>12505</v>
      </c>
      <c r="EW230" t="s">
        <v>12505</v>
      </c>
      <c r="EX230" t="s">
        <v>12505</v>
      </c>
      <c r="EY230" t="s">
        <v>12505</v>
      </c>
      <c r="EZ230" t="s">
        <v>12505</v>
      </c>
      <c r="FA230" t="s">
        <v>12505</v>
      </c>
      <c r="FB230" t="s">
        <v>12505</v>
      </c>
      <c r="FC230" t="s">
        <v>12505</v>
      </c>
      <c r="FD230" t="s">
        <v>12505</v>
      </c>
      <c r="FE230" t="s">
        <v>12505</v>
      </c>
      <c r="FF230" t="s">
        <v>12505</v>
      </c>
      <c r="FG230" t="s">
        <v>12505</v>
      </c>
      <c r="FH230" t="s">
        <v>12505</v>
      </c>
      <c r="FI230" t="s">
        <v>12505</v>
      </c>
      <c r="FJ230" t="s">
        <v>12505</v>
      </c>
      <c r="FK230" t="s">
        <v>12505</v>
      </c>
      <c r="FL230" t="s">
        <v>12505</v>
      </c>
    </row>
    <row r="231" spans="1:252" x14ac:dyDescent="0.25">
      <c r="A231" t="s">
        <v>159</v>
      </c>
      <c r="B231" t="s">
        <v>12247</v>
      </c>
      <c r="C231">
        <v>0</v>
      </c>
      <c r="D231">
        <v>2</v>
      </c>
      <c r="E231" t="s">
        <v>159</v>
      </c>
      <c r="F231" t="s">
        <v>16861</v>
      </c>
      <c r="G231">
        <v>0</v>
      </c>
      <c r="H231">
        <v>2</v>
      </c>
      <c r="I231" t="s">
        <v>12249</v>
      </c>
      <c r="J231">
        <v>1</v>
      </c>
      <c r="K231" t="s">
        <v>159</v>
      </c>
      <c r="L231" t="s">
        <v>16861</v>
      </c>
      <c r="M231">
        <v>0</v>
      </c>
      <c r="N231" t="s">
        <v>159</v>
      </c>
      <c r="O231" t="s">
        <v>16861</v>
      </c>
      <c r="P231">
        <v>0</v>
      </c>
      <c r="Q231" t="s">
        <v>159</v>
      </c>
      <c r="R231" t="s">
        <v>16861</v>
      </c>
      <c r="S231">
        <v>0</v>
      </c>
      <c r="T231" t="s">
        <v>159</v>
      </c>
      <c r="U231" t="s">
        <v>16861</v>
      </c>
      <c r="V231" t="s">
        <v>159</v>
      </c>
      <c r="X231" t="s">
        <v>16862</v>
      </c>
      <c r="Y231" t="s">
        <v>1991</v>
      </c>
      <c r="Z231" t="s">
        <v>16863</v>
      </c>
      <c r="AB231" t="s">
        <v>159</v>
      </c>
      <c r="AE231" t="s">
        <v>159</v>
      </c>
      <c r="AG231">
        <v>2</v>
      </c>
      <c r="AH231">
        <v>3</v>
      </c>
      <c r="AI231">
        <v>4</v>
      </c>
      <c r="AJ231">
        <v>2</v>
      </c>
      <c r="AK231">
        <v>58558270</v>
      </c>
      <c r="AL231">
        <v>16</v>
      </c>
      <c r="AM231">
        <v>2019</v>
      </c>
      <c r="AN231">
        <v>351431</v>
      </c>
      <c r="AO231">
        <v>2019</v>
      </c>
      <c r="AP231" t="s">
        <v>12435</v>
      </c>
      <c r="AQ231" t="s">
        <v>12305</v>
      </c>
      <c r="AR231" t="s">
        <v>16864</v>
      </c>
      <c r="AS231" t="s">
        <v>1991</v>
      </c>
      <c r="AT231" t="s">
        <v>1991</v>
      </c>
      <c r="AU231" t="s">
        <v>16861</v>
      </c>
      <c r="AV231" t="s">
        <v>16861</v>
      </c>
      <c r="AW231">
        <v>710</v>
      </c>
      <c r="AX231">
        <v>710</v>
      </c>
      <c r="AY231">
        <v>710</v>
      </c>
      <c r="AZ231" t="s">
        <v>1991</v>
      </c>
      <c r="BA231" t="s">
        <v>16861</v>
      </c>
      <c r="BB231">
        <v>23424942</v>
      </c>
      <c r="BC231">
        <v>23424942</v>
      </c>
      <c r="BD231" t="s">
        <v>12254</v>
      </c>
      <c r="BE231" t="s">
        <v>16861</v>
      </c>
      <c r="BG231" t="s">
        <v>16861</v>
      </c>
      <c r="BH231" t="s">
        <v>16861</v>
      </c>
      <c r="BI231" t="s">
        <v>16861</v>
      </c>
      <c r="BJ231" t="s">
        <v>16861</v>
      </c>
      <c r="BK231" t="s">
        <v>16861</v>
      </c>
      <c r="BL231" t="s">
        <v>16861</v>
      </c>
      <c r="BM231" t="s">
        <v>16861</v>
      </c>
      <c r="BN231" t="s">
        <v>16861</v>
      </c>
      <c r="BO231" t="s">
        <v>16861</v>
      </c>
      <c r="BP231" t="s">
        <v>16861</v>
      </c>
      <c r="BQ231" t="s">
        <v>16861</v>
      </c>
      <c r="BR231" t="s">
        <v>16861</v>
      </c>
      <c r="BS231" t="s">
        <v>16861</v>
      </c>
      <c r="BT231" t="s">
        <v>16861</v>
      </c>
      <c r="BU231" t="s">
        <v>16861</v>
      </c>
      <c r="BV231" t="s">
        <v>16861</v>
      </c>
      <c r="BW231" t="s">
        <v>16861</v>
      </c>
      <c r="BX231" t="s">
        <v>16861</v>
      </c>
      <c r="BY231" t="s">
        <v>16861</v>
      </c>
      <c r="BZ231" t="s">
        <v>16861</v>
      </c>
      <c r="CA231" t="s">
        <v>16861</v>
      </c>
      <c r="CB231" t="s">
        <v>16861</v>
      </c>
      <c r="CC231" t="s">
        <v>16861</v>
      </c>
      <c r="CD231" t="s">
        <v>16861</v>
      </c>
      <c r="CE231" t="s">
        <v>16861</v>
      </c>
      <c r="CF231" t="s">
        <v>16861</v>
      </c>
      <c r="CG231" t="s">
        <v>16861</v>
      </c>
      <c r="CH231" t="s">
        <v>16861</v>
      </c>
      <c r="CI231" t="s">
        <v>16861</v>
      </c>
      <c r="CJ231" t="s">
        <v>16861</v>
      </c>
      <c r="CK231" t="s">
        <v>16861</v>
      </c>
      <c r="CL231" t="s">
        <v>16861</v>
      </c>
      <c r="CM231">
        <v>-99</v>
      </c>
      <c r="CN231">
        <v>-99</v>
      </c>
      <c r="CO231" t="s">
        <v>12306</v>
      </c>
      <c r="CP231" t="s">
        <v>12306</v>
      </c>
      <c r="CQ231" t="s">
        <v>12956</v>
      </c>
      <c r="CR231" t="s">
        <v>12357</v>
      </c>
      <c r="CS231">
        <v>12</v>
      </c>
      <c r="CT231">
        <v>12</v>
      </c>
      <c r="CU231">
        <v>5</v>
      </c>
      <c r="CV231">
        <v>-99</v>
      </c>
      <c r="CW231">
        <v>1</v>
      </c>
      <c r="CX231">
        <v>0</v>
      </c>
      <c r="CY231">
        <v>1.7</v>
      </c>
      <c r="CZ231">
        <v>6.7</v>
      </c>
      <c r="DA231">
        <v>23.665734</v>
      </c>
      <c r="DB231">
        <v>-29.708776</v>
      </c>
      <c r="DC231">
        <v>1159321431</v>
      </c>
      <c r="DD231" t="s">
        <v>16865</v>
      </c>
      <c r="DE231" t="s">
        <v>16866</v>
      </c>
      <c r="DF231" t="s">
        <v>16867</v>
      </c>
      <c r="DG231" t="s">
        <v>16868</v>
      </c>
      <c r="DH231" t="s">
        <v>159</v>
      </c>
      <c r="DI231" t="s">
        <v>16869</v>
      </c>
      <c r="DJ231" t="s">
        <v>16870</v>
      </c>
      <c r="DK231" t="s">
        <v>16871</v>
      </c>
      <c r="DL231" t="s">
        <v>16872</v>
      </c>
      <c r="DM231" t="s">
        <v>16873</v>
      </c>
      <c r="DN231" t="s">
        <v>16874</v>
      </c>
      <c r="DO231" t="s">
        <v>16875</v>
      </c>
      <c r="DP231" t="s">
        <v>16876</v>
      </c>
      <c r="DQ231" t="s">
        <v>16877</v>
      </c>
      <c r="DR231" t="s">
        <v>16878</v>
      </c>
      <c r="DS231" t="s">
        <v>16879</v>
      </c>
      <c r="DT231" t="s">
        <v>16880</v>
      </c>
      <c r="DU231" t="s">
        <v>16881</v>
      </c>
      <c r="DV231" t="s">
        <v>16882</v>
      </c>
      <c r="DW231" t="s">
        <v>16883</v>
      </c>
      <c r="DX231" t="s">
        <v>16884</v>
      </c>
      <c r="DY231" t="s">
        <v>16885</v>
      </c>
      <c r="DZ231" t="s">
        <v>16886</v>
      </c>
      <c r="EA231" t="s">
        <v>16887</v>
      </c>
      <c r="EB231" t="s">
        <v>16888</v>
      </c>
      <c r="EC231" t="s">
        <v>16889</v>
      </c>
      <c r="ED231" t="s">
        <v>16889</v>
      </c>
      <c r="EE231" t="s">
        <v>12247</v>
      </c>
      <c r="EG231" t="s">
        <v>12247</v>
      </c>
    </row>
    <row r="232" spans="1:252" x14ac:dyDescent="0.25">
      <c r="A232" t="s">
        <v>18387</v>
      </c>
      <c r="B232" t="s">
        <v>12247</v>
      </c>
      <c r="C232">
        <v>3</v>
      </c>
      <c r="D232">
        <v>4</v>
      </c>
      <c r="E232" t="s">
        <v>182</v>
      </c>
      <c r="F232" t="s">
        <v>12479</v>
      </c>
      <c r="G232">
        <v>1</v>
      </c>
      <c r="H232">
        <v>2</v>
      </c>
      <c r="I232" t="s">
        <v>12480</v>
      </c>
      <c r="J232">
        <v>1</v>
      </c>
      <c r="K232" t="s">
        <v>17905</v>
      </c>
      <c r="L232" t="s">
        <v>17906</v>
      </c>
      <c r="M232">
        <v>0</v>
      </c>
      <c r="N232" t="s">
        <v>17905</v>
      </c>
      <c r="O232" t="s">
        <v>17906</v>
      </c>
      <c r="P232">
        <v>0</v>
      </c>
      <c r="Q232" t="s">
        <v>17905</v>
      </c>
      <c r="R232" t="s">
        <v>17906</v>
      </c>
      <c r="S232">
        <v>0</v>
      </c>
      <c r="T232" t="s">
        <v>17905</v>
      </c>
      <c r="U232" t="s">
        <v>17906</v>
      </c>
      <c r="V232" t="s">
        <v>17907</v>
      </c>
      <c r="X232" t="s">
        <v>17908</v>
      </c>
      <c r="Y232" t="s">
        <v>1521</v>
      </c>
      <c r="Z232" t="s">
        <v>18387</v>
      </c>
      <c r="AC232" t="s">
        <v>12486</v>
      </c>
      <c r="AE232" t="s">
        <v>17905</v>
      </c>
      <c r="AG232">
        <v>6</v>
      </c>
      <c r="AH232">
        <v>6</v>
      </c>
      <c r="AI232">
        <v>6</v>
      </c>
      <c r="AJ232">
        <v>3</v>
      </c>
      <c r="AK232">
        <v>30</v>
      </c>
      <c r="AL232">
        <v>1</v>
      </c>
      <c r="AM232">
        <v>2017</v>
      </c>
      <c r="AN232">
        <v>0</v>
      </c>
      <c r="AO232">
        <v>2016</v>
      </c>
      <c r="AP232" t="s">
        <v>12252</v>
      </c>
      <c r="AQ232" t="s">
        <v>12253</v>
      </c>
      <c r="AR232" t="s">
        <v>1884</v>
      </c>
      <c r="AS232" t="s">
        <v>1521</v>
      </c>
      <c r="AT232" t="s">
        <v>1521</v>
      </c>
      <c r="AU232" t="s">
        <v>17906</v>
      </c>
      <c r="AV232" t="s">
        <v>17906</v>
      </c>
      <c r="AW232">
        <v>239</v>
      </c>
      <c r="AX232">
        <v>239</v>
      </c>
      <c r="AY232">
        <v>-99</v>
      </c>
      <c r="AZ232">
        <v>-99</v>
      </c>
      <c r="BA232">
        <v>-99</v>
      </c>
      <c r="BB232">
        <v>23424955</v>
      </c>
      <c r="BC232">
        <v>23424955</v>
      </c>
      <c r="BD232" t="s">
        <v>12254</v>
      </c>
      <c r="BE232" t="s">
        <v>17906</v>
      </c>
      <c r="BG232" t="s">
        <v>17906</v>
      </c>
      <c r="BH232" t="s">
        <v>17906</v>
      </c>
      <c r="BI232" t="s">
        <v>17906</v>
      </c>
      <c r="BJ232" t="s">
        <v>17906</v>
      </c>
      <c r="BK232" t="s">
        <v>17906</v>
      </c>
      <c r="BL232" t="s">
        <v>17906</v>
      </c>
      <c r="BM232" t="s">
        <v>17906</v>
      </c>
      <c r="BN232" t="s">
        <v>17906</v>
      </c>
      <c r="BO232" t="s">
        <v>17906</v>
      </c>
      <c r="BP232" t="s">
        <v>17906</v>
      </c>
      <c r="BQ232" t="s">
        <v>17906</v>
      </c>
      <c r="BR232" t="s">
        <v>17906</v>
      </c>
      <c r="BS232" t="s">
        <v>17906</v>
      </c>
      <c r="BT232" t="s">
        <v>17906</v>
      </c>
      <c r="BU232" t="s">
        <v>17906</v>
      </c>
      <c r="BV232" t="s">
        <v>17906</v>
      </c>
      <c r="BW232" t="s">
        <v>17906</v>
      </c>
      <c r="BX232" t="s">
        <v>17906</v>
      </c>
      <c r="BY232" t="s">
        <v>17906</v>
      </c>
      <c r="BZ232" t="s">
        <v>17906</v>
      </c>
      <c r="CA232" t="s">
        <v>17906</v>
      </c>
      <c r="CB232" t="s">
        <v>17906</v>
      </c>
      <c r="CC232" t="s">
        <v>17906</v>
      </c>
      <c r="CD232" t="s">
        <v>17906</v>
      </c>
      <c r="CE232" t="s">
        <v>17906</v>
      </c>
      <c r="CF232" t="s">
        <v>17906</v>
      </c>
      <c r="CG232" t="s">
        <v>17906</v>
      </c>
      <c r="CH232" t="s">
        <v>17906</v>
      </c>
      <c r="CI232" t="s">
        <v>17906</v>
      </c>
      <c r="CJ232" t="s">
        <v>17906</v>
      </c>
      <c r="CK232" t="s">
        <v>17906</v>
      </c>
      <c r="CL232" t="s">
        <v>17906</v>
      </c>
      <c r="CM232">
        <v>-99</v>
      </c>
      <c r="CN232">
        <v>-99</v>
      </c>
      <c r="CO232" t="s">
        <v>13437</v>
      </c>
      <c r="CP232" t="s">
        <v>12403</v>
      </c>
      <c r="CQ232" t="s">
        <v>13437</v>
      </c>
      <c r="CR232" t="s">
        <v>1199</v>
      </c>
      <c r="CS232">
        <v>19</v>
      </c>
      <c r="CT232">
        <v>29</v>
      </c>
      <c r="CU232">
        <v>10</v>
      </c>
      <c r="CV232">
        <v>3</v>
      </c>
      <c r="CW232">
        <v>-99</v>
      </c>
      <c r="CX232">
        <v>0</v>
      </c>
      <c r="CY232">
        <v>5</v>
      </c>
      <c r="CZ232">
        <v>9</v>
      </c>
      <c r="DA232">
        <v>-31.063179000000002</v>
      </c>
      <c r="DB232">
        <v>-55.683402000000001</v>
      </c>
      <c r="DC232">
        <v>1159320731</v>
      </c>
      <c r="DD232" t="s">
        <v>17909</v>
      </c>
      <c r="DE232" t="s">
        <v>17910</v>
      </c>
      <c r="DF232" t="s">
        <v>17911</v>
      </c>
      <c r="DG232" t="s">
        <v>17912</v>
      </c>
      <c r="DH232" t="s">
        <v>1234</v>
      </c>
      <c r="DI232" t="s">
        <v>17913</v>
      </c>
      <c r="DJ232" t="s">
        <v>17914</v>
      </c>
      <c r="DK232" t="s">
        <v>17915</v>
      </c>
      <c r="DL232" t="s">
        <v>17916</v>
      </c>
      <c r="DM232" t="s">
        <v>17917</v>
      </c>
      <c r="DN232" t="s">
        <v>17918</v>
      </c>
      <c r="DO232" t="s">
        <v>17919</v>
      </c>
      <c r="DP232" t="s">
        <v>17920</v>
      </c>
      <c r="DQ232" t="s">
        <v>17921</v>
      </c>
      <c r="DR232" t="s">
        <v>17922</v>
      </c>
      <c r="DS232" t="s">
        <v>17923</v>
      </c>
      <c r="DT232" t="s">
        <v>17924</v>
      </c>
      <c r="DU232" t="s">
        <v>17925</v>
      </c>
      <c r="DV232" t="s">
        <v>17926</v>
      </c>
      <c r="DW232" t="s">
        <v>17927</v>
      </c>
      <c r="DX232" t="s">
        <v>17928</v>
      </c>
      <c r="DY232" t="s">
        <v>17929</v>
      </c>
      <c r="DZ232" t="s">
        <v>17930</v>
      </c>
      <c r="EA232" t="s">
        <v>17931</v>
      </c>
      <c r="EB232" t="s">
        <v>17932</v>
      </c>
      <c r="EC232" t="s">
        <v>17933</v>
      </c>
      <c r="ED232" t="s">
        <v>17934</v>
      </c>
      <c r="EE232" t="s">
        <v>12397</v>
      </c>
      <c r="EG232" t="s">
        <v>12397</v>
      </c>
      <c r="EZ232" t="s">
        <v>12505</v>
      </c>
    </row>
    <row r="233" spans="1:252" x14ac:dyDescent="0.25">
      <c r="A233" t="s">
        <v>89</v>
      </c>
      <c r="B233" t="s">
        <v>12247</v>
      </c>
      <c r="C233">
        <v>0</v>
      </c>
      <c r="D233">
        <v>2</v>
      </c>
      <c r="E233" t="s">
        <v>89</v>
      </c>
      <c r="F233" t="s">
        <v>16890</v>
      </c>
      <c r="G233">
        <v>0</v>
      </c>
      <c r="H233">
        <v>2</v>
      </c>
      <c r="I233" t="s">
        <v>12249</v>
      </c>
      <c r="J233">
        <v>1</v>
      </c>
      <c r="K233" t="s">
        <v>89</v>
      </c>
      <c r="L233" t="s">
        <v>16890</v>
      </c>
      <c r="M233">
        <v>0</v>
      </c>
      <c r="N233" t="s">
        <v>89</v>
      </c>
      <c r="O233" t="s">
        <v>16890</v>
      </c>
      <c r="P233">
        <v>0</v>
      </c>
      <c r="Q233" t="s">
        <v>89</v>
      </c>
      <c r="R233" t="s">
        <v>16890</v>
      </c>
      <c r="S233">
        <v>0</v>
      </c>
      <c r="T233" t="s">
        <v>16891</v>
      </c>
      <c r="U233" t="s">
        <v>16890</v>
      </c>
      <c r="V233" t="s">
        <v>16891</v>
      </c>
      <c r="X233" t="s">
        <v>16892</v>
      </c>
      <c r="Y233" t="s">
        <v>1616</v>
      </c>
      <c r="Z233" t="s">
        <v>16891</v>
      </c>
      <c r="AB233" t="s">
        <v>16893</v>
      </c>
      <c r="AE233" t="s">
        <v>16894</v>
      </c>
      <c r="AG233">
        <v>4</v>
      </c>
      <c r="AH233">
        <v>1</v>
      </c>
      <c r="AI233">
        <v>1</v>
      </c>
      <c r="AJ233">
        <v>5</v>
      </c>
      <c r="AK233">
        <v>51709098</v>
      </c>
      <c r="AL233">
        <v>16</v>
      </c>
      <c r="AM233">
        <v>2019</v>
      </c>
      <c r="AN233">
        <v>1646739</v>
      </c>
      <c r="AO233">
        <v>2019</v>
      </c>
      <c r="AP233" t="s">
        <v>14693</v>
      </c>
      <c r="AQ233" t="s">
        <v>12513</v>
      </c>
      <c r="AR233" t="s">
        <v>16895</v>
      </c>
      <c r="AS233" t="s">
        <v>1616</v>
      </c>
      <c r="AT233" t="s">
        <v>1616</v>
      </c>
      <c r="AU233" t="s">
        <v>16890</v>
      </c>
      <c r="AV233" t="s">
        <v>16890</v>
      </c>
      <c r="AW233">
        <v>410</v>
      </c>
      <c r="AX233">
        <v>410</v>
      </c>
      <c r="AY233">
        <v>410</v>
      </c>
      <c r="AZ233" t="s">
        <v>1616</v>
      </c>
      <c r="BA233" t="s">
        <v>16890</v>
      </c>
      <c r="BB233">
        <v>23424868</v>
      </c>
      <c r="BC233">
        <v>23424868</v>
      </c>
      <c r="BD233" t="s">
        <v>12254</v>
      </c>
      <c r="BE233" t="s">
        <v>16890</v>
      </c>
      <c r="BG233" t="s">
        <v>16890</v>
      </c>
      <c r="BH233" t="s">
        <v>16890</v>
      </c>
      <c r="BI233" t="s">
        <v>16890</v>
      </c>
      <c r="BJ233" t="s">
        <v>16890</v>
      </c>
      <c r="BK233" t="s">
        <v>16890</v>
      </c>
      <c r="BL233" t="s">
        <v>16890</v>
      </c>
      <c r="BM233" t="s">
        <v>16890</v>
      </c>
      <c r="BN233" t="s">
        <v>16890</v>
      </c>
      <c r="BO233" t="s">
        <v>16890</v>
      </c>
      <c r="BP233" t="s">
        <v>16890</v>
      </c>
      <c r="BQ233" t="s">
        <v>16890</v>
      </c>
      <c r="BR233" t="s">
        <v>16890</v>
      </c>
      <c r="BS233" t="s">
        <v>16890</v>
      </c>
      <c r="BT233" t="s">
        <v>16890</v>
      </c>
      <c r="BU233" t="s">
        <v>16890</v>
      </c>
      <c r="BV233" t="s">
        <v>16890</v>
      </c>
      <c r="BW233" t="s">
        <v>16890</v>
      </c>
      <c r="BX233" t="s">
        <v>16890</v>
      </c>
      <c r="BY233" t="s">
        <v>16890</v>
      </c>
      <c r="BZ233" t="s">
        <v>16890</v>
      </c>
      <c r="CA233" t="s">
        <v>16890</v>
      </c>
      <c r="CB233" t="s">
        <v>16890</v>
      </c>
      <c r="CC233" t="s">
        <v>16890</v>
      </c>
      <c r="CD233" t="s">
        <v>16890</v>
      </c>
      <c r="CE233" t="s">
        <v>16890</v>
      </c>
      <c r="CF233" t="s">
        <v>16890</v>
      </c>
      <c r="CG233" t="s">
        <v>16890</v>
      </c>
      <c r="CH233" t="s">
        <v>16890</v>
      </c>
      <c r="CI233" t="s">
        <v>16890</v>
      </c>
      <c r="CJ233" t="s">
        <v>16890</v>
      </c>
      <c r="CK233" t="s">
        <v>16890</v>
      </c>
      <c r="CL233" t="s">
        <v>16890</v>
      </c>
      <c r="CM233">
        <v>-99</v>
      </c>
      <c r="CN233">
        <v>-99</v>
      </c>
      <c r="CO233" t="s">
        <v>12255</v>
      </c>
      <c r="CP233" t="s">
        <v>12255</v>
      </c>
      <c r="CQ233" t="s">
        <v>13649</v>
      </c>
      <c r="CR233" t="s">
        <v>12539</v>
      </c>
      <c r="CS233">
        <v>11</v>
      </c>
      <c r="CT233">
        <v>17</v>
      </c>
      <c r="CU233">
        <v>4</v>
      </c>
      <c r="CV233">
        <v>-99</v>
      </c>
      <c r="CW233">
        <v>1</v>
      </c>
      <c r="CX233">
        <v>0</v>
      </c>
      <c r="CY233">
        <v>2.5</v>
      </c>
      <c r="CZ233">
        <v>7</v>
      </c>
      <c r="DA233">
        <v>128.129504</v>
      </c>
      <c r="DB233">
        <v>36.384923999999998</v>
      </c>
      <c r="DC233">
        <v>1159320985</v>
      </c>
      <c r="DD233" t="s">
        <v>16896</v>
      </c>
      <c r="DE233" t="s">
        <v>16897</v>
      </c>
      <c r="DF233" t="s">
        <v>16898</v>
      </c>
      <c r="DG233" t="s">
        <v>16899</v>
      </c>
      <c r="DH233" t="s">
        <v>89</v>
      </c>
      <c r="DI233" t="s">
        <v>16900</v>
      </c>
      <c r="DJ233" t="s">
        <v>16901</v>
      </c>
      <c r="DK233" t="s">
        <v>16902</v>
      </c>
      <c r="DL233" t="s">
        <v>16903</v>
      </c>
      <c r="DM233" t="s">
        <v>16904</v>
      </c>
      <c r="DN233" t="s">
        <v>16905</v>
      </c>
      <c r="DO233" t="s">
        <v>16906</v>
      </c>
      <c r="DP233" t="s">
        <v>16907</v>
      </c>
      <c r="DQ233" t="s">
        <v>16908</v>
      </c>
      <c r="DR233" t="s">
        <v>16909</v>
      </c>
      <c r="DS233" t="s">
        <v>16910</v>
      </c>
      <c r="DT233" t="s">
        <v>16911</v>
      </c>
      <c r="DU233" t="s">
        <v>16912</v>
      </c>
      <c r="DV233" t="s">
        <v>16913</v>
      </c>
      <c r="DW233" t="s">
        <v>16914</v>
      </c>
      <c r="DX233" t="s">
        <v>16915</v>
      </c>
      <c r="DY233" t="s">
        <v>16916</v>
      </c>
      <c r="DZ233" t="s">
        <v>16917</v>
      </c>
      <c r="EA233" t="s">
        <v>16918</v>
      </c>
      <c r="EB233" t="s">
        <v>16919</v>
      </c>
      <c r="EC233" t="s">
        <v>16920</v>
      </c>
      <c r="ED233" t="s">
        <v>16921</v>
      </c>
      <c r="EE233" t="s">
        <v>12247</v>
      </c>
      <c r="EG233" t="s">
        <v>12247</v>
      </c>
    </row>
    <row r="234" spans="1:252" x14ac:dyDescent="0.25">
      <c r="A234" t="s">
        <v>160</v>
      </c>
      <c r="B234" t="s">
        <v>12247</v>
      </c>
      <c r="C234">
        <v>0</v>
      </c>
      <c r="D234">
        <v>3</v>
      </c>
      <c r="E234" t="s">
        <v>160</v>
      </c>
      <c r="F234" t="s">
        <v>16922</v>
      </c>
      <c r="G234">
        <v>0</v>
      </c>
      <c r="H234">
        <v>2</v>
      </c>
      <c r="I234" t="s">
        <v>12249</v>
      </c>
      <c r="J234">
        <v>1</v>
      </c>
      <c r="K234" t="s">
        <v>160</v>
      </c>
      <c r="L234" t="s">
        <v>16922</v>
      </c>
      <c r="M234">
        <v>0</v>
      </c>
      <c r="N234" t="s">
        <v>160</v>
      </c>
      <c r="O234" t="s">
        <v>16922</v>
      </c>
      <c r="P234">
        <v>0</v>
      </c>
      <c r="Q234" t="s">
        <v>160</v>
      </c>
      <c r="R234" t="s">
        <v>16922</v>
      </c>
      <c r="S234">
        <v>0</v>
      </c>
      <c r="T234" t="s">
        <v>160</v>
      </c>
      <c r="U234" t="s">
        <v>16922</v>
      </c>
      <c r="V234" t="s">
        <v>16923</v>
      </c>
      <c r="X234" t="s">
        <v>16924</v>
      </c>
      <c r="Y234" t="s">
        <v>1876</v>
      </c>
      <c r="Z234" t="s">
        <v>16925</v>
      </c>
      <c r="AB234" t="s">
        <v>160</v>
      </c>
      <c r="AE234" t="s">
        <v>160</v>
      </c>
      <c r="AG234">
        <v>1</v>
      </c>
      <c r="AH234">
        <v>3</v>
      </c>
      <c r="AI234">
        <v>3</v>
      </c>
      <c r="AJ234">
        <v>5</v>
      </c>
      <c r="AK234">
        <v>11062113</v>
      </c>
      <c r="AL234">
        <v>14</v>
      </c>
      <c r="AM234">
        <v>2019</v>
      </c>
      <c r="AN234">
        <v>11998</v>
      </c>
      <c r="AO234">
        <v>2015</v>
      </c>
      <c r="AP234" t="s">
        <v>12252</v>
      </c>
      <c r="AQ234" t="s">
        <v>12253</v>
      </c>
      <c r="AR234">
        <v>-99</v>
      </c>
      <c r="AS234" t="s">
        <v>1876</v>
      </c>
      <c r="AT234" t="s">
        <v>1876</v>
      </c>
      <c r="AU234" t="s">
        <v>16926</v>
      </c>
      <c r="AV234" t="s">
        <v>16926</v>
      </c>
      <c r="AW234">
        <v>728</v>
      </c>
      <c r="AX234">
        <v>728</v>
      </c>
      <c r="AY234">
        <v>728</v>
      </c>
      <c r="AZ234" t="s">
        <v>1876</v>
      </c>
      <c r="BA234" t="s">
        <v>16926</v>
      </c>
      <c r="BB234">
        <v>-99</v>
      </c>
      <c r="BC234">
        <v>-99</v>
      </c>
      <c r="BD234" t="s">
        <v>16927</v>
      </c>
      <c r="BE234" t="s">
        <v>16926</v>
      </c>
      <c r="BF234">
        <v>1</v>
      </c>
      <c r="BG234" t="s">
        <v>16922</v>
      </c>
      <c r="BH234" t="s">
        <v>16922</v>
      </c>
      <c r="BI234" t="s">
        <v>16922</v>
      </c>
      <c r="BJ234" t="s">
        <v>16922</v>
      </c>
      <c r="BK234" t="s">
        <v>16922</v>
      </c>
      <c r="BL234" t="s">
        <v>16922</v>
      </c>
      <c r="BM234" t="s">
        <v>16922</v>
      </c>
      <c r="BN234" t="s">
        <v>16922</v>
      </c>
      <c r="BO234" t="s">
        <v>16922</v>
      </c>
      <c r="BP234" t="s">
        <v>16922</v>
      </c>
      <c r="BQ234" t="s">
        <v>16922</v>
      </c>
      <c r="BR234" t="s">
        <v>16922</v>
      </c>
      <c r="BS234" t="s">
        <v>16922</v>
      </c>
      <c r="BT234" t="s">
        <v>16922</v>
      </c>
      <c r="BU234" t="s">
        <v>16922</v>
      </c>
      <c r="BV234" t="s">
        <v>16922</v>
      </c>
      <c r="BW234" t="s">
        <v>16922</v>
      </c>
      <c r="BX234" t="s">
        <v>16922</v>
      </c>
      <c r="BY234" t="s">
        <v>16922</v>
      </c>
      <c r="BZ234" t="s">
        <v>16922</v>
      </c>
      <c r="CA234" t="s">
        <v>16922</v>
      </c>
      <c r="CB234" t="s">
        <v>16922</v>
      </c>
      <c r="CC234" t="s">
        <v>16922</v>
      </c>
      <c r="CD234" t="s">
        <v>16922</v>
      </c>
      <c r="CE234" t="s">
        <v>16922</v>
      </c>
      <c r="CF234" t="s">
        <v>16922</v>
      </c>
      <c r="CG234" t="s">
        <v>16922</v>
      </c>
      <c r="CH234" t="s">
        <v>16922</v>
      </c>
      <c r="CI234" t="s">
        <v>16922</v>
      </c>
      <c r="CJ234" t="s">
        <v>16922</v>
      </c>
      <c r="CK234" t="s">
        <v>16922</v>
      </c>
      <c r="CL234" t="s">
        <v>16922</v>
      </c>
      <c r="CM234">
        <v>-99</v>
      </c>
      <c r="CN234">
        <v>-99</v>
      </c>
      <c r="CO234" t="s">
        <v>12306</v>
      </c>
      <c r="CP234" t="s">
        <v>12306</v>
      </c>
      <c r="CQ234" t="s">
        <v>13085</v>
      </c>
      <c r="CR234" t="s">
        <v>12357</v>
      </c>
      <c r="CS234">
        <v>8</v>
      </c>
      <c r="CT234">
        <v>11</v>
      </c>
      <c r="CU234">
        <v>7</v>
      </c>
      <c r="CV234">
        <v>-99</v>
      </c>
      <c r="CW234">
        <v>1</v>
      </c>
      <c r="CX234">
        <v>0</v>
      </c>
      <c r="CY234">
        <v>3</v>
      </c>
      <c r="CZ234">
        <v>8</v>
      </c>
      <c r="DA234">
        <v>30.390150999999999</v>
      </c>
      <c r="DB234">
        <v>7.2304769999999996</v>
      </c>
      <c r="DC234">
        <v>1159321235</v>
      </c>
      <c r="DD234" t="s">
        <v>16928</v>
      </c>
      <c r="DE234" t="s">
        <v>16929</v>
      </c>
      <c r="DF234" t="s">
        <v>16930</v>
      </c>
      <c r="DG234" t="s">
        <v>16931</v>
      </c>
      <c r="DH234" t="s">
        <v>160</v>
      </c>
      <c r="DI234" t="s">
        <v>16932</v>
      </c>
      <c r="DJ234" t="s">
        <v>16933</v>
      </c>
      <c r="DK234" t="s">
        <v>16934</v>
      </c>
      <c r="DL234" t="s">
        <v>16935</v>
      </c>
      <c r="DM234" t="s">
        <v>16936</v>
      </c>
      <c r="DN234" t="s">
        <v>16937</v>
      </c>
      <c r="DO234" t="s">
        <v>16938</v>
      </c>
      <c r="DP234" t="s">
        <v>16939</v>
      </c>
      <c r="DQ234" t="s">
        <v>16940</v>
      </c>
      <c r="DR234" t="s">
        <v>16941</v>
      </c>
      <c r="DS234" t="s">
        <v>16942</v>
      </c>
      <c r="DT234" t="s">
        <v>16943</v>
      </c>
      <c r="DU234" t="s">
        <v>16944</v>
      </c>
      <c r="DV234" t="s">
        <v>16945</v>
      </c>
      <c r="DW234" t="s">
        <v>16946</v>
      </c>
      <c r="DX234" t="s">
        <v>16947</v>
      </c>
      <c r="DY234" t="s">
        <v>16948</v>
      </c>
      <c r="DZ234" t="s">
        <v>16949</v>
      </c>
      <c r="EA234" t="s">
        <v>16950</v>
      </c>
      <c r="EB234" t="s">
        <v>16951</v>
      </c>
      <c r="EC234" t="s">
        <v>16952</v>
      </c>
      <c r="ED234" t="s">
        <v>16953</v>
      </c>
      <c r="EE234" t="s">
        <v>12247</v>
      </c>
      <c r="EG234" t="s">
        <v>12247</v>
      </c>
    </row>
    <row r="235" spans="1:252" x14ac:dyDescent="0.25">
      <c r="A235" t="s">
        <v>16954</v>
      </c>
      <c r="B235" t="s">
        <v>12247</v>
      </c>
      <c r="C235">
        <v>0</v>
      </c>
      <c r="D235">
        <v>9</v>
      </c>
      <c r="E235" t="s">
        <v>16954</v>
      </c>
      <c r="F235" t="s">
        <v>16955</v>
      </c>
      <c r="G235">
        <v>0</v>
      </c>
      <c r="H235">
        <v>2</v>
      </c>
      <c r="I235" t="s">
        <v>12371</v>
      </c>
      <c r="K235" t="s">
        <v>16954</v>
      </c>
      <c r="L235" t="s">
        <v>16955</v>
      </c>
      <c r="M235">
        <v>0</v>
      </c>
      <c r="N235" t="s">
        <v>16954</v>
      </c>
      <c r="O235" t="s">
        <v>16955</v>
      </c>
      <c r="P235">
        <v>0</v>
      </c>
      <c r="Q235" t="s">
        <v>16954</v>
      </c>
      <c r="R235" t="s">
        <v>16955</v>
      </c>
      <c r="S235">
        <v>1</v>
      </c>
      <c r="T235" t="s">
        <v>16954</v>
      </c>
      <c r="U235" t="s">
        <v>16956</v>
      </c>
      <c r="V235" t="s">
        <v>16954</v>
      </c>
      <c r="X235" t="s">
        <v>16957</v>
      </c>
      <c r="Z235" t="s">
        <v>16954</v>
      </c>
      <c r="AC235" t="s">
        <v>12714</v>
      </c>
      <c r="AD235" t="s">
        <v>16958</v>
      </c>
      <c r="AE235" t="s">
        <v>16954</v>
      </c>
      <c r="AG235">
        <v>4</v>
      </c>
      <c r="AH235">
        <v>4</v>
      </c>
      <c r="AI235">
        <v>4</v>
      </c>
      <c r="AJ235">
        <v>3</v>
      </c>
      <c r="AK235">
        <v>0</v>
      </c>
      <c r="AL235">
        <v>1</v>
      </c>
      <c r="AM235">
        <v>2019</v>
      </c>
      <c r="AN235">
        <v>0</v>
      </c>
      <c r="AO235">
        <v>2019</v>
      </c>
      <c r="AP235">
        <v>-99</v>
      </c>
      <c r="AQ235">
        <v>-99</v>
      </c>
      <c r="AR235">
        <v>-99</v>
      </c>
      <c r="AS235">
        <v>-99</v>
      </c>
      <c r="AT235">
        <v>-99</v>
      </c>
      <c r="AU235">
        <v>-99</v>
      </c>
      <c r="AV235">
        <v>-99</v>
      </c>
      <c r="AW235">
        <v>-99</v>
      </c>
      <c r="AX235">
        <v>-99</v>
      </c>
      <c r="AY235">
        <v>-99</v>
      </c>
      <c r="AZ235">
        <v>-99</v>
      </c>
      <c r="BA235">
        <v>-99</v>
      </c>
      <c r="BB235">
        <v>-99</v>
      </c>
      <c r="BC235">
        <v>-99</v>
      </c>
      <c r="BD235" t="s">
        <v>12488</v>
      </c>
      <c r="BE235">
        <v>-99</v>
      </c>
      <c r="BG235">
        <v>-99</v>
      </c>
      <c r="BH235">
        <v>-99</v>
      </c>
      <c r="BI235">
        <v>-99</v>
      </c>
      <c r="BJ235">
        <v>-99</v>
      </c>
      <c r="BK235">
        <v>-99</v>
      </c>
      <c r="BL235">
        <v>-99</v>
      </c>
      <c r="BM235">
        <v>-99</v>
      </c>
      <c r="BN235">
        <v>-99</v>
      </c>
      <c r="BO235">
        <v>-99</v>
      </c>
      <c r="BP235">
        <v>-99</v>
      </c>
      <c r="BQ235">
        <v>-99</v>
      </c>
      <c r="BR235">
        <v>-99</v>
      </c>
      <c r="BS235">
        <v>-99</v>
      </c>
      <c r="BT235">
        <v>-99</v>
      </c>
      <c r="BU235">
        <v>-99</v>
      </c>
      <c r="BV235">
        <v>-99</v>
      </c>
      <c r="BW235">
        <v>-99</v>
      </c>
      <c r="BX235">
        <v>-99</v>
      </c>
      <c r="BY235">
        <v>-99</v>
      </c>
      <c r="BZ235" t="s">
        <v>12432</v>
      </c>
      <c r="CA235">
        <v>-99</v>
      </c>
      <c r="CB235">
        <v>-99</v>
      </c>
      <c r="CC235">
        <v>-99</v>
      </c>
      <c r="CD235">
        <v>-99</v>
      </c>
      <c r="CE235">
        <v>-99</v>
      </c>
      <c r="CF235">
        <v>-99</v>
      </c>
      <c r="CG235">
        <v>-99</v>
      </c>
      <c r="CH235">
        <v>-99</v>
      </c>
      <c r="CI235">
        <v>-99</v>
      </c>
      <c r="CJ235">
        <v>-99</v>
      </c>
      <c r="CK235">
        <v>-99</v>
      </c>
      <c r="CL235">
        <v>-99</v>
      </c>
      <c r="CM235">
        <v>-99</v>
      </c>
      <c r="CN235">
        <v>-99</v>
      </c>
      <c r="CO235" t="s">
        <v>12436</v>
      </c>
      <c r="CP235" t="s">
        <v>12403</v>
      </c>
      <c r="CQ235" t="s">
        <v>12436</v>
      </c>
      <c r="CR235" t="s">
        <v>12405</v>
      </c>
      <c r="CS235">
        <v>29</v>
      </c>
      <c r="CT235">
        <v>29</v>
      </c>
      <c r="CU235">
        <v>16</v>
      </c>
      <c r="CV235">
        <v>-99</v>
      </c>
      <c r="CW235">
        <v>1</v>
      </c>
      <c r="CX235">
        <v>7</v>
      </c>
      <c r="CY235">
        <v>7.7</v>
      </c>
      <c r="CZ235">
        <v>9</v>
      </c>
      <c r="DA235">
        <v>-73.313779999999994</v>
      </c>
      <c r="DB235">
        <v>-49.511034000000002</v>
      </c>
      <c r="DC235">
        <v>1729635141</v>
      </c>
      <c r="DD235" t="s">
        <v>16959</v>
      </c>
      <c r="DE235" t="s">
        <v>16960</v>
      </c>
      <c r="DF235" t="s">
        <v>16961</v>
      </c>
      <c r="DG235" t="s">
        <v>16962</v>
      </c>
      <c r="DH235" t="s">
        <v>16954</v>
      </c>
      <c r="DI235" t="s">
        <v>16963</v>
      </c>
      <c r="DJ235" t="s">
        <v>16964</v>
      </c>
      <c r="DK235" t="s">
        <v>16965</v>
      </c>
      <c r="DL235" t="s">
        <v>16966</v>
      </c>
      <c r="DM235" t="s">
        <v>16967</v>
      </c>
      <c r="DN235" t="s">
        <v>16968</v>
      </c>
      <c r="DO235" t="s">
        <v>16969</v>
      </c>
      <c r="DP235" t="s">
        <v>16970</v>
      </c>
      <c r="DQ235" t="s">
        <v>16971</v>
      </c>
      <c r="DR235" t="s">
        <v>16972</v>
      </c>
      <c r="DS235" t="s">
        <v>16973</v>
      </c>
      <c r="DT235" t="s">
        <v>16954</v>
      </c>
      <c r="DU235" t="s">
        <v>16974</v>
      </c>
      <c r="DV235" t="s">
        <v>16975</v>
      </c>
      <c r="DW235" t="s">
        <v>16976</v>
      </c>
      <c r="DX235" t="s">
        <v>16977</v>
      </c>
      <c r="DY235" t="s">
        <v>16978</v>
      </c>
      <c r="DZ235" t="s">
        <v>16979</v>
      </c>
      <c r="EA235" t="s">
        <v>16980</v>
      </c>
      <c r="EB235" t="s">
        <v>16981</v>
      </c>
      <c r="EC235" t="s">
        <v>16982</v>
      </c>
      <c r="ED235" t="s">
        <v>16982</v>
      </c>
      <c r="EE235" t="s">
        <v>12505</v>
      </c>
      <c r="EG235" t="s">
        <v>12505</v>
      </c>
      <c r="EJ235" t="s">
        <v>12505</v>
      </c>
      <c r="EL235" t="s">
        <v>12505</v>
      </c>
      <c r="EM235" t="s">
        <v>12505</v>
      </c>
      <c r="EN235" t="s">
        <v>12505</v>
      </c>
      <c r="EO235" t="s">
        <v>12505</v>
      </c>
      <c r="EP235" t="s">
        <v>12505</v>
      </c>
      <c r="EQ235" t="s">
        <v>12505</v>
      </c>
      <c r="ES235" t="s">
        <v>12505</v>
      </c>
      <c r="ET235" t="s">
        <v>12505</v>
      </c>
      <c r="EU235" t="s">
        <v>12505</v>
      </c>
      <c r="EV235" t="s">
        <v>12505</v>
      </c>
      <c r="EW235" t="s">
        <v>12505</v>
      </c>
      <c r="EX235" t="s">
        <v>12505</v>
      </c>
      <c r="EZ235" t="s">
        <v>12505</v>
      </c>
      <c r="FA235" t="s">
        <v>12505</v>
      </c>
      <c r="FB235" t="s">
        <v>12505</v>
      </c>
      <c r="FC235" t="s">
        <v>12505</v>
      </c>
      <c r="FD235" t="s">
        <v>12505</v>
      </c>
      <c r="FE235" t="s">
        <v>12505</v>
      </c>
      <c r="FF235" t="s">
        <v>12505</v>
      </c>
      <c r="FG235" t="s">
        <v>12505</v>
      </c>
      <c r="FK235" t="s">
        <v>12505</v>
      </c>
      <c r="FL235" t="s">
        <v>12505</v>
      </c>
    </row>
    <row r="236" spans="1:252" x14ac:dyDescent="0.25">
      <c r="A236" t="s">
        <v>161</v>
      </c>
      <c r="B236" t="s">
        <v>12247</v>
      </c>
      <c r="C236">
        <v>0</v>
      </c>
      <c r="D236">
        <v>2</v>
      </c>
      <c r="E236" t="s">
        <v>161</v>
      </c>
      <c r="F236" t="s">
        <v>16983</v>
      </c>
      <c r="G236">
        <v>0</v>
      </c>
      <c r="H236">
        <v>2</v>
      </c>
      <c r="I236" t="s">
        <v>12249</v>
      </c>
      <c r="J236">
        <v>1</v>
      </c>
      <c r="K236" t="s">
        <v>161</v>
      </c>
      <c r="L236" t="s">
        <v>16983</v>
      </c>
      <c r="M236">
        <v>0</v>
      </c>
      <c r="N236" t="s">
        <v>161</v>
      </c>
      <c r="O236" t="s">
        <v>16983</v>
      </c>
      <c r="P236">
        <v>0</v>
      </c>
      <c r="Q236" t="s">
        <v>161</v>
      </c>
      <c r="R236" t="s">
        <v>16983</v>
      </c>
      <c r="S236">
        <v>0</v>
      </c>
      <c r="T236" t="s">
        <v>161</v>
      </c>
      <c r="U236" t="s">
        <v>16983</v>
      </c>
      <c r="V236" t="s">
        <v>161</v>
      </c>
      <c r="X236" t="s">
        <v>16984</v>
      </c>
      <c r="Y236" t="s">
        <v>16985</v>
      </c>
      <c r="Z236" t="s">
        <v>16986</v>
      </c>
      <c r="AB236" t="s">
        <v>161</v>
      </c>
      <c r="AE236" t="s">
        <v>161</v>
      </c>
      <c r="AG236">
        <v>4</v>
      </c>
      <c r="AH236">
        <v>5</v>
      </c>
      <c r="AI236">
        <v>5</v>
      </c>
      <c r="AJ236">
        <v>5</v>
      </c>
      <c r="AK236">
        <v>47076781</v>
      </c>
      <c r="AL236">
        <v>15</v>
      </c>
      <c r="AM236">
        <v>2019</v>
      </c>
      <c r="AN236">
        <v>1393490</v>
      </c>
      <c r="AO236">
        <v>2019</v>
      </c>
      <c r="AP236" t="s">
        <v>12334</v>
      </c>
      <c r="AQ236" t="s">
        <v>12513</v>
      </c>
      <c r="AR236" t="s">
        <v>16987</v>
      </c>
      <c r="AS236" t="s">
        <v>1448</v>
      </c>
      <c r="AT236" t="s">
        <v>1448</v>
      </c>
      <c r="AU236" t="s">
        <v>16983</v>
      </c>
      <c r="AV236" t="s">
        <v>16983</v>
      </c>
      <c r="AW236">
        <v>724</v>
      </c>
      <c r="AX236">
        <v>724</v>
      </c>
      <c r="AY236">
        <v>724</v>
      </c>
      <c r="AZ236" t="s">
        <v>1448</v>
      </c>
      <c r="BA236" t="s">
        <v>16983</v>
      </c>
      <c r="BB236">
        <v>23424950</v>
      </c>
      <c r="BC236">
        <v>23424950</v>
      </c>
      <c r="BD236" t="s">
        <v>12254</v>
      </c>
      <c r="BE236" t="s">
        <v>16983</v>
      </c>
      <c r="BG236" t="s">
        <v>16983</v>
      </c>
      <c r="BH236" t="s">
        <v>16983</v>
      </c>
      <c r="BI236" t="s">
        <v>16983</v>
      </c>
      <c r="BJ236" t="s">
        <v>16983</v>
      </c>
      <c r="BK236" t="s">
        <v>16983</v>
      </c>
      <c r="BL236" t="s">
        <v>16983</v>
      </c>
      <c r="BM236" t="s">
        <v>16983</v>
      </c>
      <c r="BN236" t="s">
        <v>16983</v>
      </c>
      <c r="BO236" t="s">
        <v>16983</v>
      </c>
      <c r="BP236" t="s">
        <v>16983</v>
      </c>
      <c r="BQ236" t="s">
        <v>16983</v>
      </c>
      <c r="BR236" t="s">
        <v>16983</v>
      </c>
      <c r="BS236" t="s">
        <v>16983</v>
      </c>
      <c r="BT236" t="s">
        <v>16983</v>
      </c>
      <c r="BU236" t="s">
        <v>16983</v>
      </c>
      <c r="BV236" t="s">
        <v>16983</v>
      </c>
      <c r="BW236" t="s">
        <v>16983</v>
      </c>
      <c r="BX236" t="s">
        <v>16983</v>
      </c>
      <c r="BY236" t="s">
        <v>16983</v>
      </c>
      <c r="BZ236" t="s">
        <v>16983</v>
      </c>
      <c r="CA236" t="s">
        <v>16983</v>
      </c>
      <c r="CB236" t="s">
        <v>16983</v>
      </c>
      <c r="CC236" t="s">
        <v>16983</v>
      </c>
      <c r="CD236" t="s">
        <v>16983</v>
      </c>
      <c r="CE236" t="s">
        <v>16983</v>
      </c>
      <c r="CF236" t="s">
        <v>16983</v>
      </c>
      <c r="CG236" t="s">
        <v>16983</v>
      </c>
      <c r="CH236" t="s">
        <v>16983</v>
      </c>
      <c r="CI236" t="s">
        <v>16983</v>
      </c>
      <c r="CJ236" t="s">
        <v>16983</v>
      </c>
      <c r="CK236" t="s">
        <v>16983</v>
      </c>
      <c r="CL236" t="s">
        <v>16983</v>
      </c>
      <c r="CM236">
        <v>-99</v>
      </c>
      <c r="CN236">
        <v>-99</v>
      </c>
      <c r="CO236" t="s">
        <v>12279</v>
      </c>
      <c r="CP236" t="s">
        <v>12279</v>
      </c>
      <c r="CQ236" t="s">
        <v>12280</v>
      </c>
      <c r="CR236" t="s">
        <v>12281</v>
      </c>
      <c r="CS236">
        <v>5</v>
      </c>
      <c r="CT236">
        <v>5</v>
      </c>
      <c r="CU236">
        <v>3</v>
      </c>
      <c r="CV236">
        <v>-99</v>
      </c>
      <c r="CW236">
        <v>1</v>
      </c>
      <c r="CX236">
        <v>0</v>
      </c>
      <c r="CY236">
        <v>2</v>
      </c>
      <c r="CZ236">
        <v>7</v>
      </c>
      <c r="DA236">
        <v>-3.464718</v>
      </c>
      <c r="DB236">
        <v>40.090952999999999</v>
      </c>
      <c r="DC236">
        <v>1159320587</v>
      </c>
      <c r="DD236" t="s">
        <v>16988</v>
      </c>
      <c r="DE236" t="s">
        <v>16989</v>
      </c>
      <c r="DF236" t="s">
        <v>16990</v>
      </c>
      <c r="DG236" t="s">
        <v>16991</v>
      </c>
      <c r="DH236" t="s">
        <v>161</v>
      </c>
      <c r="DI236" t="s">
        <v>16992</v>
      </c>
      <c r="DJ236" t="s">
        <v>16993</v>
      </c>
      <c r="DK236" t="s">
        <v>16994</v>
      </c>
      <c r="DL236" t="s">
        <v>16995</v>
      </c>
      <c r="DM236" t="s">
        <v>16996</v>
      </c>
      <c r="DN236" t="s">
        <v>16997</v>
      </c>
      <c r="DO236" t="s">
        <v>16998</v>
      </c>
      <c r="DP236" t="s">
        <v>16999</v>
      </c>
      <c r="DQ236" t="s">
        <v>17000</v>
      </c>
      <c r="DR236" t="s">
        <v>17001</v>
      </c>
      <c r="DS236" t="s">
        <v>17002</v>
      </c>
      <c r="DT236" t="s">
        <v>17003</v>
      </c>
      <c r="DU236" t="s">
        <v>17004</v>
      </c>
      <c r="DV236" t="s">
        <v>17005</v>
      </c>
      <c r="DW236" t="s">
        <v>17006</v>
      </c>
      <c r="DX236" t="s">
        <v>16991</v>
      </c>
      <c r="DY236" t="s">
        <v>17007</v>
      </c>
      <c r="DZ236" t="s">
        <v>17008</v>
      </c>
      <c r="EA236" t="s">
        <v>17009</v>
      </c>
      <c r="EB236" t="s">
        <v>17010</v>
      </c>
      <c r="EC236" t="s">
        <v>17011</v>
      </c>
      <c r="ED236" t="s">
        <v>17011</v>
      </c>
      <c r="EE236" t="s">
        <v>12247</v>
      </c>
      <c r="EG236" t="s">
        <v>12247</v>
      </c>
    </row>
    <row r="237" spans="1:252" x14ac:dyDescent="0.25">
      <c r="A237" t="s">
        <v>17014</v>
      </c>
      <c r="B237" t="s">
        <v>12247</v>
      </c>
      <c r="C237">
        <v>6</v>
      </c>
      <c r="D237">
        <v>6</v>
      </c>
      <c r="E237" t="s">
        <v>17012</v>
      </c>
      <c r="F237" t="s">
        <v>17013</v>
      </c>
      <c r="G237">
        <v>0</v>
      </c>
      <c r="H237">
        <v>2</v>
      </c>
      <c r="I237" t="s">
        <v>12371</v>
      </c>
      <c r="J237">
        <v>1</v>
      </c>
      <c r="K237" t="s">
        <v>17012</v>
      </c>
      <c r="L237" t="s">
        <v>17013</v>
      </c>
      <c r="M237">
        <v>0</v>
      </c>
      <c r="N237" t="s">
        <v>17012</v>
      </c>
      <c r="O237" t="s">
        <v>17013</v>
      </c>
      <c r="P237">
        <v>0</v>
      </c>
      <c r="Q237" t="s">
        <v>17012</v>
      </c>
      <c r="R237" t="s">
        <v>17013</v>
      </c>
      <c r="S237">
        <v>1</v>
      </c>
      <c r="T237" t="s">
        <v>17012</v>
      </c>
      <c r="U237" t="s">
        <v>17015</v>
      </c>
      <c r="V237" t="s">
        <v>17014</v>
      </c>
      <c r="X237" t="s">
        <v>17014</v>
      </c>
      <c r="Y237" t="s">
        <v>16987</v>
      </c>
      <c r="AC237" t="s">
        <v>12714</v>
      </c>
      <c r="AD237" t="s">
        <v>17016</v>
      </c>
      <c r="AE237" t="s">
        <v>17012</v>
      </c>
      <c r="AG237">
        <v>3</v>
      </c>
      <c r="AH237">
        <v>7</v>
      </c>
      <c r="AI237">
        <v>6</v>
      </c>
      <c r="AJ237">
        <v>-99</v>
      </c>
      <c r="AK237">
        <v>100</v>
      </c>
      <c r="AL237">
        <v>1</v>
      </c>
      <c r="AM237">
        <v>2017</v>
      </c>
      <c r="AN237">
        <v>0</v>
      </c>
      <c r="AO237">
        <v>2016</v>
      </c>
      <c r="AP237" t="s">
        <v>12252</v>
      </c>
      <c r="AQ237" t="s">
        <v>12253</v>
      </c>
      <c r="AR237" t="s">
        <v>1780</v>
      </c>
      <c r="AS237">
        <v>-99</v>
      </c>
      <c r="AT237">
        <v>-99</v>
      </c>
      <c r="AU237">
        <v>-99</v>
      </c>
      <c r="AV237">
        <v>-99</v>
      </c>
      <c r="AW237">
        <v>-99</v>
      </c>
      <c r="AX237">
        <v>-99</v>
      </c>
      <c r="AY237">
        <v>-99</v>
      </c>
      <c r="AZ237">
        <v>-99</v>
      </c>
      <c r="BA237">
        <v>-99</v>
      </c>
      <c r="BB237">
        <v>23424921</v>
      </c>
      <c r="BC237">
        <v>23424921</v>
      </c>
      <c r="BD237" t="s">
        <v>12254</v>
      </c>
      <c r="BE237">
        <v>-99</v>
      </c>
      <c r="BF237">
        <v>1</v>
      </c>
      <c r="BG237" t="s">
        <v>17013</v>
      </c>
      <c r="BH237" t="s">
        <v>17013</v>
      </c>
      <c r="BI237" t="s">
        <v>17013</v>
      </c>
      <c r="BJ237" t="s">
        <v>17013</v>
      </c>
      <c r="BK237" t="s">
        <v>17013</v>
      </c>
      <c r="BL237" t="s">
        <v>13646</v>
      </c>
      <c r="BM237" t="s">
        <v>13648</v>
      </c>
      <c r="BN237" t="s">
        <v>17013</v>
      </c>
      <c r="BO237" t="s">
        <v>17013</v>
      </c>
      <c r="BP237" t="s">
        <v>17013</v>
      </c>
      <c r="BQ237" t="s">
        <v>17013</v>
      </c>
      <c r="BR237" t="s">
        <v>17013</v>
      </c>
      <c r="BS237" t="s">
        <v>17013</v>
      </c>
      <c r="BT237" t="s">
        <v>17013</v>
      </c>
      <c r="BU237" t="s">
        <v>17013</v>
      </c>
      <c r="BV237" t="s">
        <v>17013</v>
      </c>
      <c r="BW237" t="s">
        <v>17013</v>
      </c>
      <c r="BX237" t="s">
        <v>17013</v>
      </c>
      <c r="BY237" t="s">
        <v>17013</v>
      </c>
      <c r="BZ237" t="s">
        <v>17013</v>
      </c>
      <c r="CA237" t="s">
        <v>17013</v>
      </c>
      <c r="CB237" t="s">
        <v>17013</v>
      </c>
      <c r="CC237" t="s">
        <v>17017</v>
      </c>
      <c r="CD237" t="s">
        <v>17013</v>
      </c>
      <c r="CE237" t="s">
        <v>17013</v>
      </c>
      <c r="CF237" t="s">
        <v>17013</v>
      </c>
      <c r="CG237" t="s">
        <v>17013</v>
      </c>
      <c r="CH237" t="s">
        <v>17013</v>
      </c>
      <c r="CI237" t="s">
        <v>17013</v>
      </c>
      <c r="CJ237" t="s">
        <v>17013</v>
      </c>
      <c r="CK237" t="s">
        <v>17013</v>
      </c>
      <c r="CL237" t="s">
        <v>17013</v>
      </c>
      <c r="CM237">
        <v>-99</v>
      </c>
      <c r="CN237">
        <v>-99</v>
      </c>
      <c r="CO237" t="s">
        <v>12255</v>
      </c>
      <c r="CP237" t="s">
        <v>12255</v>
      </c>
      <c r="CQ237" t="s">
        <v>13026</v>
      </c>
      <c r="CR237" t="s">
        <v>12539</v>
      </c>
      <c r="CS237">
        <v>11</v>
      </c>
      <c r="CT237">
        <v>15</v>
      </c>
      <c r="CU237">
        <v>11</v>
      </c>
      <c r="CV237">
        <v>-99</v>
      </c>
      <c r="CW237">
        <v>1</v>
      </c>
      <c r="CX237">
        <v>6</v>
      </c>
      <c r="CY237">
        <v>6</v>
      </c>
      <c r="CZ237">
        <v>10</v>
      </c>
      <c r="DA237">
        <v>115.81956</v>
      </c>
      <c r="DB237">
        <v>10.72954</v>
      </c>
      <c r="DC237">
        <v>1159321165</v>
      </c>
      <c r="DD237" t="s">
        <v>17018</v>
      </c>
      <c r="DE237" t="s">
        <v>17019</v>
      </c>
      <c r="DF237" t="s">
        <v>17020</v>
      </c>
      <c r="DG237" t="s">
        <v>17021</v>
      </c>
      <c r="DH237" t="s">
        <v>11626</v>
      </c>
      <c r="DI237" t="s">
        <v>17022</v>
      </c>
      <c r="DJ237" t="s">
        <v>17023</v>
      </c>
      <c r="DK237" t="s">
        <v>17021</v>
      </c>
      <c r="DL237" t="s">
        <v>17024</v>
      </c>
      <c r="DM237" t="s">
        <v>17025</v>
      </c>
      <c r="DN237" t="s">
        <v>17026</v>
      </c>
      <c r="DO237" t="s">
        <v>17027</v>
      </c>
      <c r="DP237" t="s">
        <v>17028</v>
      </c>
      <c r="DQ237" t="s">
        <v>17029</v>
      </c>
      <c r="DR237" t="s">
        <v>17030</v>
      </c>
      <c r="DS237" t="s">
        <v>17031</v>
      </c>
      <c r="DT237" t="s">
        <v>17021</v>
      </c>
      <c r="DU237" t="s">
        <v>17021</v>
      </c>
      <c r="DV237" t="s">
        <v>17032</v>
      </c>
      <c r="DW237" t="s">
        <v>17033</v>
      </c>
      <c r="DX237" t="s">
        <v>17021</v>
      </c>
      <c r="DY237" t="s">
        <v>17034</v>
      </c>
      <c r="DZ237" t="s">
        <v>17035</v>
      </c>
      <c r="EA237" t="s">
        <v>17036</v>
      </c>
      <c r="EB237" t="s">
        <v>17037</v>
      </c>
      <c r="EC237" t="s">
        <v>17038</v>
      </c>
      <c r="ED237" t="s">
        <v>17039</v>
      </c>
      <c r="EE237" t="s">
        <v>12505</v>
      </c>
      <c r="EF237">
        <v>1</v>
      </c>
      <c r="EG237" t="s">
        <v>12738</v>
      </c>
      <c r="EL237" t="s">
        <v>12505</v>
      </c>
      <c r="EM237" t="s">
        <v>12505</v>
      </c>
      <c r="FC237" t="s">
        <v>12505</v>
      </c>
    </row>
    <row r="238" spans="1:252" x14ac:dyDescent="0.25">
      <c r="A238" t="s">
        <v>162</v>
      </c>
      <c r="B238" t="s">
        <v>12247</v>
      </c>
      <c r="C238">
        <v>0</v>
      </c>
      <c r="D238">
        <v>3</v>
      </c>
      <c r="E238" t="s">
        <v>162</v>
      </c>
      <c r="F238" t="s">
        <v>17040</v>
      </c>
      <c r="G238">
        <v>0</v>
      </c>
      <c r="H238">
        <v>2</v>
      </c>
      <c r="I238" t="s">
        <v>12249</v>
      </c>
      <c r="J238">
        <v>1</v>
      </c>
      <c r="K238" t="s">
        <v>162</v>
      </c>
      <c r="L238" t="s">
        <v>17040</v>
      </c>
      <c r="M238">
        <v>0</v>
      </c>
      <c r="N238" t="s">
        <v>162</v>
      </c>
      <c r="O238" t="s">
        <v>17040</v>
      </c>
      <c r="P238">
        <v>0</v>
      </c>
      <c r="Q238" t="s">
        <v>162</v>
      </c>
      <c r="R238" t="s">
        <v>17040</v>
      </c>
      <c r="S238">
        <v>0</v>
      </c>
      <c r="T238" t="s">
        <v>162</v>
      </c>
      <c r="U238" t="s">
        <v>17040</v>
      </c>
      <c r="V238" t="s">
        <v>162</v>
      </c>
      <c r="X238" t="s">
        <v>17041</v>
      </c>
      <c r="Y238" t="s">
        <v>1640</v>
      </c>
      <c r="Z238" t="s">
        <v>17042</v>
      </c>
      <c r="AB238" t="s">
        <v>162</v>
      </c>
      <c r="AE238" t="s">
        <v>162</v>
      </c>
      <c r="AG238">
        <v>3</v>
      </c>
      <c r="AH238">
        <v>5</v>
      </c>
      <c r="AI238">
        <v>4</v>
      </c>
      <c r="AJ238">
        <v>9</v>
      </c>
      <c r="AK238">
        <v>21803000</v>
      </c>
      <c r="AL238">
        <v>15</v>
      </c>
      <c r="AM238">
        <v>2019</v>
      </c>
      <c r="AN238">
        <v>84008</v>
      </c>
      <c r="AO238">
        <v>2019</v>
      </c>
      <c r="AP238" t="s">
        <v>12277</v>
      </c>
      <c r="AQ238" t="s">
        <v>12278</v>
      </c>
      <c r="AR238" t="s">
        <v>1442</v>
      </c>
      <c r="AS238" t="s">
        <v>1640</v>
      </c>
      <c r="AT238" t="s">
        <v>1640</v>
      </c>
      <c r="AU238" t="s">
        <v>17040</v>
      </c>
      <c r="AV238" t="s">
        <v>17040</v>
      </c>
      <c r="AW238">
        <v>144</v>
      </c>
      <c r="AX238">
        <v>144</v>
      </c>
      <c r="AY238">
        <v>144</v>
      </c>
      <c r="AZ238" t="s">
        <v>1640</v>
      </c>
      <c r="BA238" t="s">
        <v>17040</v>
      </c>
      <c r="BB238">
        <v>23424778</v>
      </c>
      <c r="BC238">
        <v>23424778</v>
      </c>
      <c r="BD238" t="s">
        <v>12254</v>
      </c>
      <c r="BE238" t="s">
        <v>17040</v>
      </c>
      <c r="BG238" t="s">
        <v>17040</v>
      </c>
      <c r="BH238" t="s">
        <v>17040</v>
      </c>
      <c r="BI238" t="s">
        <v>17040</v>
      </c>
      <c r="BJ238" t="s">
        <v>17040</v>
      </c>
      <c r="BK238" t="s">
        <v>17040</v>
      </c>
      <c r="BL238" t="s">
        <v>17040</v>
      </c>
      <c r="BM238" t="s">
        <v>17040</v>
      </c>
      <c r="BN238" t="s">
        <v>17040</v>
      </c>
      <c r="BO238" t="s">
        <v>17040</v>
      </c>
      <c r="BP238" t="s">
        <v>17040</v>
      </c>
      <c r="BQ238" t="s">
        <v>17040</v>
      </c>
      <c r="BR238" t="s">
        <v>17040</v>
      </c>
      <c r="BS238" t="s">
        <v>17040</v>
      </c>
      <c r="BT238" t="s">
        <v>17040</v>
      </c>
      <c r="BU238" t="s">
        <v>17040</v>
      </c>
      <c r="BV238" t="s">
        <v>17040</v>
      </c>
      <c r="BW238" t="s">
        <v>17040</v>
      </c>
      <c r="BX238" t="s">
        <v>17040</v>
      </c>
      <c r="BY238" t="s">
        <v>17040</v>
      </c>
      <c r="BZ238" t="s">
        <v>17040</v>
      </c>
      <c r="CA238" t="s">
        <v>17040</v>
      </c>
      <c r="CB238" t="s">
        <v>17040</v>
      </c>
      <c r="CC238" t="s">
        <v>17040</v>
      </c>
      <c r="CD238" t="s">
        <v>17040</v>
      </c>
      <c r="CE238" t="s">
        <v>17040</v>
      </c>
      <c r="CF238" t="s">
        <v>17040</v>
      </c>
      <c r="CG238" t="s">
        <v>17040</v>
      </c>
      <c r="CH238" t="s">
        <v>17040</v>
      </c>
      <c r="CI238" t="s">
        <v>17040</v>
      </c>
      <c r="CJ238" t="s">
        <v>17040</v>
      </c>
      <c r="CK238" t="s">
        <v>17040</v>
      </c>
      <c r="CL238" t="s">
        <v>17040</v>
      </c>
      <c r="CM238">
        <v>-99</v>
      </c>
      <c r="CN238">
        <v>-99</v>
      </c>
      <c r="CO238" t="s">
        <v>12255</v>
      </c>
      <c r="CP238" t="s">
        <v>12255</v>
      </c>
      <c r="CQ238" t="s">
        <v>12256</v>
      </c>
      <c r="CR238" t="s">
        <v>12257</v>
      </c>
      <c r="CS238">
        <v>9</v>
      </c>
      <c r="CT238">
        <v>9</v>
      </c>
      <c r="CU238">
        <v>6</v>
      </c>
      <c r="CV238">
        <v>-99</v>
      </c>
      <c r="CW238">
        <v>1</v>
      </c>
      <c r="CX238">
        <v>0</v>
      </c>
      <c r="CY238">
        <v>3</v>
      </c>
      <c r="CZ238">
        <v>8</v>
      </c>
      <c r="DA238">
        <v>80.704823000000005</v>
      </c>
      <c r="DB238">
        <v>7.5810969999999998</v>
      </c>
      <c r="DC238">
        <v>1159321025</v>
      </c>
      <c r="DD238" t="s">
        <v>17043</v>
      </c>
      <c r="DE238" t="s">
        <v>17044</v>
      </c>
      <c r="DF238" t="s">
        <v>17045</v>
      </c>
      <c r="DG238" t="s">
        <v>162</v>
      </c>
      <c r="DH238" t="s">
        <v>162</v>
      </c>
      <c r="DI238" t="s">
        <v>162</v>
      </c>
      <c r="DJ238" t="s">
        <v>17046</v>
      </c>
      <c r="DK238" t="s">
        <v>162</v>
      </c>
      <c r="DL238" t="s">
        <v>17047</v>
      </c>
      <c r="DM238" t="s">
        <v>17048</v>
      </c>
      <c r="DN238" t="s">
        <v>17049</v>
      </c>
      <c r="DO238" t="s">
        <v>17050</v>
      </c>
      <c r="DP238" t="s">
        <v>162</v>
      </c>
      <c r="DQ238" t="s">
        <v>162</v>
      </c>
      <c r="DR238" t="s">
        <v>17051</v>
      </c>
      <c r="DS238" t="s">
        <v>17052</v>
      </c>
      <c r="DT238" t="s">
        <v>162</v>
      </c>
      <c r="DU238" t="s">
        <v>162</v>
      </c>
      <c r="DV238" t="s">
        <v>162</v>
      </c>
      <c r="DW238" t="s">
        <v>17053</v>
      </c>
      <c r="DX238" t="s">
        <v>162</v>
      </c>
      <c r="DY238" t="s">
        <v>162</v>
      </c>
      <c r="DZ238" t="s">
        <v>17054</v>
      </c>
      <c r="EA238" t="s">
        <v>17055</v>
      </c>
      <c r="EB238" t="s">
        <v>162</v>
      </c>
      <c r="EC238" t="s">
        <v>17056</v>
      </c>
      <c r="ED238" t="s">
        <v>17057</v>
      </c>
      <c r="EE238" t="s">
        <v>12247</v>
      </c>
      <c r="EG238" t="s">
        <v>12247</v>
      </c>
    </row>
    <row r="239" spans="1:252" x14ac:dyDescent="0.25">
      <c r="A239" t="s">
        <v>18775</v>
      </c>
      <c r="B239" t="s">
        <v>17202</v>
      </c>
      <c r="C239">
        <v>10</v>
      </c>
      <c r="L239" t="s">
        <v>8867</v>
      </c>
      <c r="FN239" t="s">
        <v>18773</v>
      </c>
      <c r="FO239">
        <v>5148</v>
      </c>
      <c r="FP239" t="s">
        <v>18774</v>
      </c>
      <c r="FQ239" t="s">
        <v>1748</v>
      </c>
      <c r="FR239">
        <v>3</v>
      </c>
      <c r="FU239" t="s">
        <v>18737</v>
      </c>
      <c r="FV239" t="s">
        <v>18738</v>
      </c>
      <c r="FX239" t="s">
        <v>18776</v>
      </c>
      <c r="GB239">
        <v>0</v>
      </c>
      <c r="GC239">
        <v>0</v>
      </c>
      <c r="GD239">
        <v>0</v>
      </c>
      <c r="GE239">
        <v>10</v>
      </c>
      <c r="GH239">
        <v>0</v>
      </c>
      <c r="GI239">
        <v>-99</v>
      </c>
      <c r="GJ239">
        <v>20</v>
      </c>
      <c r="GK239">
        <v>13</v>
      </c>
      <c r="GL239">
        <v>2</v>
      </c>
      <c r="GM239">
        <v>0</v>
      </c>
      <c r="GP239">
        <v>24549809</v>
      </c>
      <c r="GR239" t="s">
        <v>18775</v>
      </c>
      <c r="GS239">
        <v>17.485199999999999</v>
      </c>
      <c r="GT239">
        <v>-62.971899999999998</v>
      </c>
      <c r="GU239" t="s">
        <v>12583</v>
      </c>
      <c r="GV239" t="s">
        <v>18777</v>
      </c>
      <c r="GW239">
        <v>8</v>
      </c>
      <c r="GX239" t="s">
        <v>123</v>
      </c>
      <c r="GZ239" t="s">
        <v>17558</v>
      </c>
      <c r="HA239">
        <v>7610359</v>
      </c>
      <c r="HB239" t="s">
        <v>3061</v>
      </c>
      <c r="HC239">
        <v>0</v>
      </c>
      <c r="HE239">
        <v>1</v>
      </c>
      <c r="HG239" t="s">
        <v>18778</v>
      </c>
      <c r="HJ239">
        <v>0</v>
      </c>
      <c r="HN239">
        <v>11</v>
      </c>
      <c r="HO239">
        <v>11</v>
      </c>
      <c r="HP239">
        <v>8</v>
      </c>
      <c r="HQ239" t="s">
        <v>18779</v>
      </c>
      <c r="HR239" t="s">
        <v>18780</v>
      </c>
      <c r="HS239" t="s">
        <v>18781</v>
      </c>
      <c r="HT239" t="s">
        <v>3061</v>
      </c>
      <c r="HU239" t="s">
        <v>3061</v>
      </c>
      <c r="HV239" t="s">
        <v>18782</v>
      </c>
      <c r="HW239" t="s">
        <v>18783</v>
      </c>
      <c r="HX239" t="s">
        <v>18784</v>
      </c>
      <c r="HY239" t="s">
        <v>18785</v>
      </c>
      <c r="HZ239" t="s">
        <v>3061</v>
      </c>
      <c r="IA239" t="s">
        <v>3061</v>
      </c>
      <c r="IB239" t="s">
        <v>3061</v>
      </c>
      <c r="IC239" t="s">
        <v>18786</v>
      </c>
      <c r="ID239" t="s">
        <v>18787</v>
      </c>
      <c r="IE239" t="s">
        <v>3061</v>
      </c>
      <c r="IF239" t="s">
        <v>3061</v>
      </c>
      <c r="IG239" t="s">
        <v>18788</v>
      </c>
      <c r="IH239" t="s">
        <v>18789</v>
      </c>
      <c r="II239" t="s">
        <v>3061</v>
      </c>
      <c r="IJ239" t="s">
        <v>3061</v>
      </c>
      <c r="IK239" t="s">
        <v>3061</v>
      </c>
      <c r="IL239" t="s">
        <v>18790</v>
      </c>
      <c r="IM239">
        <v>1159316513</v>
      </c>
      <c r="IN239" t="s">
        <v>18791</v>
      </c>
      <c r="IO239" t="s">
        <v>18792</v>
      </c>
      <c r="IP239" t="s">
        <v>18793</v>
      </c>
      <c r="IQ239" t="s">
        <v>18794</v>
      </c>
      <c r="IR239" t="s">
        <v>18790</v>
      </c>
    </row>
    <row r="240" spans="1:252" x14ac:dyDescent="0.25">
      <c r="A240" t="s">
        <v>163</v>
      </c>
      <c r="B240" t="s">
        <v>12247</v>
      </c>
      <c r="C240">
        <v>0</v>
      </c>
      <c r="D240">
        <v>3</v>
      </c>
      <c r="E240" t="s">
        <v>163</v>
      </c>
      <c r="F240" t="s">
        <v>17058</v>
      </c>
      <c r="G240">
        <v>0</v>
      </c>
      <c r="H240">
        <v>2</v>
      </c>
      <c r="I240" t="s">
        <v>12249</v>
      </c>
      <c r="J240">
        <v>1</v>
      </c>
      <c r="K240" t="s">
        <v>163</v>
      </c>
      <c r="L240" t="s">
        <v>17058</v>
      </c>
      <c r="M240">
        <v>0</v>
      </c>
      <c r="N240" t="s">
        <v>163</v>
      </c>
      <c r="O240" t="s">
        <v>17058</v>
      </c>
      <c r="P240">
        <v>0</v>
      </c>
      <c r="Q240" t="s">
        <v>163</v>
      </c>
      <c r="R240" t="s">
        <v>17058</v>
      </c>
      <c r="S240">
        <v>0</v>
      </c>
      <c r="T240" t="s">
        <v>163</v>
      </c>
      <c r="U240" t="s">
        <v>17058</v>
      </c>
      <c r="V240" t="s">
        <v>163</v>
      </c>
      <c r="X240" t="s">
        <v>163</v>
      </c>
      <c r="Y240" t="s">
        <v>1844</v>
      </c>
      <c r="Z240" t="s">
        <v>17059</v>
      </c>
      <c r="AB240" t="s">
        <v>163</v>
      </c>
      <c r="AE240" t="s">
        <v>163</v>
      </c>
      <c r="AG240">
        <v>2</v>
      </c>
      <c r="AH240">
        <v>6</v>
      </c>
      <c r="AI240">
        <v>4</v>
      </c>
      <c r="AJ240">
        <v>1</v>
      </c>
      <c r="AK240">
        <v>42813238</v>
      </c>
      <c r="AL240">
        <v>15</v>
      </c>
      <c r="AM240">
        <v>2019</v>
      </c>
      <c r="AN240">
        <v>30513</v>
      </c>
      <c r="AO240">
        <v>2019</v>
      </c>
      <c r="AP240" t="s">
        <v>12277</v>
      </c>
      <c r="AQ240" t="s">
        <v>12278</v>
      </c>
      <c r="AR240" t="s">
        <v>17060</v>
      </c>
      <c r="AS240" t="s">
        <v>1844</v>
      </c>
      <c r="AT240" t="s">
        <v>1844</v>
      </c>
      <c r="AU240" t="s">
        <v>17058</v>
      </c>
      <c r="AV240" t="s">
        <v>17058</v>
      </c>
      <c r="AW240">
        <v>729</v>
      </c>
      <c r="AX240">
        <v>729</v>
      </c>
      <c r="AY240">
        <v>729</v>
      </c>
      <c r="AZ240" t="s">
        <v>1844</v>
      </c>
      <c r="BA240" t="s">
        <v>17058</v>
      </c>
      <c r="BB240">
        <v>-90</v>
      </c>
      <c r="BC240">
        <v>23424952</v>
      </c>
      <c r="BD240" t="s">
        <v>17061</v>
      </c>
      <c r="BE240" t="s">
        <v>17062</v>
      </c>
      <c r="BG240" t="s">
        <v>17062</v>
      </c>
      <c r="BH240" t="s">
        <v>17058</v>
      </c>
      <c r="BI240" t="s">
        <v>17058</v>
      </c>
      <c r="BJ240" t="s">
        <v>17058</v>
      </c>
      <c r="BK240" t="s">
        <v>17058</v>
      </c>
      <c r="BL240" t="s">
        <v>17058</v>
      </c>
      <c r="BM240" t="s">
        <v>17058</v>
      </c>
      <c r="BN240" t="s">
        <v>17058</v>
      </c>
      <c r="BO240" t="s">
        <v>17058</v>
      </c>
      <c r="BP240" t="s">
        <v>17058</v>
      </c>
      <c r="BQ240" t="s">
        <v>17058</v>
      </c>
      <c r="BR240" t="s">
        <v>17058</v>
      </c>
      <c r="BS240" t="s">
        <v>17058</v>
      </c>
      <c r="BT240" t="s">
        <v>17058</v>
      </c>
      <c r="BU240" t="s">
        <v>17058</v>
      </c>
      <c r="BV240" t="s">
        <v>17058</v>
      </c>
      <c r="BW240" t="s">
        <v>17058</v>
      </c>
      <c r="BX240" t="s">
        <v>17058</v>
      </c>
      <c r="BY240" t="s">
        <v>17058</v>
      </c>
      <c r="BZ240" t="s">
        <v>17058</v>
      </c>
      <c r="CA240" t="s">
        <v>17058</v>
      </c>
      <c r="CB240" t="s">
        <v>17058</v>
      </c>
      <c r="CC240" t="s">
        <v>17058</v>
      </c>
      <c r="CD240" t="s">
        <v>17058</v>
      </c>
      <c r="CE240" t="s">
        <v>17058</v>
      </c>
      <c r="CF240" t="s">
        <v>17058</v>
      </c>
      <c r="CG240" t="s">
        <v>17058</v>
      </c>
      <c r="CH240" t="s">
        <v>17058</v>
      </c>
      <c r="CI240" t="s">
        <v>17058</v>
      </c>
      <c r="CJ240" t="s">
        <v>17058</v>
      </c>
      <c r="CK240" t="s">
        <v>17058</v>
      </c>
      <c r="CL240" t="s">
        <v>17058</v>
      </c>
      <c r="CM240">
        <v>-99</v>
      </c>
      <c r="CN240">
        <v>-99</v>
      </c>
      <c r="CO240" t="s">
        <v>12306</v>
      </c>
      <c r="CP240" t="s">
        <v>12306</v>
      </c>
      <c r="CQ240" t="s">
        <v>12307</v>
      </c>
      <c r="CR240" t="s">
        <v>12357</v>
      </c>
      <c r="CS240">
        <v>5</v>
      </c>
      <c r="CT240">
        <v>5</v>
      </c>
      <c r="CU240">
        <v>5</v>
      </c>
      <c r="CV240">
        <v>-99</v>
      </c>
      <c r="CW240">
        <v>1</v>
      </c>
      <c r="CX240">
        <v>0</v>
      </c>
      <c r="CY240">
        <v>2.5</v>
      </c>
      <c r="CZ240">
        <v>8</v>
      </c>
      <c r="DA240">
        <v>29.260656999999998</v>
      </c>
      <c r="DB240">
        <v>16.330746000000001</v>
      </c>
      <c r="DC240">
        <v>1159321229</v>
      </c>
      <c r="DD240" t="s">
        <v>17063</v>
      </c>
      <c r="DE240" t="s">
        <v>17064</v>
      </c>
      <c r="DF240" t="s">
        <v>17065</v>
      </c>
      <c r="DG240" t="s">
        <v>163</v>
      </c>
      <c r="DH240" t="s">
        <v>163</v>
      </c>
      <c r="DI240" t="s">
        <v>17066</v>
      </c>
      <c r="DJ240" t="s">
        <v>17067</v>
      </c>
      <c r="DK240" t="s">
        <v>17068</v>
      </c>
      <c r="DL240" t="s">
        <v>17069</v>
      </c>
      <c r="DM240" t="s">
        <v>17070</v>
      </c>
      <c r="DN240" t="s">
        <v>17071</v>
      </c>
      <c r="DO240" t="s">
        <v>17072</v>
      </c>
      <c r="DP240" t="s">
        <v>163</v>
      </c>
      <c r="DQ240" t="s">
        <v>163</v>
      </c>
      <c r="DR240" t="s">
        <v>17073</v>
      </c>
      <c r="DS240" t="s">
        <v>17074</v>
      </c>
      <c r="DT240" t="s">
        <v>17075</v>
      </c>
      <c r="DU240" t="s">
        <v>163</v>
      </c>
      <c r="DV240" t="s">
        <v>17076</v>
      </c>
      <c r="DW240" t="s">
        <v>17077</v>
      </c>
      <c r="DX240" t="s">
        <v>163</v>
      </c>
      <c r="DY240" t="s">
        <v>163</v>
      </c>
      <c r="DZ240" t="s">
        <v>17077</v>
      </c>
      <c r="EA240" t="s">
        <v>17078</v>
      </c>
      <c r="EB240" t="s">
        <v>163</v>
      </c>
      <c r="EC240" t="s">
        <v>17079</v>
      </c>
      <c r="ED240" t="s">
        <v>17080</v>
      </c>
      <c r="EE240" t="s">
        <v>12247</v>
      </c>
      <c r="EG240" t="s">
        <v>12247</v>
      </c>
    </row>
    <row r="241" spans="1:252" x14ac:dyDescent="0.25">
      <c r="A241" t="s">
        <v>164</v>
      </c>
      <c r="B241" t="s">
        <v>12247</v>
      </c>
      <c r="C241">
        <v>0</v>
      </c>
      <c r="D241">
        <v>4</v>
      </c>
      <c r="E241" t="s">
        <v>164</v>
      </c>
      <c r="F241" t="s">
        <v>17081</v>
      </c>
      <c r="G241">
        <v>0</v>
      </c>
      <c r="H241">
        <v>2</v>
      </c>
      <c r="I241" t="s">
        <v>12249</v>
      </c>
      <c r="J241">
        <v>1</v>
      </c>
      <c r="K241" t="s">
        <v>164</v>
      </c>
      <c r="L241" t="s">
        <v>17081</v>
      </c>
      <c r="M241">
        <v>0</v>
      </c>
      <c r="N241" t="s">
        <v>164</v>
      </c>
      <c r="O241" t="s">
        <v>17081</v>
      </c>
      <c r="P241">
        <v>0</v>
      </c>
      <c r="Q241" t="s">
        <v>164</v>
      </c>
      <c r="R241" t="s">
        <v>17081</v>
      </c>
      <c r="S241">
        <v>0</v>
      </c>
      <c r="T241" t="s">
        <v>164</v>
      </c>
      <c r="U241" t="s">
        <v>17081</v>
      </c>
      <c r="V241" t="s">
        <v>164</v>
      </c>
      <c r="X241" t="s">
        <v>17082</v>
      </c>
      <c r="Y241" t="s">
        <v>1873</v>
      </c>
      <c r="Z241" t="s">
        <v>17083</v>
      </c>
      <c r="AB241" t="s">
        <v>164</v>
      </c>
      <c r="AE241" t="s">
        <v>164</v>
      </c>
      <c r="AG241">
        <v>1</v>
      </c>
      <c r="AH241">
        <v>4</v>
      </c>
      <c r="AI241">
        <v>7</v>
      </c>
      <c r="AJ241">
        <v>6</v>
      </c>
      <c r="AK241">
        <v>581363</v>
      </c>
      <c r="AL241">
        <v>11</v>
      </c>
      <c r="AM241">
        <v>2019</v>
      </c>
      <c r="AN241">
        <v>3697</v>
      </c>
      <c r="AO241">
        <v>2019</v>
      </c>
      <c r="AP241" t="s">
        <v>12277</v>
      </c>
      <c r="AQ241" t="s">
        <v>12305</v>
      </c>
      <c r="AR241" t="s">
        <v>17084</v>
      </c>
      <c r="AS241" t="s">
        <v>1873</v>
      </c>
      <c r="AT241" t="s">
        <v>1873</v>
      </c>
      <c r="AU241" t="s">
        <v>17081</v>
      </c>
      <c r="AV241" t="s">
        <v>17081</v>
      </c>
      <c r="AW241">
        <v>740</v>
      </c>
      <c r="AX241">
        <v>740</v>
      </c>
      <c r="AY241">
        <v>740</v>
      </c>
      <c r="AZ241" t="s">
        <v>1873</v>
      </c>
      <c r="BA241" t="s">
        <v>17081</v>
      </c>
      <c r="BB241">
        <v>23424913</v>
      </c>
      <c r="BC241">
        <v>23424913</v>
      </c>
      <c r="BD241" t="s">
        <v>12254</v>
      </c>
      <c r="BE241" t="s">
        <v>17081</v>
      </c>
      <c r="BG241" t="s">
        <v>17081</v>
      </c>
      <c r="BH241" t="s">
        <v>17081</v>
      </c>
      <c r="BI241" t="s">
        <v>17081</v>
      </c>
      <c r="BJ241" t="s">
        <v>17081</v>
      </c>
      <c r="BK241" t="s">
        <v>17081</v>
      </c>
      <c r="BL241" t="s">
        <v>17081</v>
      </c>
      <c r="BM241" t="s">
        <v>17081</v>
      </c>
      <c r="BN241" t="s">
        <v>17081</v>
      </c>
      <c r="BO241" t="s">
        <v>17081</v>
      </c>
      <c r="BP241" t="s">
        <v>17081</v>
      </c>
      <c r="BQ241" t="s">
        <v>17081</v>
      </c>
      <c r="BR241" t="s">
        <v>17081</v>
      </c>
      <c r="BS241" t="s">
        <v>17081</v>
      </c>
      <c r="BT241" t="s">
        <v>17081</v>
      </c>
      <c r="BU241" t="s">
        <v>17081</v>
      </c>
      <c r="BV241" t="s">
        <v>17081</v>
      </c>
      <c r="BW241" t="s">
        <v>17081</v>
      </c>
      <c r="BX241" t="s">
        <v>17081</v>
      </c>
      <c r="BY241" t="s">
        <v>17081</v>
      </c>
      <c r="BZ241" t="s">
        <v>17081</v>
      </c>
      <c r="CA241" t="s">
        <v>17081</v>
      </c>
      <c r="CB241" t="s">
        <v>17081</v>
      </c>
      <c r="CC241" t="s">
        <v>17081</v>
      </c>
      <c r="CD241" t="s">
        <v>17081</v>
      </c>
      <c r="CE241" t="s">
        <v>17081</v>
      </c>
      <c r="CF241" t="s">
        <v>17081</v>
      </c>
      <c r="CG241" t="s">
        <v>17081</v>
      </c>
      <c r="CH241" t="s">
        <v>17081</v>
      </c>
      <c r="CI241" t="s">
        <v>17081</v>
      </c>
      <c r="CJ241" t="s">
        <v>17081</v>
      </c>
      <c r="CK241" t="s">
        <v>17081</v>
      </c>
      <c r="CL241" t="s">
        <v>17081</v>
      </c>
      <c r="CM241">
        <v>-99</v>
      </c>
      <c r="CN241">
        <v>-99</v>
      </c>
      <c r="CO241" t="s">
        <v>12436</v>
      </c>
      <c r="CP241" t="s">
        <v>12403</v>
      </c>
      <c r="CQ241" t="s">
        <v>12436</v>
      </c>
      <c r="CR241" t="s">
        <v>12405</v>
      </c>
      <c r="CS241">
        <v>8</v>
      </c>
      <c r="CT241">
        <v>8</v>
      </c>
      <c r="CU241">
        <v>4</v>
      </c>
      <c r="CV241">
        <v>-99</v>
      </c>
      <c r="CW241">
        <v>1</v>
      </c>
      <c r="CX241">
        <v>0</v>
      </c>
      <c r="CY241">
        <v>4</v>
      </c>
      <c r="CZ241">
        <v>9</v>
      </c>
      <c r="DA241">
        <v>-55.910939999999997</v>
      </c>
      <c r="DB241">
        <v>4.1439870000000001</v>
      </c>
      <c r="DC241">
        <v>1159321281</v>
      </c>
      <c r="DD241" t="s">
        <v>17085</v>
      </c>
      <c r="DE241" t="s">
        <v>17086</v>
      </c>
      <c r="DF241" t="s">
        <v>17087</v>
      </c>
      <c r="DG241" t="s">
        <v>164</v>
      </c>
      <c r="DH241" t="s">
        <v>164</v>
      </c>
      <c r="DI241" t="s">
        <v>17088</v>
      </c>
      <c r="DJ241" t="s">
        <v>17089</v>
      </c>
      <c r="DK241" t="s">
        <v>164</v>
      </c>
      <c r="DL241" t="s">
        <v>17090</v>
      </c>
      <c r="DM241" t="s">
        <v>17091</v>
      </c>
      <c r="DN241" t="s">
        <v>17092</v>
      </c>
      <c r="DO241" t="s">
        <v>164</v>
      </c>
      <c r="DP241" t="s">
        <v>164</v>
      </c>
      <c r="DQ241" t="s">
        <v>164</v>
      </c>
      <c r="DR241" t="s">
        <v>17093</v>
      </c>
      <c r="DS241" t="s">
        <v>17094</v>
      </c>
      <c r="DT241" t="s">
        <v>164</v>
      </c>
      <c r="DU241" t="s">
        <v>17088</v>
      </c>
      <c r="DV241" t="s">
        <v>164</v>
      </c>
      <c r="DW241" t="s">
        <v>17095</v>
      </c>
      <c r="DX241" t="s">
        <v>17088</v>
      </c>
      <c r="DY241" t="s">
        <v>17088</v>
      </c>
      <c r="DZ241" t="s">
        <v>17095</v>
      </c>
      <c r="EA241" t="s">
        <v>17096</v>
      </c>
      <c r="EB241" t="s">
        <v>164</v>
      </c>
      <c r="EC241" t="s">
        <v>17097</v>
      </c>
      <c r="ED241" t="s">
        <v>17098</v>
      </c>
      <c r="EE241" t="s">
        <v>12247</v>
      </c>
      <c r="EG241" t="s">
        <v>12247</v>
      </c>
    </row>
    <row r="242" spans="1:252" x14ac:dyDescent="0.25">
      <c r="A242" t="s">
        <v>165</v>
      </c>
      <c r="B242" t="s">
        <v>12247</v>
      </c>
      <c r="C242">
        <v>0</v>
      </c>
      <c r="D242">
        <v>3</v>
      </c>
      <c r="E242" t="s">
        <v>165</v>
      </c>
      <c r="F242" t="s">
        <v>17099</v>
      </c>
      <c r="G242">
        <v>0</v>
      </c>
      <c r="H242">
        <v>2</v>
      </c>
      <c r="I242" t="s">
        <v>12249</v>
      </c>
      <c r="J242">
        <v>1</v>
      </c>
      <c r="K242" t="s">
        <v>165</v>
      </c>
      <c r="L242" t="s">
        <v>17099</v>
      </c>
      <c r="M242">
        <v>0</v>
      </c>
      <c r="N242" t="s">
        <v>165</v>
      </c>
      <c r="O242" t="s">
        <v>17099</v>
      </c>
      <c r="P242">
        <v>0</v>
      </c>
      <c r="Q242" t="s">
        <v>165</v>
      </c>
      <c r="R242" t="s">
        <v>17099</v>
      </c>
      <c r="S242">
        <v>0</v>
      </c>
      <c r="T242" t="s">
        <v>165</v>
      </c>
      <c r="U242" t="s">
        <v>17099</v>
      </c>
      <c r="V242" t="s">
        <v>165</v>
      </c>
      <c r="X242" t="s">
        <v>17100</v>
      </c>
      <c r="Y242" t="s">
        <v>17101</v>
      </c>
      <c r="Z242" t="s">
        <v>17102</v>
      </c>
      <c r="AB242" t="s">
        <v>165</v>
      </c>
      <c r="AE242" t="s">
        <v>165</v>
      </c>
      <c r="AG242">
        <v>1</v>
      </c>
      <c r="AH242">
        <v>4</v>
      </c>
      <c r="AI242">
        <v>2</v>
      </c>
      <c r="AJ242">
        <v>4</v>
      </c>
      <c r="AK242">
        <v>10285453</v>
      </c>
      <c r="AL242">
        <v>14</v>
      </c>
      <c r="AM242">
        <v>2019</v>
      </c>
      <c r="AN242">
        <v>530883</v>
      </c>
      <c r="AO242">
        <v>2019</v>
      </c>
      <c r="AP242" t="s">
        <v>12334</v>
      </c>
      <c r="AQ242" t="s">
        <v>12513</v>
      </c>
      <c r="AR242" t="s">
        <v>17103</v>
      </c>
      <c r="AS242" t="s">
        <v>1826</v>
      </c>
      <c r="AT242" t="s">
        <v>1826</v>
      </c>
      <c r="AU242" t="s">
        <v>17099</v>
      </c>
      <c r="AV242" t="s">
        <v>17099</v>
      </c>
      <c r="AW242">
        <v>752</v>
      </c>
      <c r="AX242">
        <v>752</v>
      </c>
      <c r="AY242">
        <v>752</v>
      </c>
      <c r="AZ242" t="s">
        <v>1826</v>
      </c>
      <c r="BA242" t="s">
        <v>17099</v>
      </c>
      <c r="BB242">
        <v>23424954</v>
      </c>
      <c r="BC242">
        <v>23424954</v>
      </c>
      <c r="BD242" t="s">
        <v>12254</v>
      </c>
      <c r="BE242" t="s">
        <v>17099</v>
      </c>
      <c r="BG242" t="s">
        <v>17099</v>
      </c>
      <c r="BH242" t="s">
        <v>17099</v>
      </c>
      <c r="BI242" t="s">
        <v>17099</v>
      </c>
      <c r="BJ242" t="s">
        <v>17099</v>
      </c>
      <c r="BK242" t="s">
        <v>17099</v>
      </c>
      <c r="BL242" t="s">
        <v>17099</v>
      </c>
      <c r="BM242" t="s">
        <v>17099</v>
      </c>
      <c r="BN242" t="s">
        <v>17099</v>
      </c>
      <c r="BO242" t="s">
        <v>17099</v>
      </c>
      <c r="BP242" t="s">
        <v>17099</v>
      </c>
      <c r="BQ242" t="s">
        <v>17099</v>
      </c>
      <c r="BR242" t="s">
        <v>17099</v>
      </c>
      <c r="BS242" t="s">
        <v>17099</v>
      </c>
      <c r="BT242" t="s">
        <v>17099</v>
      </c>
      <c r="BU242" t="s">
        <v>17099</v>
      </c>
      <c r="BV242" t="s">
        <v>17099</v>
      </c>
      <c r="BW242" t="s">
        <v>17099</v>
      </c>
      <c r="BX242" t="s">
        <v>17099</v>
      </c>
      <c r="BY242" t="s">
        <v>17099</v>
      </c>
      <c r="BZ242" t="s">
        <v>17099</v>
      </c>
      <c r="CA242" t="s">
        <v>17099</v>
      </c>
      <c r="CB242" t="s">
        <v>17099</v>
      </c>
      <c r="CC242" t="s">
        <v>17099</v>
      </c>
      <c r="CD242" t="s">
        <v>17099</v>
      </c>
      <c r="CE242" t="s">
        <v>17099</v>
      </c>
      <c r="CF242" t="s">
        <v>17099</v>
      </c>
      <c r="CG242" t="s">
        <v>17099</v>
      </c>
      <c r="CH242" t="s">
        <v>17099</v>
      </c>
      <c r="CI242" t="s">
        <v>17099</v>
      </c>
      <c r="CJ242" t="s">
        <v>17099</v>
      </c>
      <c r="CK242" t="s">
        <v>17099</v>
      </c>
      <c r="CL242" t="s">
        <v>17099</v>
      </c>
      <c r="CM242">
        <v>-99</v>
      </c>
      <c r="CN242">
        <v>-99</v>
      </c>
      <c r="CO242" t="s">
        <v>12279</v>
      </c>
      <c r="CP242" t="s">
        <v>12279</v>
      </c>
      <c r="CQ242" t="s">
        <v>12515</v>
      </c>
      <c r="CR242" t="s">
        <v>12281</v>
      </c>
      <c r="CS242">
        <v>6</v>
      </c>
      <c r="CT242">
        <v>6</v>
      </c>
      <c r="CU242">
        <v>4</v>
      </c>
      <c r="CV242">
        <v>-99</v>
      </c>
      <c r="CW242">
        <v>1</v>
      </c>
      <c r="CX242">
        <v>0</v>
      </c>
      <c r="CY242">
        <v>2</v>
      </c>
      <c r="CZ242">
        <v>7</v>
      </c>
      <c r="DA242">
        <v>19.017050000000001</v>
      </c>
      <c r="DB242">
        <v>65.859179999999995</v>
      </c>
      <c r="DC242">
        <v>1159321287</v>
      </c>
      <c r="DD242" t="s">
        <v>17104</v>
      </c>
      <c r="DE242" t="s">
        <v>17105</v>
      </c>
      <c r="DF242" t="s">
        <v>17106</v>
      </c>
      <c r="DG242" t="s">
        <v>17107</v>
      </c>
      <c r="DH242" t="s">
        <v>165</v>
      </c>
      <c r="DI242" t="s">
        <v>17108</v>
      </c>
      <c r="DJ242" t="s">
        <v>17109</v>
      </c>
      <c r="DK242" t="s">
        <v>17110</v>
      </c>
      <c r="DL242" t="s">
        <v>17111</v>
      </c>
      <c r="DM242" t="s">
        <v>17112</v>
      </c>
      <c r="DN242" t="s">
        <v>17113</v>
      </c>
      <c r="DO242" t="s">
        <v>17114</v>
      </c>
      <c r="DP242" t="s">
        <v>17115</v>
      </c>
      <c r="DQ242" t="s">
        <v>17116</v>
      </c>
      <c r="DR242" t="s">
        <v>17117</v>
      </c>
      <c r="DS242" t="s">
        <v>17118</v>
      </c>
      <c r="DT242" t="s">
        <v>17119</v>
      </c>
      <c r="DU242" t="s">
        <v>17120</v>
      </c>
      <c r="DV242" t="s">
        <v>17121</v>
      </c>
      <c r="DW242" t="s">
        <v>17122</v>
      </c>
      <c r="DX242" t="s">
        <v>17123</v>
      </c>
      <c r="DY242" t="s">
        <v>17124</v>
      </c>
      <c r="DZ242" t="s">
        <v>17125</v>
      </c>
      <c r="EA242" t="s">
        <v>17126</v>
      </c>
      <c r="EB242" t="s">
        <v>17127</v>
      </c>
      <c r="EC242" t="s">
        <v>17128</v>
      </c>
      <c r="ED242" t="s">
        <v>17128</v>
      </c>
      <c r="EE242" t="s">
        <v>12247</v>
      </c>
      <c r="EG242" t="s">
        <v>12247</v>
      </c>
    </row>
    <row r="243" spans="1:252" x14ac:dyDescent="0.25">
      <c r="A243" t="s">
        <v>166</v>
      </c>
      <c r="B243" t="s">
        <v>12247</v>
      </c>
      <c r="C243">
        <v>0</v>
      </c>
      <c r="D243">
        <v>4</v>
      </c>
      <c r="E243" t="s">
        <v>166</v>
      </c>
      <c r="F243" t="s">
        <v>17129</v>
      </c>
      <c r="G243">
        <v>0</v>
      </c>
      <c r="H243">
        <v>2</v>
      </c>
      <c r="I243" t="s">
        <v>12249</v>
      </c>
      <c r="J243">
        <v>1</v>
      </c>
      <c r="K243" t="s">
        <v>166</v>
      </c>
      <c r="L243" t="s">
        <v>17129</v>
      </c>
      <c r="M243">
        <v>0</v>
      </c>
      <c r="N243" t="s">
        <v>166</v>
      </c>
      <c r="O243" t="s">
        <v>17129</v>
      </c>
      <c r="P243">
        <v>0</v>
      </c>
      <c r="Q243" t="s">
        <v>166</v>
      </c>
      <c r="R243" t="s">
        <v>17129</v>
      </c>
      <c r="S243">
        <v>0</v>
      </c>
      <c r="T243" t="s">
        <v>166</v>
      </c>
      <c r="U243" t="s">
        <v>17129</v>
      </c>
      <c r="V243" t="s">
        <v>166</v>
      </c>
      <c r="X243" t="s">
        <v>17130</v>
      </c>
      <c r="Y243" t="s">
        <v>1371</v>
      </c>
      <c r="Z243" t="s">
        <v>17131</v>
      </c>
      <c r="AB243" t="s">
        <v>166</v>
      </c>
      <c r="AE243" t="s">
        <v>166</v>
      </c>
      <c r="AG243">
        <v>5</v>
      </c>
      <c r="AH243">
        <v>2</v>
      </c>
      <c r="AI243">
        <v>7</v>
      </c>
      <c r="AJ243">
        <v>3</v>
      </c>
      <c r="AK243">
        <v>8574832</v>
      </c>
      <c r="AL243">
        <v>13</v>
      </c>
      <c r="AM243">
        <v>2019</v>
      </c>
      <c r="AN243">
        <v>703082</v>
      </c>
      <c r="AO243">
        <v>2019</v>
      </c>
      <c r="AP243" t="s">
        <v>12334</v>
      </c>
      <c r="AQ243" t="s">
        <v>12513</v>
      </c>
      <c r="AR243" t="s">
        <v>1890</v>
      </c>
      <c r="AS243" t="s">
        <v>1371</v>
      </c>
      <c r="AT243" t="s">
        <v>1371</v>
      </c>
      <c r="AU243" t="s">
        <v>17129</v>
      </c>
      <c r="AV243" t="s">
        <v>17129</v>
      </c>
      <c r="AW243">
        <v>756</v>
      </c>
      <c r="AX243">
        <v>756</v>
      </c>
      <c r="AY243">
        <v>756</v>
      </c>
      <c r="AZ243" t="s">
        <v>1371</v>
      </c>
      <c r="BA243" t="s">
        <v>17129</v>
      </c>
      <c r="BB243">
        <v>23424957</v>
      </c>
      <c r="BC243">
        <v>23424957</v>
      </c>
      <c r="BD243" t="s">
        <v>12254</v>
      </c>
      <c r="BE243" t="s">
        <v>17129</v>
      </c>
      <c r="BG243" t="s">
        <v>17129</v>
      </c>
      <c r="BH243" t="s">
        <v>17129</v>
      </c>
      <c r="BI243" t="s">
        <v>17129</v>
      </c>
      <c r="BJ243" t="s">
        <v>17129</v>
      </c>
      <c r="BK243" t="s">
        <v>17129</v>
      </c>
      <c r="BL243" t="s">
        <v>17129</v>
      </c>
      <c r="BM243" t="s">
        <v>17129</v>
      </c>
      <c r="BN243" t="s">
        <v>17129</v>
      </c>
      <c r="BO243" t="s">
        <v>17129</v>
      </c>
      <c r="BP243" t="s">
        <v>17129</v>
      </c>
      <c r="BQ243" t="s">
        <v>17129</v>
      </c>
      <c r="BR243" t="s">
        <v>17129</v>
      </c>
      <c r="BS243" t="s">
        <v>17129</v>
      </c>
      <c r="BT243" t="s">
        <v>17129</v>
      </c>
      <c r="BU243" t="s">
        <v>17129</v>
      </c>
      <c r="BV243" t="s">
        <v>17129</v>
      </c>
      <c r="BW243" t="s">
        <v>17129</v>
      </c>
      <c r="BX243" t="s">
        <v>17129</v>
      </c>
      <c r="BY243" t="s">
        <v>17129</v>
      </c>
      <c r="BZ243" t="s">
        <v>17129</v>
      </c>
      <c r="CA243" t="s">
        <v>17129</v>
      </c>
      <c r="CB243" t="s">
        <v>17129</v>
      </c>
      <c r="CC243" t="s">
        <v>17129</v>
      </c>
      <c r="CD243" t="s">
        <v>17129</v>
      </c>
      <c r="CE243" t="s">
        <v>17129</v>
      </c>
      <c r="CF243" t="s">
        <v>17129</v>
      </c>
      <c r="CG243" t="s">
        <v>17129</v>
      </c>
      <c r="CH243" t="s">
        <v>17129</v>
      </c>
      <c r="CI243" t="s">
        <v>17129</v>
      </c>
      <c r="CJ243" t="s">
        <v>17129</v>
      </c>
      <c r="CK243" t="s">
        <v>17129</v>
      </c>
      <c r="CL243" t="s">
        <v>17129</v>
      </c>
      <c r="CM243">
        <v>-99</v>
      </c>
      <c r="CN243">
        <v>-99</v>
      </c>
      <c r="CO243" t="s">
        <v>12279</v>
      </c>
      <c r="CP243" t="s">
        <v>12279</v>
      </c>
      <c r="CQ243" t="s">
        <v>12640</v>
      </c>
      <c r="CR243" t="s">
        <v>12281</v>
      </c>
      <c r="CS243">
        <v>11</v>
      </c>
      <c r="CT243">
        <v>11</v>
      </c>
      <c r="CU243">
        <v>6</v>
      </c>
      <c r="CV243">
        <v>-99</v>
      </c>
      <c r="CW243">
        <v>1</v>
      </c>
      <c r="CX243">
        <v>0</v>
      </c>
      <c r="CY243">
        <v>4</v>
      </c>
      <c r="CZ243">
        <v>9</v>
      </c>
      <c r="DA243">
        <v>7.463965</v>
      </c>
      <c r="DB243">
        <v>46.719113999999998</v>
      </c>
      <c r="DC243">
        <v>1159320491</v>
      </c>
      <c r="DD243" t="s">
        <v>17132</v>
      </c>
      <c r="DE243" t="s">
        <v>17133</v>
      </c>
      <c r="DF243" t="s">
        <v>17134</v>
      </c>
      <c r="DG243" t="s">
        <v>17135</v>
      </c>
      <c r="DH243" t="s">
        <v>166</v>
      </c>
      <c r="DI243" t="s">
        <v>17136</v>
      </c>
      <c r="DJ243" t="s">
        <v>17137</v>
      </c>
      <c r="DK243" t="s">
        <v>17138</v>
      </c>
      <c r="DL243" t="s">
        <v>17139</v>
      </c>
      <c r="DM243" t="s">
        <v>17140</v>
      </c>
      <c r="DN243" t="s">
        <v>17141</v>
      </c>
      <c r="DO243" t="s">
        <v>17142</v>
      </c>
      <c r="DP243" t="s">
        <v>17143</v>
      </c>
      <c r="DQ243" t="s">
        <v>17144</v>
      </c>
      <c r="DR243" t="s">
        <v>17145</v>
      </c>
      <c r="DS243" t="s">
        <v>17146</v>
      </c>
      <c r="DT243" t="s">
        <v>17147</v>
      </c>
      <c r="DU243" t="s">
        <v>17148</v>
      </c>
      <c r="DV243" t="s">
        <v>17149</v>
      </c>
      <c r="DW243" t="s">
        <v>17150</v>
      </c>
      <c r="DX243" t="s">
        <v>17135</v>
      </c>
      <c r="DY243" t="s">
        <v>17151</v>
      </c>
      <c r="DZ243" t="s">
        <v>17152</v>
      </c>
      <c r="EA243" t="s">
        <v>17153</v>
      </c>
      <c r="EB243" t="s">
        <v>17154</v>
      </c>
      <c r="EC243" t="s">
        <v>17155</v>
      </c>
      <c r="ED243" t="s">
        <v>17155</v>
      </c>
      <c r="EE243" t="s">
        <v>12247</v>
      </c>
      <c r="EG243" t="s">
        <v>12247</v>
      </c>
    </row>
    <row r="244" spans="1:252" x14ac:dyDescent="0.25">
      <c r="A244" t="s">
        <v>167</v>
      </c>
      <c r="B244" t="s">
        <v>12247</v>
      </c>
      <c r="C244">
        <v>0</v>
      </c>
      <c r="D244">
        <v>3</v>
      </c>
      <c r="E244" t="s">
        <v>167</v>
      </c>
      <c r="F244" t="s">
        <v>17156</v>
      </c>
      <c r="G244">
        <v>0</v>
      </c>
      <c r="H244">
        <v>2</v>
      </c>
      <c r="I244" t="s">
        <v>12249</v>
      </c>
      <c r="J244">
        <v>1</v>
      </c>
      <c r="K244" t="s">
        <v>167</v>
      </c>
      <c r="L244" t="s">
        <v>17156</v>
      </c>
      <c r="M244">
        <v>0</v>
      </c>
      <c r="N244" t="s">
        <v>167</v>
      </c>
      <c r="O244" t="s">
        <v>17156</v>
      </c>
      <c r="P244">
        <v>0</v>
      </c>
      <c r="Q244" t="s">
        <v>167</v>
      </c>
      <c r="R244" t="s">
        <v>17156</v>
      </c>
      <c r="S244">
        <v>0</v>
      </c>
      <c r="T244" t="s">
        <v>167</v>
      </c>
      <c r="U244" t="s">
        <v>17156</v>
      </c>
      <c r="V244" t="s">
        <v>167</v>
      </c>
      <c r="X244" t="s">
        <v>167</v>
      </c>
      <c r="Y244" t="s">
        <v>17156</v>
      </c>
      <c r="Z244" t="s">
        <v>17157</v>
      </c>
      <c r="AB244" t="s">
        <v>167</v>
      </c>
      <c r="AE244" t="s">
        <v>17157</v>
      </c>
      <c r="AG244">
        <v>2</v>
      </c>
      <c r="AH244">
        <v>6</v>
      </c>
      <c r="AI244">
        <v>2</v>
      </c>
      <c r="AJ244">
        <v>6</v>
      </c>
      <c r="AK244">
        <v>17070135</v>
      </c>
      <c r="AL244">
        <v>14</v>
      </c>
      <c r="AM244">
        <v>2019</v>
      </c>
      <c r="AN244">
        <v>98830</v>
      </c>
      <c r="AO244">
        <v>2015</v>
      </c>
      <c r="AP244" t="s">
        <v>12277</v>
      </c>
      <c r="AQ244" t="s">
        <v>12278</v>
      </c>
      <c r="AR244" t="s">
        <v>1887</v>
      </c>
      <c r="AS244" t="s">
        <v>1887</v>
      </c>
      <c r="AT244" t="s">
        <v>1887</v>
      </c>
      <c r="AU244" t="s">
        <v>17156</v>
      </c>
      <c r="AV244" t="s">
        <v>17156</v>
      </c>
      <c r="AW244">
        <v>760</v>
      </c>
      <c r="AX244">
        <v>760</v>
      </c>
      <c r="AY244">
        <v>760</v>
      </c>
      <c r="AZ244" t="s">
        <v>1887</v>
      </c>
      <c r="BA244" t="s">
        <v>17156</v>
      </c>
      <c r="BB244">
        <v>23424956</v>
      </c>
      <c r="BC244">
        <v>23424956</v>
      </c>
      <c r="BD244" t="s">
        <v>12254</v>
      </c>
      <c r="BE244" t="s">
        <v>17156</v>
      </c>
      <c r="BG244" t="s">
        <v>17156</v>
      </c>
      <c r="BH244" t="s">
        <v>17156</v>
      </c>
      <c r="BI244" t="s">
        <v>17156</v>
      </c>
      <c r="BJ244" t="s">
        <v>17156</v>
      </c>
      <c r="BK244" t="s">
        <v>17156</v>
      </c>
      <c r="BL244" t="s">
        <v>17156</v>
      </c>
      <c r="BM244" t="s">
        <v>17156</v>
      </c>
      <c r="BN244" t="s">
        <v>17156</v>
      </c>
      <c r="BO244" t="s">
        <v>17156</v>
      </c>
      <c r="BP244" t="s">
        <v>17156</v>
      </c>
      <c r="BQ244" t="s">
        <v>17156</v>
      </c>
      <c r="BR244" t="s">
        <v>17156</v>
      </c>
      <c r="BS244" t="s">
        <v>17156</v>
      </c>
      <c r="BT244" t="s">
        <v>17156</v>
      </c>
      <c r="BU244" t="s">
        <v>17156</v>
      </c>
      <c r="BV244" t="s">
        <v>17156</v>
      </c>
      <c r="BW244" t="s">
        <v>17156</v>
      </c>
      <c r="BX244" t="s">
        <v>17156</v>
      </c>
      <c r="BY244" t="s">
        <v>17156</v>
      </c>
      <c r="BZ244" t="s">
        <v>17156</v>
      </c>
      <c r="CA244" t="s">
        <v>17156</v>
      </c>
      <c r="CB244" t="s">
        <v>17156</v>
      </c>
      <c r="CC244" t="s">
        <v>17156</v>
      </c>
      <c r="CD244" t="s">
        <v>17156</v>
      </c>
      <c r="CE244" t="s">
        <v>17156</v>
      </c>
      <c r="CF244" t="s">
        <v>17156</v>
      </c>
      <c r="CG244" t="s">
        <v>17156</v>
      </c>
      <c r="CH244" t="s">
        <v>17156</v>
      </c>
      <c r="CI244" t="s">
        <v>17156</v>
      </c>
      <c r="CJ244" t="s">
        <v>17156</v>
      </c>
      <c r="CK244" t="s">
        <v>17156</v>
      </c>
      <c r="CL244" t="s">
        <v>17156</v>
      </c>
      <c r="CM244">
        <v>-99</v>
      </c>
      <c r="CN244">
        <v>-99</v>
      </c>
      <c r="CO244" t="s">
        <v>12255</v>
      </c>
      <c r="CP244" t="s">
        <v>12255</v>
      </c>
      <c r="CQ244" t="s">
        <v>12458</v>
      </c>
      <c r="CR244" t="s">
        <v>12308</v>
      </c>
      <c r="CS244">
        <v>5</v>
      </c>
      <c r="CT244">
        <v>5</v>
      </c>
      <c r="CU244">
        <v>5</v>
      </c>
      <c r="CV244">
        <v>-99</v>
      </c>
      <c r="CW244">
        <v>1</v>
      </c>
      <c r="CX244">
        <v>0</v>
      </c>
      <c r="CY244">
        <v>3</v>
      </c>
      <c r="CZ244">
        <v>8</v>
      </c>
      <c r="DA244">
        <v>38.277782999999999</v>
      </c>
      <c r="DB244">
        <v>35.006636</v>
      </c>
      <c r="DC244">
        <v>1159321295</v>
      </c>
      <c r="DD244" t="s">
        <v>17158</v>
      </c>
      <c r="DE244" t="s">
        <v>17159</v>
      </c>
      <c r="DF244" t="s">
        <v>17160</v>
      </c>
      <c r="DG244" t="s">
        <v>17161</v>
      </c>
      <c r="DH244" t="s">
        <v>167</v>
      </c>
      <c r="DI244" t="s">
        <v>17162</v>
      </c>
      <c r="DJ244" t="s">
        <v>17163</v>
      </c>
      <c r="DK244" t="s">
        <v>17164</v>
      </c>
      <c r="DL244" t="s">
        <v>17165</v>
      </c>
      <c r="DM244" t="s">
        <v>17166</v>
      </c>
      <c r="DN244" t="s">
        <v>17167</v>
      </c>
      <c r="DO244" t="s">
        <v>17168</v>
      </c>
      <c r="DP244" t="s">
        <v>17169</v>
      </c>
      <c r="DQ244" t="s">
        <v>17162</v>
      </c>
      <c r="DR244" t="s">
        <v>17170</v>
      </c>
      <c r="DS244" t="s">
        <v>17171</v>
      </c>
      <c r="DT244" t="s">
        <v>17172</v>
      </c>
      <c r="DU244" t="s">
        <v>167</v>
      </c>
      <c r="DV244" t="s">
        <v>17173</v>
      </c>
      <c r="DW244" t="s">
        <v>17174</v>
      </c>
      <c r="DX244" t="s">
        <v>17161</v>
      </c>
      <c r="DY244" t="s">
        <v>17175</v>
      </c>
      <c r="DZ244" t="s">
        <v>17176</v>
      </c>
      <c r="EA244" t="s">
        <v>17177</v>
      </c>
      <c r="EB244" t="s">
        <v>167</v>
      </c>
      <c r="EC244" t="s">
        <v>17178</v>
      </c>
      <c r="ED244" t="s">
        <v>17179</v>
      </c>
      <c r="EE244" t="s">
        <v>12247</v>
      </c>
      <c r="EG244" t="s">
        <v>12247</v>
      </c>
    </row>
    <row r="245" spans="1:252" x14ac:dyDescent="0.25">
      <c r="A245" t="s">
        <v>192</v>
      </c>
      <c r="B245" t="s">
        <v>12247</v>
      </c>
      <c r="C245">
        <v>0</v>
      </c>
      <c r="D245">
        <v>3</v>
      </c>
      <c r="E245" t="s">
        <v>192</v>
      </c>
      <c r="F245" t="s">
        <v>13648</v>
      </c>
      <c r="G245">
        <v>0</v>
      </c>
      <c r="H245">
        <v>2</v>
      </c>
      <c r="I245" t="s">
        <v>12249</v>
      </c>
      <c r="J245">
        <v>1</v>
      </c>
      <c r="K245" t="s">
        <v>192</v>
      </c>
      <c r="L245" t="s">
        <v>13648</v>
      </c>
      <c r="M245">
        <v>0</v>
      </c>
      <c r="N245" t="s">
        <v>192</v>
      </c>
      <c r="O245" t="s">
        <v>13648</v>
      </c>
      <c r="P245">
        <v>0</v>
      </c>
      <c r="Q245" t="s">
        <v>192</v>
      </c>
      <c r="R245" t="s">
        <v>13648</v>
      </c>
      <c r="S245">
        <v>0</v>
      </c>
      <c r="T245" t="s">
        <v>192</v>
      </c>
      <c r="U245" t="s">
        <v>13648</v>
      </c>
      <c r="V245" t="s">
        <v>192</v>
      </c>
      <c r="X245" t="s">
        <v>192</v>
      </c>
      <c r="Y245" t="s">
        <v>1604</v>
      </c>
      <c r="AB245" t="s">
        <v>192</v>
      </c>
      <c r="AD245" t="s">
        <v>17180</v>
      </c>
      <c r="AE245" t="s">
        <v>192</v>
      </c>
      <c r="AG245">
        <v>1</v>
      </c>
      <c r="AH245">
        <v>5</v>
      </c>
      <c r="AI245">
        <v>7</v>
      </c>
      <c r="AJ245">
        <v>2</v>
      </c>
      <c r="AK245">
        <v>23568378</v>
      </c>
      <c r="AL245">
        <v>15</v>
      </c>
      <c r="AM245">
        <v>2020</v>
      </c>
      <c r="AN245">
        <v>1127000</v>
      </c>
      <c r="AO245">
        <v>2016</v>
      </c>
      <c r="AP245" t="s">
        <v>12334</v>
      </c>
      <c r="AQ245" t="s">
        <v>12335</v>
      </c>
      <c r="AR245" t="s">
        <v>1604</v>
      </c>
      <c r="AS245" t="s">
        <v>3599</v>
      </c>
      <c r="AT245" t="s">
        <v>1604</v>
      </c>
      <c r="AU245" t="s">
        <v>13648</v>
      </c>
      <c r="AV245" t="s">
        <v>13648</v>
      </c>
      <c r="AW245">
        <v>158</v>
      </c>
      <c r="AX245">
        <v>158</v>
      </c>
      <c r="AY245">
        <v>-99</v>
      </c>
      <c r="AZ245">
        <v>-99</v>
      </c>
      <c r="BA245">
        <v>-99</v>
      </c>
      <c r="BB245">
        <v>23424971</v>
      </c>
      <c r="BC245">
        <v>23424971</v>
      </c>
      <c r="BD245" t="s">
        <v>12254</v>
      </c>
      <c r="BE245" t="s">
        <v>13648</v>
      </c>
      <c r="BG245" t="s">
        <v>13648</v>
      </c>
      <c r="BH245" t="s">
        <v>13648</v>
      </c>
      <c r="BI245" t="s">
        <v>13648</v>
      </c>
      <c r="BJ245" t="s">
        <v>13646</v>
      </c>
      <c r="BK245" t="s">
        <v>13648</v>
      </c>
      <c r="BL245" t="s">
        <v>13646</v>
      </c>
      <c r="BM245" t="s">
        <v>13648</v>
      </c>
      <c r="BN245" t="s">
        <v>13648</v>
      </c>
      <c r="BO245" t="s">
        <v>13646</v>
      </c>
      <c r="BP245" t="s">
        <v>13646</v>
      </c>
      <c r="BQ245" t="s">
        <v>13648</v>
      </c>
      <c r="BR245" t="s">
        <v>13648</v>
      </c>
      <c r="BS245" t="s">
        <v>13648</v>
      </c>
      <c r="BT245" t="s">
        <v>13648</v>
      </c>
      <c r="BU245" t="s">
        <v>13648</v>
      </c>
      <c r="BV245" t="s">
        <v>13648</v>
      </c>
      <c r="BW245" t="s">
        <v>13646</v>
      </c>
      <c r="BX245" t="s">
        <v>13646</v>
      </c>
      <c r="BY245" t="s">
        <v>13648</v>
      </c>
      <c r="BZ245" t="s">
        <v>13648</v>
      </c>
      <c r="CA245" t="s">
        <v>13648</v>
      </c>
      <c r="CB245" t="s">
        <v>13648</v>
      </c>
      <c r="CC245" t="s">
        <v>13648</v>
      </c>
      <c r="CD245" t="s">
        <v>13648</v>
      </c>
      <c r="CE245" t="s">
        <v>13646</v>
      </c>
      <c r="CF245" t="s">
        <v>13648</v>
      </c>
      <c r="CG245" t="s">
        <v>13648</v>
      </c>
      <c r="CH245" t="s">
        <v>13648</v>
      </c>
      <c r="CI245" t="s">
        <v>13648</v>
      </c>
      <c r="CJ245" t="s">
        <v>13648</v>
      </c>
      <c r="CK245" t="s">
        <v>13646</v>
      </c>
      <c r="CL245" t="s">
        <v>13648</v>
      </c>
      <c r="CM245">
        <v>-99</v>
      </c>
      <c r="CN245">
        <v>-99</v>
      </c>
      <c r="CO245" t="s">
        <v>12255</v>
      </c>
      <c r="CP245" t="s">
        <v>12255</v>
      </c>
      <c r="CQ245" t="s">
        <v>13649</v>
      </c>
      <c r="CR245" t="s">
        <v>12539</v>
      </c>
      <c r="CS245">
        <v>6</v>
      </c>
      <c r="CT245">
        <v>6</v>
      </c>
      <c r="CU245">
        <v>6</v>
      </c>
      <c r="CV245">
        <v>-99</v>
      </c>
      <c r="CW245">
        <v>1</v>
      </c>
      <c r="CX245">
        <v>0</v>
      </c>
      <c r="CY245">
        <v>4.5</v>
      </c>
      <c r="CZ245">
        <v>8</v>
      </c>
      <c r="DA245">
        <v>120.86820400000001</v>
      </c>
      <c r="DB245">
        <v>23.652408000000001</v>
      </c>
      <c r="DC245">
        <v>1159321335</v>
      </c>
      <c r="DD245" t="s">
        <v>17181</v>
      </c>
      <c r="DE245" t="s">
        <v>17182</v>
      </c>
      <c r="DF245" t="s">
        <v>17183</v>
      </c>
      <c r="DG245" t="s">
        <v>17184</v>
      </c>
      <c r="DH245" t="s">
        <v>192</v>
      </c>
      <c r="DI245" t="s">
        <v>17185</v>
      </c>
      <c r="DJ245" t="s">
        <v>17186</v>
      </c>
      <c r="DK245" t="s">
        <v>17187</v>
      </c>
      <c r="DL245" t="s">
        <v>17188</v>
      </c>
      <c r="DM245" t="s">
        <v>17189</v>
      </c>
      <c r="DN245" t="s">
        <v>17190</v>
      </c>
      <c r="DO245" t="s">
        <v>17191</v>
      </c>
      <c r="DP245" t="s">
        <v>192</v>
      </c>
      <c r="DQ245" t="s">
        <v>192</v>
      </c>
      <c r="DR245" t="s">
        <v>17192</v>
      </c>
      <c r="DS245" t="s">
        <v>17193</v>
      </c>
      <c r="DT245" t="s">
        <v>192</v>
      </c>
      <c r="DU245" t="s">
        <v>17194</v>
      </c>
      <c r="DV245" t="s">
        <v>192</v>
      </c>
      <c r="DW245" t="s">
        <v>17195</v>
      </c>
      <c r="DX245" t="s">
        <v>192</v>
      </c>
      <c r="DY245" t="s">
        <v>17196</v>
      </c>
      <c r="DZ245" t="s">
        <v>17197</v>
      </c>
      <c r="EA245" t="s">
        <v>17198</v>
      </c>
      <c r="EB245" t="s">
        <v>17199</v>
      </c>
      <c r="EC245" t="s">
        <v>17200</v>
      </c>
      <c r="ED245" t="s">
        <v>17201</v>
      </c>
      <c r="EE245" t="s">
        <v>17202</v>
      </c>
      <c r="EF245">
        <v>1</v>
      </c>
      <c r="EG245" t="s">
        <v>12247</v>
      </c>
      <c r="EL245" t="s">
        <v>17202</v>
      </c>
      <c r="EM245" t="s">
        <v>12247</v>
      </c>
      <c r="EO245" t="s">
        <v>17202</v>
      </c>
      <c r="EW245" t="s">
        <v>17202</v>
      </c>
      <c r="EX245" t="s">
        <v>17202</v>
      </c>
      <c r="FE245" t="s">
        <v>17202</v>
      </c>
      <c r="FK245" t="s">
        <v>17202</v>
      </c>
    </row>
    <row r="246" spans="1:252" x14ac:dyDescent="0.25">
      <c r="A246" t="s">
        <v>168</v>
      </c>
      <c r="B246" t="s">
        <v>12247</v>
      </c>
      <c r="C246">
        <v>0</v>
      </c>
      <c r="D246">
        <v>4</v>
      </c>
      <c r="E246" t="s">
        <v>168</v>
      </c>
      <c r="F246" t="s">
        <v>17203</v>
      </c>
      <c r="G246">
        <v>0</v>
      </c>
      <c r="H246">
        <v>2</v>
      </c>
      <c r="I246" t="s">
        <v>12249</v>
      </c>
      <c r="J246">
        <v>1</v>
      </c>
      <c r="K246" t="s">
        <v>168</v>
      </c>
      <c r="L246" t="s">
        <v>17203</v>
      </c>
      <c r="M246">
        <v>0</v>
      </c>
      <c r="N246" t="s">
        <v>168</v>
      </c>
      <c r="O246" t="s">
        <v>17203</v>
      </c>
      <c r="P246">
        <v>0</v>
      </c>
      <c r="Q246" t="s">
        <v>168</v>
      </c>
      <c r="R246" t="s">
        <v>17203</v>
      </c>
      <c r="S246">
        <v>0</v>
      </c>
      <c r="T246" t="s">
        <v>168</v>
      </c>
      <c r="U246" t="s">
        <v>17203</v>
      </c>
      <c r="V246" t="s">
        <v>168</v>
      </c>
      <c r="X246" t="s">
        <v>17204</v>
      </c>
      <c r="Y246" t="s">
        <v>1908</v>
      </c>
      <c r="Z246" t="s">
        <v>17205</v>
      </c>
      <c r="AB246" t="s">
        <v>168</v>
      </c>
      <c r="AE246" t="s">
        <v>168</v>
      </c>
      <c r="AG246">
        <v>3</v>
      </c>
      <c r="AH246">
        <v>6</v>
      </c>
      <c r="AI246">
        <v>2</v>
      </c>
      <c r="AJ246">
        <v>5</v>
      </c>
      <c r="AK246">
        <v>9321018</v>
      </c>
      <c r="AL246">
        <v>13</v>
      </c>
      <c r="AM246">
        <v>2019</v>
      </c>
      <c r="AN246">
        <v>8116</v>
      </c>
      <c r="AO246">
        <v>2019</v>
      </c>
      <c r="AP246" t="s">
        <v>12277</v>
      </c>
      <c r="AQ246" t="s">
        <v>12253</v>
      </c>
      <c r="AR246" t="s">
        <v>17206</v>
      </c>
      <c r="AS246" t="s">
        <v>1908</v>
      </c>
      <c r="AT246" t="s">
        <v>1908</v>
      </c>
      <c r="AU246" t="s">
        <v>17203</v>
      </c>
      <c r="AV246" t="s">
        <v>17203</v>
      </c>
      <c r="AW246">
        <v>762</v>
      </c>
      <c r="AX246">
        <v>762</v>
      </c>
      <c r="AY246">
        <v>762</v>
      </c>
      <c r="AZ246" t="s">
        <v>1908</v>
      </c>
      <c r="BA246" t="s">
        <v>17203</v>
      </c>
      <c r="BB246">
        <v>23424961</v>
      </c>
      <c r="BC246">
        <v>23424961</v>
      </c>
      <c r="BD246" t="s">
        <v>12254</v>
      </c>
      <c r="BE246" t="s">
        <v>17203</v>
      </c>
      <c r="BG246" t="s">
        <v>17203</v>
      </c>
      <c r="BH246" t="s">
        <v>17203</v>
      </c>
      <c r="BI246" t="s">
        <v>17203</v>
      </c>
      <c r="BJ246" t="s">
        <v>17203</v>
      </c>
      <c r="BK246" t="s">
        <v>17203</v>
      </c>
      <c r="BL246" t="s">
        <v>17203</v>
      </c>
      <c r="BM246" t="s">
        <v>17203</v>
      </c>
      <c r="BN246" t="s">
        <v>17203</v>
      </c>
      <c r="BO246" t="s">
        <v>17203</v>
      </c>
      <c r="BP246" t="s">
        <v>17203</v>
      </c>
      <c r="BQ246" t="s">
        <v>17203</v>
      </c>
      <c r="BR246" t="s">
        <v>17203</v>
      </c>
      <c r="BS246" t="s">
        <v>17203</v>
      </c>
      <c r="BT246" t="s">
        <v>17203</v>
      </c>
      <c r="BU246" t="s">
        <v>17203</v>
      </c>
      <c r="BV246" t="s">
        <v>17203</v>
      </c>
      <c r="BW246" t="s">
        <v>17203</v>
      </c>
      <c r="BX246" t="s">
        <v>17203</v>
      </c>
      <c r="BY246" t="s">
        <v>17203</v>
      </c>
      <c r="BZ246" t="s">
        <v>17203</v>
      </c>
      <c r="CA246" t="s">
        <v>17203</v>
      </c>
      <c r="CB246" t="s">
        <v>17203</v>
      </c>
      <c r="CC246" t="s">
        <v>17203</v>
      </c>
      <c r="CD246" t="s">
        <v>17203</v>
      </c>
      <c r="CE246" t="s">
        <v>17203</v>
      </c>
      <c r="CF246" t="s">
        <v>17203</v>
      </c>
      <c r="CG246" t="s">
        <v>17203</v>
      </c>
      <c r="CH246" t="s">
        <v>17203</v>
      </c>
      <c r="CI246" t="s">
        <v>17203</v>
      </c>
      <c r="CJ246" t="s">
        <v>17203</v>
      </c>
      <c r="CK246" t="s">
        <v>17203</v>
      </c>
      <c r="CL246" t="s">
        <v>17203</v>
      </c>
      <c r="CM246">
        <v>-99</v>
      </c>
      <c r="CN246">
        <v>-99</v>
      </c>
      <c r="CO246" t="s">
        <v>12255</v>
      </c>
      <c r="CP246" t="s">
        <v>12255</v>
      </c>
      <c r="CQ246" t="s">
        <v>13299</v>
      </c>
      <c r="CR246" t="s">
        <v>12281</v>
      </c>
      <c r="CS246">
        <v>10</v>
      </c>
      <c r="CT246">
        <v>10</v>
      </c>
      <c r="CU246">
        <v>4</v>
      </c>
      <c r="CV246">
        <v>-99</v>
      </c>
      <c r="CW246">
        <v>1</v>
      </c>
      <c r="CX246">
        <v>0</v>
      </c>
      <c r="CY246">
        <v>4</v>
      </c>
      <c r="CZ246">
        <v>9</v>
      </c>
      <c r="DA246">
        <v>72.587276000000003</v>
      </c>
      <c r="DB246">
        <v>38.199835</v>
      </c>
      <c r="DC246">
        <v>1159321307</v>
      </c>
      <c r="DD246" t="s">
        <v>17207</v>
      </c>
      <c r="DE246" t="s">
        <v>17208</v>
      </c>
      <c r="DF246" t="s">
        <v>17209</v>
      </c>
      <c r="DG246" t="s">
        <v>17210</v>
      </c>
      <c r="DH246" t="s">
        <v>168</v>
      </c>
      <c r="DI246" t="s">
        <v>17211</v>
      </c>
      <c r="DJ246" t="s">
        <v>17212</v>
      </c>
      <c r="DK246" t="s">
        <v>17213</v>
      </c>
      <c r="DL246" t="s">
        <v>17214</v>
      </c>
      <c r="DM246" t="s">
        <v>17215</v>
      </c>
      <c r="DN246" t="s">
        <v>17216</v>
      </c>
      <c r="DO246" t="s">
        <v>17217</v>
      </c>
      <c r="DP246" t="s">
        <v>168</v>
      </c>
      <c r="DQ246" t="s">
        <v>17218</v>
      </c>
      <c r="DR246" t="s">
        <v>17219</v>
      </c>
      <c r="DS246" t="s">
        <v>17220</v>
      </c>
      <c r="DT246" t="s">
        <v>17221</v>
      </c>
      <c r="DU246" t="s">
        <v>17222</v>
      </c>
      <c r="DV246" t="s">
        <v>17223</v>
      </c>
      <c r="DW246" t="s">
        <v>17224</v>
      </c>
      <c r="DX246" t="s">
        <v>17221</v>
      </c>
      <c r="DY246" t="s">
        <v>17225</v>
      </c>
      <c r="DZ246" t="s">
        <v>17224</v>
      </c>
      <c r="EA246" t="s">
        <v>17226</v>
      </c>
      <c r="EB246" t="s">
        <v>168</v>
      </c>
      <c r="EC246" t="s">
        <v>17227</v>
      </c>
      <c r="ED246" t="s">
        <v>17228</v>
      </c>
      <c r="EE246" t="s">
        <v>12247</v>
      </c>
      <c r="EG246" t="s">
        <v>12247</v>
      </c>
    </row>
    <row r="247" spans="1:252" x14ac:dyDescent="0.25">
      <c r="A247" t="s">
        <v>169</v>
      </c>
      <c r="B247" t="s">
        <v>12247</v>
      </c>
      <c r="C247">
        <v>0</v>
      </c>
      <c r="D247">
        <v>3</v>
      </c>
      <c r="E247" t="s">
        <v>17935</v>
      </c>
      <c r="F247" t="s">
        <v>17936</v>
      </c>
      <c r="G247">
        <v>0</v>
      </c>
      <c r="H247">
        <v>2</v>
      </c>
      <c r="I247" t="s">
        <v>12249</v>
      </c>
      <c r="J247">
        <v>1</v>
      </c>
      <c r="K247" t="s">
        <v>17935</v>
      </c>
      <c r="L247" t="s">
        <v>17936</v>
      </c>
      <c r="M247">
        <v>0</v>
      </c>
      <c r="N247" t="s">
        <v>169</v>
      </c>
      <c r="O247" t="s">
        <v>17936</v>
      </c>
      <c r="P247">
        <v>0</v>
      </c>
      <c r="Q247" t="s">
        <v>169</v>
      </c>
      <c r="R247" t="s">
        <v>17936</v>
      </c>
      <c r="S247">
        <v>0</v>
      </c>
      <c r="T247" t="s">
        <v>169</v>
      </c>
      <c r="U247" t="s">
        <v>17936</v>
      </c>
      <c r="V247" t="s">
        <v>169</v>
      </c>
      <c r="X247" t="s">
        <v>17937</v>
      </c>
      <c r="Y247" t="s">
        <v>1938</v>
      </c>
      <c r="Z247" t="s">
        <v>17935</v>
      </c>
      <c r="AB247" t="s">
        <v>169</v>
      </c>
      <c r="AE247" t="s">
        <v>169</v>
      </c>
      <c r="AG247">
        <v>3</v>
      </c>
      <c r="AH247">
        <v>6</v>
      </c>
      <c r="AI247">
        <v>2</v>
      </c>
      <c r="AJ247">
        <v>2</v>
      </c>
      <c r="AK247">
        <v>58005463</v>
      </c>
      <c r="AL247">
        <v>16</v>
      </c>
      <c r="AM247">
        <v>2019</v>
      </c>
      <c r="AN247">
        <v>63177</v>
      </c>
      <c r="AO247">
        <v>2019</v>
      </c>
      <c r="AP247" t="s">
        <v>12252</v>
      </c>
      <c r="AQ247" t="s">
        <v>12253</v>
      </c>
      <c r="AR247" t="s">
        <v>1938</v>
      </c>
      <c r="AS247" t="s">
        <v>1938</v>
      </c>
      <c r="AT247" t="s">
        <v>1938</v>
      </c>
      <c r="AU247" t="s">
        <v>17936</v>
      </c>
      <c r="AV247" t="s">
        <v>17936</v>
      </c>
      <c r="AW247">
        <v>834</v>
      </c>
      <c r="AX247">
        <v>834</v>
      </c>
      <c r="AY247">
        <v>834</v>
      </c>
      <c r="AZ247" t="s">
        <v>1938</v>
      </c>
      <c r="BA247" t="s">
        <v>17936</v>
      </c>
      <c r="BB247">
        <v>23424973</v>
      </c>
      <c r="BC247">
        <v>23424973</v>
      </c>
      <c r="BD247" t="s">
        <v>12254</v>
      </c>
      <c r="BE247" t="s">
        <v>17936</v>
      </c>
      <c r="BG247" t="s">
        <v>17936</v>
      </c>
      <c r="BH247" t="s">
        <v>17936</v>
      </c>
      <c r="BI247" t="s">
        <v>17936</v>
      </c>
      <c r="BJ247" t="s">
        <v>17936</v>
      </c>
      <c r="BK247" t="s">
        <v>17936</v>
      </c>
      <c r="BL247" t="s">
        <v>17936</v>
      </c>
      <c r="BM247" t="s">
        <v>17936</v>
      </c>
      <c r="BN247" t="s">
        <v>17936</v>
      </c>
      <c r="BO247" t="s">
        <v>17936</v>
      </c>
      <c r="BP247" t="s">
        <v>17936</v>
      </c>
      <c r="BQ247" t="s">
        <v>17936</v>
      </c>
      <c r="BR247" t="s">
        <v>17936</v>
      </c>
      <c r="BS247" t="s">
        <v>17936</v>
      </c>
      <c r="BT247" t="s">
        <v>17936</v>
      </c>
      <c r="BU247" t="s">
        <v>17936</v>
      </c>
      <c r="BV247" t="s">
        <v>17936</v>
      </c>
      <c r="BW247" t="s">
        <v>17936</v>
      </c>
      <c r="BX247" t="s">
        <v>17936</v>
      </c>
      <c r="BY247" t="s">
        <v>17936</v>
      </c>
      <c r="BZ247" t="s">
        <v>17936</v>
      </c>
      <c r="CA247" t="s">
        <v>17936</v>
      </c>
      <c r="CB247" t="s">
        <v>17936</v>
      </c>
      <c r="CC247" t="s">
        <v>17936</v>
      </c>
      <c r="CD247" t="s">
        <v>17936</v>
      </c>
      <c r="CE247" t="s">
        <v>17936</v>
      </c>
      <c r="CF247" t="s">
        <v>17936</v>
      </c>
      <c r="CG247" t="s">
        <v>17936</v>
      </c>
      <c r="CH247" t="s">
        <v>17936</v>
      </c>
      <c r="CI247" t="s">
        <v>17936</v>
      </c>
      <c r="CJ247" t="s">
        <v>17936</v>
      </c>
      <c r="CK247" t="s">
        <v>17936</v>
      </c>
      <c r="CL247" t="s">
        <v>17936</v>
      </c>
      <c r="CM247">
        <v>-99</v>
      </c>
      <c r="CN247">
        <v>-99</v>
      </c>
      <c r="CO247" t="s">
        <v>12306</v>
      </c>
      <c r="CP247" t="s">
        <v>12306</v>
      </c>
      <c r="CQ247" t="s">
        <v>13085</v>
      </c>
      <c r="CR247" t="s">
        <v>12357</v>
      </c>
      <c r="CS247">
        <v>8</v>
      </c>
      <c r="CT247">
        <v>8</v>
      </c>
      <c r="CU247">
        <v>5</v>
      </c>
      <c r="CV247">
        <v>-99</v>
      </c>
      <c r="CW247">
        <v>1</v>
      </c>
      <c r="CX247">
        <v>0</v>
      </c>
      <c r="CY247">
        <v>3</v>
      </c>
      <c r="CZ247">
        <v>8</v>
      </c>
      <c r="DA247">
        <v>34.959183000000003</v>
      </c>
      <c r="DB247">
        <v>-6.0518660000000004</v>
      </c>
      <c r="DC247">
        <v>1159321337</v>
      </c>
      <c r="DD247" t="s">
        <v>17938</v>
      </c>
      <c r="DE247" t="s">
        <v>17939</v>
      </c>
      <c r="DF247" t="s">
        <v>17940</v>
      </c>
      <c r="DG247" t="s">
        <v>17941</v>
      </c>
      <c r="DH247" t="s">
        <v>169</v>
      </c>
      <c r="DI247" t="s">
        <v>169</v>
      </c>
      <c r="DJ247" t="s">
        <v>17942</v>
      </c>
      <c r="DK247" t="s">
        <v>17943</v>
      </c>
      <c r="DL247" t="s">
        <v>17944</v>
      </c>
      <c r="DM247" t="s">
        <v>17945</v>
      </c>
      <c r="DN247" t="s">
        <v>17946</v>
      </c>
      <c r="DO247" t="s">
        <v>17947</v>
      </c>
      <c r="DP247" t="s">
        <v>169</v>
      </c>
      <c r="DQ247" t="s">
        <v>169</v>
      </c>
      <c r="DR247" t="s">
        <v>17948</v>
      </c>
      <c r="DS247" t="s">
        <v>17949</v>
      </c>
      <c r="DT247" t="s">
        <v>169</v>
      </c>
      <c r="DU247" t="s">
        <v>169</v>
      </c>
      <c r="DV247" t="s">
        <v>17950</v>
      </c>
      <c r="DW247" t="s">
        <v>17951</v>
      </c>
      <c r="DX247" t="s">
        <v>169</v>
      </c>
      <c r="DY247" t="s">
        <v>17952</v>
      </c>
      <c r="DZ247" t="s">
        <v>17953</v>
      </c>
      <c r="EA247" t="s">
        <v>17954</v>
      </c>
      <c r="EB247" t="s">
        <v>169</v>
      </c>
      <c r="EC247" t="s">
        <v>17955</v>
      </c>
      <c r="ED247" t="s">
        <v>17956</v>
      </c>
      <c r="EE247" t="s">
        <v>12247</v>
      </c>
      <c r="EG247" t="s">
        <v>12247</v>
      </c>
    </row>
    <row r="248" spans="1:252" x14ac:dyDescent="0.25">
      <c r="A248" t="s">
        <v>170</v>
      </c>
      <c r="B248" t="s">
        <v>12247</v>
      </c>
      <c r="C248">
        <v>0</v>
      </c>
      <c r="D248">
        <v>3</v>
      </c>
      <c r="E248" t="s">
        <v>170</v>
      </c>
      <c r="F248" t="s">
        <v>17229</v>
      </c>
      <c r="G248">
        <v>0</v>
      </c>
      <c r="H248">
        <v>2</v>
      </c>
      <c r="I248" t="s">
        <v>12249</v>
      </c>
      <c r="J248">
        <v>1</v>
      </c>
      <c r="K248" t="s">
        <v>170</v>
      </c>
      <c r="L248" t="s">
        <v>17229</v>
      </c>
      <c r="M248">
        <v>0</v>
      </c>
      <c r="N248" t="s">
        <v>170</v>
      </c>
      <c r="O248" t="s">
        <v>17229</v>
      </c>
      <c r="P248">
        <v>0</v>
      </c>
      <c r="Q248" t="s">
        <v>170</v>
      </c>
      <c r="R248" t="s">
        <v>17229</v>
      </c>
      <c r="S248">
        <v>0</v>
      </c>
      <c r="T248" t="s">
        <v>170</v>
      </c>
      <c r="U248" t="s">
        <v>17229</v>
      </c>
      <c r="V248" t="s">
        <v>170</v>
      </c>
      <c r="X248" t="s">
        <v>17230</v>
      </c>
      <c r="Y248" t="s">
        <v>1905</v>
      </c>
      <c r="Z248" t="s">
        <v>17231</v>
      </c>
      <c r="AB248" t="s">
        <v>170</v>
      </c>
      <c r="AE248" t="s">
        <v>170</v>
      </c>
      <c r="AG248">
        <v>3</v>
      </c>
      <c r="AH248">
        <v>6</v>
      </c>
      <c r="AI248">
        <v>8</v>
      </c>
      <c r="AJ248">
        <v>1</v>
      </c>
      <c r="AK248">
        <v>69625582</v>
      </c>
      <c r="AL248">
        <v>16</v>
      </c>
      <c r="AM248">
        <v>2019</v>
      </c>
      <c r="AN248">
        <v>543548</v>
      </c>
      <c r="AO248">
        <v>2019</v>
      </c>
      <c r="AP248" t="s">
        <v>12435</v>
      </c>
      <c r="AQ248" t="s">
        <v>12305</v>
      </c>
      <c r="AR248" t="s">
        <v>1905</v>
      </c>
      <c r="AS248" t="s">
        <v>1905</v>
      </c>
      <c r="AT248" t="s">
        <v>1905</v>
      </c>
      <c r="AU248" t="s">
        <v>17229</v>
      </c>
      <c r="AV248" t="s">
        <v>17229</v>
      </c>
      <c r="AW248">
        <v>764</v>
      </c>
      <c r="AX248">
        <v>764</v>
      </c>
      <c r="AY248">
        <v>764</v>
      </c>
      <c r="AZ248" t="s">
        <v>1905</v>
      </c>
      <c r="BA248" t="s">
        <v>17229</v>
      </c>
      <c r="BB248">
        <v>23424960</v>
      </c>
      <c r="BC248">
        <v>23424960</v>
      </c>
      <c r="BD248" t="s">
        <v>12254</v>
      </c>
      <c r="BE248" t="s">
        <v>17229</v>
      </c>
      <c r="BG248" t="s">
        <v>17229</v>
      </c>
      <c r="BH248" t="s">
        <v>17229</v>
      </c>
      <c r="BI248" t="s">
        <v>17229</v>
      </c>
      <c r="BJ248" t="s">
        <v>17229</v>
      </c>
      <c r="BK248" t="s">
        <v>17229</v>
      </c>
      <c r="BL248" t="s">
        <v>17229</v>
      </c>
      <c r="BM248" t="s">
        <v>17229</v>
      </c>
      <c r="BN248" t="s">
        <v>17229</v>
      </c>
      <c r="BO248" t="s">
        <v>17229</v>
      </c>
      <c r="BP248" t="s">
        <v>17229</v>
      </c>
      <c r="BQ248" t="s">
        <v>17229</v>
      </c>
      <c r="BR248" t="s">
        <v>17229</v>
      </c>
      <c r="BS248" t="s">
        <v>17229</v>
      </c>
      <c r="BT248" t="s">
        <v>17229</v>
      </c>
      <c r="BU248" t="s">
        <v>17229</v>
      </c>
      <c r="BV248" t="s">
        <v>17229</v>
      </c>
      <c r="BW248" t="s">
        <v>17229</v>
      </c>
      <c r="BX248" t="s">
        <v>17229</v>
      </c>
      <c r="BY248" t="s">
        <v>17229</v>
      </c>
      <c r="BZ248" t="s">
        <v>17229</v>
      </c>
      <c r="CA248" t="s">
        <v>17229</v>
      </c>
      <c r="CB248" t="s">
        <v>17229</v>
      </c>
      <c r="CC248" t="s">
        <v>17229</v>
      </c>
      <c r="CD248" t="s">
        <v>17229</v>
      </c>
      <c r="CE248" t="s">
        <v>17229</v>
      </c>
      <c r="CF248" t="s">
        <v>17229</v>
      </c>
      <c r="CG248" t="s">
        <v>17229</v>
      </c>
      <c r="CH248" t="s">
        <v>17229</v>
      </c>
      <c r="CI248" t="s">
        <v>17229</v>
      </c>
      <c r="CJ248" t="s">
        <v>17229</v>
      </c>
      <c r="CK248" t="s">
        <v>17229</v>
      </c>
      <c r="CL248" t="s">
        <v>17229</v>
      </c>
      <c r="CM248">
        <v>-99</v>
      </c>
      <c r="CN248">
        <v>-99</v>
      </c>
      <c r="CO248" t="s">
        <v>12255</v>
      </c>
      <c r="CP248" t="s">
        <v>12255</v>
      </c>
      <c r="CQ248" t="s">
        <v>13026</v>
      </c>
      <c r="CR248" t="s">
        <v>12539</v>
      </c>
      <c r="CS248">
        <v>8</v>
      </c>
      <c r="CT248">
        <v>8</v>
      </c>
      <c r="CU248">
        <v>5</v>
      </c>
      <c r="CV248">
        <v>-99</v>
      </c>
      <c r="CW248">
        <v>1</v>
      </c>
      <c r="CX248">
        <v>0</v>
      </c>
      <c r="CY248">
        <v>2.7</v>
      </c>
      <c r="CZ248">
        <v>8</v>
      </c>
      <c r="DA248">
        <v>101.073198</v>
      </c>
      <c r="DB248">
        <v>15.45974</v>
      </c>
      <c r="DC248">
        <v>1159321305</v>
      </c>
      <c r="DD248" t="s">
        <v>17232</v>
      </c>
      <c r="DE248" t="s">
        <v>17233</v>
      </c>
      <c r="DF248" t="s">
        <v>17234</v>
      </c>
      <c r="DG248" t="s">
        <v>170</v>
      </c>
      <c r="DH248" t="s">
        <v>170</v>
      </c>
      <c r="DI248" t="s">
        <v>17235</v>
      </c>
      <c r="DJ248" t="s">
        <v>17236</v>
      </c>
      <c r="DK248" t="s">
        <v>17237</v>
      </c>
      <c r="DL248" t="s">
        <v>17238</v>
      </c>
      <c r="DM248" t="s">
        <v>17239</v>
      </c>
      <c r="DN248" t="s">
        <v>17240</v>
      </c>
      <c r="DO248" t="s">
        <v>17241</v>
      </c>
      <c r="DP248" t="s">
        <v>170</v>
      </c>
      <c r="DQ248" t="s">
        <v>17242</v>
      </c>
      <c r="DR248" t="s">
        <v>17243</v>
      </c>
      <c r="DS248" t="s">
        <v>17244</v>
      </c>
      <c r="DT248" t="s">
        <v>170</v>
      </c>
      <c r="DU248" t="s">
        <v>17245</v>
      </c>
      <c r="DV248" t="s">
        <v>17246</v>
      </c>
      <c r="DW248" t="s">
        <v>17247</v>
      </c>
      <c r="DX248" t="s">
        <v>170</v>
      </c>
      <c r="DY248" t="s">
        <v>17248</v>
      </c>
      <c r="DZ248" t="s">
        <v>17249</v>
      </c>
      <c r="EA248" t="s">
        <v>17250</v>
      </c>
      <c r="EB248" t="s">
        <v>17251</v>
      </c>
      <c r="EC248" t="s">
        <v>17252</v>
      </c>
      <c r="ED248" t="s">
        <v>17253</v>
      </c>
      <c r="EE248" t="s">
        <v>12247</v>
      </c>
      <c r="EG248" t="s">
        <v>12247</v>
      </c>
    </row>
    <row r="249" spans="1:252" x14ac:dyDescent="0.25">
      <c r="A249" t="s">
        <v>12065</v>
      </c>
      <c r="B249" t="s">
        <v>17202</v>
      </c>
      <c r="C249">
        <v>2</v>
      </c>
      <c r="L249" t="s">
        <v>3605</v>
      </c>
      <c r="EE249" t="s">
        <v>18470</v>
      </c>
      <c r="EG249" t="s">
        <v>18470</v>
      </c>
      <c r="EH249" t="s">
        <v>18470</v>
      </c>
      <c r="EI249" t="s">
        <v>18470</v>
      </c>
      <c r="EJ249" t="s">
        <v>18470</v>
      </c>
      <c r="EK249" t="s">
        <v>18470</v>
      </c>
      <c r="EL249" t="s">
        <v>18470</v>
      </c>
      <c r="EM249" t="s">
        <v>18470</v>
      </c>
      <c r="EN249" t="s">
        <v>18470</v>
      </c>
      <c r="EO249" t="s">
        <v>18470</v>
      </c>
      <c r="EP249" t="s">
        <v>18470</v>
      </c>
      <c r="EQ249" t="s">
        <v>18470</v>
      </c>
      <c r="ER249" t="s">
        <v>18470</v>
      </c>
      <c r="ES249" t="s">
        <v>18470</v>
      </c>
      <c r="ET249" t="s">
        <v>18470</v>
      </c>
      <c r="EU249" t="s">
        <v>18470</v>
      </c>
      <c r="EV249" t="s">
        <v>18470</v>
      </c>
      <c r="EW249" t="s">
        <v>18470</v>
      </c>
      <c r="EX249" t="s">
        <v>18470</v>
      </c>
      <c r="EY249" t="s">
        <v>18470</v>
      </c>
      <c r="EZ249" t="s">
        <v>18470</v>
      </c>
      <c r="FA249" t="s">
        <v>18470</v>
      </c>
      <c r="FB249" t="s">
        <v>18470</v>
      </c>
      <c r="FC249" t="s">
        <v>18470</v>
      </c>
      <c r="FD249" t="s">
        <v>18470</v>
      </c>
      <c r="FE249" t="s">
        <v>18470</v>
      </c>
      <c r="FF249" t="s">
        <v>18470</v>
      </c>
      <c r="FG249" t="s">
        <v>18470</v>
      </c>
      <c r="FH249" t="s">
        <v>18470</v>
      </c>
      <c r="FI249" t="s">
        <v>18470</v>
      </c>
      <c r="FJ249" t="s">
        <v>18470</v>
      </c>
      <c r="FK249" t="s">
        <v>18470</v>
      </c>
      <c r="FL249" t="s">
        <v>18470</v>
      </c>
      <c r="FN249" t="s">
        <v>18471</v>
      </c>
      <c r="FO249">
        <v>1662</v>
      </c>
      <c r="FP249" t="s">
        <v>18470</v>
      </c>
      <c r="FQ249" t="s">
        <v>1387</v>
      </c>
      <c r="FR249">
        <v>1</v>
      </c>
      <c r="FS249" t="s">
        <v>12065</v>
      </c>
      <c r="FT249" t="s">
        <v>18472</v>
      </c>
      <c r="FU249" t="s">
        <v>18473</v>
      </c>
      <c r="FV249" t="s">
        <v>18474</v>
      </c>
      <c r="FW249" t="s">
        <v>18470</v>
      </c>
      <c r="FX249" t="s">
        <v>18475</v>
      </c>
      <c r="FY249" t="s">
        <v>18470</v>
      </c>
      <c r="FZ249" t="s">
        <v>18470</v>
      </c>
      <c r="GA249" t="s">
        <v>18476</v>
      </c>
      <c r="GB249">
        <v>48</v>
      </c>
      <c r="GC249">
        <v>1</v>
      </c>
      <c r="GD249">
        <v>20</v>
      </c>
      <c r="GE249">
        <v>1</v>
      </c>
      <c r="GF249" t="s">
        <v>18470</v>
      </c>
      <c r="GG249" t="s">
        <v>18477</v>
      </c>
      <c r="GH249">
        <v>0</v>
      </c>
      <c r="GI249">
        <v>-99</v>
      </c>
      <c r="GJ249">
        <v>2</v>
      </c>
      <c r="GK249">
        <v>6</v>
      </c>
      <c r="GL249">
        <v>4</v>
      </c>
      <c r="GM249">
        <v>3</v>
      </c>
      <c r="GN249" t="s">
        <v>18478</v>
      </c>
      <c r="GO249" t="s">
        <v>18470</v>
      </c>
      <c r="GP249">
        <v>12578004</v>
      </c>
      <c r="GQ249" t="s">
        <v>18479</v>
      </c>
      <c r="GR249" t="s">
        <v>18480</v>
      </c>
      <c r="GS249">
        <v>31.451499999999999</v>
      </c>
      <c r="GT249">
        <v>88.413700000000006</v>
      </c>
      <c r="GU249" t="s">
        <v>13645</v>
      </c>
      <c r="GV249" t="s">
        <v>3605</v>
      </c>
      <c r="GW249">
        <v>2</v>
      </c>
      <c r="GX249" t="s">
        <v>1205</v>
      </c>
      <c r="GY249" t="s">
        <v>1205</v>
      </c>
      <c r="GZ249" t="s">
        <v>13646</v>
      </c>
      <c r="HA249">
        <v>1279685</v>
      </c>
      <c r="HB249" t="s">
        <v>18481</v>
      </c>
      <c r="HC249">
        <v>-1934604</v>
      </c>
      <c r="HD249" t="s">
        <v>3606</v>
      </c>
      <c r="HE249">
        <v>1</v>
      </c>
      <c r="HF249" t="s">
        <v>18470</v>
      </c>
      <c r="HG249" t="s">
        <v>18482</v>
      </c>
      <c r="HH249" t="s">
        <v>4722</v>
      </c>
      <c r="HI249" t="s">
        <v>18470</v>
      </c>
      <c r="HJ249">
        <v>1</v>
      </c>
      <c r="HK249" t="s">
        <v>18483</v>
      </c>
      <c r="HL249" t="s">
        <v>18478</v>
      </c>
      <c r="HM249" t="s">
        <v>18470</v>
      </c>
      <c r="HN249">
        <v>4.5999999999999996</v>
      </c>
      <c r="HO249">
        <v>10.1</v>
      </c>
      <c r="HP249">
        <v>4.5999999999999996</v>
      </c>
      <c r="HQ249" t="s">
        <v>18484</v>
      </c>
      <c r="HR249" t="s">
        <v>18485</v>
      </c>
      <c r="HS249" t="s">
        <v>18486</v>
      </c>
      <c r="HT249" t="s">
        <v>18487</v>
      </c>
      <c r="HU249" t="s">
        <v>12065</v>
      </c>
      <c r="HV249" t="s">
        <v>18488</v>
      </c>
      <c r="HW249" t="s">
        <v>12065</v>
      </c>
      <c r="HX249" t="s">
        <v>18489</v>
      </c>
      <c r="HY249" t="s">
        <v>18490</v>
      </c>
      <c r="HZ249" t="s">
        <v>18491</v>
      </c>
      <c r="IA249" t="s">
        <v>12065</v>
      </c>
      <c r="IB249" t="s">
        <v>18492</v>
      </c>
      <c r="IC249" t="s">
        <v>18493</v>
      </c>
      <c r="ID249" t="s">
        <v>18494</v>
      </c>
      <c r="IE249" t="s">
        <v>18495</v>
      </c>
      <c r="IF249" t="s">
        <v>18496</v>
      </c>
      <c r="IG249" t="s">
        <v>18497</v>
      </c>
      <c r="IH249" t="s">
        <v>18498</v>
      </c>
      <c r="II249" t="s">
        <v>18499</v>
      </c>
      <c r="IJ249" t="s">
        <v>18500</v>
      </c>
      <c r="IK249" t="s">
        <v>18501</v>
      </c>
      <c r="IL249" t="s">
        <v>18502</v>
      </c>
      <c r="IM249">
        <v>1159312655</v>
      </c>
      <c r="IN249" t="s">
        <v>18503</v>
      </c>
      <c r="IO249" t="s">
        <v>18504</v>
      </c>
      <c r="IP249" t="s">
        <v>18505</v>
      </c>
      <c r="IQ249" t="s">
        <v>18506</v>
      </c>
      <c r="IR249" t="s">
        <v>18507</v>
      </c>
    </row>
    <row r="250" spans="1:252" x14ac:dyDescent="0.25">
      <c r="A250" t="s">
        <v>171</v>
      </c>
      <c r="B250" t="s">
        <v>12247</v>
      </c>
      <c r="C250">
        <v>1</v>
      </c>
      <c r="D250">
        <v>5</v>
      </c>
      <c r="E250" t="s">
        <v>13777</v>
      </c>
      <c r="F250" t="s">
        <v>13778</v>
      </c>
      <c r="G250">
        <v>0</v>
      </c>
      <c r="H250">
        <v>2</v>
      </c>
      <c r="I250" t="s">
        <v>12249</v>
      </c>
      <c r="J250">
        <v>1</v>
      </c>
      <c r="K250" t="s">
        <v>13777</v>
      </c>
      <c r="L250" t="s">
        <v>13778</v>
      </c>
      <c r="M250">
        <v>0</v>
      </c>
      <c r="N250" t="s">
        <v>13777</v>
      </c>
      <c r="O250" t="s">
        <v>13778</v>
      </c>
      <c r="P250">
        <v>0</v>
      </c>
      <c r="Q250" t="s">
        <v>13777</v>
      </c>
      <c r="R250" t="s">
        <v>13778</v>
      </c>
      <c r="S250">
        <v>0</v>
      </c>
      <c r="T250" t="s">
        <v>171</v>
      </c>
      <c r="U250" t="s">
        <v>13778</v>
      </c>
      <c r="V250" t="s">
        <v>171</v>
      </c>
      <c r="X250" t="s">
        <v>13779</v>
      </c>
      <c r="Y250" t="s">
        <v>1911</v>
      </c>
      <c r="Z250" t="s">
        <v>13780</v>
      </c>
      <c r="AB250" t="s">
        <v>171</v>
      </c>
      <c r="AE250" t="s">
        <v>171</v>
      </c>
      <c r="AF250" t="s">
        <v>13777</v>
      </c>
      <c r="AG250">
        <v>2</v>
      </c>
      <c r="AH250">
        <v>2</v>
      </c>
      <c r="AI250">
        <v>4</v>
      </c>
      <c r="AJ250">
        <v>3</v>
      </c>
      <c r="AK250">
        <v>1293119</v>
      </c>
      <c r="AL250">
        <v>12</v>
      </c>
      <c r="AM250">
        <v>2019</v>
      </c>
      <c r="AN250">
        <v>2017</v>
      </c>
      <c r="AO250">
        <v>2019</v>
      </c>
      <c r="AP250" t="s">
        <v>12252</v>
      </c>
      <c r="AQ250" t="s">
        <v>12278</v>
      </c>
      <c r="AR250" t="s">
        <v>1927</v>
      </c>
      <c r="AS250" t="s">
        <v>1911</v>
      </c>
      <c r="AT250" t="s">
        <v>1911</v>
      </c>
      <c r="AU250" t="s">
        <v>13778</v>
      </c>
      <c r="AV250" t="s">
        <v>13778</v>
      </c>
      <c r="AW250">
        <v>626</v>
      </c>
      <c r="AX250">
        <v>626</v>
      </c>
      <c r="AY250">
        <v>626</v>
      </c>
      <c r="AZ250" t="s">
        <v>13781</v>
      </c>
      <c r="BA250" t="s">
        <v>13782</v>
      </c>
      <c r="BB250">
        <v>23424968</v>
      </c>
      <c r="BC250">
        <v>23424968</v>
      </c>
      <c r="BD250" t="s">
        <v>12254</v>
      </c>
      <c r="BE250" t="s">
        <v>13778</v>
      </c>
      <c r="BG250" t="s">
        <v>13778</v>
      </c>
      <c r="BH250" t="s">
        <v>13778</v>
      </c>
      <c r="BI250" t="s">
        <v>13778</v>
      </c>
      <c r="BJ250" t="s">
        <v>13778</v>
      </c>
      <c r="BK250" t="s">
        <v>13778</v>
      </c>
      <c r="BL250" t="s">
        <v>13778</v>
      </c>
      <c r="BM250" t="s">
        <v>13778</v>
      </c>
      <c r="BN250" t="s">
        <v>13778</v>
      </c>
      <c r="BO250" t="s">
        <v>13778</v>
      </c>
      <c r="BP250" t="s">
        <v>13778</v>
      </c>
      <c r="BQ250" t="s">
        <v>13778</v>
      </c>
      <c r="BR250" t="s">
        <v>13778</v>
      </c>
      <c r="BS250" t="s">
        <v>13778</v>
      </c>
      <c r="BT250" t="s">
        <v>13778</v>
      </c>
      <c r="BU250" t="s">
        <v>13778</v>
      </c>
      <c r="BV250" t="s">
        <v>13778</v>
      </c>
      <c r="BW250" t="s">
        <v>13778</v>
      </c>
      <c r="BX250" t="s">
        <v>13778</v>
      </c>
      <c r="BY250" t="s">
        <v>13778</v>
      </c>
      <c r="BZ250" t="s">
        <v>13778</v>
      </c>
      <c r="CA250" t="s">
        <v>13778</v>
      </c>
      <c r="CB250" t="s">
        <v>13778</v>
      </c>
      <c r="CC250" t="s">
        <v>13778</v>
      </c>
      <c r="CD250" t="s">
        <v>13778</v>
      </c>
      <c r="CE250" t="s">
        <v>13778</v>
      </c>
      <c r="CF250" t="s">
        <v>13778</v>
      </c>
      <c r="CG250" t="s">
        <v>13778</v>
      </c>
      <c r="CH250" t="s">
        <v>13778</v>
      </c>
      <c r="CI250" t="s">
        <v>13778</v>
      </c>
      <c r="CJ250" t="s">
        <v>13778</v>
      </c>
      <c r="CK250" t="s">
        <v>13778</v>
      </c>
      <c r="CL250" t="s">
        <v>13778</v>
      </c>
      <c r="CM250">
        <v>-99</v>
      </c>
      <c r="CN250">
        <v>-99</v>
      </c>
      <c r="CO250" t="s">
        <v>12255</v>
      </c>
      <c r="CP250" t="s">
        <v>12255</v>
      </c>
      <c r="CQ250" t="s">
        <v>13026</v>
      </c>
      <c r="CR250" t="s">
        <v>12539</v>
      </c>
      <c r="CS250">
        <v>11</v>
      </c>
      <c r="CT250">
        <v>11</v>
      </c>
      <c r="CU250">
        <v>4</v>
      </c>
      <c r="CV250">
        <v>-99</v>
      </c>
      <c r="CW250">
        <v>1</v>
      </c>
      <c r="CX250">
        <v>0</v>
      </c>
      <c r="CY250">
        <v>4</v>
      </c>
      <c r="CZ250">
        <v>9</v>
      </c>
      <c r="DA250">
        <v>125.854679</v>
      </c>
      <c r="DB250">
        <v>-8.8037050000000008</v>
      </c>
      <c r="DC250">
        <v>1159321313</v>
      </c>
      <c r="DD250" t="s">
        <v>13783</v>
      </c>
      <c r="DE250" t="s">
        <v>13784</v>
      </c>
      <c r="DF250" t="s">
        <v>13785</v>
      </c>
      <c r="DG250" t="s">
        <v>13786</v>
      </c>
      <c r="DH250" t="s">
        <v>13777</v>
      </c>
      <c r="DI250" t="s">
        <v>13787</v>
      </c>
      <c r="DJ250" t="s">
        <v>13788</v>
      </c>
      <c r="DK250" t="s">
        <v>13789</v>
      </c>
      <c r="DL250" t="s">
        <v>13790</v>
      </c>
      <c r="DM250" t="s">
        <v>13791</v>
      </c>
      <c r="DN250" t="s">
        <v>13792</v>
      </c>
      <c r="DO250" t="s">
        <v>13793</v>
      </c>
      <c r="DP250" t="s">
        <v>13794</v>
      </c>
      <c r="DQ250" t="s">
        <v>13795</v>
      </c>
      <c r="DR250" t="s">
        <v>13796</v>
      </c>
      <c r="DS250" t="s">
        <v>13797</v>
      </c>
      <c r="DT250" t="s">
        <v>13798</v>
      </c>
      <c r="DU250" t="s">
        <v>13799</v>
      </c>
      <c r="DV250" t="s">
        <v>171</v>
      </c>
      <c r="DW250" t="s">
        <v>13800</v>
      </c>
      <c r="DX250" t="s">
        <v>13801</v>
      </c>
      <c r="DY250" t="s">
        <v>13802</v>
      </c>
      <c r="DZ250" t="s">
        <v>13803</v>
      </c>
      <c r="EA250" t="s">
        <v>13804</v>
      </c>
      <c r="EB250" t="s">
        <v>13805</v>
      </c>
      <c r="EC250" t="s">
        <v>13806</v>
      </c>
      <c r="ED250" t="s">
        <v>13807</v>
      </c>
      <c r="EE250" t="s">
        <v>12247</v>
      </c>
      <c r="EG250" t="s">
        <v>12247</v>
      </c>
    </row>
    <row r="251" spans="1:252" x14ac:dyDescent="0.25">
      <c r="A251" t="s">
        <v>172</v>
      </c>
      <c r="B251" t="s">
        <v>12247</v>
      </c>
      <c r="C251">
        <v>0</v>
      </c>
      <c r="D251">
        <v>6</v>
      </c>
      <c r="E251" t="s">
        <v>172</v>
      </c>
      <c r="F251" t="s">
        <v>17278</v>
      </c>
      <c r="G251">
        <v>0</v>
      </c>
      <c r="H251">
        <v>2</v>
      </c>
      <c r="I251" t="s">
        <v>12249</v>
      </c>
      <c r="J251">
        <v>1</v>
      </c>
      <c r="K251" t="s">
        <v>172</v>
      </c>
      <c r="L251" t="s">
        <v>17278</v>
      </c>
      <c r="M251">
        <v>0</v>
      </c>
      <c r="N251" t="s">
        <v>172</v>
      </c>
      <c r="O251" t="s">
        <v>17278</v>
      </c>
      <c r="P251">
        <v>0</v>
      </c>
      <c r="Q251" t="s">
        <v>172</v>
      </c>
      <c r="R251" t="s">
        <v>17278</v>
      </c>
      <c r="S251">
        <v>0</v>
      </c>
      <c r="T251" t="s">
        <v>172</v>
      </c>
      <c r="U251" t="s">
        <v>17278</v>
      </c>
      <c r="V251" t="s">
        <v>172</v>
      </c>
      <c r="X251" t="s">
        <v>172</v>
      </c>
      <c r="Y251" t="s">
        <v>1902</v>
      </c>
      <c r="Z251" t="s">
        <v>17279</v>
      </c>
      <c r="AA251" t="s">
        <v>17280</v>
      </c>
      <c r="AB251" t="s">
        <v>172</v>
      </c>
      <c r="AE251" t="s">
        <v>172</v>
      </c>
      <c r="AG251">
        <v>3</v>
      </c>
      <c r="AH251">
        <v>1</v>
      </c>
      <c r="AI251">
        <v>3</v>
      </c>
      <c r="AJ251">
        <v>5</v>
      </c>
      <c r="AK251">
        <v>8082366</v>
      </c>
      <c r="AL251">
        <v>13</v>
      </c>
      <c r="AM251">
        <v>2019</v>
      </c>
      <c r="AN251">
        <v>5490</v>
      </c>
      <c r="AO251">
        <v>2019</v>
      </c>
      <c r="AP251" t="s">
        <v>12252</v>
      </c>
      <c r="AQ251" t="s">
        <v>12253</v>
      </c>
      <c r="AR251" t="s">
        <v>1921</v>
      </c>
      <c r="AS251" t="s">
        <v>1902</v>
      </c>
      <c r="AT251" t="s">
        <v>1902</v>
      </c>
      <c r="AU251" t="s">
        <v>17278</v>
      </c>
      <c r="AV251" t="s">
        <v>17278</v>
      </c>
      <c r="AW251">
        <v>768</v>
      </c>
      <c r="AX251">
        <v>768</v>
      </c>
      <c r="AY251">
        <v>768</v>
      </c>
      <c r="AZ251" t="s">
        <v>1902</v>
      </c>
      <c r="BA251" t="s">
        <v>17278</v>
      </c>
      <c r="BB251">
        <v>23424965</v>
      </c>
      <c r="BC251">
        <v>23424965</v>
      </c>
      <c r="BD251" t="s">
        <v>12254</v>
      </c>
      <c r="BE251" t="s">
        <v>17278</v>
      </c>
      <c r="BG251" t="s">
        <v>17278</v>
      </c>
      <c r="BH251" t="s">
        <v>17278</v>
      </c>
      <c r="BI251" t="s">
        <v>17278</v>
      </c>
      <c r="BJ251" t="s">
        <v>17278</v>
      </c>
      <c r="BK251" t="s">
        <v>17278</v>
      </c>
      <c r="BL251" t="s">
        <v>17278</v>
      </c>
      <c r="BM251" t="s">
        <v>17278</v>
      </c>
      <c r="BN251" t="s">
        <v>17278</v>
      </c>
      <c r="BO251" t="s">
        <v>17278</v>
      </c>
      <c r="BP251" t="s">
        <v>17278</v>
      </c>
      <c r="BQ251" t="s">
        <v>17278</v>
      </c>
      <c r="BR251" t="s">
        <v>17278</v>
      </c>
      <c r="BS251" t="s">
        <v>17278</v>
      </c>
      <c r="BT251" t="s">
        <v>17278</v>
      </c>
      <c r="BU251" t="s">
        <v>17278</v>
      </c>
      <c r="BV251" t="s">
        <v>17278</v>
      </c>
      <c r="BW251" t="s">
        <v>17278</v>
      </c>
      <c r="BX251" t="s">
        <v>17278</v>
      </c>
      <c r="BY251" t="s">
        <v>17278</v>
      </c>
      <c r="BZ251" t="s">
        <v>17278</v>
      </c>
      <c r="CA251" t="s">
        <v>17278</v>
      </c>
      <c r="CB251" t="s">
        <v>17278</v>
      </c>
      <c r="CC251" t="s">
        <v>17278</v>
      </c>
      <c r="CD251" t="s">
        <v>17278</v>
      </c>
      <c r="CE251" t="s">
        <v>17278</v>
      </c>
      <c r="CF251" t="s">
        <v>17278</v>
      </c>
      <c r="CG251" t="s">
        <v>17278</v>
      </c>
      <c r="CH251" t="s">
        <v>17278</v>
      </c>
      <c r="CI251" t="s">
        <v>17278</v>
      </c>
      <c r="CJ251" t="s">
        <v>17278</v>
      </c>
      <c r="CK251" t="s">
        <v>17278</v>
      </c>
      <c r="CL251" t="s">
        <v>17278</v>
      </c>
      <c r="CM251">
        <v>-99</v>
      </c>
      <c r="CN251">
        <v>-99</v>
      </c>
      <c r="CO251" t="s">
        <v>12306</v>
      </c>
      <c r="CP251" t="s">
        <v>12306</v>
      </c>
      <c r="CQ251" t="s">
        <v>12847</v>
      </c>
      <c r="CR251" t="s">
        <v>12357</v>
      </c>
      <c r="CS251">
        <v>4</v>
      </c>
      <c r="CT251">
        <v>4</v>
      </c>
      <c r="CU251">
        <v>4</v>
      </c>
      <c r="CV251">
        <v>-99</v>
      </c>
      <c r="CW251">
        <v>1</v>
      </c>
      <c r="CX251">
        <v>0</v>
      </c>
      <c r="CY251">
        <v>5</v>
      </c>
      <c r="CZ251">
        <v>10</v>
      </c>
      <c r="DA251">
        <v>1.0581130000000001</v>
      </c>
      <c r="DB251">
        <v>8.8072199999999992</v>
      </c>
      <c r="DC251">
        <v>1159321303</v>
      </c>
      <c r="DD251" t="s">
        <v>17281</v>
      </c>
      <c r="DE251" t="s">
        <v>17282</v>
      </c>
      <c r="DF251" t="s">
        <v>17283</v>
      </c>
      <c r="DG251" t="s">
        <v>172</v>
      </c>
      <c r="DH251" t="s">
        <v>172</v>
      </c>
      <c r="DI251" t="s">
        <v>172</v>
      </c>
      <c r="DJ251" t="s">
        <v>17284</v>
      </c>
      <c r="DK251" t="s">
        <v>172</v>
      </c>
      <c r="DL251" t="s">
        <v>17285</v>
      </c>
      <c r="DM251" t="s">
        <v>17286</v>
      </c>
      <c r="DN251" t="s">
        <v>17287</v>
      </c>
      <c r="DO251" t="s">
        <v>172</v>
      </c>
      <c r="DP251" t="s">
        <v>172</v>
      </c>
      <c r="DQ251" t="s">
        <v>172</v>
      </c>
      <c r="DR251" t="s">
        <v>17288</v>
      </c>
      <c r="DS251" t="s">
        <v>17289</v>
      </c>
      <c r="DT251" t="s">
        <v>172</v>
      </c>
      <c r="DU251" t="s">
        <v>172</v>
      </c>
      <c r="DV251" t="s">
        <v>172</v>
      </c>
      <c r="DW251" t="s">
        <v>17290</v>
      </c>
      <c r="DX251" t="s">
        <v>172</v>
      </c>
      <c r="DY251" t="s">
        <v>172</v>
      </c>
      <c r="DZ251" t="s">
        <v>17290</v>
      </c>
      <c r="EA251" t="s">
        <v>17291</v>
      </c>
      <c r="EB251" t="s">
        <v>172</v>
      </c>
      <c r="EC251" t="s">
        <v>17292</v>
      </c>
      <c r="ED251" t="s">
        <v>17292</v>
      </c>
      <c r="EE251" t="s">
        <v>12247</v>
      </c>
      <c r="EG251" t="s">
        <v>12247</v>
      </c>
    </row>
    <row r="252" spans="1:252" x14ac:dyDescent="0.25">
      <c r="A252" t="s">
        <v>173</v>
      </c>
      <c r="B252" t="s">
        <v>12247</v>
      </c>
      <c r="C252">
        <v>5</v>
      </c>
      <c r="D252">
        <v>4</v>
      </c>
      <c r="E252" t="s">
        <v>173</v>
      </c>
      <c r="F252" t="s">
        <v>17293</v>
      </c>
      <c r="G252">
        <v>0</v>
      </c>
      <c r="H252">
        <v>2</v>
      </c>
      <c r="I252" t="s">
        <v>12249</v>
      </c>
      <c r="J252">
        <v>1</v>
      </c>
      <c r="K252" t="s">
        <v>173</v>
      </c>
      <c r="L252" t="s">
        <v>17293</v>
      </c>
      <c r="M252">
        <v>0</v>
      </c>
      <c r="N252" t="s">
        <v>173</v>
      </c>
      <c r="O252" t="s">
        <v>17293</v>
      </c>
      <c r="P252">
        <v>0</v>
      </c>
      <c r="Q252" t="s">
        <v>173</v>
      </c>
      <c r="R252" t="s">
        <v>17293</v>
      </c>
      <c r="S252">
        <v>0</v>
      </c>
      <c r="T252" t="s">
        <v>173</v>
      </c>
      <c r="U252" t="s">
        <v>17293</v>
      </c>
      <c r="V252" t="s">
        <v>173</v>
      </c>
      <c r="X252" t="s">
        <v>17294</v>
      </c>
      <c r="Y252" t="s">
        <v>1921</v>
      </c>
      <c r="Z252" t="s">
        <v>17295</v>
      </c>
      <c r="AB252" t="s">
        <v>173</v>
      </c>
      <c r="AE252" t="s">
        <v>173</v>
      </c>
      <c r="AG252">
        <v>2</v>
      </c>
      <c r="AH252">
        <v>1</v>
      </c>
      <c r="AI252">
        <v>1</v>
      </c>
      <c r="AJ252">
        <v>8</v>
      </c>
      <c r="AK252">
        <v>104494</v>
      </c>
      <c r="AL252">
        <v>9</v>
      </c>
      <c r="AM252">
        <v>2019</v>
      </c>
      <c r="AN252">
        <v>512</v>
      </c>
      <c r="AO252">
        <v>2019</v>
      </c>
      <c r="AP252" t="s">
        <v>12277</v>
      </c>
      <c r="AQ252" t="s">
        <v>12278</v>
      </c>
      <c r="AR252" t="s">
        <v>1918</v>
      </c>
      <c r="AS252" t="s">
        <v>1921</v>
      </c>
      <c r="AT252" t="s">
        <v>1921</v>
      </c>
      <c r="AU252" t="s">
        <v>17293</v>
      </c>
      <c r="AV252" t="s">
        <v>17293</v>
      </c>
      <c r="AW252">
        <v>776</v>
      </c>
      <c r="AX252">
        <v>776</v>
      </c>
      <c r="AY252">
        <v>776</v>
      </c>
      <c r="AZ252" t="s">
        <v>1921</v>
      </c>
      <c r="BA252" t="s">
        <v>17293</v>
      </c>
      <c r="BB252">
        <v>23424964</v>
      </c>
      <c r="BC252">
        <v>23424964</v>
      </c>
      <c r="BD252" t="s">
        <v>12254</v>
      </c>
      <c r="BE252" t="s">
        <v>17293</v>
      </c>
      <c r="BG252" t="s">
        <v>17293</v>
      </c>
      <c r="BH252" t="s">
        <v>17293</v>
      </c>
      <c r="BI252" t="s">
        <v>17293</v>
      </c>
      <c r="BJ252" t="s">
        <v>17293</v>
      </c>
      <c r="BK252" t="s">
        <v>17293</v>
      </c>
      <c r="BL252" t="s">
        <v>17293</v>
      </c>
      <c r="BM252" t="s">
        <v>17293</v>
      </c>
      <c r="BN252" t="s">
        <v>17293</v>
      </c>
      <c r="BO252" t="s">
        <v>17293</v>
      </c>
      <c r="BP252" t="s">
        <v>17293</v>
      </c>
      <c r="BQ252" t="s">
        <v>17293</v>
      </c>
      <c r="BR252" t="s">
        <v>17293</v>
      </c>
      <c r="BS252" t="s">
        <v>17293</v>
      </c>
      <c r="BT252" t="s">
        <v>17293</v>
      </c>
      <c r="BU252" t="s">
        <v>17293</v>
      </c>
      <c r="BV252" t="s">
        <v>17293</v>
      </c>
      <c r="BW252" t="s">
        <v>17293</v>
      </c>
      <c r="BX252" t="s">
        <v>17293</v>
      </c>
      <c r="BY252" t="s">
        <v>17293</v>
      </c>
      <c r="BZ252" t="s">
        <v>17293</v>
      </c>
      <c r="CA252" t="s">
        <v>17293</v>
      </c>
      <c r="CB252" t="s">
        <v>17293</v>
      </c>
      <c r="CC252" t="s">
        <v>17293</v>
      </c>
      <c r="CD252" t="s">
        <v>17293</v>
      </c>
      <c r="CE252" t="s">
        <v>17293</v>
      </c>
      <c r="CF252" t="s">
        <v>17293</v>
      </c>
      <c r="CG252" t="s">
        <v>17293</v>
      </c>
      <c r="CH252" t="s">
        <v>17293</v>
      </c>
      <c r="CI252" t="s">
        <v>17293</v>
      </c>
      <c r="CJ252" t="s">
        <v>17293</v>
      </c>
      <c r="CK252" t="s">
        <v>17293</v>
      </c>
      <c r="CL252" t="s">
        <v>17293</v>
      </c>
      <c r="CM252">
        <v>-99</v>
      </c>
      <c r="CN252">
        <v>-99</v>
      </c>
      <c r="CO252" t="s">
        <v>12537</v>
      </c>
      <c r="CP252" t="s">
        <v>12537</v>
      </c>
      <c r="CQ252" t="s">
        <v>12538</v>
      </c>
      <c r="CR252" t="s">
        <v>12539</v>
      </c>
      <c r="CS252">
        <v>5</v>
      </c>
      <c r="CT252">
        <v>5</v>
      </c>
      <c r="CU252">
        <v>5</v>
      </c>
      <c r="CV252">
        <v>3</v>
      </c>
      <c r="CW252">
        <v>1</v>
      </c>
      <c r="CX252">
        <v>0</v>
      </c>
      <c r="CY252">
        <v>4</v>
      </c>
      <c r="CZ252">
        <v>9</v>
      </c>
      <c r="DA252">
        <v>-175.163014</v>
      </c>
      <c r="DB252">
        <v>-21.210025999999999</v>
      </c>
      <c r="DC252">
        <v>1159321319</v>
      </c>
      <c r="DD252" t="s">
        <v>17296</v>
      </c>
      <c r="DE252" t="s">
        <v>17297</v>
      </c>
      <c r="DF252" t="s">
        <v>17298</v>
      </c>
      <c r="DG252" t="s">
        <v>173</v>
      </c>
      <c r="DH252" t="s">
        <v>173</v>
      </c>
      <c r="DI252" t="s">
        <v>173</v>
      </c>
      <c r="DJ252" t="s">
        <v>17299</v>
      </c>
      <c r="DK252" t="s">
        <v>173</v>
      </c>
      <c r="DL252" t="s">
        <v>17300</v>
      </c>
      <c r="DM252" t="s">
        <v>17301</v>
      </c>
      <c r="DN252" t="s">
        <v>17302</v>
      </c>
      <c r="DO252" t="s">
        <v>173</v>
      </c>
      <c r="DP252" t="s">
        <v>173</v>
      </c>
      <c r="DQ252" t="s">
        <v>173</v>
      </c>
      <c r="DR252" t="s">
        <v>17303</v>
      </c>
      <c r="DS252" t="s">
        <v>17304</v>
      </c>
      <c r="DT252" t="s">
        <v>173</v>
      </c>
      <c r="DU252" t="s">
        <v>173</v>
      </c>
      <c r="DV252" t="s">
        <v>173</v>
      </c>
      <c r="DW252" t="s">
        <v>17305</v>
      </c>
      <c r="DX252" t="s">
        <v>173</v>
      </c>
      <c r="DY252" t="s">
        <v>173</v>
      </c>
      <c r="DZ252" t="s">
        <v>17305</v>
      </c>
      <c r="EA252" t="s">
        <v>17306</v>
      </c>
      <c r="EB252" t="s">
        <v>173</v>
      </c>
      <c r="EC252" t="s">
        <v>17307</v>
      </c>
      <c r="ED252" t="s">
        <v>17308</v>
      </c>
      <c r="EE252" t="s">
        <v>12247</v>
      </c>
      <c r="EG252" t="s">
        <v>12247</v>
      </c>
    </row>
    <row r="253" spans="1:252" x14ac:dyDescent="0.25">
      <c r="A253" t="s">
        <v>174</v>
      </c>
      <c r="B253" t="s">
        <v>12247</v>
      </c>
      <c r="C253">
        <v>3</v>
      </c>
      <c r="D253">
        <v>5</v>
      </c>
      <c r="E253" t="s">
        <v>174</v>
      </c>
      <c r="F253" t="s">
        <v>17309</v>
      </c>
      <c r="G253">
        <v>0</v>
      </c>
      <c r="H253">
        <v>2</v>
      </c>
      <c r="I253" t="s">
        <v>12249</v>
      </c>
      <c r="J253">
        <v>1</v>
      </c>
      <c r="K253" t="s">
        <v>174</v>
      </c>
      <c r="L253" t="s">
        <v>17309</v>
      </c>
      <c r="M253">
        <v>0</v>
      </c>
      <c r="N253" t="s">
        <v>174</v>
      </c>
      <c r="O253" t="s">
        <v>17309</v>
      </c>
      <c r="P253">
        <v>0</v>
      </c>
      <c r="Q253" t="s">
        <v>174</v>
      </c>
      <c r="R253" t="s">
        <v>17309</v>
      </c>
      <c r="S253">
        <v>0</v>
      </c>
      <c r="T253" t="s">
        <v>174</v>
      </c>
      <c r="U253" t="s">
        <v>17309</v>
      </c>
      <c r="V253" t="s">
        <v>174</v>
      </c>
      <c r="X253" t="s">
        <v>17310</v>
      </c>
      <c r="Y253" t="s">
        <v>1927</v>
      </c>
      <c r="Z253" t="s">
        <v>17311</v>
      </c>
      <c r="AB253" t="s">
        <v>174</v>
      </c>
      <c r="AE253" t="s">
        <v>174</v>
      </c>
      <c r="AG253">
        <v>5</v>
      </c>
      <c r="AH253">
        <v>6</v>
      </c>
      <c r="AI253">
        <v>2</v>
      </c>
      <c r="AJ253">
        <v>5</v>
      </c>
      <c r="AK253">
        <v>1394973</v>
      </c>
      <c r="AL253">
        <v>12</v>
      </c>
      <c r="AM253">
        <v>2019</v>
      </c>
      <c r="AN253">
        <v>24269</v>
      </c>
      <c r="AO253">
        <v>2019</v>
      </c>
      <c r="AP253" t="s">
        <v>12277</v>
      </c>
      <c r="AQ253" t="s">
        <v>12335</v>
      </c>
      <c r="AR253" t="s">
        <v>1896</v>
      </c>
      <c r="AS253" t="s">
        <v>1927</v>
      </c>
      <c r="AT253" t="s">
        <v>1927</v>
      </c>
      <c r="AU253" t="s">
        <v>17309</v>
      </c>
      <c r="AV253" t="s">
        <v>17309</v>
      </c>
      <c r="AW253">
        <v>780</v>
      </c>
      <c r="AX253">
        <v>780</v>
      </c>
      <c r="AY253">
        <v>780</v>
      </c>
      <c r="AZ253" t="s">
        <v>1927</v>
      </c>
      <c r="BA253" t="s">
        <v>17309</v>
      </c>
      <c r="BB253">
        <v>23424958</v>
      </c>
      <c r="BC253">
        <v>23424958</v>
      </c>
      <c r="BD253" t="s">
        <v>12254</v>
      </c>
      <c r="BE253" t="s">
        <v>17309</v>
      </c>
      <c r="BG253" t="s">
        <v>17309</v>
      </c>
      <c r="BH253" t="s">
        <v>17309</v>
      </c>
      <c r="BI253" t="s">
        <v>17309</v>
      </c>
      <c r="BJ253" t="s">
        <v>17309</v>
      </c>
      <c r="BK253" t="s">
        <v>17309</v>
      </c>
      <c r="BL253" t="s">
        <v>17309</v>
      </c>
      <c r="BM253" t="s">
        <v>17309</v>
      </c>
      <c r="BN253" t="s">
        <v>17309</v>
      </c>
      <c r="BO253" t="s">
        <v>17309</v>
      </c>
      <c r="BP253" t="s">
        <v>17309</v>
      </c>
      <c r="BQ253" t="s">
        <v>17309</v>
      </c>
      <c r="BR253" t="s">
        <v>17309</v>
      </c>
      <c r="BS253" t="s">
        <v>17309</v>
      </c>
      <c r="BT253" t="s">
        <v>17309</v>
      </c>
      <c r="BU253" t="s">
        <v>17309</v>
      </c>
      <c r="BV253" t="s">
        <v>17309</v>
      </c>
      <c r="BW253" t="s">
        <v>17309</v>
      </c>
      <c r="BX253" t="s">
        <v>17309</v>
      </c>
      <c r="BY253" t="s">
        <v>17309</v>
      </c>
      <c r="BZ253" t="s">
        <v>17309</v>
      </c>
      <c r="CA253" t="s">
        <v>17309</v>
      </c>
      <c r="CB253" t="s">
        <v>17309</v>
      </c>
      <c r="CC253" t="s">
        <v>17309</v>
      </c>
      <c r="CD253" t="s">
        <v>17309</v>
      </c>
      <c r="CE253" t="s">
        <v>17309</v>
      </c>
      <c r="CF253" t="s">
        <v>17309</v>
      </c>
      <c r="CG253" t="s">
        <v>17309</v>
      </c>
      <c r="CH253" t="s">
        <v>17309</v>
      </c>
      <c r="CI253" t="s">
        <v>17309</v>
      </c>
      <c r="CJ253" t="s">
        <v>17309</v>
      </c>
      <c r="CK253" t="s">
        <v>17309</v>
      </c>
      <c r="CL253" t="s">
        <v>17309</v>
      </c>
      <c r="CM253">
        <v>-99</v>
      </c>
      <c r="CN253">
        <v>-99</v>
      </c>
      <c r="CO253" t="s">
        <v>12402</v>
      </c>
      <c r="CP253" t="s">
        <v>12403</v>
      </c>
      <c r="CQ253" t="s">
        <v>12404</v>
      </c>
      <c r="CR253" t="s">
        <v>12405</v>
      </c>
      <c r="CS253">
        <v>19</v>
      </c>
      <c r="CT253">
        <v>19</v>
      </c>
      <c r="CU253">
        <v>5</v>
      </c>
      <c r="CV253">
        <v>2</v>
      </c>
      <c r="CW253">
        <v>1</v>
      </c>
      <c r="CX253">
        <v>0</v>
      </c>
      <c r="CY253">
        <v>4.5</v>
      </c>
      <c r="CZ253">
        <v>9.5</v>
      </c>
      <c r="DA253">
        <v>-60.918399999999998</v>
      </c>
      <c r="DB253">
        <v>10.998900000000001</v>
      </c>
      <c r="DC253">
        <v>1159321321</v>
      </c>
      <c r="DD253" t="s">
        <v>17312</v>
      </c>
      <c r="DE253" t="s">
        <v>17313</v>
      </c>
      <c r="DF253" t="s">
        <v>17314</v>
      </c>
      <c r="DG253" t="s">
        <v>17315</v>
      </c>
      <c r="DH253" t="s">
        <v>174</v>
      </c>
      <c r="DI253" t="s">
        <v>17316</v>
      </c>
      <c r="DJ253" t="s">
        <v>17317</v>
      </c>
      <c r="DK253" t="s">
        <v>17318</v>
      </c>
      <c r="DL253" t="s">
        <v>17319</v>
      </c>
      <c r="DM253" t="s">
        <v>17320</v>
      </c>
      <c r="DN253" t="s">
        <v>17321</v>
      </c>
      <c r="DO253" t="s">
        <v>17322</v>
      </c>
      <c r="DP253" t="s">
        <v>17323</v>
      </c>
      <c r="DQ253" t="s">
        <v>17324</v>
      </c>
      <c r="DR253" t="s">
        <v>17325</v>
      </c>
      <c r="DS253" t="s">
        <v>17326</v>
      </c>
      <c r="DT253" t="s">
        <v>17327</v>
      </c>
      <c r="DU253" t="s">
        <v>17328</v>
      </c>
      <c r="DV253" t="s">
        <v>17324</v>
      </c>
      <c r="DW253" t="s">
        <v>17329</v>
      </c>
      <c r="DX253" t="s">
        <v>17330</v>
      </c>
      <c r="DY253" t="s">
        <v>17331</v>
      </c>
      <c r="DZ253" t="s">
        <v>17332</v>
      </c>
      <c r="EA253" t="s">
        <v>17333</v>
      </c>
      <c r="EB253" t="s">
        <v>17334</v>
      </c>
      <c r="EC253" t="s">
        <v>17335</v>
      </c>
      <c r="ED253" t="s">
        <v>17336</v>
      </c>
      <c r="EE253" t="s">
        <v>12247</v>
      </c>
      <c r="EG253" t="s">
        <v>12247</v>
      </c>
    </row>
    <row r="254" spans="1:252" x14ac:dyDescent="0.25">
      <c r="A254" t="s">
        <v>175</v>
      </c>
      <c r="B254" t="s">
        <v>12247</v>
      </c>
      <c r="C254">
        <v>0</v>
      </c>
      <c r="D254">
        <v>3</v>
      </c>
      <c r="E254" t="s">
        <v>175</v>
      </c>
      <c r="F254" t="s">
        <v>17337</v>
      </c>
      <c r="G254">
        <v>0</v>
      </c>
      <c r="H254">
        <v>2</v>
      </c>
      <c r="I254" t="s">
        <v>12249</v>
      </c>
      <c r="J254">
        <v>1</v>
      </c>
      <c r="K254" t="s">
        <v>175</v>
      </c>
      <c r="L254" t="s">
        <v>17337</v>
      </c>
      <c r="M254">
        <v>0</v>
      </c>
      <c r="N254" t="s">
        <v>175</v>
      </c>
      <c r="O254" t="s">
        <v>17337</v>
      </c>
      <c r="P254">
        <v>0</v>
      </c>
      <c r="Q254" t="s">
        <v>175</v>
      </c>
      <c r="R254" t="s">
        <v>17337</v>
      </c>
      <c r="S254">
        <v>0</v>
      </c>
      <c r="T254" t="s">
        <v>175</v>
      </c>
      <c r="U254" t="s">
        <v>17337</v>
      </c>
      <c r="V254" t="s">
        <v>175</v>
      </c>
      <c r="X254" t="s">
        <v>17338</v>
      </c>
      <c r="Y254" t="s">
        <v>1918</v>
      </c>
      <c r="Z254" t="s">
        <v>17339</v>
      </c>
      <c r="AB254" t="s">
        <v>175</v>
      </c>
      <c r="AE254" t="s">
        <v>175</v>
      </c>
      <c r="AG254">
        <v>4</v>
      </c>
      <c r="AH254">
        <v>3</v>
      </c>
      <c r="AI254">
        <v>3</v>
      </c>
      <c r="AJ254">
        <v>2</v>
      </c>
      <c r="AK254">
        <v>11694719</v>
      </c>
      <c r="AL254">
        <v>14</v>
      </c>
      <c r="AM254">
        <v>2019</v>
      </c>
      <c r="AN254">
        <v>38796</v>
      </c>
      <c r="AO254">
        <v>2019</v>
      </c>
      <c r="AP254" t="s">
        <v>12277</v>
      </c>
      <c r="AQ254" t="s">
        <v>12305</v>
      </c>
      <c r="AR254" t="s">
        <v>17340</v>
      </c>
      <c r="AS254" t="s">
        <v>1918</v>
      </c>
      <c r="AT254" t="s">
        <v>1918</v>
      </c>
      <c r="AU254" t="s">
        <v>17337</v>
      </c>
      <c r="AV254" t="s">
        <v>17337</v>
      </c>
      <c r="AW254">
        <v>788</v>
      </c>
      <c r="AX254">
        <v>788</v>
      </c>
      <c r="AY254">
        <v>788</v>
      </c>
      <c r="AZ254" t="s">
        <v>1918</v>
      </c>
      <c r="BA254" t="s">
        <v>17337</v>
      </c>
      <c r="BB254">
        <v>23424967</v>
      </c>
      <c r="BC254">
        <v>23424967</v>
      </c>
      <c r="BD254" t="s">
        <v>12254</v>
      </c>
      <c r="BE254" t="s">
        <v>17337</v>
      </c>
      <c r="BG254" t="s">
        <v>17337</v>
      </c>
      <c r="BH254" t="s">
        <v>17337</v>
      </c>
      <c r="BI254" t="s">
        <v>17337</v>
      </c>
      <c r="BJ254" t="s">
        <v>17337</v>
      </c>
      <c r="BK254" t="s">
        <v>17337</v>
      </c>
      <c r="BL254" t="s">
        <v>17337</v>
      </c>
      <c r="BM254" t="s">
        <v>17337</v>
      </c>
      <c r="BN254" t="s">
        <v>17337</v>
      </c>
      <c r="BO254" t="s">
        <v>17337</v>
      </c>
      <c r="BP254" t="s">
        <v>17337</v>
      </c>
      <c r="BQ254" t="s">
        <v>17337</v>
      </c>
      <c r="BR254" t="s">
        <v>17337</v>
      </c>
      <c r="BS254" t="s">
        <v>17337</v>
      </c>
      <c r="BT254" t="s">
        <v>17337</v>
      </c>
      <c r="BU254" t="s">
        <v>17337</v>
      </c>
      <c r="BV254" t="s">
        <v>17337</v>
      </c>
      <c r="BW254" t="s">
        <v>17337</v>
      </c>
      <c r="BX254" t="s">
        <v>17337</v>
      </c>
      <c r="BY254" t="s">
        <v>17337</v>
      </c>
      <c r="BZ254" t="s">
        <v>17337</v>
      </c>
      <c r="CA254" t="s">
        <v>17337</v>
      </c>
      <c r="CB254" t="s">
        <v>17337</v>
      </c>
      <c r="CC254" t="s">
        <v>17337</v>
      </c>
      <c r="CD254" t="s">
        <v>17337</v>
      </c>
      <c r="CE254" t="s">
        <v>17337</v>
      </c>
      <c r="CF254" t="s">
        <v>17337</v>
      </c>
      <c r="CG254" t="s">
        <v>17337</v>
      </c>
      <c r="CH254" t="s">
        <v>17337</v>
      </c>
      <c r="CI254" t="s">
        <v>17337</v>
      </c>
      <c r="CJ254" t="s">
        <v>17337</v>
      </c>
      <c r="CK254" t="s">
        <v>17337</v>
      </c>
      <c r="CL254" t="s">
        <v>17337</v>
      </c>
      <c r="CM254">
        <v>-99</v>
      </c>
      <c r="CN254">
        <v>-99</v>
      </c>
      <c r="CO254" t="s">
        <v>12306</v>
      </c>
      <c r="CP254" t="s">
        <v>12306</v>
      </c>
      <c r="CQ254" t="s">
        <v>12307</v>
      </c>
      <c r="CR254" t="s">
        <v>12308</v>
      </c>
      <c r="CS254">
        <v>7</v>
      </c>
      <c r="CT254">
        <v>7</v>
      </c>
      <c r="CU254">
        <v>4</v>
      </c>
      <c r="CV254">
        <v>-99</v>
      </c>
      <c r="CW254">
        <v>1</v>
      </c>
      <c r="CX254">
        <v>0</v>
      </c>
      <c r="CY254">
        <v>3</v>
      </c>
      <c r="CZ254">
        <v>8</v>
      </c>
      <c r="DA254">
        <v>9.0078809999999994</v>
      </c>
      <c r="DB254">
        <v>33.687263000000002</v>
      </c>
      <c r="DC254">
        <v>1159321327</v>
      </c>
      <c r="DD254" t="s">
        <v>17341</v>
      </c>
      <c r="DE254" t="s">
        <v>17342</v>
      </c>
      <c r="DF254" t="s">
        <v>17343</v>
      </c>
      <c r="DG254" t="s">
        <v>17344</v>
      </c>
      <c r="DH254" t="s">
        <v>175</v>
      </c>
      <c r="DI254" t="s">
        <v>17345</v>
      </c>
      <c r="DJ254" t="s">
        <v>17342</v>
      </c>
      <c r="DK254" t="s">
        <v>17346</v>
      </c>
      <c r="DL254" t="s">
        <v>17347</v>
      </c>
      <c r="DM254" t="s">
        <v>17348</v>
      </c>
      <c r="DN254" t="s">
        <v>17349</v>
      </c>
      <c r="DO254" t="s">
        <v>17350</v>
      </c>
      <c r="DP254" t="s">
        <v>175</v>
      </c>
      <c r="DQ254" t="s">
        <v>175</v>
      </c>
      <c r="DR254" t="s">
        <v>17351</v>
      </c>
      <c r="DS254" t="s">
        <v>17352</v>
      </c>
      <c r="DT254" t="s">
        <v>17353</v>
      </c>
      <c r="DU254" t="s">
        <v>17354</v>
      </c>
      <c r="DV254" t="s">
        <v>17355</v>
      </c>
      <c r="DW254" t="s">
        <v>17356</v>
      </c>
      <c r="DX254" t="s">
        <v>17357</v>
      </c>
      <c r="DY254" t="s">
        <v>17358</v>
      </c>
      <c r="DZ254" t="s">
        <v>17359</v>
      </c>
      <c r="EA254" t="s">
        <v>17342</v>
      </c>
      <c r="EB254" t="s">
        <v>17360</v>
      </c>
      <c r="EC254" t="s">
        <v>17361</v>
      </c>
      <c r="ED254" t="s">
        <v>17362</v>
      </c>
      <c r="EE254" t="s">
        <v>12247</v>
      </c>
      <c r="EG254" t="s">
        <v>12247</v>
      </c>
    </row>
    <row r="255" spans="1:252" x14ac:dyDescent="0.25">
      <c r="A255" t="s">
        <v>176</v>
      </c>
      <c r="B255" t="s">
        <v>12247</v>
      </c>
      <c r="C255">
        <v>0</v>
      </c>
      <c r="D255">
        <v>2</v>
      </c>
      <c r="E255" t="s">
        <v>176</v>
      </c>
      <c r="F255" t="s">
        <v>17363</v>
      </c>
      <c r="G255">
        <v>0</v>
      </c>
      <c r="H255">
        <v>2</v>
      </c>
      <c r="I255" t="s">
        <v>12249</v>
      </c>
      <c r="J255">
        <v>1</v>
      </c>
      <c r="K255" t="s">
        <v>176</v>
      </c>
      <c r="L255" t="s">
        <v>17363</v>
      </c>
      <c r="M255">
        <v>0</v>
      </c>
      <c r="N255" t="s">
        <v>176</v>
      </c>
      <c r="O255" t="s">
        <v>17363</v>
      </c>
      <c r="P255">
        <v>0</v>
      </c>
      <c r="Q255" t="s">
        <v>176</v>
      </c>
      <c r="R255" t="s">
        <v>17363</v>
      </c>
      <c r="S255">
        <v>0</v>
      </c>
      <c r="T255" t="s">
        <v>176</v>
      </c>
      <c r="U255" t="s">
        <v>17363</v>
      </c>
      <c r="V255" t="s">
        <v>176</v>
      </c>
      <c r="X255" t="s">
        <v>17364</v>
      </c>
      <c r="Y255" t="s">
        <v>1924</v>
      </c>
      <c r="Z255" t="s">
        <v>17365</v>
      </c>
      <c r="AB255" t="s">
        <v>176</v>
      </c>
      <c r="AE255" t="s">
        <v>176</v>
      </c>
      <c r="AG255">
        <v>6</v>
      </c>
      <c r="AH255">
        <v>3</v>
      </c>
      <c r="AI255">
        <v>8</v>
      </c>
      <c r="AJ255">
        <v>4</v>
      </c>
      <c r="AK255">
        <v>83429615</v>
      </c>
      <c r="AL255">
        <v>16</v>
      </c>
      <c r="AM255">
        <v>2019</v>
      </c>
      <c r="AN255">
        <v>761425</v>
      </c>
      <c r="AO255">
        <v>2019</v>
      </c>
      <c r="AP255" t="s">
        <v>14693</v>
      </c>
      <c r="AQ255" t="s">
        <v>12305</v>
      </c>
      <c r="AR255" t="s">
        <v>17366</v>
      </c>
      <c r="AS255" t="s">
        <v>1924</v>
      </c>
      <c r="AT255" t="s">
        <v>1924</v>
      </c>
      <c r="AU255" t="s">
        <v>17363</v>
      </c>
      <c r="AV255" t="s">
        <v>17363</v>
      </c>
      <c r="AW255">
        <v>792</v>
      </c>
      <c r="AX255">
        <v>792</v>
      </c>
      <c r="AY255">
        <v>792</v>
      </c>
      <c r="AZ255" t="s">
        <v>1924</v>
      </c>
      <c r="BA255" t="s">
        <v>17363</v>
      </c>
      <c r="BB255">
        <v>23424969</v>
      </c>
      <c r="BC255">
        <v>23424969</v>
      </c>
      <c r="BD255" t="s">
        <v>12254</v>
      </c>
      <c r="BE255" t="s">
        <v>17363</v>
      </c>
      <c r="BG255" t="s">
        <v>17363</v>
      </c>
      <c r="BH255" t="s">
        <v>17363</v>
      </c>
      <c r="BI255" t="s">
        <v>17363</v>
      </c>
      <c r="BJ255" t="s">
        <v>17363</v>
      </c>
      <c r="BK255" t="s">
        <v>17363</v>
      </c>
      <c r="BL255" t="s">
        <v>17363</v>
      </c>
      <c r="BM255" t="s">
        <v>17363</v>
      </c>
      <c r="BN255" t="s">
        <v>17363</v>
      </c>
      <c r="BO255" t="s">
        <v>17363</v>
      </c>
      <c r="BP255" t="s">
        <v>17363</v>
      </c>
      <c r="BQ255" t="s">
        <v>17363</v>
      </c>
      <c r="BR255" t="s">
        <v>17363</v>
      </c>
      <c r="BS255" t="s">
        <v>17363</v>
      </c>
      <c r="BT255" t="s">
        <v>17363</v>
      </c>
      <c r="BU255" t="s">
        <v>17363</v>
      </c>
      <c r="BV255" t="s">
        <v>17363</v>
      </c>
      <c r="BW255" t="s">
        <v>17363</v>
      </c>
      <c r="BX255" t="s">
        <v>17363</v>
      </c>
      <c r="BY255" t="s">
        <v>17363</v>
      </c>
      <c r="BZ255" t="s">
        <v>17363</v>
      </c>
      <c r="CA255" t="s">
        <v>17363</v>
      </c>
      <c r="CB255" t="s">
        <v>17363</v>
      </c>
      <c r="CC255" t="s">
        <v>17363</v>
      </c>
      <c r="CD255" t="s">
        <v>17363</v>
      </c>
      <c r="CE255" t="s">
        <v>17363</v>
      </c>
      <c r="CF255" t="s">
        <v>17363</v>
      </c>
      <c r="CG255" t="s">
        <v>17363</v>
      </c>
      <c r="CH255" t="s">
        <v>17363</v>
      </c>
      <c r="CI255" t="s">
        <v>17363</v>
      </c>
      <c r="CJ255" t="s">
        <v>17363</v>
      </c>
      <c r="CK255" t="s">
        <v>17363</v>
      </c>
      <c r="CL255" t="s">
        <v>17363</v>
      </c>
      <c r="CM255">
        <v>-99</v>
      </c>
      <c r="CN255">
        <v>-99</v>
      </c>
      <c r="CO255" t="s">
        <v>12255</v>
      </c>
      <c r="CP255" t="s">
        <v>12255</v>
      </c>
      <c r="CQ255" t="s">
        <v>12458</v>
      </c>
      <c r="CR255" t="s">
        <v>12281</v>
      </c>
      <c r="CS255">
        <v>6</v>
      </c>
      <c r="CT255">
        <v>6</v>
      </c>
      <c r="CU255">
        <v>4</v>
      </c>
      <c r="CV255">
        <v>-99</v>
      </c>
      <c r="CW255">
        <v>1</v>
      </c>
      <c r="CX255">
        <v>0</v>
      </c>
      <c r="CY255">
        <v>2</v>
      </c>
      <c r="CZ255">
        <v>7</v>
      </c>
      <c r="DA255">
        <v>34.508268000000001</v>
      </c>
      <c r="DB255">
        <v>39.345388</v>
      </c>
      <c r="DC255">
        <v>1159321331</v>
      </c>
      <c r="DD255" t="s">
        <v>17367</v>
      </c>
      <c r="DE255" t="s">
        <v>17368</v>
      </c>
      <c r="DF255" t="s">
        <v>17369</v>
      </c>
      <c r="DG255" t="s">
        <v>17370</v>
      </c>
      <c r="DH255" t="s">
        <v>176</v>
      </c>
      <c r="DI255" t="s">
        <v>17371</v>
      </c>
      <c r="DJ255" t="s">
        <v>17372</v>
      </c>
      <c r="DK255" t="s">
        <v>17373</v>
      </c>
      <c r="DL255" t="s">
        <v>17374</v>
      </c>
      <c r="DM255" t="s">
        <v>17375</v>
      </c>
      <c r="DN255" t="s">
        <v>17376</v>
      </c>
      <c r="DO255" t="s">
        <v>17377</v>
      </c>
      <c r="DP255" t="s">
        <v>17378</v>
      </c>
      <c r="DQ255" t="s">
        <v>17379</v>
      </c>
      <c r="DR255" t="s">
        <v>17380</v>
      </c>
      <c r="DS255" t="s">
        <v>17381</v>
      </c>
      <c r="DT255" t="s">
        <v>17382</v>
      </c>
      <c r="DU255" t="s">
        <v>17383</v>
      </c>
      <c r="DV255" t="s">
        <v>17384</v>
      </c>
      <c r="DW255" t="s">
        <v>17385</v>
      </c>
      <c r="DX255" t="s">
        <v>17386</v>
      </c>
      <c r="DY255" t="s">
        <v>17387</v>
      </c>
      <c r="DZ255" t="s">
        <v>17388</v>
      </c>
      <c r="EA255" t="s">
        <v>17389</v>
      </c>
      <c r="EB255" t="s">
        <v>17390</v>
      </c>
      <c r="EC255" t="s">
        <v>17391</v>
      </c>
      <c r="ED255" t="s">
        <v>17391</v>
      </c>
      <c r="EE255" t="s">
        <v>12247</v>
      </c>
      <c r="EG255" t="s">
        <v>12247</v>
      </c>
    </row>
    <row r="256" spans="1:252" x14ac:dyDescent="0.25">
      <c r="A256" t="s">
        <v>177</v>
      </c>
      <c r="B256" t="s">
        <v>12247</v>
      </c>
      <c r="C256">
        <v>0</v>
      </c>
      <c r="D256">
        <v>4</v>
      </c>
      <c r="E256" t="s">
        <v>177</v>
      </c>
      <c r="F256" t="s">
        <v>17392</v>
      </c>
      <c r="G256">
        <v>0</v>
      </c>
      <c r="H256">
        <v>2</v>
      </c>
      <c r="I256" t="s">
        <v>12249</v>
      </c>
      <c r="J256">
        <v>1</v>
      </c>
      <c r="K256" t="s">
        <v>177</v>
      </c>
      <c r="L256" t="s">
        <v>17392</v>
      </c>
      <c r="M256">
        <v>0</v>
      </c>
      <c r="N256" t="s">
        <v>177</v>
      </c>
      <c r="O256" t="s">
        <v>17392</v>
      </c>
      <c r="P256">
        <v>0</v>
      </c>
      <c r="Q256" t="s">
        <v>177</v>
      </c>
      <c r="R256" t="s">
        <v>17392</v>
      </c>
      <c r="S256">
        <v>0</v>
      </c>
      <c r="T256" t="s">
        <v>177</v>
      </c>
      <c r="U256" t="s">
        <v>17392</v>
      </c>
      <c r="V256" t="s">
        <v>177</v>
      </c>
      <c r="X256" t="s">
        <v>17393</v>
      </c>
      <c r="Y256" t="s">
        <v>1915</v>
      </c>
      <c r="Z256" t="s">
        <v>177</v>
      </c>
      <c r="AB256" t="s">
        <v>177</v>
      </c>
      <c r="AE256" t="s">
        <v>177</v>
      </c>
      <c r="AG256">
        <v>3</v>
      </c>
      <c r="AH256">
        <v>2</v>
      </c>
      <c r="AI256">
        <v>1</v>
      </c>
      <c r="AJ256">
        <v>9</v>
      </c>
      <c r="AK256">
        <v>5942089</v>
      </c>
      <c r="AL256">
        <v>13</v>
      </c>
      <c r="AM256">
        <v>2019</v>
      </c>
      <c r="AN256">
        <v>40761</v>
      </c>
      <c r="AO256">
        <v>2018</v>
      </c>
      <c r="AP256" t="s">
        <v>12277</v>
      </c>
      <c r="AQ256" t="s">
        <v>12305</v>
      </c>
      <c r="AR256" t="s">
        <v>17394</v>
      </c>
      <c r="AS256" t="s">
        <v>1915</v>
      </c>
      <c r="AT256" t="s">
        <v>1915</v>
      </c>
      <c r="AU256" t="s">
        <v>17392</v>
      </c>
      <c r="AV256" t="s">
        <v>17392</v>
      </c>
      <c r="AW256">
        <v>795</v>
      </c>
      <c r="AX256">
        <v>795</v>
      </c>
      <c r="AY256">
        <v>795</v>
      </c>
      <c r="AZ256" t="s">
        <v>1915</v>
      </c>
      <c r="BA256" t="s">
        <v>17392</v>
      </c>
      <c r="BB256">
        <v>23424972</v>
      </c>
      <c r="BC256">
        <v>23424972</v>
      </c>
      <c r="BD256" t="s">
        <v>12254</v>
      </c>
      <c r="BE256" t="s">
        <v>17392</v>
      </c>
      <c r="BG256" t="s">
        <v>17392</v>
      </c>
      <c r="BH256" t="s">
        <v>17392</v>
      </c>
      <c r="BI256" t="s">
        <v>17392</v>
      </c>
      <c r="BJ256" t="s">
        <v>17392</v>
      </c>
      <c r="BK256" t="s">
        <v>17392</v>
      </c>
      <c r="BL256" t="s">
        <v>17392</v>
      </c>
      <c r="BM256" t="s">
        <v>17392</v>
      </c>
      <c r="BN256" t="s">
        <v>17392</v>
      </c>
      <c r="BO256" t="s">
        <v>17392</v>
      </c>
      <c r="BP256" t="s">
        <v>17392</v>
      </c>
      <c r="BQ256" t="s">
        <v>17392</v>
      </c>
      <c r="BR256" t="s">
        <v>17392</v>
      </c>
      <c r="BS256" t="s">
        <v>17392</v>
      </c>
      <c r="BT256" t="s">
        <v>17392</v>
      </c>
      <c r="BU256" t="s">
        <v>17392</v>
      </c>
      <c r="BV256" t="s">
        <v>17392</v>
      </c>
      <c r="BW256" t="s">
        <v>17392</v>
      </c>
      <c r="BX256" t="s">
        <v>17392</v>
      </c>
      <c r="BY256" t="s">
        <v>17392</v>
      </c>
      <c r="BZ256" t="s">
        <v>17392</v>
      </c>
      <c r="CA256" t="s">
        <v>17392</v>
      </c>
      <c r="CB256" t="s">
        <v>17392</v>
      </c>
      <c r="CC256" t="s">
        <v>17392</v>
      </c>
      <c r="CD256" t="s">
        <v>17392</v>
      </c>
      <c r="CE256" t="s">
        <v>17392</v>
      </c>
      <c r="CF256" t="s">
        <v>17392</v>
      </c>
      <c r="CG256" t="s">
        <v>17392</v>
      </c>
      <c r="CH256" t="s">
        <v>17392</v>
      </c>
      <c r="CI256" t="s">
        <v>17392</v>
      </c>
      <c r="CJ256" t="s">
        <v>17392</v>
      </c>
      <c r="CK256" t="s">
        <v>17392</v>
      </c>
      <c r="CL256" t="s">
        <v>17392</v>
      </c>
      <c r="CM256">
        <v>-99</v>
      </c>
      <c r="CN256">
        <v>-99</v>
      </c>
      <c r="CO256" t="s">
        <v>12255</v>
      </c>
      <c r="CP256" t="s">
        <v>12255</v>
      </c>
      <c r="CQ256" t="s">
        <v>13299</v>
      </c>
      <c r="CR256" t="s">
        <v>12281</v>
      </c>
      <c r="CS256">
        <v>12</v>
      </c>
      <c r="CT256">
        <v>12</v>
      </c>
      <c r="CU256">
        <v>6</v>
      </c>
      <c r="CV256">
        <v>-99</v>
      </c>
      <c r="CW256">
        <v>1</v>
      </c>
      <c r="CX256">
        <v>0</v>
      </c>
      <c r="CY256">
        <v>3</v>
      </c>
      <c r="CZ256">
        <v>8</v>
      </c>
      <c r="DA256">
        <v>58.676647000000003</v>
      </c>
      <c r="DB256">
        <v>39.855246000000001</v>
      </c>
      <c r="DC256">
        <v>1159321309</v>
      </c>
      <c r="DD256" t="s">
        <v>17395</v>
      </c>
      <c r="DE256" t="s">
        <v>17396</v>
      </c>
      <c r="DF256" t="s">
        <v>17397</v>
      </c>
      <c r="DG256" t="s">
        <v>177</v>
      </c>
      <c r="DH256" t="s">
        <v>177</v>
      </c>
      <c r="DI256" t="s">
        <v>17398</v>
      </c>
      <c r="DJ256" t="s">
        <v>17399</v>
      </c>
      <c r="DK256" t="s">
        <v>17400</v>
      </c>
      <c r="DL256" t="s">
        <v>17401</v>
      </c>
      <c r="DM256" t="s">
        <v>17402</v>
      </c>
      <c r="DN256" t="s">
        <v>17403</v>
      </c>
      <c r="DO256" t="s">
        <v>17404</v>
      </c>
      <c r="DP256" t="s">
        <v>177</v>
      </c>
      <c r="DQ256" t="s">
        <v>177</v>
      </c>
      <c r="DR256" t="s">
        <v>17405</v>
      </c>
      <c r="DS256" t="s">
        <v>17406</v>
      </c>
      <c r="DT256" t="s">
        <v>177</v>
      </c>
      <c r="DU256" t="s">
        <v>177</v>
      </c>
      <c r="DV256" t="s">
        <v>17407</v>
      </c>
      <c r="DW256" t="s">
        <v>17408</v>
      </c>
      <c r="DX256" t="s">
        <v>177</v>
      </c>
      <c r="DY256" t="s">
        <v>17409</v>
      </c>
      <c r="DZ256" t="s">
        <v>17410</v>
      </c>
      <c r="EA256" t="s">
        <v>17411</v>
      </c>
      <c r="EB256" t="s">
        <v>177</v>
      </c>
      <c r="EC256" t="s">
        <v>17412</v>
      </c>
      <c r="ED256" t="s">
        <v>17413</v>
      </c>
      <c r="EE256" t="s">
        <v>12247</v>
      </c>
      <c r="EG256" t="s">
        <v>12247</v>
      </c>
    </row>
    <row r="257" spans="1:168" x14ac:dyDescent="0.25">
      <c r="A257" t="s">
        <v>1235</v>
      </c>
      <c r="B257" t="s">
        <v>12247</v>
      </c>
      <c r="C257">
        <v>5</v>
      </c>
      <c r="D257">
        <v>6</v>
      </c>
      <c r="E257" t="s">
        <v>182</v>
      </c>
      <c r="F257" t="s">
        <v>12479</v>
      </c>
      <c r="G257">
        <v>1</v>
      </c>
      <c r="H257">
        <v>2</v>
      </c>
      <c r="I257" t="s">
        <v>12480</v>
      </c>
      <c r="J257">
        <v>1</v>
      </c>
      <c r="K257" t="s">
        <v>1235</v>
      </c>
      <c r="L257" t="s">
        <v>17957</v>
      </c>
      <c r="M257">
        <v>0</v>
      </c>
      <c r="N257" t="s">
        <v>1235</v>
      </c>
      <c r="O257" t="s">
        <v>17957</v>
      </c>
      <c r="P257">
        <v>0</v>
      </c>
      <c r="Q257" t="s">
        <v>1235</v>
      </c>
      <c r="R257" t="s">
        <v>17957</v>
      </c>
      <c r="S257">
        <v>0</v>
      </c>
      <c r="T257" t="s">
        <v>1235</v>
      </c>
      <c r="U257" t="s">
        <v>17957</v>
      </c>
      <c r="V257" t="s">
        <v>17958</v>
      </c>
      <c r="X257" t="s">
        <v>17959</v>
      </c>
      <c r="Y257" t="s">
        <v>1893</v>
      </c>
      <c r="Z257" t="s">
        <v>1235</v>
      </c>
      <c r="AB257" t="s">
        <v>1235</v>
      </c>
      <c r="AC257" t="s">
        <v>12486</v>
      </c>
      <c r="AE257" t="s">
        <v>1235</v>
      </c>
      <c r="AG257">
        <v>6</v>
      </c>
      <c r="AH257">
        <v>6</v>
      </c>
      <c r="AI257">
        <v>6</v>
      </c>
      <c r="AJ257">
        <v>3</v>
      </c>
      <c r="AK257">
        <v>38191</v>
      </c>
      <c r="AL257">
        <v>7</v>
      </c>
      <c r="AM257">
        <v>2019</v>
      </c>
      <c r="AN257">
        <v>1197</v>
      </c>
      <c r="AO257">
        <v>2019</v>
      </c>
      <c r="AP257" t="s">
        <v>12277</v>
      </c>
      <c r="AQ257" t="s">
        <v>12335</v>
      </c>
      <c r="AR257" t="s">
        <v>2154</v>
      </c>
      <c r="AS257" t="s">
        <v>1893</v>
      </c>
      <c r="AT257" t="s">
        <v>1893</v>
      </c>
      <c r="AU257" t="s">
        <v>17957</v>
      </c>
      <c r="AV257" t="s">
        <v>17957</v>
      </c>
      <c r="AW257">
        <v>796</v>
      </c>
      <c r="AX257">
        <v>796</v>
      </c>
      <c r="AY257">
        <v>796</v>
      </c>
      <c r="AZ257" t="s">
        <v>1893</v>
      </c>
      <c r="BA257" t="s">
        <v>17957</v>
      </c>
      <c r="BB257">
        <v>23424962</v>
      </c>
      <c r="BC257">
        <v>23424962</v>
      </c>
      <c r="BD257" t="s">
        <v>12254</v>
      </c>
      <c r="BE257" t="s">
        <v>17957</v>
      </c>
      <c r="BG257" t="s">
        <v>17957</v>
      </c>
      <c r="BH257" t="s">
        <v>17957</v>
      </c>
      <c r="BI257" t="s">
        <v>17957</v>
      </c>
      <c r="BJ257" t="s">
        <v>17957</v>
      </c>
      <c r="BK257" t="s">
        <v>17957</v>
      </c>
      <c r="BL257" t="s">
        <v>17957</v>
      </c>
      <c r="BM257" t="s">
        <v>17957</v>
      </c>
      <c r="BN257" t="s">
        <v>17957</v>
      </c>
      <c r="BO257" t="s">
        <v>17957</v>
      </c>
      <c r="BP257" t="s">
        <v>17957</v>
      </c>
      <c r="BQ257" t="s">
        <v>17957</v>
      </c>
      <c r="BR257" t="s">
        <v>17957</v>
      </c>
      <c r="BS257" t="s">
        <v>17957</v>
      </c>
      <c r="BT257" t="s">
        <v>17957</v>
      </c>
      <c r="BU257" t="s">
        <v>17957</v>
      </c>
      <c r="BV257" t="s">
        <v>17957</v>
      </c>
      <c r="BW257" t="s">
        <v>17957</v>
      </c>
      <c r="BX257" t="s">
        <v>17957</v>
      </c>
      <c r="BY257" t="s">
        <v>17957</v>
      </c>
      <c r="BZ257" t="s">
        <v>17957</v>
      </c>
      <c r="CA257" t="s">
        <v>17957</v>
      </c>
      <c r="CB257" t="s">
        <v>17957</v>
      </c>
      <c r="CC257" t="s">
        <v>17957</v>
      </c>
      <c r="CD257" t="s">
        <v>17957</v>
      </c>
      <c r="CE257" t="s">
        <v>17957</v>
      </c>
      <c r="CF257" t="s">
        <v>17957</v>
      </c>
      <c r="CG257" t="s">
        <v>17957</v>
      </c>
      <c r="CH257" t="s">
        <v>17957</v>
      </c>
      <c r="CI257" t="s">
        <v>17957</v>
      </c>
      <c r="CJ257" t="s">
        <v>17957</v>
      </c>
      <c r="CK257" t="s">
        <v>17957</v>
      </c>
      <c r="CL257" t="s">
        <v>17957</v>
      </c>
      <c r="CM257">
        <v>-99</v>
      </c>
      <c r="CN257">
        <v>-99</v>
      </c>
      <c r="CO257" t="s">
        <v>12402</v>
      </c>
      <c r="CP257" t="s">
        <v>12403</v>
      </c>
      <c r="CQ257" t="s">
        <v>12404</v>
      </c>
      <c r="CR257" t="s">
        <v>12405</v>
      </c>
      <c r="CS257">
        <v>20</v>
      </c>
      <c r="CT257">
        <v>24</v>
      </c>
      <c r="CU257">
        <v>8</v>
      </c>
      <c r="CV257">
        <v>-99</v>
      </c>
      <c r="CW257">
        <v>-99</v>
      </c>
      <c r="CX257">
        <v>0</v>
      </c>
      <c r="CY257">
        <v>5</v>
      </c>
      <c r="CZ257">
        <v>10</v>
      </c>
      <c r="DA257">
        <v>-71.752703999999994</v>
      </c>
      <c r="DB257">
        <v>21.81663</v>
      </c>
      <c r="DC257">
        <v>1159320737</v>
      </c>
      <c r="DD257" t="s">
        <v>17960</v>
      </c>
      <c r="DE257" t="s">
        <v>17961</v>
      </c>
      <c r="DF257" t="s">
        <v>17962</v>
      </c>
      <c r="DG257" t="s">
        <v>17963</v>
      </c>
      <c r="DH257" t="s">
        <v>1235</v>
      </c>
      <c r="DI257" t="s">
        <v>17964</v>
      </c>
      <c r="DJ257" t="s">
        <v>17965</v>
      </c>
      <c r="DK257" t="s">
        <v>17966</v>
      </c>
      <c r="DL257" t="s">
        <v>17967</v>
      </c>
      <c r="DM257" t="s">
        <v>17968</v>
      </c>
      <c r="DN257" t="s">
        <v>17969</v>
      </c>
      <c r="DO257" t="s">
        <v>17970</v>
      </c>
      <c r="DP257" t="s">
        <v>17971</v>
      </c>
      <c r="DQ257" t="s">
        <v>17972</v>
      </c>
      <c r="DR257" t="s">
        <v>17973</v>
      </c>
      <c r="DS257" t="s">
        <v>17974</v>
      </c>
      <c r="DT257" t="s">
        <v>17975</v>
      </c>
      <c r="DU257" t="s">
        <v>17976</v>
      </c>
      <c r="DV257" t="s">
        <v>17972</v>
      </c>
      <c r="DW257" t="s">
        <v>17977</v>
      </c>
      <c r="DX257" t="s">
        <v>17978</v>
      </c>
      <c r="DY257" t="s">
        <v>17979</v>
      </c>
      <c r="DZ257" t="s">
        <v>17980</v>
      </c>
      <c r="EA257" t="s">
        <v>17981</v>
      </c>
      <c r="EB257" t="s">
        <v>17982</v>
      </c>
      <c r="EC257" t="s">
        <v>17983</v>
      </c>
      <c r="ED257" t="s">
        <v>17984</v>
      </c>
      <c r="EE257" t="s">
        <v>12397</v>
      </c>
      <c r="EG257" t="s">
        <v>12397</v>
      </c>
    </row>
    <row r="258" spans="1:168" x14ac:dyDescent="0.25">
      <c r="A258" t="s">
        <v>178</v>
      </c>
      <c r="B258" t="s">
        <v>12247</v>
      </c>
      <c r="C258">
        <v>5</v>
      </c>
      <c r="D258">
        <v>6</v>
      </c>
      <c r="E258" t="s">
        <v>178</v>
      </c>
      <c r="F258" t="s">
        <v>17414</v>
      </c>
      <c r="G258">
        <v>0</v>
      </c>
      <c r="H258">
        <v>2</v>
      </c>
      <c r="I258" t="s">
        <v>12249</v>
      </c>
      <c r="J258">
        <v>1</v>
      </c>
      <c r="K258" t="s">
        <v>178</v>
      </c>
      <c r="L258" t="s">
        <v>17414</v>
      </c>
      <c r="M258">
        <v>0</v>
      </c>
      <c r="N258" t="s">
        <v>178</v>
      </c>
      <c r="O258" t="s">
        <v>17414</v>
      </c>
      <c r="P258">
        <v>0</v>
      </c>
      <c r="Q258" t="s">
        <v>178</v>
      </c>
      <c r="R258" t="s">
        <v>17414</v>
      </c>
      <c r="S258">
        <v>0</v>
      </c>
      <c r="T258" t="s">
        <v>178</v>
      </c>
      <c r="U258" t="s">
        <v>17414</v>
      </c>
      <c r="V258" t="s">
        <v>178</v>
      </c>
      <c r="X258" t="s">
        <v>17415</v>
      </c>
      <c r="Y258" t="s">
        <v>1931</v>
      </c>
      <c r="Z258" t="s">
        <v>178</v>
      </c>
      <c r="AB258" t="s">
        <v>178</v>
      </c>
      <c r="AE258" t="s">
        <v>178</v>
      </c>
      <c r="AG258">
        <v>1</v>
      </c>
      <c r="AH258">
        <v>3</v>
      </c>
      <c r="AI258">
        <v>8</v>
      </c>
      <c r="AJ258">
        <v>5</v>
      </c>
      <c r="AK258">
        <v>11646</v>
      </c>
      <c r="AL258">
        <v>6</v>
      </c>
      <c r="AM258">
        <v>2019</v>
      </c>
      <c r="AN258">
        <v>47</v>
      </c>
      <c r="AO258">
        <v>2019</v>
      </c>
      <c r="AP258" t="s">
        <v>12252</v>
      </c>
      <c r="AQ258" t="s">
        <v>12305</v>
      </c>
      <c r="AR258" t="s">
        <v>1931</v>
      </c>
      <c r="AS258" t="s">
        <v>1931</v>
      </c>
      <c r="AT258" t="s">
        <v>1931</v>
      </c>
      <c r="AU258" t="s">
        <v>17414</v>
      </c>
      <c r="AV258" t="s">
        <v>17414</v>
      </c>
      <c r="AW258">
        <v>798</v>
      </c>
      <c r="AX258">
        <v>798</v>
      </c>
      <c r="AY258">
        <v>798</v>
      </c>
      <c r="AZ258" t="s">
        <v>1931</v>
      </c>
      <c r="BA258" t="s">
        <v>17414</v>
      </c>
      <c r="BB258">
        <v>23424970</v>
      </c>
      <c r="BC258">
        <v>23424970</v>
      </c>
      <c r="BD258" t="s">
        <v>12254</v>
      </c>
      <c r="BE258" t="s">
        <v>17414</v>
      </c>
      <c r="BG258" t="s">
        <v>17414</v>
      </c>
      <c r="BH258" t="s">
        <v>17414</v>
      </c>
      <c r="BI258" t="s">
        <v>17414</v>
      </c>
      <c r="BJ258" t="s">
        <v>17414</v>
      </c>
      <c r="BK258" t="s">
        <v>17414</v>
      </c>
      <c r="BL258" t="s">
        <v>17414</v>
      </c>
      <c r="BM258" t="s">
        <v>17414</v>
      </c>
      <c r="BN258" t="s">
        <v>17414</v>
      </c>
      <c r="BO258" t="s">
        <v>17414</v>
      </c>
      <c r="BP258" t="s">
        <v>17414</v>
      </c>
      <c r="BQ258" t="s">
        <v>17414</v>
      </c>
      <c r="BR258" t="s">
        <v>17414</v>
      </c>
      <c r="BS258" t="s">
        <v>17414</v>
      </c>
      <c r="BT258" t="s">
        <v>17414</v>
      </c>
      <c r="BU258" t="s">
        <v>17414</v>
      </c>
      <c r="BV258" t="s">
        <v>17414</v>
      </c>
      <c r="BW258" t="s">
        <v>17414</v>
      </c>
      <c r="BX258" t="s">
        <v>17414</v>
      </c>
      <c r="BY258" t="s">
        <v>17414</v>
      </c>
      <c r="BZ258" t="s">
        <v>17414</v>
      </c>
      <c r="CA258" t="s">
        <v>17414</v>
      </c>
      <c r="CB258" t="s">
        <v>17414</v>
      </c>
      <c r="CC258" t="s">
        <v>17414</v>
      </c>
      <c r="CD258" t="s">
        <v>17414</v>
      </c>
      <c r="CE258" t="s">
        <v>17414</v>
      </c>
      <c r="CF258" t="s">
        <v>17414</v>
      </c>
      <c r="CG258" t="s">
        <v>17414</v>
      </c>
      <c r="CH258" t="s">
        <v>17414</v>
      </c>
      <c r="CI258" t="s">
        <v>17414</v>
      </c>
      <c r="CJ258" t="s">
        <v>17414</v>
      </c>
      <c r="CK258" t="s">
        <v>17414</v>
      </c>
      <c r="CL258" t="s">
        <v>17414</v>
      </c>
      <c r="CM258">
        <v>-99</v>
      </c>
      <c r="CN258">
        <v>-99</v>
      </c>
      <c r="CO258" t="s">
        <v>12537</v>
      </c>
      <c r="CP258" t="s">
        <v>12537</v>
      </c>
      <c r="CQ258" t="s">
        <v>12538</v>
      </c>
      <c r="CR258" t="s">
        <v>12539</v>
      </c>
      <c r="CS258">
        <v>6</v>
      </c>
      <c r="CT258">
        <v>6</v>
      </c>
      <c r="CU258">
        <v>4</v>
      </c>
      <c r="CV258">
        <v>5</v>
      </c>
      <c r="CW258">
        <v>1</v>
      </c>
      <c r="CX258">
        <v>0</v>
      </c>
      <c r="CY258">
        <v>5</v>
      </c>
      <c r="CZ258">
        <v>10</v>
      </c>
      <c r="DA258">
        <v>179.209587</v>
      </c>
      <c r="DB258">
        <v>-8.5137169999999998</v>
      </c>
      <c r="DC258">
        <v>1159321333</v>
      </c>
      <c r="DD258" t="s">
        <v>17416</v>
      </c>
      <c r="DE258" t="s">
        <v>17417</v>
      </c>
      <c r="DF258" t="s">
        <v>17418</v>
      </c>
      <c r="DG258" t="s">
        <v>178</v>
      </c>
      <c r="DH258" t="s">
        <v>178</v>
      </c>
      <c r="DI258" t="s">
        <v>178</v>
      </c>
      <c r="DJ258" t="s">
        <v>17419</v>
      </c>
      <c r="DK258" t="s">
        <v>178</v>
      </c>
      <c r="DL258" t="s">
        <v>17420</v>
      </c>
      <c r="DM258" t="s">
        <v>17421</v>
      </c>
      <c r="DN258" t="s">
        <v>17422</v>
      </c>
      <c r="DO258" t="s">
        <v>178</v>
      </c>
      <c r="DP258" t="s">
        <v>178</v>
      </c>
      <c r="DQ258" t="s">
        <v>178</v>
      </c>
      <c r="DR258" t="s">
        <v>17423</v>
      </c>
      <c r="DS258" t="s">
        <v>17424</v>
      </c>
      <c r="DT258" t="s">
        <v>178</v>
      </c>
      <c r="DU258" t="s">
        <v>178</v>
      </c>
      <c r="DV258" t="s">
        <v>178</v>
      </c>
      <c r="DW258" t="s">
        <v>17425</v>
      </c>
      <c r="DX258" t="s">
        <v>178</v>
      </c>
      <c r="DY258" t="s">
        <v>178</v>
      </c>
      <c r="DZ258" t="s">
        <v>17425</v>
      </c>
      <c r="EA258" t="s">
        <v>17419</v>
      </c>
      <c r="EB258" t="s">
        <v>178</v>
      </c>
      <c r="EC258" t="s">
        <v>17426</v>
      </c>
      <c r="ED258" t="s">
        <v>17427</v>
      </c>
      <c r="EE258" t="s">
        <v>12247</v>
      </c>
      <c r="EG258" t="s">
        <v>12247</v>
      </c>
    </row>
    <row r="259" spans="1:168" x14ac:dyDescent="0.25">
      <c r="A259" t="s">
        <v>18855</v>
      </c>
      <c r="B259" t="s">
        <v>12247</v>
      </c>
      <c r="C259">
        <v>5</v>
      </c>
      <c r="D259">
        <v>5</v>
      </c>
      <c r="E259" t="s">
        <v>12532</v>
      </c>
      <c r="F259" t="s">
        <v>12533</v>
      </c>
      <c r="G259">
        <v>1</v>
      </c>
      <c r="H259">
        <v>2</v>
      </c>
      <c r="I259" t="s">
        <v>12480</v>
      </c>
      <c r="J259">
        <v>1</v>
      </c>
      <c r="K259" t="s">
        <v>1236</v>
      </c>
      <c r="L259" t="s">
        <v>18014</v>
      </c>
      <c r="M259">
        <v>0</v>
      </c>
      <c r="N259" t="s">
        <v>1236</v>
      </c>
      <c r="O259" t="s">
        <v>18014</v>
      </c>
      <c r="P259">
        <v>0</v>
      </c>
      <c r="Q259" t="s">
        <v>1236</v>
      </c>
      <c r="R259" t="s">
        <v>18014</v>
      </c>
      <c r="S259">
        <v>0</v>
      </c>
      <c r="T259" t="s">
        <v>1236</v>
      </c>
      <c r="U259" t="s">
        <v>18014</v>
      </c>
      <c r="V259" t="s">
        <v>18015</v>
      </c>
      <c r="X259" t="s">
        <v>18016</v>
      </c>
      <c r="Y259" t="s">
        <v>2155</v>
      </c>
      <c r="AC259" t="s">
        <v>12536</v>
      </c>
      <c r="AE259" t="s">
        <v>1236</v>
      </c>
      <c r="AG259">
        <v>4</v>
      </c>
      <c r="AH259">
        <v>5</v>
      </c>
      <c r="AI259">
        <v>1</v>
      </c>
      <c r="AJ259">
        <v>1</v>
      </c>
      <c r="AK259">
        <v>300</v>
      </c>
      <c r="AL259">
        <v>2</v>
      </c>
      <c r="AM259">
        <v>2017</v>
      </c>
      <c r="AN259">
        <v>0</v>
      </c>
      <c r="AO259">
        <v>2019</v>
      </c>
      <c r="AP259" t="s">
        <v>12252</v>
      </c>
      <c r="AQ259" t="s">
        <v>12253</v>
      </c>
      <c r="AR259">
        <v>-99</v>
      </c>
      <c r="AS259" t="s">
        <v>2155</v>
      </c>
      <c r="AT259" t="s">
        <v>2155</v>
      </c>
      <c r="AU259" t="s">
        <v>18014</v>
      </c>
      <c r="AV259" t="s">
        <v>18014</v>
      </c>
      <c r="AW259">
        <v>581</v>
      </c>
      <c r="AX259">
        <v>581</v>
      </c>
      <c r="AY259">
        <v>-99</v>
      </c>
      <c r="AZ259">
        <v>-99</v>
      </c>
      <c r="BA259">
        <v>-99</v>
      </c>
      <c r="BB259">
        <v>28289407</v>
      </c>
      <c r="BC259">
        <v>28289407</v>
      </c>
      <c r="BD259" t="s">
        <v>12254</v>
      </c>
      <c r="BE259" t="s">
        <v>18014</v>
      </c>
      <c r="BG259" t="s">
        <v>18014</v>
      </c>
      <c r="BH259" t="s">
        <v>18014</v>
      </c>
      <c r="BI259" t="s">
        <v>18014</v>
      </c>
      <c r="BJ259" t="s">
        <v>18014</v>
      </c>
      <c r="BK259" t="s">
        <v>18014</v>
      </c>
      <c r="BL259" t="s">
        <v>18014</v>
      </c>
      <c r="BM259" t="s">
        <v>18014</v>
      </c>
      <c r="BN259" t="s">
        <v>18014</v>
      </c>
      <c r="BO259" t="s">
        <v>18014</v>
      </c>
      <c r="BP259" t="s">
        <v>18014</v>
      </c>
      <c r="BQ259" t="s">
        <v>18014</v>
      </c>
      <c r="BR259" t="s">
        <v>18014</v>
      </c>
      <c r="BS259" t="s">
        <v>18014</v>
      </c>
      <c r="BT259" t="s">
        <v>18014</v>
      </c>
      <c r="BU259" t="s">
        <v>18014</v>
      </c>
      <c r="BV259" t="s">
        <v>18014</v>
      </c>
      <c r="BW259" t="s">
        <v>18014</v>
      </c>
      <c r="BX259" t="s">
        <v>18014</v>
      </c>
      <c r="BY259" t="s">
        <v>18014</v>
      </c>
      <c r="BZ259" t="s">
        <v>18014</v>
      </c>
      <c r="CA259" t="s">
        <v>18014</v>
      </c>
      <c r="CB259" t="s">
        <v>18014</v>
      </c>
      <c r="CC259" t="s">
        <v>18014</v>
      </c>
      <c r="CD259" t="s">
        <v>18014</v>
      </c>
      <c r="CE259" t="s">
        <v>18014</v>
      </c>
      <c r="CF259" t="s">
        <v>18014</v>
      </c>
      <c r="CG259" t="s">
        <v>18014</v>
      </c>
      <c r="CH259" t="s">
        <v>18014</v>
      </c>
      <c r="CI259" t="s">
        <v>18014</v>
      </c>
      <c r="CJ259" t="s">
        <v>18014</v>
      </c>
      <c r="CK259" t="s">
        <v>18014</v>
      </c>
      <c r="CL259" t="s">
        <v>18014</v>
      </c>
      <c r="CM259">
        <v>-99</v>
      </c>
      <c r="CN259">
        <v>-99</v>
      </c>
      <c r="CO259" t="s">
        <v>12402</v>
      </c>
      <c r="CP259" t="s">
        <v>12537</v>
      </c>
      <c r="CQ259" t="s">
        <v>13437</v>
      </c>
      <c r="CR259" t="s">
        <v>12539</v>
      </c>
      <c r="CS259">
        <v>23</v>
      </c>
      <c r="CT259">
        <v>36</v>
      </c>
      <c r="CU259">
        <v>8</v>
      </c>
      <c r="CV259">
        <v>-99</v>
      </c>
      <c r="CW259">
        <v>-99</v>
      </c>
      <c r="CX259">
        <v>0</v>
      </c>
      <c r="CY259">
        <v>7</v>
      </c>
      <c r="CZ259">
        <v>11</v>
      </c>
      <c r="DA259">
        <v>166.64453499999999</v>
      </c>
      <c r="DB259">
        <v>19.285663</v>
      </c>
      <c r="DC259">
        <v>1159321367</v>
      </c>
      <c r="DD259" t="s">
        <v>18017</v>
      </c>
      <c r="DE259" t="s">
        <v>18018</v>
      </c>
      <c r="DF259" t="s">
        <v>18019</v>
      </c>
      <c r="DG259" t="s">
        <v>1236</v>
      </c>
      <c r="DH259" t="s">
        <v>1236</v>
      </c>
      <c r="DI259" t="s">
        <v>18020</v>
      </c>
      <c r="DJ259" t="s">
        <v>18021</v>
      </c>
      <c r="DK259" t="s">
        <v>18022</v>
      </c>
      <c r="DL259" t="s">
        <v>18023</v>
      </c>
      <c r="DM259" t="s">
        <v>18024</v>
      </c>
      <c r="DN259" t="s">
        <v>18025</v>
      </c>
      <c r="DO259" t="s">
        <v>18026</v>
      </c>
      <c r="DP259" t="s">
        <v>18027</v>
      </c>
      <c r="DQ259" t="s">
        <v>18028</v>
      </c>
      <c r="DR259" t="s">
        <v>18029</v>
      </c>
      <c r="DS259" t="s">
        <v>18030</v>
      </c>
      <c r="DT259" t="s">
        <v>18031</v>
      </c>
      <c r="DU259" t="s">
        <v>18032</v>
      </c>
      <c r="DV259" t="s">
        <v>18033</v>
      </c>
      <c r="DW259" t="s">
        <v>18034</v>
      </c>
      <c r="DX259" t="s">
        <v>18035</v>
      </c>
      <c r="DY259" t="s">
        <v>1236</v>
      </c>
      <c r="DZ259" t="s">
        <v>18036</v>
      </c>
      <c r="EA259" t="s">
        <v>18037</v>
      </c>
      <c r="EB259" t="s">
        <v>18038</v>
      </c>
      <c r="EC259" t="s">
        <v>18039</v>
      </c>
      <c r="ED259" t="s">
        <v>18040</v>
      </c>
      <c r="EE259" t="s">
        <v>12397</v>
      </c>
      <c r="EG259" t="s">
        <v>12397</v>
      </c>
    </row>
    <row r="260" spans="1:168" x14ac:dyDescent="0.25">
      <c r="A260" t="s">
        <v>2018</v>
      </c>
      <c r="B260" t="s">
        <v>12247</v>
      </c>
      <c r="C260">
        <v>3</v>
      </c>
      <c r="D260">
        <v>6</v>
      </c>
      <c r="E260" t="s">
        <v>12532</v>
      </c>
      <c r="F260" t="s">
        <v>12533</v>
      </c>
      <c r="G260">
        <v>1</v>
      </c>
      <c r="H260">
        <v>2</v>
      </c>
      <c r="I260" t="s">
        <v>12480</v>
      </c>
      <c r="J260">
        <v>1</v>
      </c>
      <c r="K260" t="s">
        <v>18065</v>
      </c>
      <c r="L260" t="s">
        <v>18066</v>
      </c>
      <c r="M260">
        <v>0</v>
      </c>
      <c r="N260" t="s">
        <v>18065</v>
      </c>
      <c r="O260" t="s">
        <v>18066</v>
      </c>
      <c r="P260">
        <v>0</v>
      </c>
      <c r="Q260" t="s">
        <v>18065</v>
      </c>
      <c r="R260" t="s">
        <v>18066</v>
      </c>
      <c r="S260">
        <v>0</v>
      </c>
      <c r="T260" t="s">
        <v>18065</v>
      </c>
      <c r="U260" t="s">
        <v>18066</v>
      </c>
      <c r="V260" t="s">
        <v>18067</v>
      </c>
      <c r="X260" t="s">
        <v>18068</v>
      </c>
      <c r="Y260" t="s">
        <v>1969</v>
      </c>
      <c r="Z260" t="s">
        <v>18069</v>
      </c>
      <c r="AB260" t="s">
        <v>18070</v>
      </c>
      <c r="AC260" t="s">
        <v>12536</v>
      </c>
      <c r="AE260" t="s">
        <v>18071</v>
      </c>
      <c r="AG260">
        <v>4</v>
      </c>
      <c r="AH260">
        <v>5</v>
      </c>
      <c r="AI260">
        <v>1</v>
      </c>
      <c r="AJ260">
        <v>1</v>
      </c>
      <c r="AK260">
        <v>106631</v>
      </c>
      <c r="AL260">
        <v>9</v>
      </c>
      <c r="AM260">
        <v>2019</v>
      </c>
      <c r="AN260">
        <v>3855</v>
      </c>
      <c r="AO260">
        <v>2017</v>
      </c>
      <c r="AP260" t="s">
        <v>12277</v>
      </c>
      <c r="AQ260" t="s">
        <v>12335</v>
      </c>
      <c r="AR260" t="s">
        <v>18072</v>
      </c>
      <c r="AS260" t="s">
        <v>1969</v>
      </c>
      <c r="AT260" t="s">
        <v>1969</v>
      </c>
      <c r="AU260" t="s">
        <v>18066</v>
      </c>
      <c r="AV260" t="s">
        <v>18066</v>
      </c>
      <c r="AW260">
        <v>850</v>
      </c>
      <c r="AX260">
        <v>850</v>
      </c>
      <c r="AY260">
        <v>850</v>
      </c>
      <c r="AZ260" t="s">
        <v>1969</v>
      </c>
      <c r="BA260" t="s">
        <v>18066</v>
      </c>
      <c r="BB260">
        <v>23424985</v>
      </c>
      <c r="BC260">
        <v>23424985</v>
      </c>
      <c r="BD260" t="s">
        <v>12254</v>
      </c>
      <c r="BE260" t="s">
        <v>18066</v>
      </c>
      <c r="BG260" t="s">
        <v>18066</v>
      </c>
      <c r="BH260" t="s">
        <v>18066</v>
      </c>
      <c r="BI260" t="s">
        <v>18066</v>
      </c>
      <c r="BJ260" t="s">
        <v>18066</v>
      </c>
      <c r="BK260" t="s">
        <v>18066</v>
      </c>
      <c r="BL260" t="s">
        <v>18066</v>
      </c>
      <c r="BM260" t="s">
        <v>18066</v>
      </c>
      <c r="BN260" t="s">
        <v>18066</v>
      </c>
      <c r="BO260" t="s">
        <v>18066</v>
      </c>
      <c r="BP260" t="s">
        <v>18066</v>
      </c>
      <c r="BQ260" t="s">
        <v>18066</v>
      </c>
      <c r="BR260" t="s">
        <v>18066</v>
      </c>
      <c r="BS260" t="s">
        <v>18066</v>
      </c>
      <c r="BT260" t="s">
        <v>18066</v>
      </c>
      <c r="BU260" t="s">
        <v>18066</v>
      </c>
      <c r="BV260" t="s">
        <v>18066</v>
      </c>
      <c r="BW260" t="s">
        <v>18066</v>
      </c>
      <c r="BX260" t="s">
        <v>18066</v>
      </c>
      <c r="BY260" t="s">
        <v>18066</v>
      </c>
      <c r="BZ260" t="s">
        <v>18066</v>
      </c>
      <c r="CA260" t="s">
        <v>18066</v>
      </c>
      <c r="CB260" t="s">
        <v>18066</v>
      </c>
      <c r="CC260" t="s">
        <v>18066</v>
      </c>
      <c r="CD260" t="s">
        <v>18066</v>
      </c>
      <c r="CE260" t="s">
        <v>18066</v>
      </c>
      <c r="CF260" t="s">
        <v>18066</v>
      </c>
      <c r="CG260" t="s">
        <v>18066</v>
      </c>
      <c r="CH260" t="s">
        <v>18066</v>
      </c>
      <c r="CI260" t="s">
        <v>18066</v>
      </c>
      <c r="CJ260" t="s">
        <v>18066</v>
      </c>
      <c r="CK260" t="s">
        <v>18066</v>
      </c>
      <c r="CL260" t="s">
        <v>18066</v>
      </c>
      <c r="CM260">
        <v>-99</v>
      </c>
      <c r="CN260">
        <v>-99</v>
      </c>
      <c r="CO260" t="s">
        <v>12402</v>
      </c>
      <c r="CP260" t="s">
        <v>12403</v>
      </c>
      <c r="CQ260" t="s">
        <v>12404</v>
      </c>
      <c r="CR260" t="s">
        <v>12405</v>
      </c>
      <c r="CS260">
        <v>15</v>
      </c>
      <c r="CT260">
        <v>28</v>
      </c>
      <c r="CU260">
        <v>11</v>
      </c>
      <c r="CV260">
        <v>3</v>
      </c>
      <c r="CW260">
        <v>-99</v>
      </c>
      <c r="CX260">
        <v>0</v>
      </c>
      <c r="CY260">
        <v>5</v>
      </c>
      <c r="CZ260">
        <v>10</v>
      </c>
      <c r="DA260">
        <v>-64.779172000000003</v>
      </c>
      <c r="DB260">
        <v>17.746706</v>
      </c>
      <c r="DC260">
        <v>1159321371</v>
      </c>
      <c r="DD260" t="s">
        <v>18073</v>
      </c>
      <c r="DE260" t="s">
        <v>18074</v>
      </c>
      <c r="DF260" t="s">
        <v>18075</v>
      </c>
      <c r="DG260" t="s">
        <v>18076</v>
      </c>
      <c r="DH260" t="s">
        <v>18065</v>
      </c>
      <c r="DI260" t="s">
        <v>18077</v>
      </c>
      <c r="DJ260" t="s">
        <v>18078</v>
      </c>
      <c r="DK260" t="s">
        <v>18079</v>
      </c>
      <c r="DL260" t="s">
        <v>18080</v>
      </c>
      <c r="DM260" t="s">
        <v>18081</v>
      </c>
      <c r="DN260" t="s">
        <v>18082</v>
      </c>
      <c r="DO260" t="s">
        <v>18083</v>
      </c>
      <c r="DP260" t="s">
        <v>18084</v>
      </c>
      <c r="DQ260" t="s">
        <v>18085</v>
      </c>
      <c r="DR260" t="s">
        <v>18086</v>
      </c>
      <c r="DS260" t="s">
        <v>18087</v>
      </c>
      <c r="DT260" t="s">
        <v>18088</v>
      </c>
      <c r="DU260" t="s">
        <v>18089</v>
      </c>
      <c r="DV260" t="s">
        <v>18090</v>
      </c>
      <c r="DW260" t="s">
        <v>18091</v>
      </c>
      <c r="DX260" t="s">
        <v>18092</v>
      </c>
      <c r="DY260" t="s">
        <v>18093</v>
      </c>
      <c r="DZ260" t="s">
        <v>18094</v>
      </c>
      <c r="EA260" t="s">
        <v>18095</v>
      </c>
      <c r="EB260" t="s">
        <v>18096</v>
      </c>
      <c r="EC260" t="s">
        <v>18097</v>
      </c>
      <c r="ED260" t="s">
        <v>18098</v>
      </c>
      <c r="EE260" t="s">
        <v>12397</v>
      </c>
      <c r="EG260" t="s">
        <v>12397</v>
      </c>
    </row>
    <row r="261" spans="1:168" x14ac:dyDescent="0.25">
      <c r="A261" t="s">
        <v>179</v>
      </c>
      <c r="B261" t="s">
        <v>12247</v>
      </c>
      <c r="C261">
        <v>0</v>
      </c>
      <c r="D261">
        <v>3</v>
      </c>
      <c r="E261" t="s">
        <v>179</v>
      </c>
      <c r="F261" t="s">
        <v>17428</v>
      </c>
      <c r="G261">
        <v>0</v>
      </c>
      <c r="H261">
        <v>2</v>
      </c>
      <c r="I261" t="s">
        <v>12249</v>
      </c>
      <c r="J261">
        <v>1</v>
      </c>
      <c r="K261" t="s">
        <v>179</v>
      </c>
      <c r="L261" t="s">
        <v>17428</v>
      </c>
      <c r="M261">
        <v>0</v>
      </c>
      <c r="N261" t="s">
        <v>179</v>
      </c>
      <c r="O261" t="s">
        <v>17428</v>
      </c>
      <c r="P261">
        <v>0</v>
      </c>
      <c r="Q261" t="s">
        <v>179</v>
      </c>
      <c r="R261" t="s">
        <v>17428</v>
      </c>
      <c r="S261">
        <v>0</v>
      </c>
      <c r="T261" t="s">
        <v>179</v>
      </c>
      <c r="U261" t="s">
        <v>17428</v>
      </c>
      <c r="V261" t="s">
        <v>179</v>
      </c>
      <c r="X261" t="s">
        <v>17429</v>
      </c>
      <c r="Y261" t="s">
        <v>1944</v>
      </c>
      <c r="Z261" t="s">
        <v>17430</v>
      </c>
      <c r="AB261" t="s">
        <v>179</v>
      </c>
      <c r="AE261" t="s">
        <v>179</v>
      </c>
      <c r="AG261">
        <v>6</v>
      </c>
      <c r="AH261">
        <v>3</v>
      </c>
      <c r="AI261">
        <v>6</v>
      </c>
      <c r="AJ261">
        <v>4</v>
      </c>
      <c r="AK261">
        <v>44269594</v>
      </c>
      <c r="AL261">
        <v>15</v>
      </c>
      <c r="AM261">
        <v>2019</v>
      </c>
      <c r="AN261">
        <v>35165</v>
      </c>
      <c r="AO261">
        <v>2019</v>
      </c>
      <c r="AP261" t="s">
        <v>12252</v>
      </c>
      <c r="AQ261" t="s">
        <v>12253</v>
      </c>
      <c r="AR261" t="s">
        <v>1944</v>
      </c>
      <c r="AS261" t="s">
        <v>1944</v>
      </c>
      <c r="AT261" t="s">
        <v>1944</v>
      </c>
      <c r="AU261" t="s">
        <v>17428</v>
      </c>
      <c r="AV261" t="s">
        <v>17428</v>
      </c>
      <c r="AW261">
        <v>800</v>
      </c>
      <c r="AX261">
        <v>800</v>
      </c>
      <c r="AY261">
        <v>800</v>
      </c>
      <c r="AZ261" t="s">
        <v>1944</v>
      </c>
      <c r="BA261" t="s">
        <v>17428</v>
      </c>
      <c r="BB261">
        <v>23424974</v>
      </c>
      <c r="BC261">
        <v>23424974</v>
      </c>
      <c r="BD261" t="s">
        <v>12254</v>
      </c>
      <c r="BE261" t="s">
        <v>17428</v>
      </c>
      <c r="BG261" t="s">
        <v>17428</v>
      </c>
      <c r="BH261" t="s">
        <v>17428</v>
      </c>
      <c r="BI261" t="s">
        <v>17428</v>
      </c>
      <c r="BJ261" t="s">
        <v>17428</v>
      </c>
      <c r="BK261" t="s">
        <v>17428</v>
      </c>
      <c r="BL261" t="s">
        <v>17428</v>
      </c>
      <c r="BM261" t="s">
        <v>17428</v>
      </c>
      <c r="BN261" t="s">
        <v>17428</v>
      </c>
      <c r="BO261" t="s">
        <v>17428</v>
      </c>
      <c r="BP261" t="s">
        <v>17428</v>
      </c>
      <c r="BQ261" t="s">
        <v>17428</v>
      </c>
      <c r="BR261" t="s">
        <v>17428</v>
      </c>
      <c r="BS261" t="s">
        <v>17428</v>
      </c>
      <c r="BT261" t="s">
        <v>17428</v>
      </c>
      <c r="BU261" t="s">
        <v>17428</v>
      </c>
      <c r="BV261" t="s">
        <v>17428</v>
      </c>
      <c r="BW261" t="s">
        <v>17428</v>
      </c>
      <c r="BX261" t="s">
        <v>17428</v>
      </c>
      <c r="BY261" t="s">
        <v>17428</v>
      </c>
      <c r="BZ261" t="s">
        <v>17428</v>
      </c>
      <c r="CA261" t="s">
        <v>17428</v>
      </c>
      <c r="CB261" t="s">
        <v>17428</v>
      </c>
      <c r="CC261" t="s">
        <v>17428</v>
      </c>
      <c r="CD261" t="s">
        <v>17428</v>
      </c>
      <c r="CE261" t="s">
        <v>17428</v>
      </c>
      <c r="CF261" t="s">
        <v>17428</v>
      </c>
      <c r="CG261" t="s">
        <v>17428</v>
      </c>
      <c r="CH261" t="s">
        <v>17428</v>
      </c>
      <c r="CI261" t="s">
        <v>17428</v>
      </c>
      <c r="CJ261" t="s">
        <v>17428</v>
      </c>
      <c r="CK261" t="s">
        <v>17428</v>
      </c>
      <c r="CL261" t="s">
        <v>17428</v>
      </c>
      <c r="CM261">
        <v>-99</v>
      </c>
      <c r="CN261">
        <v>-99</v>
      </c>
      <c r="CO261" t="s">
        <v>12306</v>
      </c>
      <c r="CP261" t="s">
        <v>12306</v>
      </c>
      <c r="CQ261" t="s">
        <v>13085</v>
      </c>
      <c r="CR261" t="s">
        <v>12357</v>
      </c>
      <c r="CS261">
        <v>6</v>
      </c>
      <c r="CT261">
        <v>6</v>
      </c>
      <c r="CU261">
        <v>4</v>
      </c>
      <c r="CV261">
        <v>-99</v>
      </c>
      <c r="CW261">
        <v>1</v>
      </c>
      <c r="CX261">
        <v>0</v>
      </c>
      <c r="CY261">
        <v>3</v>
      </c>
      <c r="CZ261">
        <v>8</v>
      </c>
      <c r="DA261">
        <v>32.948554999999999</v>
      </c>
      <c r="DB261">
        <v>1.9725889999999999</v>
      </c>
      <c r="DC261">
        <v>1159321343</v>
      </c>
      <c r="DD261" t="s">
        <v>17431</v>
      </c>
      <c r="DE261" t="s">
        <v>17432</v>
      </c>
      <c r="DF261" t="s">
        <v>17433</v>
      </c>
      <c r="DG261" t="s">
        <v>179</v>
      </c>
      <c r="DH261" t="s">
        <v>179</v>
      </c>
      <c r="DI261" t="s">
        <v>179</v>
      </c>
      <c r="DJ261" t="s">
        <v>17434</v>
      </c>
      <c r="DK261" t="s">
        <v>17435</v>
      </c>
      <c r="DL261" t="s">
        <v>17436</v>
      </c>
      <c r="DM261" t="s">
        <v>17437</v>
      </c>
      <c r="DN261" t="s">
        <v>17438</v>
      </c>
      <c r="DO261" t="s">
        <v>179</v>
      </c>
      <c r="DP261" t="s">
        <v>179</v>
      </c>
      <c r="DQ261" t="s">
        <v>179</v>
      </c>
      <c r="DR261" t="s">
        <v>17439</v>
      </c>
      <c r="DS261" t="s">
        <v>17440</v>
      </c>
      <c r="DT261" t="s">
        <v>17441</v>
      </c>
      <c r="DU261" t="s">
        <v>179</v>
      </c>
      <c r="DV261" t="s">
        <v>179</v>
      </c>
      <c r="DW261" t="s">
        <v>17442</v>
      </c>
      <c r="DX261" t="s">
        <v>179</v>
      </c>
      <c r="DY261" t="s">
        <v>179</v>
      </c>
      <c r="DZ261" t="s">
        <v>17442</v>
      </c>
      <c r="EA261" t="s">
        <v>17443</v>
      </c>
      <c r="EB261" t="s">
        <v>179</v>
      </c>
      <c r="EC261" t="s">
        <v>17444</v>
      </c>
      <c r="ED261" t="s">
        <v>17445</v>
      </c>
      <c r="EE261" t="s">
        <v>12247</v>
      </c>
      <c r="EG261" t="s">
        <v>12247</v>
      </c>
    </row>
    <row r="262" spans="1:168" x14ac:dyDescent="0.25">
      <c r="A262" t="s">
        <v>180</v>
      </c>
      <c r="B262" t="s">
        <v>12247</v>
      </c>
      <c r="C262">
        <v>0</v>
      </c>
      <c r="D262">
        <v>3</v>
      </c>
      <c r="E262" t="s">
        <v>180</v>
      </c>
      <c r="F262" t="s">
        <v>17446</v>
      </c>
      <c r="G262">
        <v>0</v>
      </c>
      <c r="H262">
        <v>2</v>
      </c>
      <c r="I262" t="s">
        <v>12249</v>
      </c>
      <c r="J262">
        <v>1</v>
      </c>
      <c r="K262" t="s">
        <v>180</v>
      </c>
      <c r="L262" t="s">
        <v>17446</v>
      </c>
      <c r="M262">
        <v>0</v>
      </c>
      <c r="N262" t="s">
        <v>180</v>
      </c>
      <c r="O262" t="s">
        <v>17446</v>
      </c>
      <c r="P262">
        <v>0</v>
      </c>
      <c r="Q262" t="s">
        <v>180</v>
      </c>
      <c r="R262" t="s">
        <v>17446</v>
      </c>
      <c r="S262">
        <v>0</v>
      </c>
      <c r="T262" t="s">
        <v>180</v>
      </c>
      <c r="U262" t="s">
        <v>17446</v>
      </c>
      <c r="V262" t="s">
        <v>180</v>
      </c>
      <c r="X262" t="s">
        <v>17447</v>
      </c>
      <c r="Y262" t="s">
        <v>1941</v>
      </c>
      <c r="Z262" t="s">
        <v>180</v>
      </c>
      <c r="AB262" t="s">
        <v>180</v>
      </c>
      <c r="AE262" t="s">
        <v>180</v>
      </c>
      <c r="AG262">
        <v>5</v>
      </c>
      <c r="AH262">
        <v>1</v>
      </c>
      <c r="AI262">
        <v>6</v>
      </c>
      <c r="AJ262">
        <v>3</v>
      </c>
      <c r="AK262">
        <v>44385155</v>
      </c>
      <c r="AL262">
        <v>15</v>
      </c>
      <c r="AM262">
        <v>2019</v>
      </c>
      <c r="AN262">
        <v>153781</v>
      </c>
      <c r="AO262">
        <v>2019</v>
      </c>
      <c r="AP262" t="s">
        <v>12277</v>
      </c>
      <c r="AQ262" t="s">
        <v>12278</v>
      </c>
      <c r="AR262" t="s">
        <v>17448</v>
      </c>
      <c r="AS262" t="s">
        <v>1941</v>
      </c>
      <c r="AT262" t="s">
        <v>1941</v>
      </c>
      <c r="AU262" t="s">
        <v>17446</v>
      </c>
      <c r="AV262" t="s">
        <v>17446</v>
      </c>
      <c r="AW262">
        <v>804</v>
      </c>
      <c r="AX262">
        <v>804</v>
      </c>
      <c r="AY262">
        <v>804</v>
      </c>
      <c r="AZ262" t="s">
        <v>1941</v>
      </c>
      <c r="BA262" t="s">
        <v>17446</v>
      </c>
      <c r="BB262">
        <v>23424976</v>
      </c>
      <c r="BC262">
        <v>23424976</v>
      </c>
      <c r="BD262" t="s">
        <v>12254</v>
      </c>
      <c r="BE262" t="s">
        <v>17446</v>
      </c>
      <c r="BG262" t="s">
        <v>17446</v>
      </c>
      <c r="BH262" t="s">
        <v>17446</v>
      </c>
      <c r="BI262" t="s">
        <v>17446</v>
      </c>
      <c r="BJ262" t="s">
        <v>17446</v>
      </c>
      <c r="BK262" t="s">
        <v>17446</v>
      </c>
      <c r="BL262" t="s">
        <v>17446</v>
      </c>
      <c r="BM262" t="s">
        <v>17446</v>
      </c>
      <c r="BN262" t="s">
        <v>17446</v>
      </c>
      <c r="BO262" t="s">
        <v>17446</v>
      </c>
      <c r="BP262" t="s">
        <v>17446</v>
      </c>
      <c r="BQ262" t="s">
        <v>17446</v>
      </c>
      <c r="BR262" t="s">
        <v>17446</v>
      </c>
      <c r="BS262" t="s">
        <v>17446</v>
      </c>
      <c r="BT262" t="s">
        <v>17446</v>
      </c>
      <c r="BU262" t="s">
        <v>17446</v>
      </c>
      <c r="BV262" t="s">
        <v>17446</v>
      </c>
      <c r="BW262" t="s">
        <v>17446</v>
      </c>
      <c r="BX262" t="s">
        <v>17446</v>
      </c>
      <c r="BY262" t="s">
        <v>17446</v>
      </c>
      <c r="BZ262" t="s">
        <v>17446</v>
      </c>
      <c r="CA262" t="s">
        <v>17446</v>
      </c>
      <c r="CB262" t="s">
        <v>17446</v>
      </c>
      <c r="CC262" t="s">
        <v>17446</v>
      </c>
      <c r="CD262" t="s">
        <v>17446</v>
      </c>
      <c r="CE262" t="s">
        <v>17446</v>
      </c>
      <c r="CF262" t="s">
        <v>17446</v>
      </c>
      <c r="CG262" t="s">
        <v>17446</v>
      </c>
      <c r="CH262" t="s">
        <v>17446</v>
      </c>
      <c r="CI262" t="s">
        <v>17446</v>
      </c>
      <c r="CJ262" t="s">
        <v>17446</v>
      </c>
      <c r="CK262" t="s">
        <v>17446</v>
      </c>
      <c r="CL262" t="s">
        <v>17446</v>
      </c>
      <c r="CM262">
        <v>-99</v>
      </c>
      <c r="CN262">
        <v>-99</v>
      </c>
      <c r="CO262" t="s">
        <v>12279</v>
      </c>
      <c r="CP262" t="s">
        <v>12279</v>
      </c>
      <c r="CQ262" t="s">
        <v>12779</v>
      </c>
      <c r="CR262" t="s">
        <v>12281</v>
      </c>
      <c r="CS262">
        <v>7</v>
      </c>
      <c r="CT262">
        <v>7</v>
      </c>
      <c r="CU262">
        <v>4</v>
      </c>
      <c r="CV262">
        <v>-99</v>
      </c>
      <c r="CW262">
        <v>1</v>
      </c>
      <c r="CX262">
        <v>0</v>
      </c>
      <c r="CY262">
        <v>2.7</v>
      </c>
      <c r="CZ262">
        <v>7</v>
      </c>
      <c r="DA262">
        <v>32.140864999999998</v>
      </c>
      <c r="DB262">
        <v>49.724739</v>
      </c>
      <c r="DC262">
        <v>1159321345</v>
      </c>
      <c r="DD262" t="s">
        <v>17449</v>
      </c>
      <c r="DE262" t="s">
        <v>17450</v>
      </c>
      <c r="DF262" t="s">
        <v>17451</v>
      </c>
      <c r="DG262" t="s">
        <v>180</v>
      </c>
      <c r="DH262" t="s">
        <v>180</v>
      </c>
      <c r="DI262" t="s">
        <v>17452</v>
      </c>
      <c r="DJ262" t="s">
        <v>17453</v>
      </c>
      <c r="DK262" t="s">
        <v>180</v>
      </c>
      <c r="DL262" t="s">
        <v>17454</v>
      </c>
      <c r="DM262" t="s">
        <v>17455</v>
      </c>
      <c r="DN262" t="s">
        <v>17456</v>
      </c>
      <c r="DO262" t="s">
        <v>17457</v>
      </c>
      <c r="DP262" t="s">
        <v>17458</v>
      </c>
      <c r="DQ262" t="s">
        <v>17459</v>
      </c>
      <c r="DR262" t="s">
        <v>17460</v>
      </c>
      <c r="DS262" t="s">
        <v>17461</v>
      </c>
      <c r="DT262" t="s">
        <v>17462</v>
      </c>
      <c r="DU262" t="s">
        <v>17458</v>
      </c>
      <c r="DV262" t="s">
        <v>17463</v>
      </c>
      <c r="DW262" t="s">
        <v>17464</v>
      </c>
      <c r="DX262" t="s">
        <v>17458</v>
      </c>
      <c r="DY262" t="s">
        <v>17465</v>
      </c>
      <c r="DZ262" t="s">
        <v>17466</v>
      </c>
      <c r="EA262" t="s">
        <v>17467</v>
      </c>
      <c r="EB262" t="s">
        <v>17458</v>
      </c>
      <c r="EC262" t="s">
        <v>17468</v>
      </c>
      <c r="ED262" t="s">
        <v>17469</v>
      </c>
      <c r="EE262" t="s">
        <v>12247</v>
      </c>
      <c r="EG262" t="s">
        <v>12247</v>
      </c>
    </row>
    <row r="263" spans="1:168" x14ac:dyDescent="0.25">
      <c r="A263" t="s">
        <v>181</v>
      </c>
      <c r="B263" t="s">
        <v>12247</v>
      </c>
      <c r="C263">
        <v>0</v>
      </c>
      <c r="D263">
        <v>4</v>
      </c>
      <c r="E263" t="s">
        <v>181</v>
      </c>
      <c r="F263" t="s">
        <v>17470</v>
      </c>
      <c r="G263">
        <v>0</v>
      </c>
      <c r="H263">
        <v>2</v>
      </c>
      <c r="I263" t="s">
        <v>12249</v>
      </c>
      <c r="J263">
        <v>1</v>
      </c>
      <c r="K263" t="s">
        <v>181</v>
      </c>
      <c r="L263" t="s">
        <v>17470</v>
      </c>
      <c r="M263">
        <v>0</v>
      </c>
      <c r="N263" t="s">
        <v>181</v>
      </c>
      <c r="O263" t="s">
        <v>17470</v>
      </c>
      <c r="P263">
        <v>0</v>
      </c>
      <c r="Q263" t="s">
        <v>181</v>
      </c>
      <c r="R263" t="s">
        <v>17470</v>
      </c>
      <c r="S263">
        <v>0</v>
      </c>
      <c r="T263" t="s">
        <v>181</v>
      </c>
      <c r="U263" t="s">
        <v>17470</v>
      </c>
      <c r="V263" t="s">
        <v>181</v>
      </c>
      <c r="X263" t="s">
        <v>17471</v>
      </c>
      <c r="Y263" t="s">
        <v>1249</v>
      </c>
      <c r="Z263" t="s">
        <v>181</v>
      </c>
      <c r="AB263" t="s">
        <v>181</v>
      </c>
      <c r="AE263" t="s">
        <v>181</v>
      </c>
      <c r="AG263">
        <v>2</v>
      </c>
      <c r="AH263">
        <v>1</v>
      </c>
      <c r="AI263">
        <v>3</v>
      </c>
      <c r="AJ263">
        <v>3</v>
      </c>
      <c r="AK263">
        <v>9770529</v>
      </c>
      <c r="AL263">
        <v>13</v>
      </c>
      <c r="AM263">
        <v>2019</v>
      </c>
      <c r="AN263">
        <v>421142</v>
      </c>
      <c r="AO263">
        <v>2019</v>
      </c>
      <c r="AP263" t="s">
        <v>12277</v>
      </c>
      <c r="AQ263" t="s">
        <v>12335</v>
      </c>
      <c r="AR263" t="s">
        <v>1249</v>
      </c>
      <c r="AS263" t="s">
        <v>1249</v>
      </c>
      <c r="AT263" t="s">
        <v>1249</v>
      </c>
      <c r="AU263" t="s">
        <v>17470</v>
      </c>
      <c r="AV263" t="s">
        <v>17470</v>
      </c>
      <c r="AW263">
        <v>784</v>
      </c>
      <c r="AX263">
        <v>784</v>
      </c>
      <c r="AY263">
        <v>784</v>
      </c>
      <c r="AZ263" t="s">
        <v>1249</v>
      </c>
      <c r="BA263" t="s">
        <v>17470</v>
      </c>
      <c r="BB263">
        <v>23424738</v>
      </c>
      <c r="BC263">
        <v>23424738</v>
      </c>
      <c r="BD263" t="s">
        <v>12254</v>
      </c>
      <c r="BE263" t="s">
        <v>17470</v>
      </c>
      <c r="BG263" t="s">
        <v>17470</v>
      </c>
      <c r="BH263" t="s">
        <v>17470</v>
      </c>
      <c r="BI263" t="s">
        <v>17470</v>
      </c>
      <c r="BJ263" t="s">
        <v>17470</v>
      </c>
      <c r="BK263" t="s">
        <v>17470</v>
      </c>
      <c r="BL263" t="s">
        <v>17470</v>
      </c>
      <c r="BM263" t="s">
        <v>17470</v>
      </c>
      <c r="BN263" t="s">
        <v>17470</v>
      </c>
      <c r="BO263" t="s">
        <v>17470</v>
      </c>
      <c r="BP263" t="s">
        <v>17470</v>
      </c>
      <c r="BQ263" t="s">
        <v>17470</v>
      </c>
      <c r="BR263" t="s">
        <v>17470</v>
      </c>
      <c r="BS263" t="s">
        <v>17470</v>
      </c>
      <c r="BT263" t="s">
        <v>17470</v>
      </c>
      <c r="BU263" t="s">
        <v>17470</v>
      </c>
      <c r="BV263" t="s">
        <v>17470</v>
      </c>
      <c r="BW263" t="s">
        <v>17470</v>
      </c>
      <c r="BX263" t="s">
        <v>17470</v>
      </c>
      <c r="BY263" t="s">
        <v>17470</v>
      </c>
      <c r="BZ263" t="s">
        <v>17470</v>
      </c>
      <c r="CA263" t="s">
        <v>17470</v>
      </c>
      <c r="CB263" t="s">
        <v>17470</v>
      </c>
      <c r="CC263" t="s">
        <v>17470</v>
      </c>
      <c r="CD263" t="s">
        <v>17470</v>
      </c>
      <c r="CE263" t="s">
        <v>17470</v>
      </c>
      <c r="CF263" t="s">
        <v>17470</v>
      </c>
      <c r="CG263" t="s">
        <v>17470</v>
      </c>
      <c r="CH263" t="s">
        <v>17470</v>
      </c>
      <c r="CI263" t="s">
        <v>17470</v>
      </c>
      <c r="CJ263" t="s">
        <v>17470</v>
      </c>
      <c r="CK263" t="s">
        <v>17470</v>
      </c>
      <c r="CL263" t="s">
        <v>17470</v>
      </c>
      <c r="CM263">
        <v>-99</v>
      </c>
      <c r="CN263">
        <v>-99</v>
      </c>
      <c r="CO263" t="s">
        <v>12255</v>
      </c>
      <c r="CP263" t="s">
        <v>12255</v>
      </c>
      <c r="CQ263" t="s">
        <v>12458</v>
      </c>
      <c r="CR263" t="s">
        <v>12308</v>
      </c>
      <c r="CS263">
        <v>20</v>
      </c>
      <c r="CT263">
        <v>20</v>
      </c>
      <c r="CU263">
        <v>6</v>
      </c>
      <c r="CV263">
        <v>-99</v>
      </c>
      <c r="CW263">
        <v>1</v>
      </c>
      <c r="CX263">
        <v>0</v>
      </c>
      <c r="CY263">
        <v>4</v>
      </c>
      <c r="CZ263">
        <v>9</v>
      </c>
      <c r="DA263">
        <v>54.547255999999997</v>
      </c>
      <c r="DB263">
        <v>23.466284999999999</v>
      </c>
      <c r="DC263">
        <v>1159320329</v>
      </c>
      <c r="DD263" t="s">
        <v>17472</v>
      </c>
      <c r="DE263" t="s">
        <v>17473</v>
      </c>
      <c r="DF263" t="s">
        <v>17474</v>
      </c>
      <c r="DG263" t="s">
        <v>17475</v>
      </c>
      <c r="DH263" t="s">
        <v>181</v>
      </c>
      <c r="DI263" t="s">
        <v>17476</v>
      </c>
      <c r="DJ263" t="s">
        <v>17477</v>
      </c>
      <c r="DK263" t="s">
        <v>17478</v>
      </c>
      <c r="DL263" t="s">
        <v>17479</v>
      </c>
      <c r="DM263" t="s">
        <v>17480</v>
      </c>
      <c r="DN263" t="s">
        <v>17481</v>
      </c>
      <c r="DO263" t="s">
        <v>17482</v>
      </c>
      <c r="DP263" t="s">
        <v>17483</v>
      </c>
      <c r="DQ263" t="s">
        <v>17484</v>
      </c>
      <c r="DR263" t="s">
        <v>17485</v>
      </c>
      <c r="DS263" t="s">
        <v>17486</v>
      </c>
      <c r="DT263" t="s">
        <v>17487</v>
      </c>
      <c r="DU263" t="s">
        <v>17488</v>
      </c>
      <c r="DV263" t="s">
        <v>17489</v>
      </c>
      <c r="DW263" t="s">
        <v>17490</v>
      </c>
      <c r="DX263" t="s">
        <v>17491</v>
      </c>
      <c r="DY263" t="s">
        <v>17492</v>
      </c>
      <c r="DZ263" t="s">
        <v>17493</v>
      </c>
      <c r="EA263" t="s">
        <v>17494</v>
      </c>
      <c r="EB263" t="s">
        <v>17495</v>
      </c>
      <c r="EC263" t="s">
        <v>17496</v>
      </c>
      <c r="ED263" t="s">
        <v>17497</v>
      </c>
      <c r="EE263" t="s">
        <v>12247</v>
      </c>
      <c r="EG263" t="s">
        <v>12247</v>
      </c>
    </row>
    <row r="264" spans="1:168" x14ac:dyDescent="0.25">
      <c r="A264" t="s">
        <v>182</v>
      </c>
      <c r="B264" t="s">
        <v>12247</v>
      </c>
      <c r="C264">
        <v>0</v>
      </c>
      <c r="D264">
        <v>2</v>
      </c>
      <c r="E264" t="s">
        <v>182</v>
      </c>
      <c r="F264" t="s">
        <v>12479</v>
      </c>
      <c r="G264">
        <v>1</v>
      </c>
      <c r="H264">
        <v>2</v>
      </c>
      <c r="I264" t="s">
        <v>12507</v>
      </c>
      <c r="J264">
        <v>1</v>
      </c>
      <c r="K264" t="s">
        <v>182</v>
      </c>
      <c r="L264" t="s">
        <v>17985</v>
      </c>
      <c r="M264">
        <v>0</v>
      </c>
      <c r="N264" t="s">
        <v>182</v>
      </c>
      <c r="O264" t="s">
        <v>17985</v>
      </c>
      <c r="P264">
        <v>0</v>
      </c>
      <c r="Q264" t="s">
        <v>182</v>
      </c>
      <c r="R264" t="s">
        <v>17985</v>
      </c>
      <c r="S264">
        <v>0</v>
      </c>
      <c r="T264" t="s">
        <v>182</v>
      </c>
      <c r="U264" t="s">
        <v>17985</v>
      </c>
      <c r="V264" t="s">
        <v>182</v>
      </c>
      <c r="X264" t="s">
        <v>12486</v>
      </c>
      <c r="Y264" t="s">
        <v>1478</v>
      </c>
      <c r="Z264" t="s">
        <v>17986</v>
      </c>
      <c r="AB264" t="s">
        <v>182</v>
      </c>
      <c r="AE264" t="s">
        <v>182</v>
      </c>
      <c r="AG264">
        <v>6</v>
      </c>
      <c r="AH264">
        <v>6</v>
      </c>
      <c r="AI264">
        <v>6</v>
      </c>
      <c r="AJ264">
        <v>3</v>
      </c>
      <c r="AK264">
        <v>66834405</v>
      </c>
      <c r="AL264">
        <v>16</v>
      </c>
      <c r="AM264">
        <v>2019</v>
      </c>
      <c r="AN264">
        <v>2829108</v>
      </c>
      <c r="AO264">
        <v>2019</v>
      </c>
      <c r="AP264" t="s">
        <v>13177</v>
      </c>
      <c r="AQ264" t="s">
        <v>12513</v>
      </c>
      <c r="AR264" t="s">
        <v>17987</v>
      </c>
      <c r="AS264" t="s">
        <v>1478</v>
      </c>
      <c r="AT264" t="s">
        <v>1478</v>
      </c>
      <c r="AU264" t="s">
        <v>17985</v>
      </c>
      <c r="AV264" t="s">
        <v>17985</v>
      </c>
      <c r="AW264">
        <v>826</v>
      </c>
      <c r="AX264">
        <v>826</v>
      </c>
      <c r="AY264">
        <v>826</v>
      </c>
      <c r="AZ264" t="s">
        <v>1478</v>
      </c>
      <c r="BA264" t="s">
        <v>17985</v>
      </c>
      <c r="BB264">
        <v>-90</v>
      </c>
      <c r="BC264">
        <v>23424975</v>
      </c>
      <c r="BD264" t="s">
        <v>17988</v>
      </c>
      <c r="BE264" t="s">
        <v>17985</v>
      </c>
      <c r="BG264" t="s">
        <v>17985</v>
      </c>
      <c r="BH264" t="s">
        <v>17985</v>
      </c>
      <c r="BI264" t="s">
        <v>17985</v>
      </c>
      <c r="BJ264" t="s">
        <v>17985</v>
      </c>
      <c r="BK264" t="s">
        <v>17985</v>
      </c>
      <c r="BL264" t="s">
        <v>17985</v>
      </c>
      <c r="BM264" t="s">
        <v>17985</v>
      </c>
      <c r="BN264" t="s">
        <v>17985</v>
      </c>
      <c r="BO264" t="s">
        <v>17985</v>
      </c>
      <c r="BP264" t="s">
        <v>17985</v>
      </c>
      <c r="BQ264" t="s">
        <v>17985</v>
      </c>
      <c r="BR264" t="s">
        <v>17985</v>
      </c>
      <c r="BS264" t="s">
        <v>17985</v>
      </c>
      <c r="BT264" t="s">
        <v>17985</v>
      </c>
      <c r="BU264" t="s">
        <v>17985</v>
      </c>
      <c r="BV264" t="s">
        <v>17985</v>
      </c>
      <c r="BW264" t="s">
        <v>17985</v>
      </c>
      <c r="BX264" t="s">
        <v>17985</v>
      </c>
      <c r="BY264" t="s">
        <v>17985</v>
      </c>
      <c r="BZ264" t="s">
        <v>17985</v>
      </c>
      <c r="CA264" t="s">
        <v>17985</v>
      </c>
      <c r="CB264" t="s">
        <v>17985</v>
      </c>
      <c r="CC264" t="s">
        <v>17985</v>
      </c>
      <c r="CD264" t="s">
        <v>17985</v>
      </c>
      <c r="CE264" t="s">
        <v>17985</v>
      </c>
      <c r="CF264" t="s">
        <v>17985</v>
      </c>
      <c r="CG264" t="s">
        <v>17985</v>
      </c>
      <c r="CH264" t="s">
        <v>17985</v>
      </c>
      <c r="CI264" t="s">
        <v>17985</v>
      </c>
      <c r="CJ264" t="s">
        <v>17985</v>
      </c>
      <c r="CK264" t="s">
        <v>17985</v>
      </c>
      <c r="CL264" t="s">
        <v>17985</v>
      </c>
      <c r="CM264">
        <v>-99</v>
      </c>
      <c r="CN264">
        <v>-99</v>
      </c>
      <c r="CO264" t="s">
        <v>12279</v>
      </c>
      <c r="CP264" t="s">
        <v>12279</v>
      </c>
      <c r="CQ264" t="s">
        <v>12515</v>
      </c>
      <c r="CR264" t="s">
        <v>12281</v>
      </c>
      <c r="CS264">
        <v>14</v>
      </c>
      <c r="CT264">
        <v>14</v>
      </c>
      <c r="CU264">
        <v>4</v>
      </c>
      <c r="CV264">
        <v>-99</v>
      </c>
      <c r="CW264">
        <v>1</v>
      </c>
      <c r="CX264">
        <v>0</v>
      </c>
      <c r="CY264">
        <v>1.7</v>
      </c>
      <c r="CZ264">
        <v>6.7</v>
      </c>
      <c r="DA264">
        <v>-2.1163460000000001</v>
      </c>
      <c r="DB264">
        <v>54.402738999999997</v>
      </c>
      <c r="DC264">
        <v>1159320713</v>
      </c>
      <c r="DD264" t="s">
        <v>17989</v>
      </c>
      <c r="DE264" t="s">
        <v>17990</v>
      </c>
      <c r="DF264" t="s">
        <v>17991</v>
      </c>
      <c r="DG264" t="s">
        <v>17992</v>
      </c>
      <c r="DH264" t="s">
        <v>182</v>
      </c>
      <c r="DI264" t="s">
        <v>17993</v>
      </c>
      <c r="DJ264" t="s">
        <v>17994</v>
      </c>
      <c r="DK264" t="s">
        <v>17995</v>
      </c>
      <c r="DL264" t="s">
        <v>17996</v>
      </c>
      <c r="DM264" t="s">
        <v>17997</v>
      </c>
      <c r="DN264" t="s">
        <v>17998</v>
      </c>
      <c r="DO264" t="s">
        <v>17999</v>
      </c>
      <c r="DP264" t="s">
        <v>18000</v>
      </c>
      <c r="DQ264" t="s">
        <v>18001</v>
      </c>
      <c r="DR264" t="s">
        <v>18002</v>
      </c>
      <c r="DS264" t="s">
        <v>18003</v>
      </c>
      <c r="DT264" t="s">
        <v>18004</v>
      </c>
      <c r="DU264" t="s">
        <v>18005</v>
      </c>
      <c r="DV264" t="s">
        <v>17993</v>
      </c>
      <c r="DW264" t="s">
        <v>18006</v>
      </c>
      <c r="DX264" t="s">
        <v>18007</v>
      </c>
      <c r="DY264" t="s">
        <v>18008</v>
      </c>
      <c r="DZ264" t="s">
        <v>18009</v>
      </c>
      <c r="EA264" t="s">
        <v>18010</v>
      </c>
      <c r="EB264" t="s">
        <v>18011</v>
      </c>
      <c r="EC264" t="s">
        <v>18012</v>
      </c>
      <c r="ED264" t="s">
        <v>18013</v>
      </c>
      <c r="EE264" t="s">
        <v>12247</v>
      </c>
      <c r="EG264" t="s">
        <v>12247</v>
      </c>
    </row>
    <row r="265" spans="1:168" x14ac:dyDescent="0.25">
      <c r="A265" t="s">
        <v>12532</v>
      </c>
      <c r="B265" t="s">
        <v>12247</v>
      </c>
      <c r="C265">
        <v>0</v>
      </c>
      <c r="D265">
        <v>2</v>
      </c>
      <c r="E265" t="s">
        <v>12532</v>
      </c>
      <c r="F265" t="s">
        <v>12533</v>
      </c>
      <c r="G265">
        <v>1</v>
      </c>
      <c r="H265">
        <v>2</v>
      </c>
      <c r="I265" t="s">
        <v>12507</v>
      </c>
      <c r="J265">
        <v>1</v>
      </c>
      <c r="K265" t="s">
        <v>12532</v>
      </c>
      <c r="L265" t="s">
        <v>12716</v>
      </c>
      <c r="M265">
        <v>0</v>
      </c>
      <c r="N265" t="s">
        <v>12532</v>
      </c>
      <c r="O265" t="s">
        <v>12716</v>
      </c>
      <c r="P265">
        <v>0</v>
      </c>
      <c r="Q265" t="s">
        <v>183</v>
      </c>
      <c r="R265" t="s">
        <v>12716</v>
      </c>
      <c r="S265">
        <v>0</v>
      </c>
      <c r="T265" t="s">
        <v>183</v>
      </c>
      <c r="U265" t="s">
        <v>12716</v>
      </c>
      <c r="V265" t="s">
        <v>183</v>
      </c>
      <c r="X265" t="s">
        <v>12536</v>
      </c>
      <c r="Y265" t="s">
        <v>1947</v>
      </c>
      <c r="Z265" t="s">
        <v>12532</v>
      </c>
      <c r="AB265" t="s">
        <v>183</v>
      </c>
      <c r="AE265" t="s">
        <v>12532</v>
      </c>
      <c r="AG265">
        <v>4</v>
      </c>
      <c r="AH265">
        <v>5</v>
      </c>
      <c r="AI265">
        <v>1</v>
      </c>
      <c r="AJ265">
        <v>1</v>
      </c>
      <c r="AK265">
        <v>328239523</v>
      </c>
      <c r="AL265">
        <v>17</v>
      </c>
      <c r="AM265">
        <v>2019</v>
      </c>
      <c r="AN265">
        <v>21433226</v>
      </c>
      <c r="AO265">
        <v>2019</v>
      </c>
      <c r="AP265" t="s">
        <v>13177</v>
      </c>
      <c r="AQ265" t="s">
        <v>12513</v>
      </c>
      <c r="AR265" t="s">
        <v>1947</v>
      </c>
      <c r="AS265" t="s">
        <v>1947</v>
      </c>
      <c r="AT265" t="s">
        <v>1947</v>
      </c>
      <c r="AU265" t="s">
        <v>12716</v>
      </c>
      <c r="AV265" t="s">
        <v>12716</v>
      </c>
      <c r="AW265">
        <v>840</v>
      </c>
      <c r="AX265">
        <v>840</v>
      </c>
      <c r="AY265">
        <v>840</v>
      </c>
      <c r="AZ265" t="s">
        <v>1947</v>
      </c>
      <c r="BA265" t="s">
        <v>12716</v>
      </c>
      <c r="BB265">
        <v>23424977</v>
      </c>
      <c r="BC265">
        <v>23424977</v>
      </c>
      <c r="BD265" t="s">
        <v>12254</v>
      </c>
      <c r="BE265" t="s">
        <v>12716</v>
      </c>
      <c r="BG265" t="s">
        <v>12716</v>
      </c>
      <c r="BH265" t="s">
        <v>12716</v>
      </c>
      <c r="BI265" t="s">
        <v>12716</v>
      </c>
      <c r="BJ265" t="s">
        <v>12716</v>
      </c>
      <c r="BK265" t="s">
        <v>12716</v>
      </c>
      <c r="BL265" t="s">
        <v>12716</v>
      </c>
      <c r="BM265" t="s">
        <v>12716</v>
      </c>
      <c r="BN265" t="s">
        <v>12716</v>
      </c>
      <c r="BO265" t="s">
        <v>12716</v>
      </c>
      <c r="BP265" t="s">
        <v>12716</v>
      </c>
      <c r="BQ265" t="s">
        <v>12716</v>
      </c>
      <c r="BR265" t="s">
        <v>12716</v>
      </c>
      <c r="BS265" t="s">
        <v>12716</v>
      </c>
      <c r="BT265" t="s">
        <v>12716</v>
      </c>
      <c r="BU265" t="s">
        <v>12716</v>
      </c>
      <c r="BV265" t="s">
        <v>12716</v>
      </c>
      <c r="BW265" t="s">
        <v>12716</v>
      </c>
      <c r="BX265" t="s">
        <v>12716</v>
      </c>
      <c r="BY265" t="s">
        <v>12716</v>
      </c>
      <c r="BZ265" t="s">
        <v>12716</v>
      </c>
      <c r="CA265" t="s">
        <v>12716</v>
      </c>
      <c r="CB265" t="s">
        <v>12716</v>
      </c>
      <c r="CC265" t="s">
        <v>12716</v>
      </c>
      <c r="CD265" t="s">
        <v>12716</v>
      </c>
      <c r="CE265" t="s">
        <v>12716</v>
      </c>
      <c r="CF265" t="s">
        <v>12716</v>
      </c>
      <c r="CG265" t="s">
        <v>12716</v>
      </c>
      <c r="CH265" t="s">
        <v>12716</v>
      </c>
      <c r="CI265" t="s">
        <v>12716</v>
      </c>
      <c r="CJ265" t="s">
        <v>12716</v>
      </c>
      <c r="CK265" t="s">
        <v>12716</v>
      </c>
      <c r="CL265" t="s">
        <v>12716</v>
      </c>
      <c r="CM265">
        <v>-99</v>
      </c>
      <c r="CN265">
        <v>-99</v>
      </c>
      <c r="CO265" t="s">
        <v>12402</v>
      </c>
      <c r="CP265" t="s">
        <v>12403</v>
      </c>
      <c r="CQ265" t="s">
        <v>13178</v>
      </c>
      <c r="CR265" t="s">
        <v>12402</v>
      </c>
      <c r="CS265">
        <v>24</v>
      </c>
      <c r="CT265">
        <v>13</v>
      </c>
      <c r="CU265">
        <v>6</v>
      </c>
      <c r="CV265">
        <v>-99</v>
      </c>
      <c r="CW265">
        <v>1</v>
      </c>
      <c r="CX265">
        <v>0</v>
      </c>
      <c r="CY265">
        <v>1.7</v>
      </c>
      <c r="CZ265">
        <v>5.7</v>
      </c>
      <c r="DA265">
        <v>-97.482602</v>
      </c>
      <c r="DB265">
        <v>39.538479000000002</v>
      </c>
      <c r="DC265">
        <v>1159321369</v>
      </c>
      <c r="DD265" t="s">
        <v>18041</v>
      </c>
      <c r="DE265" t="s">
        <v>18042</v>
      </c>
      <c r="DF265" t="s">
        <v>18043</v>
      </c>
      <c r="DG265" t="s">
        <v>18044</v>
      </c>
      <c r="DH265" t="s">
        <v>12532</v>
      </c>
      <c r="DI265" t="s">
        <v>18045</v>
      </c>
      <c r="DJ265" t="s">
        <v>18046</v>
      </c>
      <c r="DK265" t="s">
        <v>18047</v>
      </c>
      <c r="DL265" t="s">
        <v>18048</v>
      </c>
      <c r="DM265" t="s">
        <v>18049</v>
      </c>
      <c r="DN265" t="s">
        <v>18050</v>
      </c>
      <c r="DO265" t="s">
        <v>18051</v>
      </c>
      <c r="DP265" t="s">
        <v>18052</v>
      </c>
      <c r="DQ265" t="s">
        <v>18053</v>
      </c>
      <c r="DR265" t="s">
        <v>18054</v>
      </c>
      <c r="DS265" t="s">
        <v>18055</v>
      </c>
      <c r="DT265" t="s">
        <v>18056</v>
      </c>
      <c r="DU265" t="s">
        <v>18057</v>
      </c>
      <c r="DV265" t="s">
        <v>18045</v>
      </c>
      <c r="DW265" t="s">
        <v>18058</v>
      </c>
      <c r="DX265" t="s">
        <v>12716</v>
      </c>
      <c r="DY265" t="s">
        <v>18059</v>
      </c>
      <c r="DZ265" t="s">
        <v>18060</v>
      </c>
      <c r="EA265" t="s">
        <v>18061</v>
      </c>
      <c r="EB265" t="s">
        <v>18062</v>
      </c>
      <c r="EC265" t="s">
        <v>18063</v>
      </c>
      <c r="ED265" t="s">
        <v>18064</v>
      </c>
      <c r="EE265" t="s">
        <v>12247</v>
      </c>
      <c r="EG265" t="s">
        <v>12247</v>
      </c>
    </row>
    <row r="266" spans="1:168" x14ac:dyDescent="0.25">
      <c r="A266" t="s">
        <v>184</v>
      </c>
      <c r="B266" t="s">
        <v>12247</v>
      </c>
      <c r="C266">
        <v>0</v>
      </c>
      <c r="D266">
        <v>4</v>
      </c>
      <c r="E266" t="s">
        <v>184</v>
      </c>
      <c r="F266" t="s">
        <v>12762</v>
      </c>
      <c r="G266">
        <v>0</v>
      </c>
      <c r="H266">
        <v>2</v>
      </c>
      <c r="I266" t="s">
        <v>12249</v>
      </c>
      <c r="J266">
        <v>1</v>
      </c>
      <c r="K266" t="s">
        <v>184</v>
      </c>
      <c r="L266" t="s">
        <v>12762</v>
      </c>
      <c r="M266">
        <v>0</v>
      </c>
      <c r="N266" t="s">
        <v>184</v>
      </c>
      <c r="O266" t="s">
        <v>12762</v>
      </c>
      <c r="P266">
        <v>0</v>
      </c>
      <c r="Q266" t="s">
        <v>184</v>
      </c>
      <c r="R266" t="s">
        <v>12762</v>
      </c>
      <c r="S266">
        <v>0</v>
      </c>
      <c r="T266" t="s">
        <v>184</v>
      </c>
      <c r="U266" t="s">
        <v>12762</v>
      </c>
      <c r="V266" t="s">
        <v>184</v>
      </c>
      <c r="X266" t="s">
        <v>18160</v>
      </c>
      <c r="Y266" t="s">
        <v>1951</v>
      </c>
      <c r="Z266" t="s">
        <v>18161</v>
      </c>
      <c r="AB266" t="s">
        <v>184</v>
      </c>
      <c r="AE266" t="s">
        <v>184</v>
      </c>
      <c r="AG266">
        <v>1</v>
      </c>
      <c r="AH266">
        <v>2</v>
      </c>
      <c r="AI266">
        <v>2</v>
      </c>
      <c r="AJ266">
        <v>10</v>
      </c>
      <c r="AK266">
        <v>3461734</v>
      </c>
      <c r="AL266">
        <v>12</v>
      </c>
      <c r="AM266">
        <v>2019</v>
      </c>
      <c r="AN266">
        <v>56045</v>
      </c>
      <c r="AO266">
        <v>2019</v>
      </c>
      <c r="AP266" t="s">
        <v>12435</v>
      </c>
      <c r="AQ266" t="s">
        <v>12305</v>
      </c>
      <c r="AR266" t="s">
        <v>1951</v>
      </c>
      <c r="AS266" t="s">
        <v>1951</v>
      </c>
      <c r="AT266" t="s">
        <v>1951</v>
      </c>
      <c r="AU266" t="s">
        <v>12762</v>
      </c>
      <c r="AV266" t="s">
        <v>12762</v>
      </c>
      <c r="AW266">
        <v>858</v>
      </c>
      <c r="AX266">
        <v>858</v>
      </c>
      <c r="AY266">
        <v>858</v>
      </c>
      <c r="AZ266" t="s">
        <v>1951</v>
      </c>
      <c r="BA266" t="s">
        <v>12762</v>
      </c>
      <c r="BB266">
        <v>23424979</v>
      </c>
      <c r="BC266">
        <v>23424979</v>
      </c>
      <c r="BD266" t="s">
        <v>12254</v>
      </c>
      <c r="BE266" t="s">
        <v>12762</v>
      </c>
      <c r="BG266" t="s">
        <v>12762</v>
      </c>
      <c r="BH266" t="s">
        <v>12762</v>
      </c>
      <c r="BI266" t="s">
        <v>12762</v>
      </c>
      <c r="BJ266" t="s">
        <v>12762</v>
      </c>
      <c r="BK266" t="s">
        <v>12762</v>
      </c>
      <c r="BL266" t="s">
        <v>12762</v>
      </c>
      <c r="BM266" t="s">
        <v>12762</v>
      </c>
      <c r="BN266" t="s">
        <v>12762</v>
      </c>
      <c r="BO266" t="s">
        <v>12762</v>
      </c>
      <c r="BP266" t="s">
        <v>12762</v>
      </c>
      <c r="BQ266" t="s">
        <v>12762</v>
      </c>
      <c r="BR266" t="s">
        <v>12762</v>
      </c>
      <c r="BS266" t="s">
        <v>12762</v>
      </c>
      <c r="BT266" t="s">
        <v>12762</v>
      </c>
      <c r="BU266" t="s">
        <v>12762</v>
      </c>
      <c r="BV266" t="s">
        <v>12762</v>
      </c>
      <c r="BW266" t="s">
        <v>12762</v>
      </c>
      <c r="BX266" t="s">
        <v>12762</v>
      </c>
      <c r="BY266" t="s">
        <v>12762</v>
      </c>
      <c r="BZ266" t="s">
        <v>12762</v>
      </c>
      <c r="CA266" t="s">
        <v>12762</v>
      </c>
      <c r="CB266" t="s">
        <v>12762</v>
      </c>
      <c r="CC266" t="s">
        <v>12762</v>
      </c>
      <c r="CD266" t="s">
        <v>12762</v>
      </c>
      <c r="CE266" t="s">
        <v>12762</v>
      </c>
      <c r="CF266" t="s">
        <v>12762</v>
      </c>
      <c r="CG266" t="s">
        <v>12762</v>
      </c>
      <c r="CH266" t="s">
        <v>12762</v>
      </c>
      <c r="CI266" t="s">
        <v>12762</v>
      </c>
      <c r="CJ266" t="s">
        <v>12762</v>
      </c>
      <c r="CK266" t="s">
        <v>12762</v>
      </c>
      <c r="CL266" t="s">
        <v>12762</v>
      </c>
      <c r="CM266">
        <v>-99</v>
      </c>
      <c r="CN266">
        <v>-99</v>
      </c>
      <c r="CO266" t="s">
        <v>12436</v>
      </c>
      <c r="CP266" t="s">
        <v>12403</v>
      </c>
      <c r="CQ266" t="s">
        <v>12436</v>
      </c>
      <c r="CR266" t="s">
        <v>12405</v>
      </c>
      <c r="CS266">
        <v>7</v>
      </c>
      <c r="CT266">
        <v>7</v>
      </c>
      <c r="CU266">
        <v>4</v>
      </c>
      <c r="CV266">
        <v>-99</v>
      </c>
      <c r="CW266">
        <v>1</v>
      </c>
      <c r="CX266">
        <v>0</v>
      </c>
      <c r="CY266">
        <v>3</v>
      </c>
      <c r="CZ266">
        <v>8</v>
      </c>
      <c r="DA266">
        <v>-55.966942000000003</v>
      </c>
      <c r="DB266">
        <v>-32.961126999999998</v>
      </c>
      <c r="DC266">
        <v>1159321353</v>
      </c>
      <c r="DD266" t="s">
        <v>18162</v>
      </c>
      <c r="DE266" t="s">
        <v>18163</v>
      </c>
      <c r="DF266" t="s">
        <v>18164</v>
      </c>
      <c r="DG266" t="s">
        <v>184</v>
      </c>
      <c r="DH266" t="s">
        <v>184</v>
      </c>
      <c r="DI266" t="s">
        <v>184</v>
      </c>
      <c r="DJ266" t="s">
        <v>18165</v>
      </c>
      <c r="DK266" t="s">
        <v>184</v>
      </c>
      <c r="DL266" t="s">
        <v>18166</v>
      </c>
      <c r="DM266" t="s">
        <v>18167</v>
      </c>
      <c r="DN266" t="s">
        <v>18168</v>
      </c>
      <c r="DO266" t="s">
        <v>184</v>
      </c>
      <c r="DP266" t="s">
        <v>184</v>
      </c>
      <c r="DQ266" t="s">
        <v>184</v>
      </c>
      <c r="DR266" t="s">
        <v>18169</v>
      </c>
      <c r="DS266" t="s">
        <v>18170</v>
      </c>
      <c r="DT266" t="s">
        <v>184</v>
      </c>
      <c r="DU266" t="s">
        <v>18171</v>
      </c>
      <c r="DV266" t="s">
        <v>18172</v>
      </c>
      <c r="DW266" t="s">
        <v>18173</v>
      </c>
      <c r="DX266" t="s">
        <v>184</v>
      </c>
      <c r="DY266" t="s">
        <v>184</v>
      </c>
      <c r="DZ266" t="s">
        <v>18173</v>
      </c>
      <c r="EA266" t="s">
        <v>18174</v>
      </c>
      <c r="EB266" t="s">
        <v>184</v>
      </c>
      <c r="EC266" t="s">
        <v>18175</v>
      </c>
      <c r="ED266" t="s">
        <v>18176</v>
      </c>
      <c r="EE266" t="s">
        <v>12247</v>
      </c>
      <c r="EG266" t="s">
        <v>12247</v>
      </c>
    </row>
    <row r="267" spans="1:168" x14ac:dyDescent="0.25">
      <c r="A267" t="s">
        <v>18101</v>
      </c>
      <c r="B267" t="s">
        <v>12247</v>
      </c>
      <c r="C267">
        <v>0</v>
      </c>
      <c r="D267">
        <v>10</v>
      </c>
      <c r="E267" t="s">
        <v>42</v>
      </c>
      <c r="F267" t="s">
        <v>14109</v>
      </c>
      <c r="G267">
        <v>1</v>
      </c>
      <c r="H267">
        <v>2</v>
      </c>
      <c r="I267" t="s">
        <v>13288</v>
      </c>
      <c r="J267">
        <v>1</v>
      </c>
      <c r="K267" t="s">
        <v>18099</v>
      </c>
      <c r="L267" t="s">
        <v>18100</v>
      </c>
      <c r="M267">
        <v>0</v>
      </c>
      <c r="N267" t="s">
        <v>18099</v>
      </c>
      <c r="O267" t="s">
        <v>18100</v>
      </c>
      <c r="P267">
        <v>0</v>
      </c>
      <c r="Q267" t="s">
        <v>18099</v>
      </c>
      <c r="R267" t="s">
        <v>18100</v>
      </c>
      <c r="S267">
        <v>1</v>
      </c>
      <c r="T267" t="s">
        <v>18099</v>
      </c>
      <c r="U267" t="s">
        <v>18102</v>
      </c>
      <c r="V267" t="s">
        <v>18103</v>
      </c>
      <c r="X267" t="s">
        <v>18104</v>
      </c>
      <c r="Y267" t="s">
        <v>1478</v>
      </c>
      <c r="AC267" t="s">
        <v>12536</v>
      </c>
      <c r="AD267" t="s">
        <v>18105</v>
      </c>
      <c r="AE267" t="s">
        <v>18103</v>
      </c>
      <c r="AF267" t="s">
        <v>18106</v>
      </c>
      <c r="AG267">
        <v>3</v>
      </c>
      <c r="AH267">
        <v>5</v>
      </c>
      <c r="AI267">
        <v>3</v>
      </c>
      <c r="AJ267">
        <v>1</v>
      </c>
      <c r="AK267">
        <v>6000</v>
      </c>
      <c r="AL267">
        <v>5</v>
      </c>
      <c r="AM267">
        <v>2018</v>
      </c>
      <c r="AN267">
        <v>240</v>
      </c>
      <c r="AO267">
        <v>1999</v>
      </c>
      <c r="AP267" t="s">
        <v>12334</v>
      </c>
      <c r="AQ267" t="s">
        <v>12335</v>
      </c>
      <c r="AR267">
        <v>-99</v>
      </c>
      <c r="AS267">
        <v>-99</v>
      </c>
      <c r="AT267">
        <v>-99</v>
      </c>
      <c r="AU267">
        <v>-99</v>
      </c>
      <c r="AV267">
        <v>-99</v>
      </c>
      <c r="AW267">
        <v>-99</v>
      </c>
      <c r="AX267">
        <v>-99</v>
      </c>
      <c r="AY267">
        <v>-99</v>
      </c>
      <c r="AZ267">
        <v>-99</v>
      </c>
      <c r="BA267">
        <v>-99</v>
      </c>
      <c r="BB267">
        <v>-99</v>
      </c>
      <c r="BC267">
        <v>-99</v>
      </c>
      <c r="BD267" t="s">
        <v>12488</v>
      </c>
      <c r="BE267">
        <v>-99</v>
      </c>
      <c r="BF267">
        <v>1</v>
      </c>
      <c r="BG267" t="s">
        <v>18100</v>
      </c>
      <c r="BH267" t="s">
        <v>18100</v>
      </c>
      <c r="BI267" t="s">
        <v>18100</v>
      </c>
      <c r="BJ267" t="s">
        <v>14111</v>
      </c>
      <c r="BK267" t="s">
        <v>18100</v>
      </c>
      <c r="BL267" t="s">
        <v>14111</v>
      </c>
      <c r="BM267" t="s">
        <v>18100</v>
      </c>
      <c r="BN267" t="s">
        <v>18100</v>
      </c>
      <c r="BO267" t="s">
        <v>18100</v>
      </c>
      <c r="BP267" t="s">
        <v>18100</v>
      </c>
      <c r="BQ267" t="s">
        <v>18100</v>
      </c>
      <c r="BR267" t="s">
        <v>18100</v>
      </c>
      <c r="BS267" t="s">
        <v>18100</v>
      </c>
      <c r="BT267" t="s">
        <v>18100</v>
      </c>
      <c r="BU267" t="s">
        <v>18100</v>
      </c>
      <c r="BV267" t="s">
        <v>18100</v>
      </c>
      <c r="BW267" t="s">
        <v>18100</v>
      </c>
      <c r="BX267" t="s">
        <v>18100</v>
      </c>
      <c r="BY267" t="s">
        <v>18100</v>
      </c>
      <c r="BZ267" t="s">
        <v>18100</v>
      </c>
      <c r="CA267" t="s">
        <v>18100</v>
      </c>
      <c r="CB267" t="s">
        <v>18100</v>
      </c>
      <c r="CC267" t="s">
        <v>18100</v>
      </c>
      <c r="CD267" t="s">
        <v>18100</v>
      </c>
      <c r="CE267" t="s">
        <v>18100</v>
      </c>
      <c r="CF267" t="s">
        <v>18100</v>
      </c>
      <c r="CG267" t="s">
        <v>18100</v>
      </c>
      <c r="CH267" t="s">
        <v>18100</v>
      </c>
      <c r="CI267" t="s">
        <v>18100</v>
      </c>
      <c r="CJ267" t="s">
        <v>18100</v>
      </c>
      <c r="CK267" t="s">
        <v>18100</v>
      </c>
      <c r="CL267" t="s">
        <v>18100</v>
      </c>
      <c r="CM267">
        <v>-99</v>
      </c>
      <c r="CN267">
        <v>-99</v>
      </c>
      <c r="CO267" t="s">
        <v>12402</v>
      </c>
      <c r="CP267" t="s">
        <v>12403</v>
      </c>
      <c r="CQ267" t="s">
        <v>12404</v>
      </c>
      <c r="CR267" t="s">
        <v>12405</v>
      </c>
      <c r="CS267">
        <v>19</v>
      </c>
      <c r="CT267">
        <v>28</v>
      </c>
      <c r="CU267">
        <v>8</v>
      </c>
      <c r="CV267">
        <v>-99</v>
      </c>
      <c r="CW267">
        <v>-99</v>
      </c>
      <c r="CX267">
        <v>5</v>
      </c>
      <c r="CY267">
        <v>6</v>
      </c>
      <c r="CZ267">
        <v>11</v>
      </c>
      <c r="DA267">
        <v>-75.117277000000001</v>
      </c>
      <c r="DB267">
        <v>19.918398</v>
      </c>
      <c r="DC267">
        <v>1159320529</v>
      </c>
      <c r="DD267" t="s">
        <v>18107</v>
      </c>
      <c r="DE267" t="s">
        <v>18108</v>
      </c>
      <c r="DF267" t="s">
        <v>18109</v>
      </c>
      <c r="DG267" t="s">
        <v>18110</v>
      </c>
      <c r="DH267" t="s">
        <v>18110</v>
      </c>
      <c r="DI267" t="s">
        <v>18111</v>
      </c>
      <c r="DJ267" t="s">
        <v>18112</v>
      </c>
      <c r="DK267" t="s">
        <v>18113</v>
      </c>
      <c r="DL267" t="s">
        <v>18114</v>
      </c>
      <c r="DM267" t="s">
        <v>18115</v>
      </c>
      <c r="DN267" t="s">
        <v>18116</v>
      </c>
      <c r="DO267" t="s">
        <v>18117</v>
      </c>
      <c r="DP267" t="s">
        <v>18118</v>
      </c>
      <c r="DQ267" t="s">
        <v>18119</v>
      </c>
      <c r="DR267" t="s">
        <v>18120</v>
      </c>
      <c r="DS267" t="s">
        <v>18121</v>
      </c>
      <c r="DT267" t="s">
        <v>18122</v>
      </c>
      <c r="DU267" t="s">
        <v>18123</v>
      </c>
      <c r="DV267" t="s">
        <v>18124</v>
      </c>
      <c r="DW267" t="s">
        <v>18125</v>
      </c>
      <c r="DX267" t="s">
        <v>18126</v>
      </c>
      <c r="DY267" t="s">
        <v>18127</v>
      </c>
      <c r="DZ267" t="s">
        <v>18128</v>
      </c>
      <c r="EA267" t="s">
        <v>18129</v>
      </c>
      <c r="EB267" t="s">
        <v>18130</v>
      </c>
      <c r="EC267" t="s">
        <v>18131</v>
      </c>
      <c r="ED267" t="s">
        <v>18132</v>
      </c>
      <c r="EE267" t="s">
        <v>12505</v>
      </c>
      <c r="EF267">
        <v>1</v>
      </c>
      <c r="EG267" t="s">
        <v>13318</v>
      </c>
      <c r="EH267" t="s">
        <v>13318</v>
      </c>
      <c r="EI267" t="s">
        <v>13318</v>
      </c>
      <c r="EJ267" t="s">
        <v>12505</v>
      </c>
      <c r="EK267" t="s">
        <v>13318</v>
      </c>
      <c r="EL267" t="s">
        <v>12505</v>
      </c>
      <c r="EM267" t="s">
        <v>13318</v>
      </c>
      <c r="EQ267" t="s">
        <v>13318</v>
      </c>
      <c r="ER267" t="s">
        <v>13318</v>
      </c>
      <c r="ET267" t="s">
        <v>13318</v>
      </c>
      <c r="EY267" t="s">
        <v>13318</v>
      </c>
      <c r="FA267" t="s">
        <v>13318</v>
      </c>
      <c r="FB267" t="s">
        <v>13318</v>
      </c>
      <c r="FF267" t="s">
        <v>13318</v>
      </c>
      <c r="FG267" t="s">
        <v>13318</v>
      </c>
      <c r="FH267" t="s">
        <v>13318</v>
      </c>
      <c r="FI267" t="s">
        <v>13318</v>
      </c>
      <c r="FJ267" t="s">
        <v>13318</v>
      </c>
      <c r="FL267" t="s">
        <v>13318</v>
      </c>
    </row>
    <row r="268" spans="1:168" x14ac:dyDescent="0.25">
      <c r="A268" t="s">
        <v>185</v>
      </c>
      <c r="B268" t="s">
        <v>12247</v>
      </c>
      <c r="C268">
        <v>0</v>
      </c>
      <c r="D268">
        <v>3</v>
      </c>
      <c r="E268" t="s">
        <v>185</v>
      </c>
      <c r="F268" t="s">
        <v>18177</v>
      </c>
      <c r="G268">
        <v>0</v>
      </c>
      <c r="H268">
        <v>2</v>
      </c>
      <c r="I268" t="s">
        <v>12249</v>
      </c>
      <c r="J268">
        <v>1</v>
      </c>
      <c r="K268" t="s">
        <v>185</v>
      </c>
      <c r="L268" t="s">
        <v>18177</v>
      </c>
      <c r="M268">
        <v>0</v>
      </c>
      <c r="N268" t="s">
        <v>185</v>
      </c>
      <c r="O268" t="s">
        <v>18177</v>
      </c>
      <c r="P268">
        <v>0</v>
      </c>
      <c r="Q268" t="s">
        <v>185</v>
      </c>
      <c r="R268" t="s">
        <v>18177</v>
      </c>
      <c r="S268">
        <v>0</v>
      </c>
      <c r="T268" t="s">
        <v>185</v>
      </c>
      <c r="U268" t="s">
        <v>18177</v>
      </c>
      <c r="V268" t="s">
        <v>185</v>
      </c>
      <c r="X268" t="s">
        <v>18178</v>
      </c>
      <c r="Y268" t="s">
        <v>1954</v>
      </c>
      <c r="Z268" t="s">
        <v>18179</v>
      </c>
      <c r="AB268" t="s">
        <v>185</v>
      </c>
      <c r="AE268" t="s">
        <v>185</v>
      </c>
      <c r="AG268">
        <v>2</v>
      </c>
      <c r="AH268">
        <v>3</v>
      </c>
      <c r="AI268">
        <v>5</v>
      </c>
      <c r="AJ268">
        <v>4</v>
      </c>
      <c r="AK268">
        <v>33580650</v>
      </c>
      <c r="AL268">
        <v>15</v>
      </c>
      <c r="AM268">
        <v>2019</v>
      </c>
      <c r="AN268">
        <v>57921</v>
      </c>
      <c r="AO268">
        <v>2019</v>
      </c>
      <c r="AP268" t="s">
        <v>12277</v>
      </c>
      <c r="AQ268" t="s">
        <v>12278</v>
      </c>
      <c r="AR268" t="s">
        <v>1954</v>
      </c>
      <c r="AS268" t="s">
        <v>1954</v>
      </c>
      <c r="AT268" t="s">
        <v>1954</v>
      </c>
      <c r="AU268" t="s">
        <v>18177</v>
      </c>
      <c r="AV268" t="s">
        <v>18177</v>
      </c>
      <c r="AW268">
        <v>860</v>
      </c>
      <c r="AX268">
        <v>860</v>
      </c>
      <c r="AY268">
        <v>860</v>
      </c>
      <c r="AZ268" t="s">
        <v>1954</v>
      </c>
      <c r="BA268" t="s">
        <v>18177</v>
      </c>
      <c r="BB268">
        <v>23424980</v>
      </c>
      <c r="BC268">
        <v>23424980</v>
      </c>
      <c r="BD268" t="s">
        <v>12254</v>
      </c>
      <c r="BE268" t="s">
        <v>18177</v>
      </c>
      <c r="BG268" t="s">
        <v>18177</v>
      </c>
      <c r="BH268" t="s">
        <v>18177</v>
      </c>
      <c r="BI268" t="s">
        <v>18177</v>
      </c>
      <c r="BJ268" t="s">
        <v>18177</v>
      </c>
      <c r="BK268" t="s">
        <v>18177</v>
      </c>
      <c r="BL268" t="s">
        <v>18177</v>
      </c>
      <c r="BM268" t="s">
        <v>18177</v>
      </c>
      <c r="BN268" t="s">
        <v>18177</v>
      </c>
      <c r="BO268" t="s">
        <v>18177</v>
      </c>
      <c r="BP268" t="s">
        <v>18177</v>
      </c>
      <c r="BQ268" t="s">
        <v>18177</v>
      </c>
      <c r="BR268" t="s">
        <v>18177</v>
      </c>
      <c r="BS268" t="s">
        <v>18177</v>
      </c>
      <c r="BT268" t="s">
        <v>18177</v>
      </c>
      <c r="BU268" t="s">
        <v>18177</v>
      </c>
      <c r="BV268" t="s">
        <v>18177</v>
      </c>
      <c r="BW268" t="s">
        <v>18177</v>
      </c>
      <c r="BX268" t="s">
        <v>18177</v>
      </c>
      <c r="BY268" t="s">
        <v>18177</v>
      </c>
      <c r="BZ268" t="s">
        <v>18177</v>
      </c>
      <c r="CA268" t="s">
        <v>18177</v>
      </c>
      <c r="CB268" t="s">
        <v>18177</v>
      </c>
      <c r="CC268" t="s">
        <v>18177</v>
      </c>
      <c r="CD268" t="s">
        <v>18177</v>
      </c>
      <c r="CE268" t="s">
        <v>18177</v>
      </c>
      <c r="CF268" t="s">
        <v>18177</v>
      </c>
      <c r="CG268" t="s">
        <v>18177</v>
      </c>
      <c r="CH268" t="s">
        <v>18177</v>
      </c>
      <c r="CI268" t="s">
        <v>18177</v>
      </c>
      <c r="CJ268" t="s">
        <v>18177</v>
      </c>
      <c r="CK268" t="s">
        <v>18177</v>
      </c>
      <c r="CL268" t="s">
        <v>18177</v>
      </c>
      <c r="CM268">
        <v>-99</v>
      </c>
      <c r="CN268">
        <v>-99</v>
      </c>
      <c r="CO268" t="s">
        <v>12255</v>
      </c>
      <c r="CP268" t="s">
        <v>12255</v>
      </c>
      <c r="CQ268" t="s">
        <v>13299</v>
      </c>
      <c r="CR268" t="s">
        <v>12281</v>
      </c>
      <c r="CS268">
        <v>10</v>
      </c>
      <c r="CT268">
        <v>10</v>
      </c>
      <c r="CU268">
        <v>4</v>
      </c>
      <c r="CV268">
        <v>5</v>
      </c>
      <c r="CW268">
        <v>1</v>
      </c>
      <c r="CX268">
        <v>0</v>
      </c>
      <c r="CY268">
        <v>3</v>
      </c>
      <c r="CZ268">
        <v>8</v>
      </c>
      <c r="DA268">
        <v>64.005429000000007</v>
      </c>
      <c r="DB268">
        <v>41.693603000000003</v>
      </c>
      <c r="DC268">
        <v>1159321405</v>
      </c>
      <c r="DD268" t="s">
        <v>18180</v>
      </c>
      <c r="DE268" t="s">
        <v>18181</v>
      </c>
      <c r="DF268" t="s">
        <v>18182</v>
      </c>
      <c r="DG268" t="s">
        <v>18183</v>
      </c>
      <c r="DH268" t="s">
        <v>185</v>
      </c>
      <c r="DI268" t="s">
        <v>18184</v>
      </c>
      <c r="DJ268" t="s">
        <v>18185</v>
      </c>
      <c r="DK268" t="s">
        <v>18186</v>
      </c>
      <c r="DL268" t="s">
        <v>18187</v>
      </c>
      <c r="DM268" t="s">
        <v>18188</v>
      </c>
      <c r="DN268" t="s">
        <v>18189</v>
      </c>
      <c r="DO268" t="s">
        <v>18190</v>
      </c>
      <c r="DP268" t="s">
        <v>185</v>
      </c>
      <c r="DQ268" t="s">
        <v>185</v>
      </c>
      <c r="DR268" t="s">
        <v>18191</v>
      </c>
      <c r="DS268" t="s">
        <v>18192</v>
      </c>
      <c r="DT268" t="s">
        <v>18193</v>
      </c>
      <c r="DU268" t="s">
        <v>185</v>
      </c>
      <c r="DV268" t="s">
        <v>18194</v>
      </c>
      <c r="DW268" t="s">
        <v>18195</v>
      </c>
      <c r="DX268" t="s">
        <v>185</v>
      </c>
      <c r="DY268" t="s">
        <v>18196</v>
      </c>
      <c r="DZ268" t="s">
        <v>18195</v>
      </c>
      <c r="EA268" t="s">
        <v>18185</v>
      </c>
      <c r="EB268" t="s">
        <v>185</v>
      </c>
      <c r="EC268" t="s">
        <v>18197</v>
      </c>
      <c r="ED268" t="s">
        <v>18198</v>
      </c>
      <c r="EE268" t="s">
        <v>12247</v>
      </c>
      <c r="EG268" t="s">
        <v>12247</v>
      </c>
    </row>
    <row r="269" spans="1:168" x14ac:dyDescent="0.25">
      <c r="A269" t="s">
        <v>186</v>
      </c>
      <c r="B269" t="s">
        <v>12247</v>
      </c>
      <c r="C269">
        <v>1</v>
      </c>
      <c r="D269">
        <v>4</v>
      </c>
      <c r="E269" t="s">
        <v>186</v>
      </c>
      <c r="F269" t="s">
        <v>18199</v>
      </c>
      <c r="G269">
        <v>0</v>
      </c>
      <c r="H269">
        <v>2</v>
      </c>
      <c r="I269" t="s">
        <v>12249</v>
      </c>
      <c r="J269">
        <v>1</v>
      </c>
      <c r="K269" t="s">
        <v>186</v>
      </c>
      <c r="L269" t="s">
        <v>18199</v>
      </c>
      <c r="M269">
        <v>0</v>
      </c>
      <c r="N269" t="s">
        <v>186</v>
      </c>
      <c r="O269" t="s">
        <v>18199</v>
      </c>
      <c r="P269">
        <v>0</v>
      </c>
      <c r="Q269" t="s">
        <v>186</v>
      </c>
      <c r="R269" t="s">
        <v>18199</v>
      </c>
      <c r="S269">
        <v>0</v>
      </c>
      <c r="T269" t="s">
        <v>186</v>
      </c>
      <c r="U269" t="s">
        <v>18199</v>
      </c>
      <c r="V269" t="s">
        <v>186</v>
      </c>
      <c r="X269" t="s">
        <v>18200</v>
      </c>
      <c r="Y269" t="s">
        <v>1975</v>
      </c>
      <c r="Z269" t="s">
        <v>18201</v>
      </c>
      <c r="AB269" t="s">
        <v>186</v>
      </c>
      <c r="AE269" t="s">
        <v>186</v>
      </c>
      <c r="AG269">
        <v>6</v>
      </c>
      <c r="AH269">
        <v>3</v>
      </c>
      <c r="AI269">
        <v>7</v>
      </c>
      <c r="AJ269">
        <v>3</v>
      </c>
      <c r="AK269">
        <v>299882</v>
      </c>
      <c r="AL269">
        <v>10</v>
      </c>
      <c r="AM269">
        <v>2019</v>
      </c>
      <c r="AN269">
        <v>934</v>
      </c>
      <c r="AO269">
        <v>2019</v>
      </c>
      <c r="AP269" t="s">
        <v>12252</v>
      </c>
      <c r="AQ269" t="s">
        <v>12278</v>
      </c>
      <c r="AR269" t="s">
        <v>18202</v>
      </c>
      <c r="AS269" t="s">
        <v>1975</v>
      </c>
      <c r="AT269" t="s">
        <v>1975</v>
      </c>
      <c r="AU269" t="s">
        <v>18199</v>
      </c>
      <c r="AV269" t="s">
        <v>18199</v>
      </c>
      <c r="AW269">
        <v>548</v>
      </c>
      <c r="AX269">
        <v>548</v>
      </c>
      <c r="AY269">
        <v>548</v>
      </c>
      <c r="AZ269" t="s">
        <v>1975</v>
      </c>
      <c r="BA269" t="s">
        <v>18199</v>
      </c>
      <c r="BB269">
        <v>23424907</v>
      </c>
      <c r="BC269">
        <v>23424907</v>
      </c>
      <c r="BD269" t="s">
        <v>12254</v>
      </c>
      <c r="BE269" t="s">
        <v>18199</v>
      </c>
      <c r="BG269" t="s">
        <v>18199</v>
      </c>
      <c r="BH269" t="s">
        <v>18199</v>
      </c>
      <c r="BI269" t="s">
        <v>18199</v>
      </c>
      <c r="BJ269" t="s">
        <v>18199</v>
      </c>
      <c r="BK269" t="s">
        <v>18199</v>
      </c>
      <c r="BL269" t="s">
        <v>18199</v>
      </c>
      <c r="BM269" t="s">
        <v>18199</v>
      </c>
      <c r="BN269" t="s">
        <v>18199</v>
      </c>
      <c r="BO269" t="s">
        <v>18199</v>
      </c>
      <c r="BP269" t="s">
        <v>18199</v>
      </c>
      <c r="BQ269" t="s">
        <v>18199</v>
      </c>
      <c r="BR269" t="s">
        <v>18199</v>
      </c>
      <c r="BS269" t="s">
        <v>18199</v>
      </c>
      <c r="BT269" t="s">
        <v>18199</v>
      </c>
      <c r="BU269" t="s">
        <v>18199</v>
      </c>
      <c r="BV269" t="s">
        <v>18199</v>
      </c>
      <c r="BW269" t="s">
        <v>18199</v>
      </c>
      <c r="BX269" t="s">
        <v>18199</v>
      </c>
      <c r="BY269" t="s">
        <v>18199</v>
      </c>
      <c r="BZ269" t="s">
        <v>18199</v>
      </c>
      <c r="CA269" t="s">
        <v>18199</v>
      </c>
      <c r="CB269" t="s">
        <v>18199</v>
      </c>
      <c r="CC269" t="s">
        <v>18199</v>
      </c>
      <c r="CD269" t="s">
        <v>18199</v>
      </c>
      <c r="CE269" t="s">
        <v>18199</v>
      </c>
      <c r="CF269" t="s">
        <v>18199</v>
      </c>
      <c r="CG269" t="s">
        <v>18199</v>
      </c>
      <c r="CH269" t="s">
        <v>18199</v>
      </c>
      <c r="CI269" t="s">
        <v>18199</v>
      </c>
      <c r="CJ269" t="s">
        <v>18199</v>
      </c>
      <c r="CK269" t="s">
        <v>18199</v>
      </c>
      <c r="CL269" t="s">
        <v>18199</v>
      </c>
      <c r="CM269">
        <v>-99</v>
      </c>
      <c r="CN269">
        <v>-99</v>
      </c>
      <c r="CO269" t="s">
        <v>12537</v>
      </c>
      <c r="CP269" t="s">
        <v>12537</v>
      </c>
      <c r="CQ269" t="s">
        <v>14027</v>
      </c>
      <c r="CR269" t="s">
        <v>12539</v>
      </c>
      <c r="CS269">
        <v>7</v>
      </c>
      <c r="CT269">
        <v>7</v>
      </c>
      <c r="CU269">
        <v>4</v>
      </c>
      <c r="CV269">
        <v>2</v>
      </c>
      <c r="CW269">
        <v>1</v>
      </c>
      <c r="CX269">
        <v>0</v>
      </c>
      <c r="CY269">
        <v>4</v>
      </c>
      <c r="CZ269">
        <v>9</v>
      </c>
      <c r="DA269">
        <v>166.908762</v>
      </c>
      <c r="DB269">
        <v>-15.37153</v>
      </c>
      <c r="DC269">
        <v>1159321421</v>
      </c>
      <c r="DD269" t="s">
        <v>18203</v>
      </c>
      <c r="DE269" t="s">
        <v>18204</v>
      </c>
      <c r="DF269" t="s">
        <v>18205</v>
      </c>
      <c r="DG269" t="s">
        <v>186</v>
      </c>
      <c r="DH269" t="s">
        <v>186</v>
      </c>
      <c r="DI269" t="s">
        <v>186</v>
      </c>
      <c r="DJ269" t="s">
        <v>18206</v>
      </c>
      <c r="DK269" t="s">
        <v>186</v>
      </c>
      <c r="DL269" t="s">
        <v>18207</v>
      </c>
      <c r="DM269" t="s">
        <v>18208</v>
      </c>
      <c r="DN269" t="s">
        <v>18209</v>
      </c>
      <c r="DO269" t="s">
        <v>186</v>
      </c>
      <c r="DP269" t="s">
        <v>186</v>
      </c>
      <c r="DQ269" t="s">
        <v>186</v>
      </c>
      <c r="DR269" t="s">
        <v>18210</v>
      </c>
      <c r="DS269" t="s">
        <v>18211</v>
      </c>
      <c r="DT269" t="s">
        <v>186</v>
      </c>
      <c r="DU269" t="s">
        <v>186</v>
      </c>
      <c r="DV269" t="s">
        <v>186</v>
      </c>
      <c r="DW269" t="s">
        <v>18212</v>
      </c>
      <c r="DX269" t="s">
        <v>186</v>
      </c>
      <c r="DY269" t="s">
        <v>186</v>
      </c>
      <c r="DZ269" t="s">
        <v>18212</v>
      </c>
      <c r="EA269" t="s">
        <v>18206</v>
      </c>
      <c r="EB269" t="s">
        <v>186</v>
      </c>
      <c r="EC269" t="s">
        <v>18213</v>
      </c>
      <c r="ED269" t="s">
        <v>18214</v>
      </c>
      <c r="EE269" t="s">
        <v>12247</v>
      </c>
      <c r="EG269" t="s">
        <v>12247</v>
      </c>
    </row>
    <row r="270" spans="1:168" x14ac:dyDescent="0.25">
      <c r="A270" t="s">
        <v>18215</v>
      </c>
      <c r="B270" t="s">
        <v>12247</v>
      </c>
      <c r="C270">
        <v>0</v>
      </c>
      <c r="D270">
        <v>6</v>
      </c>
      <c r="E270" t="s">
        <v>18215</v>
      </c>
      <c r="F270" t="s">
        <v>18216</v>
      </c>
      <c r="G270">
        <v>0</v>
      </c>
      <c r="H270">
        <v>2</v>
      </c>
      <c r="I270" t="s">
        <v>12249</v>
      </c>
      <c r="J270">
        <v>1</v>
      </c>
      <c r="K270" t="s">
        <v>18215</v>
      </c>
      <c r="L270" t="s">
        <v>18216</v>
      </c>
      <c r="M270">
        <v>0</v>
      </c>
      <c r="N270" t="s">
        <v>18215</v>
      </c>
      <c r="O270" t="s">
        <v>18216</v>
      </c>
      <c r="P270">
        <v>0</v>
      </c>
      <c r="Q270" t="s">
        <v>18215</v>
      </c>
      <c r="R270" t="s">
        <v>18216</v>
      </c>
      <c r="S270">
        <v>0</v>
      </c>
      <c r="T270" t="s">
        <v>18215</v>
      </c>
      <c r="U270" t="s">
        <v>18216</v>
      </c>
      <c r="V270" t="s">
        <v>18215</v>
      </c>
      <c r="X270" t="s">
        <v>18217</v>
      </c>
      <c r="Y270" t="s">
        <v>18218</v>
      </c>
      <c r="Z270" t="s">
        <v>18219</v>
      </c>
      <c r="AB270" t="s">
        <v>18220</v>
      </c>
      <c r="AE270" t="s">
        <v>18221</v>
      </c>
      <c r="AF270" t="s">
        <v>71</v>
      </c>
      <c r="AG270">
        <v>1</v>
      </c>
      <c r="AH270">
        <v>3</v>
      </c>
      <c r="AI270">
        <v>4</v>
      </c>
      <c r="AJ270">
        <v>2</v>
      </c>
      <c r="AK270">
        <v>825</v>
      </c>
      <c r="AL270">
        <v>2</v>
      </c>
      <c r="AM270">
        <v>2019</v>
      </c>
      <c r="AN270">
        <v>-99</v>
      </c>
      <c r="AO270">
        <v>2019</v>
      </c>
      <c r="AP270" t="s">
        <v>12334</v>
      </c>
      <c r="AQ270" t="s">
        <v>12335</v>
      </c>
      <c r="AR270" t="s">
        <v>18222</v>
      </c>
      <c r="AS270" t="s">
        <v>1957</v>
      </c>
      <c r="AT270" t="s">
        <v>1957</v>
      </c>
      <c r="AU270" t="s">
        <v>18216</v>
      </c>
      <c r="AV270" t="s">
        <v>18216</v>
      </c>
      <c r="AW270">
        <v>336</v>
      </c>
      <c r="AX270">
        <v>336</v>
      </c>
      <c r="AY270">
        <v>336</v>
      </c>
      <c r="AZ270">
        <v>-99</v>
      </c>
      <c r="BA270">
        <v>-99</v>
      </c>
      <c r="BB270">
        <v>23424986</v>
      </c>
      <c r="BC270">
        <v>23424986</v>
      </c>
      <c r="BD270" t="s">
        <v>12254</v>
      </c>
      <c r="BE270" t="s">
        <v>18216</v>
      </c>
      <c r="BG270" t="s">
        <v>18216</v>
      </c>
      <c r="BH270" t="s">
        <v>18216</v>
      </c>
      <c r="BI270" t="s">
        <v>18216</v>
      </c>
      <c r="BJ270" t="s">
        <v>18216</v>
      </c>
      <c r="BK270" t="s">
        <v>18216</v>
      </c>
      <c r="BL270" t="s">
        <v>18216</v>
      </c>
      <c r="BM270" t="s">
        <v>18216</v>
      </c>
      <c r="BN270" t="s">
        <v>18216</v>
      </c>
      <c r="BO270" t="s">
        <v>18216</v>
      </c>
      <c r="BP270" t="s">
        <v>18216</v>
      </c>
      <c r="BQ270" t="s">
        <v>18216</v>
      </c>
      <c r="BR270" t="s">
        <v>18216</v>
      </c>
      <c r="BS270" t="s">
        <v>18216</v>
      </c>
      <c r="BT270" t="s">
        <v>18216</v>
      </c>
      <c r="BU270" t="s">
        <v>18216</v>
      </c>
      <c r="BV270" t="s">
        <v>18216</v>
      </c>
      <c r="BW270" t="s">
        <v>18216</v>
      </c>
      <c r="BX270" t="s">
        <v>18216</v>
      </c>
      <c r="BY270" t="s">
        <v>18216</v>
      </c>
      <c r="BZ270" t="s">
        <v>18216</v>
      </c>
      <c r="CA270" t="s">
        <v>18216</v>
      </c>
      <c r="CB270" t="s">
        <v>18216</v>
      </c>
      <c r="CC270" t="s">
        <v>18216</v>
      </c>
      <c r="CD270" t="s">
        <v>18216</v>
      </c>
      <c r="CE270" t="s">
        <v>18216</v>
      </c>
      <c r="CF270" t="s">
        <v>18216</v>
      </c>
      <c r="CG270" t="s">
        <v>18216</v>
      </c>
      <c r="CH270" t="s">
        <v>18216</v>
      </c>
      <c r="CI270" t="s">
        <v>18216</v>
      </c>
      <c r="CJ270" t="s">
        <v>18216</v>
      </c>
      <c r="CK270" t="s">
        <v>18216</v>
      </c>
      <c r="CL270" t="s">
        <v>18216</v>
      </c>
      <c r="CM270">
        <v>-99</v>
      </c>
      <c r="CN270">
        <v>-99</v>
      </c>
      <c r="CO270" t="s">
        <v>12279</v>
      </c>
      <c r="CP270" t="s">
        <v>12279</v>
      </c>
      <c r="CQ270" t="s">
        <v>12280</v>
      </c>
      <c r="CR270" t="s">
        <v>12281</v>
      </c>
      <c r="CS270">
        <v>7</v>
      </c>
      <c r="CT270">
        <v>7</v>
      </c>
      <c r="CU270">
        <v>4</v>
      </c>
      <c r="CV270">
        <v>4</v>
      </c>
      <c r="CW270">
        <v>1</v>
      </c>
      <c r="CX270">
        <v>0</v>
      </c>
      <c r="CY270">
        <v>5</v>
      </c>
      <c r="CZ270">
        <v>10</v>
      </c>
      <c r="DA270">
        <v>12.453417999999999</v>
      </c>
      <c r="DB270">
        <v>41.903323</v>
      </c>
      <c r="DC270">
        <v>1159321407</v>
      </c>
      <c r="DD270" t="s">
        <v>18223</v>
      </c>
      <c r="DE270" t="s">
        <v>18224</v>
      </c>
      <c r="DF270" t="s">
        <v>18225</v>
      </c>
      <c r="DG270" t="s">
        <v>18226</v>
      </c>
      <c r="DH270" t="s">
        <v>1956</v>
      </c>
      <c r="DI270" t="s">
        <v>18227</v>
      </c>
      <c r="DJ270" t="s">
        <v>18228</v>
      </c>
      <c r="DK270" t="s">
        <v>18229</v>
      </c>
      <c r="DL270" t="s">
        <v>18230</v>
      </c>
      <c r="DM270" t="s">
        <v>18231</v>
      </c>
      <c r="DN270" t="s">
        <v>18232</v>
      </c>
      <c r="DO270" t="s">
        <v>18233</v>
      </c>
      <c r="DP270" t="s">
        <v>18234</v>
      </c>
      <c r="DQ270" t="s">
        <v>18235</v>
      </c>
      <c r="DR270" t="s">
        <v>18236</v>
      </c>
      <c r="DS270" t="s">
        <v>18237</v>
      </c>
      <c r="DT270" t="s">
        <v>18238</v>
      </c>
      <c r="DU270" t="s">
        <v>18239</v>
      </c>
      <c r="DV270" t="s">
        <v>18240</v>
      </c>
      <c r="DW270" t="s">
        <v>18241</v>
      </c>
      <c r="DX270" t="s">
        <v>18242</v>
      </c>
      <c r="DY270" t="s">
        <v>18234</v>
      </c>
      <c r="DZ270" t="s">
        <v>18241</v>
      </c>
      <c r="EA270" t="s">
        <v>18243</v>
      </c>
      <c r="EB270" t="s">
        <v>18244</v>
      </c>
      <c r="EC270" t="s">
        <v>18245</v>
      </c>
      <c r="ED270" t="s">
        <v>18246</v>
      </c>
      <c r="EE270" t="s">
        <v>12247</v>
      </c>
      <c r="EG270" t="s">
        <v>12247</v>
      </c>
    </row>
    <row r="271" spans="1:168" x14ac:dyDescent="0.25">
      <c r="A271" t="s">
        <v>187</v>
      </c>
      <c r="B271" t="s">
        <v>12247</v>
      </c>
      <c r="C271">
        <v>0</v>
      </c>
      <c r="D271">
        <v>3</v>
      </c>
      <c r="E271" t="s">
        <v>187</v>
      </c>
      <c r="F271" t="s">
        <v>18247</v>
      </c>
      <c r="G271">
        <v>0</v>
      </c>
      <c r="H271">
        <v>2</v>
      </c>
      <c r="I271" t="s">
        <v>12249</v>
      </c>
      <c r="J271">
        <v>1</v>
      </c>
      <c r="K271" t="s">
        <v>187</v>
      </c>
      <c r="L271" t="s">
        <v>18247</v>
      </c>
      <c r="M271">
        <v>0</v>
      </c>
      <c r="N271" t="s">
        <v>187</v>
      </c>
      <c r="O271" t="s">
        <v>18247</v>
      </c>
      <c r="P271">
        <v>0</v>
      </c>
      <c r="Q271" t="s">
        <v>187</v>
      </c>
      <c r="R271" t="s">
        <v>18247</v>
      </c>
      <c r="S271">
        <v>0</v>
      </c>
      <c r="T271" t="s">
        <v>187</v>
      </c>
      <c r="U271" t="s">
        <v>18247</v>
      </c>
      <c r="V271" t="s">
        <v>187</v>
      </c>
      <c r="X271" t="s">
        <v>18248</v>
      </c>
      <c r="Y271" t="s">
        <v>1963</v>
      </c>
      <c r="Z271" t="s">
        <v>18249</v>
      </c>
      <c r="AA271" t="s">
        <v>18250</v>
      </c>
      <c r="AB271" t="s">
        <v>187</v>
      </c>
      <c r="AE271" t="s">
        <v>18251</v>
      </c>
      <c r="AG271">
        <v>1</v>
      </c>
      <c r="AH271">
        <v>3</v>
      </c>
      <c r="AI271">
        <v>1</v>
      </c>
      <c r="AJ271">
        <v>4</v>
      </c>
      <c r="AK271">
        <v>28515829</v>
      </c>
      <c r="AL271">
        <v>15</v>
      </c>
      <c r="AM271">
        <v>2019</v>
      </c>
      <c r="AN271">
        <v>482359</v>
      </c>
      <c r="AO271">
        <v>2014</v>
      </c>
      <c r="AP271" t="s">
        <v>12435</v>
      </c>
      <c r="AQ271" t="s">
        <v>12305</v>
      </c>
      <c r="AR271" t="s">
        <v>1963</v>
      </c>
      <c r="AS271" t="s">
        <v>1963</v>
      </c>
      <c r="AT271" t="s">
        <v>1963</v>
      </c>
      <c r="AU271" t="s">
        <v>18247</v>
      </c>
      <c r="AV271" t="s">
        <v>18247</v>
      </c>
      <c r="AW271">
        <v>862</v>
      </c>
      <c r="AX271">
        <v>862</v>
      </c>
      <c r="AY271">
        <v>862</v>
      </c>
      <c r="AZ271" t="s">
        <v>1963</v>
      </c>
      <c r="BA271" t="s">
        <v>18247</v>
      </c>
      <c r="BB271">
        <v>23424982</v>
      </c>
      <c r="BC271">
        <v>23424982</v>
      </c>
      <c r="BD271" t="s">
        <v>12254</v>
      </c>
      <c r="BE271" t="s">
        <v>18247</v>
      </c>
      <c r="BG271" t="s">
        <v>18247</v>
      </c>
      <c r="BH271" t="s">
        <v>18247</v>
      </c>
      <c r="BI271" t="s">
        <v>18247</v>
      </c>
      <c r="BJ271" t="s">
        <v>18247</v>
      </c>
      <c r="BK271" t="s">
        <v>18247</v>
      </c>
      <c r="BL271" t="s">
        <v>18247</v>
      </c>
      <c r="BM271" t="s">
        <v>18247</v>
      </c>
      <c r="BN271" t="s">
        <v>18247</v>
      </c>
      <c r="BO271" t="s">
        <v>18247</v>
      </c>
      <c r="BP271" t="s">
        <v>18247</v>
      </c>
      <c r="BQ271" t="s">
        <v>18247</v>
      </c>
      <c r="BR271" t="s">
        <v>18247</v>
      </c>
      <c r="BS271" t="s">
        <v>18247</v>
      </c>
      <c r="BT271" t="s">
        <v>18247</v>
      </c>
      <c r="BU271" t="s">
        <v>18247</v>
      </c>
      <c r="BV271" t="s">
        <v>18247</v>
      </c>
      <c r="BW271" t="s">
        <v>18247</v>
      </c>
      <c r="BX271" t="s">
        <v>18247</v>
      </c>
      <c r="BY271" t="s">
        <v>18247</v>
      </c>
      <c r="BZ271" t="s">
        <v>18247</v>
      </c>
      <c r="CA271" t="s">
        <v>18247</v>
      </c>
      <c r="CB271" t="s">
        <v>18247</v>
      </c>
      <c r="CC271" t="s">
        <v>18247</v>
      </c>
      <c r="CD271" t="s">
        <v>18247</v>
      </c>
      <c r="CE271" t="s">
        <v>18247</v>
      </c>
      <c r="CF271" t="s">
        <v>18247</v>
      </c>
      <c r="CG271" t="s">
        <v>18247</v>
      </c>
      <c r="CH271" t="s">
        <v>18247</v>
      </c>
      <c r="CI271" t="s">
        <v>18247</v>
      </c>
      <c r="CJ271" t="s">
        <v>18247</v>
      </c>
      <c r="CK271" t="s">
        <v>18247</v>
      </c>
      <c r="CL271" t="s">
        <v>18247</v>
      </c>
      <c r="CM271">
        <v>-99</v>
      </c>
      <c r="CN271">
        <v>-99</v>
      </c>
      <c r="CO271" t="s">
        <v>12436</v>
      </c>
      <c r="CP271" t="s">
        <v>12403</v>
      </c>
      <c r="CQ271" t="s">
        <v>12436</v>
      </c>
      <c r="CR271" t="s">
        <v>12405</v>
      </c>
      <c r="CS271">
        <v>9</v>
      </c>
      <c r="CT271">
        <v>9</v>
      </c>
      <c r="CU271">
        <v>4</v>
      </c>
      <c r="CV271">
        <v>-99</v>
      </c>
      <c r="CW271">
        <v>1</v>
      </c>
      <c r="CX271">
        <v>0</v>
      </c>
      <c r="CY271">
        <v>2.5</v>
      </c>
      <c r="CZ271">
        <v>7.5</v>
      </c>
      <c r="DA271">
        <v>-64.599380999999994</v>
      </c>
      <c r="DB271">
        <v>7.1824760000000003</v>
      </c>
      <c r="DC271">
        <v>1159321411</v>
      </c>
      <c r="DD271" t="s">
        <v>18252</v>
      </c>
      <c r="DE271" t="s">
        <v>18253</v>
      </c>
      <c r="DF271" t="s">
        <v>18254</v>
      </c>
      <c r="DG271" t="s">
        <v>187</v>
      </c>
      <c r="DH271" t="s">
        <v>187</v>
      </c>
      <c r="DI271" t="s">
        <v>187</v>
      </c>
      <c r="DJ271" t="s">
        <v>18255</v>
      </c>
      <c r="DK271" t="s">
        <v>187</v>
      </c>
      <c r="DL271" t="s">
        <v>18256</v>
      </c>
      <c r="DM271" t="s">
        <v>18257</v>
      </c>
      <c r="DN271" t="s">
        <v>18258</v>
      </c>
      <c r="DO271" t="s">
        <v>187</v>
      </c>
      <c r="DP271" t="s">
        <v>187</v>
      </c>
      <c r="DQ271" t="s">
        <v>187</v>
      </c>
      <c r="DR271" t="s">
        <v>18259</v>
      </c>
      <c r="DS271" t="s">
        <v>18260</v>
      </c>
      <c r="DT271" t="s">
        <v>187</v>
      </c>
      <c r="DU271" t="s">
        <v>18261</v>
      </c>
      <c r="DV271" t="s">
        <v>187</v>
      </c>
      <c r="DW271" t="s">
        <v>18262</v>
      </c>
      <c r="DX271" t="s">
        <v>187</v>
      </c>
      <c r="DY271" t="s">
        <v>187</v>
      </c>
      <c r="DZ271" t="s">
        <v>18263</v>
      </c>
      <c r="EA271" t="s">
        <v>18264</v>
      </c>
      <c r="EB271" t="s">
        <v>187</v>
      </c>
      <c r="EC271" t="s">
        <v>18265</v>
      </c>
      <c r="ED271" t="s">
        <v>18266</v>
      </c>
      <c r="EE271" t="s">
        <v>12247</v>
      </c>
      <c r="EG271" t="s">
        <v>12247</v>
      </c>
    </row>
    <row r="272" spans="1:168" x14ac:dyDescent="0.25">
      <c r="A272" t="s">
        <v>188</v>
      </c>
      <c r="B272" t="s">
        <v>12247</v>
      </c>
      <c r="C272">
        <v>0</v>
      </c>
      <c r="D272">
        <v>2</v>
      </c>
      <c r="E272" t="s">
        <v>188</v>
      </c>
      <c r="F272" t="s">
        <v>17017</v>
      </c>
      <c r="G272">
        <v>0</v>
      </c>
      <c r="H272">
        <v>2</v>
      </c>
      <c r="I272" t="s">
        <v>12249</v>
      </c>
      <c r="J272">
        <v>1</v>
      </c>
      <c r="K272" t="s">
        <v>188</v>
      </c>
      <c r="L272" t="s">
        <v>17017</v>
      </c>
      <c r="M272">
        <v>0</v>
      </c>
      <c r="N272" t="s">
        <v>188</v>
      </c>
      <c r="O272" t="s">
        <v>17017</v>
      </c>
      <c r="P272">
        <v>0</v>
      </c>
      <c r="Q272" t="s">
        <v>188</v>
      </c>
      <c r="R272" t="s">
        <v>17017</v>
      </c>
      <c r="S272">
        <v>0</v>
      </c>
      <c r="T272" t="s">
        <v>188</v>
      </c>
      <c r="U272" t="s">
        <v>17017</v>
      </c>
      <c r="V272" t="s">
        <v>188</v>
      </c>
      <c r="X272" t="s">
        <v>18267</v>
      </c>
      <c r="Y272" t="s">
        <v>1972</v>
      </c>
      <c r="Z272" t="s">
        <v>18268</v>
      </c>
      <c r="AB272" t="s">
        <v>188</v>
      </c>
      <c r="AE272" t="s">
        <v>188</v>
      </c>
      <c r="AG272">
        <v>5</v>
      </c>
      <c r="AH272">
        <v>6</v>
      </c>
      <c r="AI272">
        <v>5</v>
      </c>
      <c r="AJ272">
        <v>4</v>
      </c>
      <c r="AK272">
        <v>96462106</v>
      </c>
      <c r="AL272">
        <v>16</v>
      </c>
      <c r="AM272">
        <v>2019</v>
      </c>
      <c r="AN272">
        <v>261921</v>
      </c>
      <c r="AO272">
        <v>2019</v>
      </c>
      <c r="AP272" t="s">
        <v>12435</v>
      </c>
      <c r="AQ272" t="s">
        <v>12278</v>
      </c>
      <c r="AR272" t="s">
        <v>18269</v>
      </c>
      <c r="AS272" t="s">
        <v>1972</v>
      </c>
      <c r="AT272" t="s">
        <v>1972</v>
      </c>
      <c r="AU272" t="s">
        <v>17017</v>
      </c>
      <c r="AV272" t="s">
        <v>17017</v>
      </c>
      <c r="AW272">
        <v>704</v>
      </c>
      <c r="AX272">
        <v>704</v>
      </c>
      <c r="AY272">
        <v>704</v>
      </c>
      <c r="AZ272" t="s">
        <v>1972</v>
      </c>
      <c r="BA272" t="s">
        <v>17017</v>
      </c>
      <c r="BB272">
        <v>23424984</v>
      </c>
      <c r="BC272">
        <v>23424984</v>
      </c>
      <c r="BD272" t="s">
        <v>12254</v>
      </c>
      <c r="BE272" t="s">
        <v>17017</v>
      </c>
      <c r="BG272" t="s">
        <v>17017</v>
      </c>
      <c r="BH272" t="s">
        <v>17017</v>
      </c>
      <c r="BI272" t="s">
        <v>17017</v>
      </c>
      <c r="BJ272" t="s">
        <v>17017</v>
      </c>
      <c r="BK272" t="s">
        <v>17017</v>
      </c>
      <c r="BL272" t="s">
        <v>17017</v>
      </c>
      <c r="BM272" t="s">
        <v>17017</v>
      </c>
      <c r="BN272" t="s">
        <v>17017</v>
      </c>
      <c r="BO272" t="s">
        <v>17017</v>
      </c>
      <c r="BP272" t="s">
        <v>17017</v>
      </c>
      <c r="BQ272" t="s">
        <v>17017</v>
      </c>
      <c r="BR272" t="s">
        <v>17017</v>
      </c>
      <c r="BS272" t="s">
        <v>17017</v>
      </c>
      <c r="BT272" t="s">
        <v>17017</v>
      </c>
      <c r="BU272" t="s">
        <v>17017</v>
      </c>
      <c r="BV272" t="s">
        <v>17017</v>
      </c>
      <c r="BW272" t="s">
        <v>17017</v>
      </c>
      <c r="BX272" t="s">
        <v>17017</v>
      </c>
      <c r="BY272" t="s">
        <v>17017</v>
      </c>
      <c r="BZ272" t="s">
        <v>17017</v>
      </c>
      <c r="CA272" t="s">
        <v>17017</v>
      </c>
      <c r="CB272" t="s">
        <v>17017</v>
      </c>
      <c r="CC272" t="s">
        <v>17017</v>
      </c>
      <c r="CD272" t="s">
        <v>17017</v>
      </c>
      <c r="CE272" t="s">
        <v>17017</v>
      </c>
      <c r="CF272" t="s">
        <v>17017</v>
      </c>
      <c r="CG272" t="s">
        <v>17017</v>
      </c>
      <c r="CH272" t="s">
        <v>17017</v>
      </c>
      <c r="CI272" t="s">
        <v>17017</v>
      </c>
      <c r="CJ272" t="s">
        <v>17017</v>
      </c>
      <c r="CK272" t="s">
        <v>17017</v>
      </c>
      <c r="CL272" t="s">
        <v>17017</v>
      </c>
      <c r="CM272">
        <v>-99</v>
      </c>
      <c r="CN272">
        <v>-99</v>
      </c>
      <c r="CO272" t="s">
        <v>12255</v>
      </c>
      <c r="CP272" t="s">
        <v>12255</v>
      </c>
      <c r="CQ272" t="s">
        <v>13026</v>
      </c>
      <c r="CR272" t="s">
        <v>12539</v>
      </c>
      <c r="CS272">
        <v>7</v>
      </c>
      <c r="CT272">
        <v>7</v>
      </c>
      <c r="CU272">
        <v>5</v>
      </c>
      <c r="CV272">
        <v>2</v>
      </c>
      <c r="CW272">
        <v>1</v>
      </c>
      <c r="CX272">
        <v>0</v>
      </c>
      <c r="CY272">
        <v>2</v>
      </c>
      <c r="CZ272">
        <v>7</v>
      </c>
      <c r="DA272">
        <v>105.387292</v>
      </c>
      <c r="DB272">
        <v>21.715416000000001</v>
      </c>
      <c r="DC272">
        <v>1159321417</v>
      </c>
      <c r="DD272" t="s">
        <v>18270</v>
      </c>
      <c r="DE272" t="s">
        <v>18271</v>
      </c>
      <c r="DF272" t="s">
        <v>18272</v>
      </c>
      <c r="DG272" t="s">
        <v>188</v>
      </c>
      <c r="DH272" t="s">
        <v>188</v>
      </c>
      <c r="DI272" t="s">
        <v>188</v>
      </c>
      <c r="DJ272" t="s">
        <v>18273</v>
      </c>
      <c r="DK272" t="s">
        <v>18274</v>
      </c>
      <c r="DL272" t="s">
        <v>18275</v>
      </c>
      <c r="DM272" t="s">
        <v>18276</v>
      </c>
      <c r="DN272" t="s">
        <v>18277</v>
      </c>
      <c r="DO272" t="s">
        <v>18278</v>
      </c>
      <c r="DP272" t="s">
        <v>188</v>
      </c>
      <c r="DQ272" t="s">
        <v>188</v>
      </c>
      <c r="DR272" t="s">
        <v>18279</v>
      </c>
      <c r="DS272" t="s">
        <v>18280</v>
      </c>
      <c r="DT272" t="s">
        <v>188</v>
      </c>
      <c r="DU272" t="s">
        <v>18281</v>
      </c>
      <c r="DV272" t="s">
        <v>18282</v>
      </c>
      <c r="DW272" t="s">
        <v>18283</v>
      </c>
      <c r="DX272" t="s">
        <v>188</v>
      </c>
      <c r="DY272" t="s">
        <v>188</v>
      </c>
      <c r="DZ272" t="s">
        <v>18284</v>
      </c>
      <c r="EA272" t="s">
        <v>18273</v>
      </c>
      <c r="EB272" t="s">
        <v>18285</v>
      </c>
      <c r="EC272" t="s">
        <v>18286</v>
      </c>
      <c r="ED272" t="s">
        <v>18286</v>
      </c>
      <c r="EE272" t="s">
        <v>12247</v>
      </c>
      <c r="EG272" t="s">
        <v>12247</v>
      </c>
    </row>
    <row r="273" spans="1:165" x14ac:dyDescent="0.25">
      <c r="A273" t="s">
        <v>18134</v>
      </c>
      <c r="B273" t="s">
        <v>12247</v>
      </c>
      <c r="C273">
        <v>5</v>
      </c>
      <c r="D273">
        <v>4</v>
      </c>
      <c r="E273" t="s">
        <v>58</v>
      </c>
      <c r="F273" t="s">
        <v>13674</v>
      </c>
      <c r="G273">
        <v>1</v>
      </c>
      <c r="H273">
        <v>2</v>
      </c>
      <c r="I273" t="s">
        <v>12480</v>
      </c>
      <c r="J273">
        <v>1</v>
      </c>
      <c r="K273" t="s">
        <v>1238</v>
      </c>
      <c r="L273" t="s">
        <v>18133</v>
      </c>
      <c r="M273">
        <v>0</v>
      </c>
      <c r="N273" t="s">
        <v>1238</v>
      </c>
      <c r="O273" t="s">
        <v>18133</v>
      </c>
      <c r="P273">
        <v>0</v>
      </c>
      <c r="Q273" t="s">
        <v>1238</v>
      </c>
      <c r="R273" t="s">
        <v>18133</v>
      </c>
      <c r="S273">
        <v>0</v>
      </c>
      <c r="T273" t="s">
        <v>18134</v>
      </c>
      <c r="U273" t="s">
        <v>18133</v>
      </c>
      <c r="V273" t="s">
        <v>18134</v>
      </c>
      <c r="X273" t="s">
        <v>18135</v>
      </c>
      <c r="Y273" t="s">
        <v>1978</v>
      </c>
      <c r="Z273" t="s">
        <v>18134</v>
      </c>
      <c r="AB273" t="s">
        <v>1238</v>
      </c>
      <c r="AC273" t="s">
        <v>13679</v>
      </c>
      <c r="AE273" t="s">
        <v>1238</v>
      </c>
      <c r="AG273">
        <v>7</v>
      </c>
      <c r="AH273">
        <v>5</v>
      </c>
      <c r="AI273">
        <v>9</v>
      </c>
      <c r="AJ273">
        <v>11</v>
      </c>
      <c r="AK273">
        <v>11558</v>
      </c>
      <c r="AL273">
        <v>6</v>
      </c>
      <c r="AM273">
        <v>2018</v>
      </c>
      <c r="AN273">
        <v>60</v>
      </c>
      <c r="AO273">
        <v>2016</v>
      </c>
      <c r="AP273" t="s">
        <v>12277</v>
      </c>
      <c r="AQ273" t="s">
        <v>12278</v>
      </c>
      <c r="AR273" t="s">
        <v>1978</v>
      </c>
      <c r="AS273" t="s">
        <v>1978</v>
      </c>
      <c r="AT273" t="s">
        <v>1978</v>
      </c>
      <c r="AU273" t="s">
        <v>18133</v>
      </c>
      <c r="AV273" t="s">
        <v>18133</v>
      </c>
      <c r="AW273">
        <v>876</v>
      </c>
      <c r="AX273">
        <v>876</v>
      </c>
      <c r="AY273">
        <v>876</v>
      </c>
      <c r="AZ273">
        <v>-99</v>
      </c>
      <c r="BA273">
        <v>-99</v>
      </c>
      <c r="BB273">
        <v>23424989</v>
      </c>
      <c r="BC273">
        <v>23424989</v>
      </c>
      <c r="BD273" t="s">
        <v>12254</v>
      </c>
      <c r="BE273" t="s">
        <v>18133</v>
      </c>
      <c r="BG273" t="s">
        <v>18133</v>
      </c>
      <c r="BH273" t="s">
        <v>18133</v>
      </c>
      <c r="BI273" t="s">
        <v>18133</v>
      </c>
      <c r="BJ273" t="s">
        <v>18133</v>
      </c>
      <c r="BK273" t="s">
        <v>18133</v>
      </c>
      <c r="BL273" t="s">
        <v>18133</v>
      </c>
      <c r="BM273" t="s">
        <v>18133</v>
      </c>
      <c r="BN273" t="s">
        <v>18133</v>
      </c>
      <c r="BO273" t="s">
        <v>18133</v>
      </c>
      <c r="BP273" t="s">
        <v>18133</v>
      </c>
      <c r="BQ273" t="s">
        <v>18133</v>
      </c>
      <c r="BR273" t="s">
        <v>18133</v>
      </c>
      <c r="BS273" t="s">
        <v>18133</v>
      </c>
      <c r="BT273" t="s">
        <v>18133</v>
      </c>
      <c r="BU273" t="s">
        <v>18133</v>
      </c>
      <c r="BV273" t="s">
        <v>18133</v>
      </c>
      <c r="BW273" t="s">
        <v>18133</v>
      </c>
      <c r="BX273" t="s">
        <v>18133</v>
      </c>
      <c r="BY273" t="s">
        <v>18133</v>
      </c>
      <c r="BZ273" t="s">
        <v>18133</v>
      </c>
      <c r="CA273" t="s">
        <v>18133</v>
      </c>
      <c r="CB273" t="s">
        <v>18133</v>
      </c>
      <c r="CC273" t="s">
        <v>18133</v>
      </c>
      <c r="CD273" t="s">
        <v>18133</v>
      </c>
      <c r="CE273" t="s">
        <v>18133</v>
      </c>
      <c r="CF273" t="s">
        <v>18133</v>
      </c>
      <c r="CG273" t="s">
        <v>18133</v>
      </c>
      <c r="CH273" t="s">
        <v>18133</v>
      </c>
      <c r="CI273" t="s">
        <v>18133</v>
      </c>
      <c r="CJ273" t="s">
        <v>18133</v>
      </c>
      <c r="CK273" t="s">
        <v>18133</v>
      </c>
      <c r="CL273" t="s">
        <v>18133</v>
      </c>
      <c r="CM273">
        <v>-99</v>
      </c>
      <c r="CN273">
        <v>-99</v>
      </c>
      <c r="CO273" t="s">
        <v>12537</v>
      </c>
      <c r="CP273" t="s">
        <v>12537</v>
      </c>
      <c r="CQ273" t="s">
        <v>12538</v>
      </c>
      <c r="CR273" t="s">
        <v>12539</v>
      </c>
      <c r="CS273">
        <v>21</v>
      </c>
      <c r="CT273">
        <v>25</v>
      </c>
      <c r="CU273">
        <v>4</v>
      </c>
      <c r="CV273">
        <v>3</v>
      </c>
      <c r="CW273">
        <v>-99</v>
      </c>
      <c r="CX273">
        <v>0</v>
      </c>
      <c r="CY273">
        <v>4.7</v>
      </c>
      <c r="CZ273">
        <v>9</v>
      </c>
      <c r="DA273">
        <v>-178.13743600000001</v>
      </c>
      <c r="DB273">
        <v>-14.286415</v>
      </c>
      <c r="DC273">
        <v>1159320649</v>
      </c>
      <c r="DD273" t="s">
        <v>18136</v>
      </c>
      <c r="DE273" t="s">
        <v>18137</v>
      </c>
      <c r="DF273" t="s">
        <v>18138</v>
      </c>
      <c r="DG273" t="s">
        <v>18139</v>
      </c>
      <c r="DH273" t="s">
        <v>1238</v>
      </c>
      <c r="DI273" t="s">
        <v>18140</v>
      </c>
      <c r="DJ273" t="s">
        <v>18141</v>
      </c>
      <c r="DK273" t="s">
        <v>5000</v>
      </c>
      <c r="DL273" t="s">
        <v>18142</v>
      </c>
      <c r="DM273" t="s">
        <v>18143</v>
      </c>
      <c r="DN273" t="s">
        <v>18144</v>
      </c>
      <c r="DO273" t="s">
        <v>18145</v>
      </c>
      <c r="DP273" t="s">
        <v>18146</v>
      </c>
      <c r="DQ273" t="s">
        <v>18147</v>
      </c>
      <c r="DR273" t="s">
        <v>18148</v>
      </c>
      <c r="DS273" t="s">
        <v>18149</v>
      </c>
      <c r="DT273" t="s">
        <v>18150</v>
      </c>
      <c r="DU273" t="s">
        <v>18151</v>
      </c>
      <c r="DV273" t="s">
        <v>18147</v>
      </c>
      <c r="DW273" t="s">
        <v>18152</v>
      </c>
      <c r="DX273" t="s">
        <v>18153</v>
      </c>
      <c r="DY273" t="s">
        <v>18154</v>
      </c>
      <c r="DZ273" t="s">
        <v>18155</v>
      </c>
      <c r="EA273" t="s">
        <v>18156</v>
      </c>
      <c r="EB273" t="s">
        <v>18157</v>
      </c>
      <c r="EC273" t="s">
        <v>18158</v>
      </c>
      <c r="ED273" t="s">
        <v>18159</v>
      </c>
      <c r="EE273" t="s">
        <v>12397</v>
      </c>
      <c r="EG273" t="s">
        <v>12397</v>
      </c>
    </row>
    <row r="274" spans="1:165" x14ac:dyDescent="0.25">
      <c r="A274" t="s">
        <v>1239</v>
      </c>
      <c r="B274" t="s">
        <v>12247</v>
      </c>
      <c r="C274">
        <v>0</v>
      </c>
      <c r="D274">
        <v>7</v>
      </c>
      <c r="E274" t="s">
        <v>1239</v>
      </c>
      <c r="F274" t="s">
        <v>18287</v>
      </c>
      <c r="G274">
        <v>0</v>
      </c>
      <c r="H274">
        <v>2</v>
      </c>
      <c r="I274" t="s">
        <v>12371</v>
      </c>
      <c r="J274">
        <v>1</v>
      </c>
      <c r="K274" t="s">
        <v>1239</v>
      </c>
      <c r="L274" t="s">
        <v>18287</v>
      </c>
      <c r="M274">
        <v>0</v>
      </c>
      <c r="N274" t="s">
        <v>1239</v>
      </c>
      <c r="O274" t="s">
        <v>18287</v>
      </c>
      <c r="P274">
        <v>0</v>
      </c>
      <c r="Q274" t="s">
        <v>1239</v>
      </c>
      <c r="R274" t="s">
        <v>18287</v>
      </c>
      <c r="S274">
        <v>1</v>
      </c>
      <c r="T274" t="s">
        <v>1239</v>
      </c>
      <c r="U274" t="s">
        <v>18289</v>
      </c>
      <c r="V274" t="s">
        <v>18288</v>
      </c>
      <c r="X274" t="s">
        <v>18290</v>
      </c>
      <c r="Y274" t="s">
        <v>1981</v>
      </c>
      <c r="Z274" t="s">
        <v>18291</v>
      </c>
      <c r="AB274" t="s">
        <v>1239</v>
      </c>
      <c r="AD274" t="s">
        <v>18292</v>
      </c>
      <c r="AE274" t="s">
        <v>1239</v>
      </c>
      <c r="AG274">
        <v>4</v>
      </c>
      <c r="AH274">
        <v>7</v>
      </c>
      <c r="AI274">
        <v>4</v>
      </c>
      <c r="AJ274">
        <v>4</v>
      </c>
      <c r="AK274">
        <v>603253</v>
      </c>
      <c r="AL274">
        <v>11</v>
      </c>
      <c r="AM274">
        <v>2017</v>
      </c>
      <c r="AN274">
        <v>907</v>
      </c>
      <c r="AO274">
        <v>2007</v>
      </c>
      <c r="AP274" t="s">
        <v>12252</v>
      </c>
      <c r="AQ274" t="s">
        <v>12253</v>
      </c>
      <c r="AR274" t="s">
        <v>18293</v>
      </c>
      <c r="AS274" t="s">
        <v>1440</v>
      </c>
      <c r="AT274" t="s">
        <v>1440</v>
      </c>
      <c r="AU274" t="s">
        <v>18294</v>
      </c>
      <c r="AV274" t="s">
        <v>18294</v>
      </c>
      <c r="AW274">
        <v>732</v>
      </c>
      <c r="AX274">
        <v>732</v>
      </c>
      <c r="AY274">
        <v>732</v>
      </c>
      <c r="AZ274">
        <v>-99</v>
      </c>
      <c r="BA274">
        <v>-99</v>
      </c>
      <c r="BB274">
        <v>23424990</v>
      </c>
      <c r="BC274">
        <v>23424990</v>
      </c>
      <c r="BD274" t="s">
        <v>12254</v>
      </c>
      <c r="BE274" t="s">
        <v>18289</v>
      </c>
      <c r="BG274" t="s">
        <v>18289</v>
      </c>
      <c r="BH274" t="s">
        <v>18287</v>
      </c>
      <c r="BI274" t="s">
        <v>15620</v>
      </c>
      <c r="BJ274" t="s">
        <v>18287</v>
      </c>
      <c r="BK274" t="s">
        <v>18287</v>
      </c>
      <c r="BL274" t="s">
        <v>18287</v>
      </c>
      <c r="BM274" t="s">
        <v>18287</v>
      </c>
      <c r="BN274" t="s">
        <v>15620</v>
      </c>
      <c r="BO274" t="s">
        <v>18287</v>
      </c>
      <c r="BP274" t="s">
        <v>18287</v>
      </c>
      <c r="BQ274" t="s">
        <v>18287</v>
      </c>
      <c r="BR274" t="s">
        <v>18287</v>
      </c>
      <c r="BS274" t="s">
        <v>18287</v>
      </c>
      <c r="BT274" t="s">
        <v>18287</v>
      </c>
      <c r="BU274" t="s">
        <v>15620</v>
      </c>
      <c r="BV274" t="s">
        <v>15620</v>
      </c>
      <c r="BW274" t="s">
        <v>18287</v>
      </c>
      <c r="BX274" t="s">
        <v>15620</v>
      </c>
      <c r="BY274" t="s">
        <v>18287</v>
      </c>
      <c r="BZ274" t="s">
        <v>18287</v>
      </c>
      <c r="CA274" t="s">
        <v>18287</v>
      </c>
      <c r="CB274" t="s">
        <v>18287</v>
      </c>
      <c r="CC274" t="s">
        <v>18287</v>
      </c>
      <c r="CD274" t="s">
        <v>15620</v>
      </c>
      <c r="CE274" t="s">
        <v>15620</v>
      </c>
      <c r="CF274" t="s">
        <v>15620</v>
      </c>
      <c r="CG274" t="s">
        <v>18287</v>
      </c>
      <c r="CH274" t="s">
        <v>18287</v>
      </c>
      <c r="CI274" t="s">
        <v>15620</v>
      </c>
      <c r="CJ274" t="s">
        <v>18287</v>
      </c>
      <c r="CK274" t="s">
        <v>18287</v>
      </c>
      <c r="CL274" t="s">
        <v>18287</v>
      </c>
      <c r="CM274">
        <v>-99</v>
      </c>
      <c r="CN274">
        <v>-99</v>
      </c>
      <c r="CO274" t="s">
        <v>12306</v>
      </c>
      <c r="CP274" t="s">
        <v>12306</v>
      </c>
      <c r="CQ274" t="s">
        <v>12307</v>
      </c>
      <c r="CR274" t="s">
        <v>12308</v>
      </c>
      <c r="CS274">
        <v>9</v>
      </c>
      <c r="CT274">
        <v>14</v>
      </c>
      <c r="CU274">
        <v>7</v>
      </c>
      <c r="CV274">
        <v>-99</v>
      </c>
      <c r="CW274">
        <v>1</v>
      </c>
      <c r="CX274">
        <v>4.7</v>
      </c>
      <c r="CY274">
        <v>6</v>
      </c>
      <c r="CZ274">
        <v>11</v>
      </c>
      <c r="DA274">
        <v>-12.630304000000001</v>
      </c>
      <c r="DB274">
        <v>23.967592</v>
      </c>
      <c r="DC274">
        <v>1159321223</v>
      </c>
      <c r="DD274" t="s">
        <v>18295</v>
      </c>
      <c r="DE274" t="s">
        <v>18296</v>
      </c>
      <c r="DF274" t="s">
        <v>18297</v>
      </c>
      <c r="DG274" t="s">
        <v>18298</v>
      </c>
      <c r="DH274" t="s">
        <v>1239</v>
      </c>
      <c r="DI274" t="s">
        <v>18299</v>
      </c>
      <c r="DJ274" t="s">
        <v>18300</v>
      </c>
      <c r="DK274" t="s">
        <v>18301</v>
      </c>
      <c r="DL274" t="s">
        <v>18302</v>
      </c>
      <c r="DM274" t="s">
        <v>18303</v>
      </c>
      <c r="DN274" t="s">
        <v>18304</v>
      </c>
      <c r="DO274" t="s">
        <v>18305</v>
      </c>
      <c r="DP274" t="s">
        <v>18306</v>
      </c>
      <c r="DQ274" t="s">
        <v>18307</v>
      </c>
      <c r="DR274" t="s">
        <v>18308</v>
      </c>
      <c r="DS274" t="s">
        <v>18309</v>
      </c>
      <c r="DT274" t="s">
        <v>18310</v>
      </c>
      <c r="DU274" t="s">
        <v>18311</v>
      </c>
      <c r="DV274" t="s">
        <v>18312</v>
      </c>
      <c r="DW274" t="s">
        <v>18313</v>
      </c>
      <c r="DX274" t="s">
        <v>18314</v>
      </c>
      <c r="DY274" t="s">
        <v>18315</v>
      </c>
      <c r="DZ274" t="s">
        <v>18316</v>
      </c>
      <c r="EA274" t="s">
        <v>18317</v>
      </c>
      <c r="EB274" t="s">
        <v>18318</v>
      </c>
      <c r="EC274" t="s">
        <v>18319</v>
      </c>
      <c r="ED274" t="s">
        <v>18319</v>
      </c>
      <c r="EE274" t="s">
        <v>12397</v>
      </c>
      <c r="EG274" t="s">
        <v>12397</v>
      </c>
      <c r="EI274" t="s">
        <v>12505</v>
      </c>
      <c r="EN274" t="s">
        <v>12505</v>
      </c>
      <c r="EU274" t="s">
        <v>12505</v>
      </c>
      <c r="EV274" t="s">
        <v>12505</v>
      </c>
      <c r="EX274" t="s">
        <v>12505</v>
      </c>
      <c r="FD274" t="s">
        <v>12505</v>
      </c>
      <c r="FE274" t="s">
        <v>12505</v>
      </c>
      <c r="FF274" t="s">
        <v>12505</v>
      </c>
      <c r="FI274" t="s">
        <v>12505</v>
      </c>
    </row>
    <row r="275" spans="1:165" x14ac:dyDescent="0.25">
      <c r="A275" t="s">
        <v>189</v>
      </c>
      <c r="B275" t="s">
        <v>12247</v>
      </c>
      <c r="C275">
        <v>0</v>
      </c>
      <c r="D275">
        <v>3</v>
      </c>
      <c r="E275" t="s">
        <v>189</v>
      </c>
      <c r="F275" t="s">
        <v>18320</v>
      </c>
      <c r="G275">
        <v>0</v>
      </c>
      <c r="H275">
        <v>2</v>
      </c>
      <c r="I275" t="s">
        <v>12249</v>
      </c>
      <c r="J275">
        <v>1</v>
      </c>
      <c r="K275" t="s">
        <v>189</v>
      </c>
      <c r="L275" t="s">
        <v>18320</v>
      </c>
      <c r="M275">
        <v>0</v>
      </c>
      <c r="N275" t="s">
        <v>189</v>
      </c>
      <c r="O275" t="s">
        <v>18320</v>
      </c>
      <c r="P275">
        <v>0</v>
      </c>
      <c r="Q275" t="s">
        <v>189</v>
      </c>
      <c r="R275" t="s">
        <v>18320</v>
      </c>
      <c r="S275">
        <v>0</v>
      </c>
      <c r="T275" t="s">
        <v>189</v>
      </c>
      <c r="U275" t="s">
        <v>18320</v>
      </c>
      <c r="V275" t="s">
        <v>189</v>
      </c>
      <c r="X275" t="s">
        <v>18321</v>
      </c>
      <c r="Y275" t="s">
        <v>1985</v>
      </c>
      <c r="Z275" t="s">
        <v>18322</v>
      </c>
      <c r="AB275" t="s">
        <v>189</v>
      </c>
      <c r="AE275" t="s">
        <v>18323</v>
      </c>
      <c r="AG275">
        <v>5</v>
      </c>
      <c r="AH275">
        <v>3</v>
      </c>
      <c r="AI275">
        <v>3</v>
      </c>
      <c r="AJ275">
        <v>11</v>
      </c>
      <c r="AK275">
        <v>29161922</v>
      </c>
      <c r="AL275">
        <v>15</v>
      </c>
      <c r="AM275">
        <v>2019</v>
      </c>
      <c r="AN275">
        <v>22581</v>
      </c>
      <c r="AO275">
        <v>2019</v>
      </c>
      <c r="AP275" t="s">
        <v>12252</v>
      </c>
      <c r="AQ275" t="s">
        <v>12278</v>
      </c>
      <c r="AR275" t="s">
        <v>18324</v>
      </c>
      <c r="AS275" t="s">
        <v>1985</v>
      </c>
      <c r="AT275" t="s">
        <v>1985</v>
      </c>
      <c r="AU275" t="s">
        <v>18320</v>
      </c>
      <c r="AV275" t="s">
        <v>18320</v>
      </c>
      <c r="AW275">
        <v>887</v>
      </c>
      <c r="AX275">
        <v>887</v>
      </c>
      <c r="AY275">
        <v>887</v>
      </c>
      <c r="AZ275" t="s">
        <v>18325</v>
      </c>
      <c r="BA275" t="s">
        <v>18320</v>
      </c>
      <c r="BB275">
        <v>23425002</v>
      </c>
      <c r="BC275">
        <v>23425002</v>
      </c>
      <c r="BD275" t="s">
        <v>12254</v>
      </c>
      <c r="BE275" t="s">
        <v>18320</v>
      </c>
      <c r="BG275" t="s">
        <v>18320</v>
      </c>
      <c r="BH275" t="s">
        <v>18320</v>
      </c>
      <c r="BI275" t="s">
        <v>18320</v>
      </c>
      <c r="BJ275" t="s">
        <v>18320</v>
      </c>
      <c r="BK275" t="s">
        <v>18320</v>
      </c>
      <c r="BL275" t="s">
        <v>18320</v>
      </c>
      <c r="BM275" t="s">
        <v>18320</v>
      </c>
      <c r="BN275" t="s">
        <v>18320</v>
      </c>
      <c r="BO275" t="s">
        <v>18320</v>
      </c>
      <c r="BP275" t="s">
        <v>18320</v>
      </c>
      <c r="BQ275" t="s">
        <v>18320</v>
      </c>
      <c r="BR275" t="s">
        <v>18320</v>
      </c>
      <c r="BS275" t="s">
        <v>18320</v>
      </c>
      <c r="BT275" t="s">
        <v>18320</v>
      </c>
      <c r="BU275" t="s">
        <v>18320</v>
      </c>
      <c r="BV275" t="s">
        <v>18320</v>
      </c>
      <c r="BW275" t="s">
        <v>18320</v>
      </c>
      <c r="BX275" t="s">
        <v>18320</v>
      </c>
      <c r="BY275" t="s">
        <v>18320</v>
      </c>
      <c r="BZ275" t="s">
        <v>18320</v>
      </c>
      <c r="CA275" t="s">
        <v>18320</v>
      </c>
      <c r="CB275" t="s">
        <v>18320</v>
      </c>
      <c r="CC275" t="s">
        <v>18320</v>
      </c>
      <c r="CD275" t="s">
        <v>18320</v>
      </c>
      <c r="CE275" t="s">
        <v>18320</v>
      </c>
      <c r="CF275" t="s">
        <v>18320</v>
      </c>
      <c r="CG275" t="s">
        <v>18320</v>
      </c>
      <c r="CH275" t="s">
        <v>18320</v>
      </c>
      <c r="CI275" t="s">
        <v>18320</v>
      </c>
      <c r="CJ275" t="s">
        <v>18320</v>
      </c>
      <c r="CK275" t="s">
        <v>18320</v>
      </c>
      <c r="CL275" t="s">
        <v>18320</v>
      </c>
      <c r="CM275">
        <v>-99</v>
      </c>
      <c r="CN275">
        <v>-99</v>
      </c>
      <c r="CO275" t="s">
        <v>12255</v>
      </c>
      <c r="CP275" t="s">
        <v>12255</v>
      </c>
      <c r="CQ275" t="s">
        <v>12458</v>
      </c>
      <c r="CR275" t="s">
        <v>12308</v>
      </c>
      <c r="CS275">
        <v>5</v>
      </c>
      <c r="CT275">
        <v>5</v>
      </c>
      <c r="CU275">
        <v>4</v>
      </c>
      <c r="CV275">
        <v>-99</v>
      </c>
      <c r="CW275">
        <v>1</v>
      </c>
      <c r="CX275">
        <v>0</v>
      </c>
      <c r="CY275">
        <v>3</v>
      </c>
      <c r="CZ275">
        <v>8</v>
      </c>
      <c r="DA275">
        <v>45.874383000000002</v>
      </c>
      <c r="DB275">
        <v>15.328226000000001</v>
      </c>
      <c r="DC275">
        <v>1159321425</v>
      </c>
      <c r="DD275" t="s">
        <v>18326</v>
      </c>
      <c r="DE275" t="s">
        <v>18327</v>
      </c>
      <c r="DF275" t="s">
        <v>18328</v>
      </c>
      <c r="DG275" t="s">
        <v>18329</v>
      </c>
      <c r="DH275" t="s">
        <v>189</v>
      </c>
      <c r="DI275" t="s">
        <v>189</v>
      </c>
      <c r="DJ275" t="s">
        <v>18330</v>
      </c>
      <c r="DK275" t="s">
        <v>18331</v>
      </c>
      <c r="DL275" t="s">
        <v>18332</v>
      </c>
      <c r="DM275" t="s">
        <v>18333</v>
      </c>
      <c r="DN275" t="s">
        <v>18334</v>
      </c>
      <c r="DO275" t="s">
        <v>18329</v>
      </c>
      <c r="DP275" t="s">
        <v>18335</v>
      </c>
      <c r="DQ275" t="s">
        <v>189</v>
      </c>
      <c r="DR275" t="s">
        <v>18336</v>
      </c>
      <c r="DS275" t="s">
        <v>18337</v>
      </c>
      <c r="DT275" t="s">
        <v>18329</v>
      </c>
      <c r="DU275" t="s">
        <v>18329</v>
      </c>
      <c r="DV275" t="s">
        <v>18338</v>
      </c>
      <c r="DW275" t="s">
        <v>18339</v>
      </c>
      <c r="DX275" t="s">
        <v>18329</v>
      </c>
      <c r="DY275" t="s">
        <v>189</v>
      </c>
      <c r="DZ275" t="s">
        <v>18340</v>
      </c>
      <c r="EA275" t="s">
        <v>18330</v>
      </c>
      <c r="EB275" t="s">
        <v>189</v>
      </c>
      <c r="EC275" t="s">
        <v>18341</v>
      </c>
      <c r="ED275" t="s">
        <v>18342</v>
      </c>
      <c r="EE275" t="s">
        <v>12247</v>
      </c>
      <c r="EG275" t="s">
        <v>12247</v>
      </c>
    </row>
    <row r="276" spans="1:165" x14ac:dyDescent="0.25">
      <c r="A276" t="s">
        <v>190</v>
      </c>
      <c r="B276" t="s">
        <v>12247</v>
      </c>
      <c r="C276">
        <v>0</v>
      </c>
      <c r="D276">
        <v>3</v>
      </c>
      <c r="E276" t="s">
        <v>190</v>
      </c>
      <c r="F276" t="s">
        <v>18343</v>
      </c>
      <c r="G276">
        <v>0</v>
      </c>
      <c r="H276">
        <v>2</v>
      </c>
      <c r="I276" t="s">
        <v>12249</v>
      </c>
      <c r="J276">
        <v>1</v>
      </c>
      <c r="K276" t="s">
        <v>190</v>
      </c>
      <c r="L276" t="s">
        <v>18343</v>
      </c>
      <c r="M276">
        <v>0</v>
      </c>
      <c r="N276" t="s">
        <v>190</v>
      </c>
      <c r="O276" t="s">
        <v>18343</v>
      </c>
      <c r="P276">
        <v>0</v>
      </c>
      <c r="Q276" t="s">
        <v>190</v>
      </c>
      <c r="R276" t="s">
        <v>18343</v>
      </c>
      <c r="S276">
        <v>0</v>
      </c>
      <c r="T276" t="s">
        <v>190</v>
      </c>
      <c r="U276" t="s">
        <v>18343</v>
      </c>
      <c r="V276" t="s">
        <v>190</v>
      </c>
      <c r="X276" t="s">
        <v>190</v>
      </c>
      <c r="Y276" t="s">
        <v>1995</v>
      </c>
      <c r="Z276" t="s">
        <v>18344</v>
      </c>
      <c r="AB276" t="s">
        <v>190</v>
      </c>
      <c r="AE276" t="s">
        <v>190</v>
      </c>
      <c r="AG276">
        <v>5</v>
      </c>
      <c r="AH276">
        <v>8</v>
      </c>
      <c r="AI276">
        <v>5</v>
      </c>
      <c r="AJ276">
        <v>13</v>
      </c>
      <c r="AK276">
        <v>17861030</v>
      </c>
      <c r="AL276">
        <v>14</v>
      </c>
      <c r="AM276">
        <v>2019</v>
      </c>
      <c r="AN276">
        <v>23309</v>
      </c>
      <c r="AO276">
        <v>2019</v>
      </c>
      <c r="AP276" t="s">
        <v>12252</v>
      </c>
      <c r="AQ276" t="s">
        <v>12278</v>
      </c>
      <c r="AR276" t="s">
        <v>1991</v>
      </c>
      <c r="AS276" t="s">
        <v>1995</v>
      </c>
      <c r="AT276" t="s">
        <v>1995</v>
      </c>
      <c r="AU276" t="s">
        <v>18343</v>
      </c>
      <c r="AV276" t="s">
        <v>18343</v>
      </c>
      <c r="AW276">
        <v>894</v>
      </c>
      <c r="AX276">
        <v>894</v>
      </c>
      <c r="AY276">
        <v>894</v>
      </c>
      <c r="AZ276" t="s">
        <v>1995</v>
      </c>
      <c r="BA276" t="s">
        <v>18343</v>
      </c>
      <c r="BB276">
        <v>23425003</v>
      </c>
      <c r="BC276">
        <v>23425003</v>
      </c>
      <c r="BD276" t="s">
        <v>12254</v>
      </c>
      <c r="BE276" t="s">
        <v>18343</v>
      </c>
      <c r="BG276" t="s">
        <v>18343</v>
      </c>
      <c r="BH276" t="s">
        <v>18343</v>
      </c>
      <c r="BI276" t="s">
        <v>18343</v>
      </c>
      <c r="BJ276" t="s">
        <v>18343</v>
      </c>
      <c r="BK276" t="s">
        <v>18343</v>
      </c>
      <c r="BL276" t="s">
        <v>18343</v>
      </c>
      <c r="BM276" t="s">
        <v>18343</v>
      </c>
      <c r="BN276" t="s">
        <v>18343</v>
      </c>
      <c r="BO276" t="s">
        <v>18343</v>
      </c>
      <c r="BP276" t="s">
        <v>18343</v>
      </c>
      <c r="BQ276" t="s">
        <v>18343</v>
      </c>
      <c r="BR276" t="s">
        <v>18343</v>
      </c>
      <c r="BS276" t="s">
        <v>18343</v>
      </c>
      <c r="BT276" t="s">
        <v>18343</v>
      </c>
      <c r="BU276" t="s">
        <v>18343</v>
      </c>
      <c r="BV276" t="s">
        <v>18343</v>
      </c>
      <c r="BW276" t="s">
        <v>18343</v>
      </c>
      <c r="BX276" t="s">
        <v>18343</v>
      </c>
      <c r="BY276" t="s">
        <v>18343</v>
      </c>
      <c r="BZ276" t="s">
        <v>18343</v>
      </c>
      <c r="CA276" t="s">
        <v>18343</v>
      </c>
      <c r="CB276" t="s">
        <v>18343</v>
      </c>
      <c r="CC276" t="s">
        <v>18343</v>
      </c>
      <c r="CD276" t="s">
        <v>18343</v>
      </c>
      <c r="CE276" t="s">
        <v>18343</v>
      </c>
      <c r="CF276" t="s">
        <v>18343</v>
      </c>
      <c r="CG276" t="s">
        <v>18343</v>
      </c>
      <c r="CH276" t="s">
        <v>18343</v>
      </c>
      <c r="CI276" t="s">
        <v>18343</v>
      </c>
      <c r="CJ276" t="s">
        <v>18343</v>
      </c>
      <c r="CK276" t="s">
        <v>18343</v>
      </c>
      <c r="CL276" t="s">
        <v>18343</v>
      </c>
      <c r="CM276">
        <v>-99</v>
      </c>
      <c r="CN276">
        <v>-99</v>
      </c>
      <c r="CO276" t="s">
        <v>12306</v>
      </c>
      <c r="CP276" t="s">
        <v>12306</v>
      </c>
      <c r="CQ276" t="s">
        <v>13085</v>
      </c>
      <c r="CR276" t="s">
        <v>12357</v>
      </c>
      <c r="CS276">
        <v>6</v>
      </c>
      <c r="CT276">
        <v>6</v>
      </c>
      <c r="CU276">
        <v>6</v>
      </c>
      <c r="CV276">
        <v>-99</v>
      </c>
      <c r="CW276">
        <v>1</v>
      </c>
      <c r="CX276">
        <v>0</v>
      </c>
      <c r="CY276">
        <v>3</v>
      </c>
      <c r="CZ276">
        <v>8</v>
      </c>
      <c r="DA276">
        <v>26.395298</v>
      </c>
      <c r="DB276">
        <v>-14.660804000000001</v>
      </c>
      <c r="DC276">
        <v>1159321439</v>
      </c>
      <c r="DD276" t="s">
        <v>18345</v>
      </c>
      <c r="DE276" t="s">
        <v>18346</v>
      </c>
      <c r="DF276" t="s">
        <v>18347</v>
      </c>
      <c r="DG276" t="s">
        <v>18348</v>
      </c>
      <c r="DH276" t="s">
        <v>190</v>
      </c>
      <c r="DI276" t="s">
        <v>190</v>
      </c>
      <c r="DJ276" t="s">
        <v>18349</v>
      </c>
      <c r="DK276" t="s">
        <v>18350</v>
      </c>
      <c r="DL276" t="s">
        <v>18351</v>
      </c>
      <c r="DM276" t="s">
        <v>18352</v>
      </c>
      <c r="DN276" t="s">
        <v>18353</v>
      </c>
      <c r="DO276" t="s">
        <v>190</v>
      </c>
      <c r="DP276" t="s">
        <v>190</v>
      </c>
      <c r="DQ276" t="s">
        <v>190</v>
      </c>
      <c r="DR276" t="s">
        <v>18354</v>
      </c>
      <c r="DS276" t="s">
        <v>18355</v>
      </c>
      <c r="DT276" t="s">
        <v>190</v>
      </c>
      <c r="DU276" t="s">
        <v>190</v>
      </c>
      <c r="DV276" t="s">
        <v>18356</v>
      </c>
      <c r="DW276" t="s">
        <v>18357</v>
      </c>
      <c r="DX276" t="s">
        <v>190</v>
      </c>
      <c r="DY276" t="s">
        <v>18358</v>
      </c>
      <c r="DZ276" t="s">
        <v>18359</v>
      </c>
      <c r="EA276" t="s">
        <v>18360</v>
      </c>
      <c r="EB276" t="s">
        <v>190</v>
      </c>
      <c r="EC276" t="s">
        <v>18361</v>
      </c>
      <c r="ED276" t="s">
        <v>18362</v>
      </c>
      <c r="EE276" t="s">
        <v>12247</v>
      </c>
      <c r="EG276" t="s">
        <v>12247</v>
      </c>
    </row>
    <row r="277" spans="1:165" x14ac:dyDescent="0.25">
      <c r="A277" t="s">
        <v>191</v>
      </c>
      <c r="B277" t="s">
        <v>12247</v>
      </c>
      <c r="C277">
        <v>0</v>
      </c>
      <c r="D277">
        <v>3</v>
      </c>
      <c r="E277" t="s">
        <v>191</v>
      </c>
      <c r="F277" t="s">
        <v>18363</v>
      </c>
      <c r="G277">
        <v>0</v>
      </c>
      <c r="H277">
        <v>2</v>
      </c>
      <c r="I277" t="s">
        <v>12249</v>
      </c>
      <c r="J277">
        <v>1</v>
      </c>
      <c r="K277" t="s">
        <v>191</v>
      </c>
      <c r="L277" t="s">
        <v>18363</v>
      </c>
      <c r="M277">
        <v>0</v>
      </c>
      <c r="N277" t="s">
        <v>191</v>
      </c>
      <c r="O277" t="s">
        <v>18363</v>
      </c>
      <c r="P277">
        <v>0</v>
      </c>
      <c r="Q277" t="s">
        <v>191</v>
      </c>
      <c r="R277" t="s">
        <v>18363</v>
      </c>
      <c r="S277">
        <v>0</v>
      </c>
      <c r="T277" t="s">
        <v>191</v>
      </c>
      <c r="U277" t="s">
        <v>18363</v>
      </c>
      <c r="V277" t="s">
        <v>191</v>
      </c>
      <c r="X277" t="s">
        <v>18364</v>
      </c>
      <c r="Y277" t="s">
        <v>1998</v>
      </c>
      <c r="Z277" t="s">
        <v>18365</v>
      </c>
      <c r="AB277" t="s">
        <v>191</v>
      </c>
      <c r="AE277" t="s">
        <v>191</v>
      </c>
      <c r="AG277">
        <v>1</v>
      </c>
      <c r="AH277">
        <v>5</v>
      </c>
      <c r="AI277">
        <v>3</v>
      </c>
      <c r="AJ277">
        <v>9</v>
      </c>
      <c r="AK277">
        <v>14645468</v>
      </c>
      <c r="AL277">
        <v>14</v>
      </c>
      <c r="AM277">
        <v>2019</v>
      </c>
      <c r="AN277">
        <v>21440</v>
      </c>
      <c r="AO277">
        <v>2019</v>
      </c>
      <c r="AP277" t="s">
        <v>12435</v>
      </c>
      <c r="AQ277" t="s">
        <v>12253</v>
      </c>
      <c r="AR277" t="s">
        <v>18366</v>
      </c>
      <c r="AS277" t="s">
        <v>1998</v>
      </c>
      <c r="AT277" t="s">
        <v>1998</v>
      </c>
      <c r="AU277" t="s">
        <v>18363</v>
      </c>
      <c r="AV277" t="s">
        <v>18363</v>
      </c>
      <c r="AW277">
        <v>716</v>
      </c>
      <c r="AX277">
        <v>716</v>
      </c>
      <c r="AY277">
        <v>716</v>
      </c>
      <c r="AZ277" t="s">
        <v>1998</v>
      </c>
      <c r="BA277" t="s">
        <v>18363</v>
      </c>
      <c r="BB277">
        <v>23425004</v>
      </c>
      <c r="BC277">
        <v>23425004</v>
      </c>
      <c r="BD277" t="s">
        <v>12254</v>
      </c>
      <c r="BE277" t="s">
        <v>18363</v>
      </c>
      <c r="BG277" t="s">
        <v>18363</v>
      </c>
      <c r="BH277" t="s">
        <v>18363</v>
      </c>
      <c r="BI277" t="s">
        <v>18363</v>
      </c>
      <c r="BJ277" t="s">
        <v>18363</v>
      </c>
      <c r="BK277" t="s">
        <v>18363</v>
      </c>
      <c r="BL277" t="s">
        <v>18363</v>
      </c>
      <c r="BM277" t="s">
        <v>18363</v>
      </c>
      <c r="BN277" t="s">
        <v>18363</v>
      </c>
      <c r="BO277" t="s">
        <v>18363</v>
      </c>
      <c r="BP277" t="s">
        <v>18363</v>
      </c>
      <c r="BQ277" t="s">
        <v>18363</v>
      </c>
      <c r="BR277" t="s">
        <v>18363</v>
      </c>
      <c r="BS277" t="s">
        <v>18363</v>
      </c>
      <c r="BT277" t="s">
        <v>18363</v>
      </c>
      <c r="BU277" t="s">
        <v>18363</v>
      </c>
      <c r="BV277" t="s">
        <v>18363</v>
      </c>
      <c r="BW277" t="s">
        <v>18363</v>
      </c>
      <c r="BX277" t="s">
        <v>18363</v>
      </c>
      <c r="BY277" t="s">
        <v>18363</v>
      </c>
      <c r="BZ277" t="s">
        <v>18363</v>
      </c>
      <c r="CA277" t="s">
        <v>18363</v>
      </c>
      <c r="CB277" t="s">
        <v>18363</v>
      </c>
      <c r="CC277" t="s">
        <v>18363</v>
      </c>
      <c r="CD277" t="s">
        <v>18363</v>
      </c>
      <c r="CE277" t="s">
        <v>18363</v>
      </c>
      <c r="CF277" t="s">
        <v>18363</v>
      </c>
      <c r="CG277" t="s">
        <v>18363</v>
      </c>
      <c r="CH277" t="s">
        <v>18363</v>
      </c>
      <c r="CI277" t="s">
        <v>18363</v>
      </c>
      <c r="CJ277" t="s">
        <v>18363</v>
      </c>
      <c r="CK277" t="s">
        <v>18363</v>
      </c>
      <c r="CL277" t="s">
        <v>18363</v>
      </c>
      <c r="CM277">
        <v>-99</v>
      </c>
      <c r="CN277">
        <v>-99</v>
      </c>
      <c r="CO277" t="s">
        <v>12306</v>
      </c>
      <c r="CP277" t="s">
        <v>12306</v>
      </c>
      <c r="CQ277" t="s">
        <v>13085</v>
      </c>
      <c r="CR277" t="s">
        <v>12357</v>
      </c>
      <c r="CS277">
        <v>8</v>
      </c>
      <c r="CT277">
        <v>8</v>
      </c>
      <c r="CU277">
        <v>5</v>
      </c>
      <c r="CV277">
        <v>-99</v>
      </c>
      <c r="CW277">
        <v>1</v>
      </c>
      <c r="CX277">
        <v>0</v>
      </c>
      <c r="CY277">
        <v>2.5</v>
      </c>
      <c r="CZ277">
        <v>8</v>
      </c>
      <c r="DA277">
        <v>29.925443999999999</v>
      </c>
      <c r="DB277">
        <v>-18.911639999999998</v>
      </c>
      <c r="DC277">
        <v>1159321441</v>
      </c>
      <c r="DD277" t="s">
        <v>18367</v>
      </c>
      <c r="DE277" t="s">
        <v>18368</v>
      </c>
      <c r="DF277" t="s">
        <v>18369</v>
      </c>
      <c r="DG277" t="s">
        <v>18370</v>
      </c>
      <c r="DH277" t="s">
        <v>191</v>
      </c>
      <c r="DI277" t="s">
        <v>18371</v>
      </c>
      <c r="DJ277" t="s">
        <v>18372</v>
      </c>
      <c r="DK277" t="s">
        <v>191</v>
      </c>
      <c r="DL277" t="s">
        <v>18373</v>
      </c>
      <c r="DM277" t="s">
        <v>18374</v>
      </c>
      <c r="DN277" t="s">
        <v>18375</v>
      </c>
      <c r="DO277" t="s">
        <v>191</v>
      </c>
      <c r="DP277" t="s">
        <v>191</v>
      </c>
      <c r="DQ277" t="s">
        <v>191</v>
      </c>
      <c r="DR277" t="s">
        <v>18376</v>
      </c>
      <c r="DS277" t="s">
        <v>18377</v>
      </c>
      <c r="DT277" t="s">
        <v>191</v>
      </c>
      <c r="DU277" t="s">
        <v>191</v>
      </c>
      <c r="DV277" t="s">
        <v>18378</v>
      </c>
      <c r="DW277" t="s">
        <v>18379</v>
      </c>
      <c r="DX277" t="s">
        <v>191</v>
      </c>
      <c r="DY277" t="s">
        <v>18380</v>
      </c>
      <c r="DZ277" t="s">
        <v>18381</v>
      </c>
      <c r="EA277" t="s">
        <v>18382</v>
      </c>
      <c r="EB277" t="s">
        <v>191</v>
      </c>
      <c r="EC277" t="s">
        <v>18383</v>
      </c>
      <c r="ED277" t="s">
        <v>18384</v>
      </c>
      <c r="EE277" t="s">
        <v>12247</v>
      </c>
      <c r="EG277" t="s">
        <v>12247</v>
      </c>
    </row>
  </sheetData>
  <sortState xmlns:xlrd2="http://schemas.microsoft.com/office/spreadsheetml/2017/richdata2" ref="A2:IS277">
    <sortCondition ref="A2:A27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8AF3-36E3-4D2E-8FCD-9251B2B307C6}">
  <dimension ref="A1:E5048"/>
  <sheetViews>
    <sheetView workbookViewId="0"/>
  </sheetViews>
  <sheetFormatPr defaultRowHeight="15" x14ac:dyDescent="0.25"/>
  <cols>
    <col min="1" max="2" width="10.7109375" bestFit="1" customWidth="1"/>
    <col min="3" max="3" width="37.85546875" bestFit="1" customWidth="1"/>
    <col min="4" max="4" width="36.85546875" bestFit="1" customWidth="1"/>
    <col min="5" max="5" width="10.7109375" bestFit="1" customWidth="1"/>
  </cols>
  <sheetData>
    <row r="1" spans="1:5" x14ac:dyDescent="0.25">
      <c r="A1" t="s">
        <v>2144</v>
      </c>
      <c r="B1" t="s">
        <v>2145</v>
      </c>
      <c r="C1" t="s">
        <v>2162</v>
      </c>
      <c r="D1" t="s">
        <v>2163</v>
      </c>
      <c r="E1" t="s">
        <v>2164</v>
      </c>
    </row>
    <row r="2" spans="1:5" x14ac:dyDescent="0.25">
      <c r="A2" t="s">
        <v>2165</v>
      </c>
      <c r="B2" t="s">
        <v>2004</v>
      </c>
      <c r="C2" t="s">
        <v>2007</v>
      </c>
      <c r="D2" t="s">
        <v>2166</v>
      </c>
      <c r="E2" t="s">
        <v>2167</v>
      </c>
    </row>
    <row r="3" spans="1:5" x14ac:dyDescent="0.25">
      <c r="A3" t="s">
        <v>1245</v>
      </c>
      <c r="B3" t="s">
        <v>2168</v>
      </c>
      <c r="C3" t="s">
        <v>1242</v>
      </c>
      <c r="D3" t="s">
        <v>2169</v>
      </c>
      <c r="E3" t="s">
        <v>2170</v>
      </c>
    </row>
    <row r="4" spans="1:5" x14ac:dyDescent="0.25">
      <c r="A4" t="s">
        <v>1245</v>
      </c>
      <c r="B4" t="s">
        <v>2171</v>
      </c>
      <c r="C4" t="s">
        <v>2172</v>
      </c>
      <c r="D4" t="s">
        <v>2169</v>
      </c>
      <c r="E4" t="s">
        <v>2170</v>
      </c>
    </row>
    <row r="5" spans="1:5" x14ac:dyDescent="0.25">
      <c r="A5" t="s">
        <v>1245</v>
      </c>
      <c r="B5" t="s">
        <v>2173</v>
      </c>
      <c r="C5" t="s">
        <v>2174</v>
      </c>
      <c r="D5" t="s">
        <v>2169</v>
      </c>
      <c r="E5" t="s">
        <v>2170</v>
      </c>
    </row>
    <row r="6" spans="1:5" x14ac:dyDescent="0.25">
      <c r="A6" t="s">
        <v>1245</v>
      </c>
      <c r="B6" t="s">
        <v>2175</v>
      </c>
      <c r="C6" t="s">
        <v>2176</v>
      </c>
      <c r="D6" t="s">
        <v>2169</v>
      </c>
      <c r="E6" t="s">
        <v>2170</v>
      </c>
    </row>
    <row r="7" spans="1:5" x14ac:dyDescent="0.25">
      <c r="A7" t="s">
        <v>1245</v>
      </c>
      <c r="B7" t="s">
        <v>2177</v>
      </c>
      <c r="C7" t="s">
        <v>2178</v>
      </c>
      <c r="D7" t="s">
        <v>2169</v>
      </c>
      <c r="E7" t="s">
        <v>2170</v>
      </c>
    </row>
    <row r="8" spans="1:5" x14ac:dyDescent="0.25">
      <c r="A8" t="s">
        <v>1245</v>
      </c>
      <c r="B8" t="s">
        <v>2179</v>
      </c>
      <c r="C8" t="s">
        <v>2180</v>
      </c>
      <c r="D8" t="s">
        <v>2169</v>
      </c>
      <c r="E8" t="s">
        <v>2170</v>
      </c>
    </row>
    <row r="9" spans="1:5" x14ac:dyDescent="0.25">
      <c r="A9" t="s">
        <v>1245</v>
      </c>
      <c r="B9" t="s">
        <v>2181</v>
      </c>
      <c r="C9" t="s">
        <v>2182</v>
      </c>
      <c r="D9" t="s">
        <v>2169</v>
      </c>
      <c r="E9" t="s">
        <v>2170</v>
      </c>
    </row>
    <row r="10" spans="1:5" x14ac:dyDescent="0.25">
      <c r="A10" t="s">
        <v>1249</v>
      </c>
      <c r="B10" t="s">
        <v>2183</v>
      </c>
      <c r="C10" t="s">
        <v>2184</v>
      </c>
      <c r="D10" t="s">
        <v>2185</v>
      </c>
      <c r="E10" t="s">
        <v>2170</v>
      </c>
    </row>
    <row r="11" spans="1:5" x14ac:dyDescent="0.25">
      <c r="A11" t="s">
        <v>1249</v>
      </c>
      <c r="B11" t="s">
        <v>2186</v>
      </c>
      <c r="C11" t="s">
        <v>2187</v>
      </c>
      <c r="D11" t="s">
        <v>2185</v>
      </c>
      <c r="E11" t="s">
        <v>2170</v>
      </c>
    </row>
    <row r="12" spans="1:5" x14ac:dyDescent="0.25">
      <c r="A12" t="s">
        <v>1249</v>
      </c>
      <c r="B12" t="s">
        <v>2188</v>
      </c>
      <c r="C12" t="s">
        <v>2189</v>
      </c>
      <c r="D12" t="s">
        <v>2185</v>
      </c>
      <c r="E12" t="s">
        <v>2170</v>
      </c>
    </row>
    <row r="13" spans="1:5" x14ac:dyDescent="0.25">
      <c r="A13" t="s">
        <v>1249</v>
      </c>
      <c r="B13" t="s">
        <v>2190</v>
      </c>
      <c r="C13" t="s">
        <v>2191</v>
      </c>
      <c r="D13" t="s">
        <v>2185</v>
      </c>
      <c r="E13" t="s">
        <v>2170</v>
      </c>
    </row>
    <row r="14" spans="1:5" x14ac:dyDescent="0.25">
      <c r="A14" t="s">
        <v>1249</v>
      </c>
      <c r="B14" t="s">
        <v>2192</v>
      </c>
      <c r="C14" t="s">
        <v>2193</v>
      </c>
      <c r="D14" t="s">
        <v>2185</v>
      </c>
      <c r="E14" t="s">
        <v>2170</v>
      </c>
    </row>
    <row r="15" spans="1:5" x14ac:dyDescent="0.25">
      <c r="A15" t="s">
        <v>1249</v>
      </c>
      <c r="B15" t="s">
        <v>2194</v>
      </c>
      <c r="C15" t="s">
        <v>2195</v>
      </c>
      <c r="D15" t="s">
        <v>2185</v>
      </c>
      <c r="E15" t="s">
        <v>2170</v>
      </c>
    </row>
    <row r="16" spans="1:5" x14ac:dyDescent="0.25">
      <c r="A16" t="s">
        <v>1249</v>
      </c>
      <c r="B16" t="s">
        <v>2196</v>
      </c>
      <c r="C16" t="s">
        <v>2197</v>
      </c>
      <c r="D16" t="s">
        <v>2185</v>
      </c>
      <c r="E16" t="s">
        <v>2170</v>
      </c>
    </row>
    <row r="17" spans="1:5" x14ac:dyDescent="0.25">
      <c r="A17" t="s">
        <v>1252</v>
      </c>
      <c r="B17" t="s">
        <v>2198</v>
      </c>
      <c r="C17" t="s">
        <v>2199</v>
      </c>
      <c r="D17" t="s">
        <v>2200</v>
      </c>
      <c r="E17" t="s">
        <v>2170</v>
      </c>
    </row>
    <row r="18" spans="1:5" x14ac:dyDescent="0.25">
      <c r="A18" t="s">
        <v>1252</v>
      </c>
      <c r="B18" t="s">
        <v>2201</v>
      </c>
      <c r="C18" t="s">
        <v>2202</v>
      </c>
      <c r="D18" t="s">
        <v>2200</v>
      </c>
      <c r="E18" t="s">
        <v>2170</v>
      </c>
    </row>
    <row r="19" spans="1:5" x14ac:dyDescent="0.25">
      <c r="A19" t="s">
        <v>1252</v>
      </c>
      <c r="B19" t="s">
        <v>2203</v>
      </c>
      <c r="C19" t="s">
        <v>2204</v>
      </c>
      <c r="D19" t="s">
        <v>2200</v>
      </c>
      <c r="E19" t="s">
        <v>2170</v>
      </c>
    </row>
    <row r="20" spans="1:5" x14ac:dyDescent="0.25">
      <c r="A20" t="s">
        <v>1252</v>
      </c>
      <c r="B20" t="s">
        <v>2205</v>
      </c>
      <c r="C20" t="s">
        <v>2206</v>
      </c>
      <c r="D20" t="s">
        <v>2200</v>
      </c>
      <c r="E20" t="s">
        <v>2170</v>
      </c>
    </row>
    <row r="21" spans="1:5" x14ac:dyDescent="0.25">
      <c r="A21" t="s">
        <v>1252</v>
      </c>
      <c r="B21" t="s">
        <v>2207</v>
      </c>
      <c r="C21" t="s">
        <v>2208</v>
      </c>
      <c r="D21" t="s">
        <v>2200</v>
      </c>
      <c r="E21" t="s">
        <v>2170</v>
      </c>
    </row>
    <row r="22" spans="1:5" x14ac:dyDescent="0.25">
      <c r="A22" t="s">
        <v>1252</v>
      </c>
      <c r="B22" t="s">
        <v>2209</v>
      </c>
      <c r="C22" t="s">
        <v>2210</v>
      </c>
      <c r="D22" t="s">
        <v>2200</v>
      </c>
      <c r="E22" t="s">
        <v>2170</v>
      </c>
    </row>
    <row r="23" spans="1:5" x14ac:dyDescent="0.25">
      <c r="A23" t="s">
        <v>1252</v>
      </c>
      <c r="B23" t="s">
        <v>2211</v>
      </c>
      <c r="C23" t="s">
        <v>2212</v>
      </c>
      <c r="D23" t="s">
        <v>2200</v>
      </c>
      <c r="E23" t="s">
        <v>2170</v>
      </c>
    </row>
    <row r="24" spans="1:5" x14ac:dyDescent="0.25">
      <c r="A24" t="s">
        <v>1252</v>
      </c>
      <c r="B24" t="s">
        <v>2213</v>
      </c>
      <c r="C24" t="s">
        <v>2214</v>
      </c>
      <c r="D24" t="s">
        <v>2200</v>
      </c>
      <c r="E24" t="s">
        <v>2170</v>
      </c>
    </row>
    <row r="25" spans="1:5" x14ac:dyDescent="0.25">
      <c r="A25" t="s">
        <v>1252</v>
      </c>
      <c r="B25" t="s">
        <v>2215</v>
      </c>
      <c r="C25" t="s">
        <v>2216</v>
      </c>
      <c r="D25" t="s">
        <v>2200</v>
      </c>
      <c r="E25" t="s">
        <v>2170</v>
      </c>
    </row>
    <row r="26" spans="1:5" x14ac:dyDescent="0.25">
      <c r="A26" t="s">
        <v>1252</v>
      </c>
      <c r="B26" t="s">
        <v>2217</v>
      </c>
      <c r="C26" t="s">
        <v>2218</v>
      </c>
      <c r="D26" t="s">
        <v>2200</v>
      </c>
      <c r="E26" t="s">
        <v>2170</v>
      </c>
    </row>
    <row r="27" spans="1:5" x14ac:dyDescent="0.25">
      <c r="A27" t="s">
        <v>1252</v>
      </c>
      <c r="B27" t="s">
        <v>2219</v>
      </c>
      <c r="C27" t="s">
        <v>2220</v>
      </c>
      <c r="D27" t="s">
        <v>2200</v>
      </c>
      <c r="E27" t="s">
        <v>2170</v>
      </c>
    </row>
    <row r="28" spans="1:5" x14ac:dyDescent="0.25">
      <c r="A28" t="s">
        <v>1252</v>
      </c>
      <c r="B28" t="s">
        <v>2221</v>
      </c>
      <c r="C28" t="s">
        <v>2222</v>
      </c>
      <c r="D28" t="s">
        <v>2200</v>
      </c>
      <c r="E28" t="s">
        <v>2170</v>
      </c>
    </row>
    <row r="29" spans="1:5" x14ac:dyDescent="0.25">
      <c r="A29" t="s">
        <v>1252</v>
      </c>
      <c r="B29" t="s">
        <v>2223</v>
      </c>
      <c r="C29" t="s">
        <v>2224</v>
      </c>
      <c r="D29" t="s">
        <v>2200</v>
      </c>
      <c r="E29" t="s">
        <v>2170</v>
      </c>
    </row>
    <row r="30" spans="1:5" x14ac:dyDescent="0.25">
      <c r="A30" t="s">
        <v>1252</v>
      </c>
      <c r="B30" t="s">
        <v>2225</v>
      </c>
      <c r="C30" t="s">
        <v>2226</v>
      </c>
      <c r="D30" t="s">
        <v>2200</v>
      </c>
      <c r="E30" t="s">
        <v>2170</v>
      </c>
    </row>
    <row r="31" spans="1:5" x14ac:dyDescent="0.25">
      <c r="A31" t="s">
        <v>1252</v>
      </c>
      <c r="B31" t="s">
        <v>2227</v>
      </c>
      <c r="C31" t="s">
        <v>2228</v>
      </c>
      <c r="D31" t="s">
        <v>2200</v>
      </c>
      <c r="E31" t="s">
        <v>2170</v>
      </c>
    </row>
    <row r="32" spans="1:5" x14ac:dyDescent="0.25">
      <c r="A32" t="s">
        <v>1252</v>
      </c>
      <c r="B32" t="s">
        <v>2229</v>
      </c>
      <c r="C32" t="s">
        <v>2230</v>
      </c>
      <c r="D32" t="s">
        <v>2200</v>
      </c>
      <c r="E32" t="s">
        <v>2170</v>
      </c>
    </row>
    <row r="33" spans="1:5" x14ac:dyDescent="0.25">
      <c r="A33" t="s">
        <v>1252</v>
      </c>
      <c r="B33" t="s">
        <v>2231</v>
      </c>
      <c r="C33" t="s">
        <v>2232</v>
      </c>
      <c r="D33" t="s">
        <v>2200</v>
      </c>
      <c r="E33" t="s">
        <v>2170</v>
      </c>
    </row>
    <row r="34" spans="1:5" x14ac:dyDescent="0.25">
      <c r="A34" t="s">
        <v>1252</v>
      </c>
      <c r="B34" t="s">
        <v>2233</v>
      </c>
      <c r="C34" t="s">
        <v>2234</v>
      </c>
      <c r="D34" t="s">
        <v>2200</v>
      </c>
      <c r="E34" t="s">
        <v>2170</v>
      </c>
    </row>
    <row r="35" spans="1:5" x14ac:dyDescent="0.25">
      <c r="A35" t="s">
        <v>1252</v>
      </c>
      <c r="B35" t="s">
        <v>2235</v>
      </c>
      <c r="C35" t="s">
        <v>2236</v>
      </c>
      <c r="D35" t="s">
        <v>2200</v>
      </c>
      <c r="E35" t="s">
        <v>2170</v>
      </c>
    </row>
    <row r="36" spans="1:5" x14ac:dyDescent="0.25">
      <c r="A36" t="s">
        <v>1252</v>
      </c>
      <c r="B36" t="s">
        <v>2237</v>
      </c>
      <c r="C36" t="s">
        <v>2238</v>
      </c>
      <c r="D36" t="s">
        <v>2200</v>
      </c>
      <c r="E36" t="s">
        <v>2170</v>
      </c>
    </row>
    <row r="37" spans="1:5" x14ac:dyDescent="0.25">
      <c r="A37" t="s">
        <v>1252</v>
      </c>
      <c r="B37" t="s">
        <v>2239</v>
      </c>
      <c r="C37" t="s">
        <v>2240</v>
      </c>
      <c r="D37" t="s">
        <v>2200</v>
      </c>
      <c r="E37" t="s">
        <v>2170</v>
      </c>
    </row>
    <row r="38" spans="1:5" x14ac:dyDescent="0.25">
      <c r="A38" t="s">
        <v>1252</v>
      </c>
      <c r="B38" t="s">
        <v>2241</v>
      </c>
      <c r="C38" t="s">
        <v>2242</v>
      </c>
      <c r="D38" t="s">
        <v>2200</v>
      </c>
      <c r="E38" t="s">
        <v>2170</v>
      </c>
    </row>
    <row r="39" spans="1:5" x14ac:dyDescent="0.25">
      <c r="A39" t="s">
        <v>1252</v>
      </c>
      <c r="B39" t="s">
        <v>2243</v>
      </c>
      <c r="C39" t="s">
        <v>2244</v>
      </c>
      <c r="D39" t="s">
        <v>2200</v>
      </c>
      <c r="E39" t="s">
        <v>2170</v>
      </c>
    </row>
    <row r="40" spans="1:5" x14ac:dyDescent="0.25">
      <c r="A40" t="s">
        <v>1252</v>
      </c>
      <c r="B40" t="s">
        <v>2245</v>
      </c>
      <c r="C40" t="s">
        <v>2246</v>
      </c>
      <c r="D40" t="s">
        <v>2200</v>
      </c>
      <c r="E40" t="s">
        <v>2170</v>
      </c>
    </row>
    <row r="41" spans="1:5" x14ac:dyDescent="0.25">
      <c r="A41" t="s">
        <v>1252</v>
      </c>
      <c r="B41" t="s">
        <v>2247</v>
      </c>
      <c r="C41" t="s">
        <v>2248</v>
      </c>
      <c r="D41" t="s">
        <v>2200</v>
      </c>
      <c r="E41" t="s">
        <v>2170</v>
      </c>
    </row>
    <row r="42" spans="1:5" x14ac:dyDescent="0.25">
      <c r="A42" t="s">
        <v>1252</v>
      </c>
      <c r="B42" t="s">
        <v>2249</v>
      </c>
      <c r="C42" t="s">
        <v>2250</v>
      </c>
      <c r="D42" t="s">
        <v>2200</v>
      </c>
      <c r="E42" t="s">
        <v>2170</v>
      </c>
    </row>
    <row r="43" spans="1:5" x14ac:dyDescent="0.25">
      <c r="A43" t="s">
        <v>1252</v>
      </c>
      <c r="B43" t="s">
        <v>2251</v>
      </c>
      <c r="C43" t="s">
        <v>2252</v>
      </c>
      <c r="D43" t="s">
        <v>2200</v>
      </c>
      <c r="E43" t="s">
        <v>2170</v>
      </c>
    </row>
    <row r="44" spans="1:5" x14ac:dyDescent="0.25">
      <c r="A44" t="s">
        <v>1252</v>
      </c>
      <c r="B44" t="s">
        <v>2253</v>
      </c>
      <c r="C44" t="s">
        <v>2254</v>
      </c>
      <c r="D44" t="s">
        <v>2200</v>
      </c>
      <c r="E44" t="s">
        <v>2170</v>
      </c>
    </row>
    <row r="45" spans="1:5" x14ac:dyDescent="0.25">
      <c r="A45" t="s">
        <v>1252</v>
      </c>
      <c r="B45" t="s">
        <v>2255</v>
      </c>
      <c r="C45" t="s">
        <v>2256</v>
      </c>
      <c r="D45" t="s">
        <v>2200</v>
      </c>
      <c r="E45" t="s">
        <v>2170</v>
      </c>
    </row>
    <row r="46" spans="1:5" x14ac:dyDescent="0.25">
      <c r="A46" t="s">
        <v>1252</v>
      </c>
      <c r="B46" t="s">
        <v>2257</v>
      </c>
      <c r="C46" t="s">
        <v>2258</v>
      </c>
      <c r="D46" t="s">
        <v>2200</v>
      </c>
      <c r="E46" t="s">
        <v>2170</v>
      </c>
    </row>
    <row r="47" spans="1:5" x14ac:dyDescent="0.25">
      <c r="A47" t="s">
        <v>1252</v>
      </c>
      <c r="B47" t="s">
        <v>2259</v>
      </c>
      <c r="C47" t="s">
        <v>2260</v>
      </c>
      <c r="D47" t="s">
        <v>2200</v>
      </c>
      <c r="E47" t="s">
        <v>2170</v>
      </c>
    </row>
    <row r="48" spans="1:5" x14ac:dyDescent="0.25">
      <c r="A48" t="s">
        <v>1252</v>
      </c>
      <c r="B48" t="s">
        <v>2261</v>
      </c>
      <c r="C48" t="s">
        <v>2262</v>
      </c>
      <c r="D48" t="s">
        <v>2200</v>
      </c>
      <c r="E48" t="s">
        <v>2170</v>
      </c>
    </row>
    <row r="49" spans="1:5" x14ac:dyDescent="0.25">
      <c r="A49" t="s">
        <v>1252</v>
      </c>
      <c r="B49" t="s">
        <v>2263</v>
      </c>
      <c r="C49" t="s">
        <v>2264</v>
      </c>
      <c r="D49" t="s">
        <v>2200</v>
      </c>
      <c r="E49" t="s">
        <v>2170</v>
      </c>
    </row>
    <row r="50" spans="1:5" x14ac:dyDescent="0.25">
      <c r="A50" t="s">
        <v>1252</v>
      </c>
      <c r="B50" t="s">
        <v>2265</v>
      </c>
      <c r="C50" t="s">
        <v>2266</v>
      </c>
      <c r="D50" t="s">
        <v>2200</v>
      </c>
      <c r="E50" t="s">
        <v>2170</v>
      </c>
    </row>
    <row r="51" spans="1:5" x14ac:dyDescent="0.25">
      <c r="A51" t="s">
        <v>1255</v>
      </c>
      <c r="B51" t="s">
        <v>2267</v>
      </c>
      <c r="C51" t="s">
        <v>2268</v>
      </c>
      <c r="D51" t="s">
        <v>2169</v>
      </c>
      <c r="E51" t="s">
        <v>2170</v>
      </c>
    </row>
    <row r="52" spans="1:5" x14ac:dyDescent="0.25">
      <c r="A52" t="s">
        <v>1255</v>
      </c>
      <c r="B52" t="s">
        <v>2269</v>
      </c>
      <c r="C52" t="s">
        <v>2270</v>
      </c>
      <c r="D52" t="s">
        <v>2169</v>
      </c>
      <c r="E52" t="s">
        <v>2170</v>
      </c>
    </row>
    <row r="53" spans="1:5" x14ac:dyDescent="0.25">
      <c r="A53" t="s">
        <v>1255</v>
      </c>
      <c r="B53" t="s">
        <v>2271</v>
      </c>
      <c r="C53" t="s">
        <v>2272</v>
      </c>
      <c r="D53" t="s">
        <v>2169</v>
      </c>
      <c r="E53" t="s">
        <v>2170</v>
      </c>
    </row>
    <row r="54" spans="1:5" x14ac:dyDescent="0.25">
      <c r="A54" t="s">
        <v>1255</v>
      </c>
      <c r="B54" t="s">
        <v>2273</v>
      </c>
      <c r="C54" t="s">
        <v>2274</v>
      </c>
      <c r="D54" t="s">
        <v>2169</v>
      </c>
      <c r="E54" t="s">
        <v>2170</v>
      </c>
    </row>
    <row r="55" spans="1:5" x14ac:dyDescent="0.25">
      <c r="A55" t="s">
        <v>1255</v>
      </c>
      <c r="B55" t="s">
        <v>2275</v>
      </c>
      <c r="C55" t="s">
        <v>2276</v>
      </c>
      <c r="D55" t="s">
        <v>2169</v>
      </c>
      <c r="E55" t="s">
        <v>2170</v>
      </c>
    </row>
    <row r="56" spans="1:5" x14ac:dyDescent="0.25">
      <c r="A56" t="s">
        <v>1255</v>
      </c>
      <c r="B56" t="s">
        <v>2277</v>
      </c>
      <c r="C56" t="s">
        <v>2278</v>
      </c>
      <c r="D56" t="s">
        <v>2169</v>
      </c>
      <c r="E56" t="s">
        <v>2170</v>
      </c>
    </row>
    <row r="57" spans="1:5" x14ac:dyDescent="0.25">
      <c r="A57" t="s">
        <v>1255</v>
      </c>
      <c r="B57" t="s">
        <v>2279</v>
      </c>
      <c r="C57" t="s">
        <v>2280</v>
      </c>
      <c r="D57" t="s">
        <v>2281</v>
      </c>
      <c r="E57" t="s">
        <v>2170</v>
      </c>
    </row>
    <row r="58" spans="1:5" x14ac:dyDescent="0.25">
      <c r="A58" t="s">
        <v>1255</v>
      </c>
      <c r="B58" t="s">
        <v>2282</v>
      </c>
      <c r="C58" t="s">
        <v>2283</v>
      </c>
      <c r="D58" t="s">
        <v>2281</v>
      </c>
      <c r="E58" t="s">
        <v>2170</v>
      </c>
    </row>
    <row r="59" spans="1:5" x14ac:dyDescent="0.25">
      <c r="A59" t="s">
        <v>1261</v>
      </c>
      <c r="B59" t="s">
        <v>2284</v>
      </c>
      <c r="C59" t="s">
        <v>2285</v>
      </c>
      <c r="D59" t="s">
        <v>2286</v>
      </c>
      <c r="E59" t="s">
        <v>2170</v>
      </c>
    </row>
    <row r="60" spans="1:5" x14ac:dyDescent="0.25">
      <c r="A60" t="s">
        <v>1261</v>
      </c>
      <c r="B60" t="s">
        <v>2287</v>
      </c>
      <c r="C60" t="s">
        <v>2288</v>
      </c>
      <c r="D60" t="s">
        <v>2286</v>
      </c>
      <c r="E60" t="s">
        <v>2170</v>
      </c>
    </row>
    <row r="61" spans="1:5" x14ac:dyDescent="0.25">
      <c r="A61" t="s">
        <v>1261</v>
      </c>
      <c r="B61" t="s">
        <v>2289</v>
      </c>
      <c r="C61" t="s">
        <v>2290</v>
      </c>
      <c r="D61" t="s">
        <v>2286</v>
      </c>
      <c r="E61" t="s">
        <v>2170</v>
      </c>
    </row>
    <row r="62" spans="1:5" x14ac:dyDescent="0.25">
      <c r="A62" t="s">
        <v>1261</v>
      </c>
      <c r="B62" t="s">
        <v>2291</v>
      </c>
      <c r="C62" t="s">
        <v>2292</v>
      </c>
      <c r="D62" t="s">
        <v>2286</v>
      </c>
      <c r="E62" t="s">
        <v>2170</v>
      </c>
    </row>
    <row r="63" spans="1:5" x14ac:dyDescent="0.25">
      <c r="A63" t="s">
        <v>1261</v>
      </c>
      <c r="B63" t="s">
        <v>2293</v>
      </c>
      <c r="C63" t="s">
        <v>2294</v>
      </c>
      <c r="D63" t="s">
        <v>2286</v>
      </c>
      <c r="E63" t="s">
        <v>2170</v>
      </c>
    </row>
    <row r="64" spans="1:5" x14ac:dyDescent="0.25">
      <c r="A64" t="s">
        <v>1261</v>
      </c>
      <c r="B64" t="s">
        <v>2295</v>
      </c>
      <c r="C64" t="s">
        <v>2296</v>
      </c>
      <c r="D64" t="s">
        <v>2286</v>
      </c>
      <c r="E64" t="s">
        <v>2170</v>
      </c>
    </row>
    <row r="65" spans="1:5" x14ac:dyDescent="0.25">
      <c r="A65" t="s">
        <v>1261</v>
      </c>
      <c r="B65" t="s">
        <v>2297</v>
      </c>
      <c r="C65" t="s">
        <v>2298</v>
      </c>
      <c r="D65" t="s">
        <v>2286</v>
      </c>
      <c r="E65" t="s">
        <v>2170</v>
      </c>
    </row>
    <row r="66" spans="1:5" x14ac:dyDescent="0.25">
      <c r="A66" t="s">
        <v>1261</v>
      </c>
      <c r="B66" t="s">
        <v>2299</v>
      </c>
      <c r="C66" t="s">
        <v>2300</v>
      </c>
      <c r="D66" t="s">
        <v>2286</v>
      </c>
      <c r="E66" t="s">
        <v>2170</v>
      </c>
    </row>
    <row r="67" spans="1:5" x14ac:dyDescent="0.25">
      <c r="A67" t="s">
        <v>1261</v>
      </c>
      <c r="B67" t="s">
        <v>2301</v>
      </c>
      <c r="C67" t="s">
        <v>2302</v>
      </c>
      <c r="D67" t="s">
        <v>2286</v>
      </c>
      <c r="E67" t="s">
        <v>2170</v>
      </c>
    </row>
    <row r="68" spans="1:5" x14ac:dyDescent="0.25">
      <c r="A68" t="s">
        <v>1261</v>
      </c>
      <c r="B68" t="s">
        <v>2303</v>
      </c>
      <c r="C68" t="s">
        <v>2304</v>
      </c>
      <c r="D68" t="s">
        <v>2286</v>
      </c>
      <c r="E68" t="s">
        <v>2170</v>
      </c>
    </row>
    <row r="69" spans="1:5" x14ac:dyDescent="0.25">
      <c r="A69" t="s">
        <v>1261</v>
      </c>
      <c r="B69" t="s">
        <v>2305</v>
      </c>
      <c r="C69" t="s">
        <v>2306</v>
      </c>
      <c r="D69" t="s">
        <v>2286</v>
      </c>
      <c r="E69" t="s">
        <v>2170</v>
      </c>
    </row>
    <row r="70" spans="1:5" x14ac:dyDescent="0.25">
      <c r="A70" t="s">
        <v>1261</v>
      </c>
      <c r="B70" t="s">
        <v>2307</v>
      </c>
      <c r="C70" t="s">
        <v>2308</v>
      </c>
      <c r="D70" t="s">
        <v>2286</v>
      </c>
      <c r="E70" t="s">
        <v>2170</v>
      </c>
    </row>
    <row r="71" spans="1:5" x14ac:dyDescent="0.25">
      <c r="A71" t="s">
        <v>1264</v>
      </c>
      <c r="B71" t="s">
        <v>2309</v>
      </c>
      <c r="C71" t="s">
        <v>2310</v>
      </c>
      <c r="D71" t="s">
        <v>2311</v>
      </c>
      <c r="E71" t="s">
        <v>2170</v>
      </c>
    </row>
    <row r="72" spans="1:5" x14ac:dyDescent="0.25">
      <c r="A72" t="s">
        <v>1264</v>
      </c>
      <c r="B72" t="s">
        <v>2312</v>
      </c>
      <c r="C72" t="s">
        <v>2313</v>
      </c>
      <c r="D72" t="s">
        <v>2311</v>
      </c>
      <c r="E72" t="s">
        <v>2170</v>
      </c>
    </row>
    <row r="73" spans="1:5" x14ac:dyDescent="0.25">
      <c r="A73" t="s">
        <v>1264</v>
      </c>
      <c r="B73" t="s">
        <v>2314</v>
      </c>
      <c r="C73" t="s">
        <v>2315</v>
      </c>
      <c r="D73" t="s">
        <v>2311</v>
      </c>
      <c r="E73" t="s">
        <v>2170</v>
      </c>
    </row>
    <row r="74" spans="1:5" x14ac:dyDescent="0.25">
      <c r="A74" t="s">
        <v>1264</v>
      </c>
      <c r="B74" t="s">
        <v>2316</v>
      </c>
      <c r="C74" t="s">
        <v>2317</v>
      </c>
      <c r="D74" t="s">
        <v>2318</v>
      </c>
      <c r="E74" t="s">
        <v>2170</v>
      </c>
    </row>
    <row r="75" spans="1:5" x14ac:dyDescent="0.25">
      <c r="A75" t="s">
        <v>1264</v>
      </c>
      <c r="B75" t="s">
        <v>2319</v>
      </c>
      <c r="C75" t="s">
        <v>2320</v>
      </c>
      <c r="D75" t="s">
        <v>2311</v>
      </c>
      <c r="E75" t="s">
        <v>2170</v>
      </c>
    </row>
    <row r="76" spans="1:5" x14ac:dyDescent="0.25">
      <c r="A76" t="s">
        <v>1264</v>
      </c>
      <c r="B76" t="s">
        <v>2321</v>
      </c>
      <c r="C76" t="s">
        <v>2322</v>
      </c>
      <c r="D76" t="s">
        <v>2311</v>
      </c>
      <c r="E76" t="s">
        <v>2170</v>
      </c>
    </row>
    <row r="77" spans="1:5" x14ac:dyDescent="0.25">
      <c r="A77" t="s">
        <v>1264</v>
      </c>
      <c r="B77" t="s">
        <v>2323</v>
      </c>
      <c r="C77" t="s">
        <v>2324</v>
      </c>
      <c r="D77" t="s">
        <v>2311</v>
      </c>
      <c r="E77" t="s">
        <v>2170</v>
      </c>
    </row>
    <row r="78" spans="1:5" x14ac:dyDescent="0.25">
      <c r="A78" t="s">
        <v>1264</v>
      </c>
      <c r="B78" t="s">
        <v>2325</v>
      </c>
      <c r="C78" t="s">
        <v>2326</v>
      </c>
      <c r="D78" t="s">
        <v>2311</v>
      </c>
      <c r="E78" t="s">
        <v>2170</v>
      </c>
    </row>
    <row r="79" spans="1:5" x14ac:dyDescent="0.25">
      <c r="A79" t="s">
        <v>1264</v>
      </c>
      <c r="B79" t="s">
        <v>2327</v>
      </c>
      <c r="C79" t="s">
        <v>2328</v>
      </c>
      <c r="D79" t="s">
        <v>2311</v>
      </c>
      <c r="E79" t="s">
        <v>2170</v>
      </c>
    </row>
    <row r="80" spans="1:5" x14ac:dyDescent="0.25">
      <c r="A80" t="s">
        <v>1264</v>
      </c>
      <c r="B80" t="s">
        <v>2329</v>
      </c>
      <c r="C80" t="s">
        <v>2330</v>
      </c>
      <c r="D80" t="s">
        <v>2311</v>
      </c>
      <c r="E80" t="s">
        <v>2170</v>
      </c>
    </row>
    <row r="81" spans="1:5" x14ac:dyDescent="0.25">
      <c r="A81" t="s">
        <v>1264</v>
      </c>
      <c r="B81" t="s">
        <v>2331</v>
      </c>
      <c r="C81" t="s">
        <v>2332</v>
      </c>
      <c r="D81" t="s">
        <v>2311</v>
      </c>
      <c r="E81" t="s">
        <v>2170</v>
      </c>
    </row>
    <row r="82" spans="1:5" x14ac:dyDescent="0.25">
      <c r="A82" t="s">
        <v>1267</v>
      </c>
      <c r="B82" t="s">
        <v>2333</v>
      </c>
      <c r="C82" t="s">
        <v>2334</v>
      </c>
      <c r="D82" t="s">
        <v>2200</v>
      </c>
      <c r="E82" t="s">
        <v>2170</v>
      </c>
    </row>
    <row r="83" spans="1:5" x14ac:dyDescent="0.25">
      <c r="A83" t="s">
        <v>1267</v>
      </c>
      <c r="B83" t="s">
        <v>2335</v>
      </c>
      <c r="C83" t="s">
        <v>2336</v>
      </c>
      <c r="D83" t="s">
        <v>2200</v>
      </c>
      <c r="E83" t="s">
        <v>2170</v>
      </c>
    </row>
    <row r="84" spans="1:5" x14ac:dyDescent="0.25">
      <c r="A84" t="s">
        <v>1267</v>
      </c>
      <c r="B84" t="s">
        <v>2337</v>
      </c>
      <c r="C84" t="s">
        <v>2338</v>
      </c>
      <c r="D84" t="s">
        <v>2200</v>
      </c>
      <c r="E84" t="s">
        <v>2170</v>
      </c>
    </row>
    <row r="85" spans="1:5" x14ac:dyDescent="0.25">
      <c r="A85" t="s">
        <v>1267</v>
      </c>
      <c r="B85" t="s">
        <v>2339</v>
      </c>
      <c r="C85" t="s">
        <v>2340</v>
      </c>
      <c r="D85" t="s">
        <v>2200</v>
      </c>
      <c r="E85" t="s">
        <v>2170</v>
      </c>
    </row>
    <row r="86" spans="1:5" x14ac:dyDescent="0.25">
      <c r="A86" t="s">
        <v>1267</v>
      </c>
      <c r="B86" t="s">
        <v>2341</v>
      </c>
      <c r="C86" t="s">
        <v>2342</v>
      </c>
      <c r="D86" t="s">
        <v>2200</v>
      </c>
      <c r="E86" t="s">
        <v>2170</v>
      </c>
    </row>
    <row r="87" spans="1:5" x14ac:dyDescent="0.25">
      <c r="A87" t="s">
        <v>1267</v>
      </c>
      <c r="B87" t="s">
        <v>2343</v>
      </c>
      <c r="C87" t="s">
        <v>2344</v>
      </c>
      <c r="D87" t="s">
        <v>2200</v>
      </c>
      <c r="E87" t="s">
        <v>2170</v>
      </c>
    </row>
    <row r="88" spans="1:5" x14ac:dyDescent="0.25">
      <c r="A88" t="s">
        <v>1267</v>
      </c>
      <c r="B88" t="s">
        <v>2345</v>
      </c>
      <c r="C88" t="s">
        <v>2346</v>
      </c>
      <c r="D88" t="s">
        <v>2200</v>
      </c>
      <c r="E88" t="s">
        <v>2170</v>
      </c>
    </row>
    <row r="89" spans="1:5" x14ac:dyDescent="0.25">
      <c r="A89" t="s">
        <v>1267</v>
      </c>
      <c r="B89" t="s">
        <v>2347</v>
      </c>
      <c r="C89" t="s">
        <v>2348</v>
      </c>
      <c r="D89" t="s">
        <v>2200</v>
      </c>
      <c r="E89" t="s">
        <v>2170</v>
      </c>
    </row>
    <row r="90" spans="1:5" x14ac:dyDescent="0.25">
      <c r="A90" t="s">
        <v>1267</v>
      </c>
      <c r="B90" t="s">
        <v>2349</v>
      </c>
      <c r="C90" t="s">
        <v>2350</v>
      </c>
      <c r="D90" t="s">
        <v>2200</v>
      </c>
      <c r="E90" t="s">
        <v>2170</v>
      </c>
    </row>
    <row r="91" spans="1:5" x14ac:dyDescent="0.25">
      <c r="A91" t="s">
        <v>1267</v>
      </c>
      <c r="B91" t="s">
        <v>2351</v>
      </c>
      <c r="C91" t="s">
        <v>2352</v>
      </c>
      <c r="D91" t="s">
        <v>2200</v>
      </c>
      <c r="E91" t="s">
        <v>2170</v>
      </c>
    </row>
    <row r="92" spans="1:5" x14ac:dyDescent="0.25">
      <c r="A92" t="s">
        <v>1267</v>
      </c>
      <c r="B92" t="s">
        <v>2353</v>
      </c>
      <c r="C92" t="s">
        <v>1266</v>
      </c>
      <c r="D92" t="s">
        <v>2200</v>
      </c>
      <c r="E92" t="s">
        <v>2170</v>
      </c>
    </row>
    <row r="93" spans="1:5" x14ac:dyDescent="0.25">
      <c r="A93" t="s">
        <v>1267</v>
      </c>
      <c r="B93" t="s">
        <v>2354</v>
      </c>
      <c r="C93" t="s">
        <v>2355</v>
      </c>
      <c r="D93" t="s">
        <v>2200</v>
      </c>
      <c r="E93" t="s">
        <v>2170</v>
      </c>
    </row>
    <row r="94" spans="1:5" x14ac:dyDescent="0.25">
      <c r="A94" t="s">
        <v>1267</v>
      </c>
      <c r="B94" t="s">
        <v>2356</v>
      </c>
      <c r="C94" t="s">
        <v>2357</v>
      </c>
      <c r="D94" t="s">
        <v>2200</v>
      </c>
      <c r="E94" t="s">
        <v>2170</v>
      </c>
    </row>
    <row r="95" spans="1:5" x14ac:dyDescent="0.25">
      <c r="A95" t="s">
        <v>1267</v>
      </c>
      <c r="B95" t="s">
        <v>2358</v>
      </c>
      <c r="C95" t="s">
        <v>2359</v>
      </c>
      <c r="D95" t="s">
        <v>2200</v>
      </c>
      <c r="E95" t="s">
        <v>2170</v>
      </c>
    </row>
    <row r="96" spans="1:5" x14ac:dyDescent="0.25">
      <c r="A96" t="s">
        <v>1267</v>
      </c>
      <c r="B96" t="s">
        <v>2360</v>
      </c>
      <c r="C96" t="s">
        <v>2361</v>
      </c>
      <c r="D96" t="s">
        <v>2200</v>
      </c>
      <c r="E96" t="s">
        <v>2170</v>
      </c>
    </row>
    <row r="97" spans="1:5" x14ac:dyDescent="0.25">
      <c r="A97" t="s">
        <v>1267</v>
      </c>
      <c r="B97" t="s">
        <v>2362</v>
      </c>
      <c r="C97" t="s">
        <v>2363</v>
      </c>
      <c r="D97" t="s">
        <v>2200</v>
      </c>
      <c r="E97" t="s">
        <v>2170</v>
      </c>
    </row>
    <row r="98" spans="1:5" x14ac:dyDescent="0.25">
      <c r="A98" t="s">
        <v>1267</v>
      </c>
      <c r="B98" t="s">
        <v>2364</v>
      </c>
      <c r="C98" t="s">
        <v>2365</v>
      </c>
      <c r="D98" t="s">
        <v>2200</v>
      </c>
      <c r="E98" t="s">
        <v>2170</v>
      </c>
    </row>
    <row r="99" spans="1:5" x14ac:dyDescent="0.25">
      <c r="A99" t="s">
        <v>1267</v>
      </c>
      <c r="B99" t="s">
        <v>2366</v>
      </c>
      <c r="C99" t="s">
        <v>2367</v>
      </c>
      <c r="D99" t="s">
        <v>2200</v>
      </c>
      <c r="E99" t="s">
        <v>2170</v>
      </c>
    </row>
    <row r="100" spans="1:5" x14ac:dyDescent="0.25">
      <c r="A100" t="s">
        <v>1270</v>
      </c>
      <c r="B100" t="s">
        <v>2368</v>
      </c>
      <c r="C100" t="s">
        <v>1269</v>
      </c>
      <c r="D100" t="s">
        <v>2200</v>
      </c>
      <c r="E100" t="s">
        <v>2170</v>
      </c>
    </row>
    <row r="101" spans="1:5" x14ac:dyDescent="0.25">
      <c r="A101" t="s">
        <v>1270</v>
      </c>
      <c r="B101" t="s">
        <v>2369</v>
      </c>
      <c r="C101" t="s">
        <v>2370</v>
      </c>
      <c r="D101" t="s">
        <v>2200</v>
      </c>
      <c r="E101" t="s">
        <v>2170</v>
      </c>
    </row>
    <row r="102" spans="1:5" x14ac:dyDescent="0.25">
      <c r="A102" t="s">
        <v>1270</v>
      </c>
      <c r="B102" t="s">
        <v>2371</v>
      </c>
      <c r="C102" t="s">
        <v>2372</v>
      </c>
      <c r="D102" t="s">
        <v>2200</v>
      </c>
      <c r="E102" t="s">
        <v>2170</v>
      </c>
    </row>
    <row r="103" spans="1:5" x14ac:dyDescent="0.25">
      <c r="A103" t="s">
        <v>1270</v>
      </c>
      <c r="B103" t="s">
        <v>2373</v>
      </c>
      <c r="C103" t="s">
        <v>2374</v>
      </c>
      <c r="D103" t="s">
        <v>2200</v>
      </c>
      <c r="E103" t="s">
        <v>2170</v>
      </c>
    </row>
    <row r="104" spans="1:5" x14ac:dyDescent="0.25">
      <c r="A104" t="s">
        <v>1270</v>
      </c>
      <c r="B104" t="s">
        <v>2375</v>
      </c>
      <c r="C104" t="s">
        <v>2376</v>
      </c>
      <c r="D104" t="s">
        <v>2318</v>
      </c>
      <c r="E104" t="s">
        <v>2170</v>
      </c>
    </row>
    <row r="105" spans="1:5" x14ac:dyDescent="0.25">
      <c r="A105" t="s">
        <v>1270</v>
      </c>
      <c r="B105" t="s">
        <v>2377</v>
      </c>
      <c r="C105" t="s">
        <v>2378</v>
      </c>
      <c r="D105" t="s">
        <v>2200</v>
      </c>
      <c r="E105" t="s">
        <v>2170</v>
      </c>
    </row>
    <row r="106" spans="1:5" x14ac:dyDescent="0.25">
      <c r="A106" t="s">
        <v>1270</v>
      </c>
      <c r="B106" t="s">
        <v>2379</v>
      </c>
      <c r="C106" t="s">
        <v>2380</v>
      </c>
      <c r="D106" t="s">
        <v>2200</v>
      </c>
      <c r="E106" t="s">
        <v>2170</v>
      </c>
    </row>
    <row r="107" spans="1:5" x14ac:dyDescent="0.25">
      <c r="A107" t="s">
        <v>1270</v>
      </c>
      <c r="B107" t="s">
        <v>2381</v>
      </c>
      <c r="C107" t="s">
        <v>2382</v>
      </c>
      <c r="D107" t="s">
        <v>2200</v>
      </c>
      <c r="E107" t="s">
        <v>2170</v>
      </c>
    </row>
    <row r="108" spans="1:5" x14ac:dyDescent="0.25">
      <c r="A108" t="s">
        <v>1270</v>
      </c>
      <c r="B108" t="s">
        <v>2383</v>
      </c>
      <c r="C108" t="s">
        <v>2384</v>
      </c>
      <c r="D108" t="s">
        <v>2200</v>
      </c>
      <c r="E108" t="s">
        <v>2170</v>
      </c>
    </row>
    <row r="109" spans="1:5" x14ac:dyDescent="0.25">
      <c r="A109" t="s">
        <v>1270</v>
      </c>
      <c r="B109" t="s">
        <v>2385</v>
      </c>
      <c r="C109" t="s">
        <v>2386</v>
      </c>
      <c r="D109" t="s">
        <v>2200</v>
      </c>
      <c r="E109" t="s">
        <v>2170</v>
      </c>
    </row>
    <row r="110" spans="1:5" x14ac:dyDescent="0.25">
      <c r="A110" t="s">
        <v>1270</v>
      </c>
      <c r="B110" t="s">
        <v>2387</v>
      </c>
      <c r="C110" t="s">
        <v>2388</v>
      </c>
      <c r="D110" t="s">
        <v>2200</v>
      </c>
      <c r="E110" t="s">
        <v>2170</v>
      </c>
    </row>
    <row r="111" spans="1:5" x14ac:dyDescent="0.25">
      <c r="A111" t="s">
        <v>1270</v>
      </c>
      <c r="B111" t="s">
        <v>2389</v>
      </c>
      <c r="C111" t="s">
        <v>2390</v>
      </c>
      <c r="D111" t="s">
        <v>2200</v>
      </c>
      <c r="E111" t="s">
        <v>2170</v>
      </c>
    </row>
    <row r="112" spans="1:5" x14ac:dyDescent="0.25">
      <c r="A112" t="s">
        <v>1270</v>
      </c>
      <c r="B112" t="s">
        <v>2391</v>
      </c>
      <c r="C112" t="s">
        <v>2392</v>
      </c>
      <c r="D112" t="s">
        <v>2200</v>
      </c>
      <c r="E112" t="s">
        <v>2170</v>
      </c>
    </row>
    <row r="113" spans="1:5" x14ac:dyDescent="0.25">
      <c r="A113" t="s">
        <v>1270</v>
      </c>
      <c r="B113" t="s">
        <v>2393</v>
      </c>
      <c r="C113" t="s">
        <v>2394</v>
      </c>
      <c r="D113" t="s">
        <v>2200</v>
      </c>
      <c r="E113" t="s">
        <v>2170</v>
      </c>
    </row>
    <row r="114" spans="1:5" x14ac:dyDescent="0.25">
      <c r="A114" t="s">
        <v>1270</v>
      </c>
      <c r="B114" t="s">
        <v>2395</v>
      </c>
      <c r="C114" t="s">
        <v>2396</v>
      </c>
      <c r="D114" t="s">
        <v>2200</v>
      </c>
      <c r="E114" t="s">
        <v>2170</v>
      </c>
    </row>
    <row r="115" spans="1:5" x14ac:dyDescent="0.25">
      <c r="A115" t="s">
        <v>1270</v>
      </c>
      <c r="B115" t="s">
        <v>2397</v>
      </c>
      <c r="C115" t="s">
        <v>2398</v>
      </c>
      <c r="D115" t="s">
        <v>2200</v>
      </c>
      <c r="E115" t="s">
        <v>2170</v>
      </c>
    </row>
    <row r="116" spans="1:5" x14ac:dyDescent="0.25">
      <c r="A116" t="s">
        <v>1270</v>
      </c>
      <c r="B116" t="s">
        <v>2399</v>
      </c>
      <c r="C116" t="s">
        <v>2400</v>
      </c>
      <c r="D116" t="s">
        <v>2200</v>
      </c>
      <c r="E116" t="s">
        <v>2170</v>
      </c>
    </row>
    <row r="117" spans="1:5" x14ac:dyDescent="0.25">
      <c r="A117" t="s">
        <v>1270</v>
      </c>
      <c r="B117" t="s">
        <v>2401</v>
      </c>
      <c r="C117" t="s">
        <v>1799</v>
      </c>
      <c r="D117" t="s">
        <v>2200</v>
      </c>
      <c r="E117" t="s">
        <v>2170</v>
      </c>
    </row>
    <row r="118" spans="1:5" x14ac:dyDescent="0.25">
      <c r="A118" t="s">
        <v>1270</v>
      </c>
      <c r="B118" t="s">
        <v>2402</v>
      </c>
      <c r="C118" t="s">
        <v>2403</v>
      </c>
      <c r="D118" t="s">
        <v>2200</v>
      </c>
      <c r="E118" t="s">
        <v>2170</v>
      </c>
    </row>
    <row r="119" spans="1:5" x14ac:dyDescent="0.25">
      <c r="A119" t="s">
        <v>1270</v>
      </c>
      <c r="B119" t="s">
        <v>2404</v>
      </c>
      <c r="C119" t="s">
        <v>2405</v>
      </c>
      <c r="D119" t="s">
        <v>2200</v>
      </c>
      <c r="E119" t="s">
        <v>2170</v>
      </c>
    </row>
    <row r="120" spans="1:5" x14ac:dyDescent="0.25">
      <c r="A120" t="s">
        <v>1270</v>
      </c>
      <c r="B120" t="s">
        <v>2406</v>
      </c>
      <c r="C120" t="s">
        <v>2050</v>
      </c>
      <c r="D120" t="s">
        <v>2200</v>
      </c>
      <c r="E120" t="s">
        <v>2170</v>
      </c>
    </row>
    <row r="121" spans="1:5" x14ac:dyDescent="0.25">
      <c r="A121" t="s">
        <v>1270</v>
      </c>
      <c r="B121" t="s">
        <v>2407</v>
      </c>
      <c r="C121" t="s">
        <v>2408</v>
      </c>
      <c r="D121" t="s">
        <v>2200</v>
      </c>
      <c r="E121" t="s">
        <v>2170</v>
      </c>
    </row>
    <row r="122" spans="1:5" x14ac:dyDescent="0.25">
      <c r="A122" t="s">
        <v>1270</v>
      </c>
      <c r="B122" t="s">
        <v>2409</v>
      </c>
      <c r="C122" t="s">
        <v>2410</v>
      </c>
      <c r="D122" t="s">
        <v>2200</v>
      </c>
      <c r="E122" t="s">
        <v>2170</v>
      </c>
    </row>
    <row r="123" spans="1:5" x14ac:dyDescent="0.25">
      <c r="A123" t="s">
        <v>1270</v>
      </c>
      <c r="B123" t="s">
        <v>2411</v>
      </c>
      <c r="C123" t="s">
        <v>2412</v>
      </c>
      <c r="D123" t="s">
        <v>2200</v>
      </c>
      <c r="E123" t="s">
        <v>2170</v>
      </c>
    </row>
    <row r="124" spans="1:5" x14ac:dyDescent="0.25">
      <c r="A124" t="s">
        <v>1276</v>
      </c>
      <c r="B124" t="s">
        <v>2413</v>
      </c>
      <c r="C124" t="s">
        <v>2414</v>
      </c>
      <c r="D124" t="s">
        <v>2415</v>
      </c>
      <c r="E124" t="s">
        <v>2170</v>
      </c>
    </row>
    <row r="125" spans="1:5" x14ac:dyDescent="0.25">
      <c r="A125" t="s">
        <v>1276</v>
      </c>
      <c r="B125" t="s">
        <v>2161</v>
      </c>
      <c r="C125" t="s">
        <v>2416</v>
      </c>
      <c r="D125" t="s">
        <v>2415</v>
      </c>
      <c r="E125" t="s">
        <v>2170</v>
      </c>
    </row>
    <row r="126" spans="1:5" x14ac:dyDescent="0.25">
      <c r="A126" t="s">
        <v>1276</v>
      </c>
      <c r="B126" t="s">
        <v>2417</v>
      </c>
      <c r="C126" t="s">
        <v>2418</v>
      </c>
      <c r="D126" t="s">
        <v>2415</v>
      </c>
      <c r="E126" t="s">
        <v>2170</v>
      </c>
    </row>
    <row r="127" spans="1:5" x14ac:dyDescent="0.25">
      <c r="A127" t="s">
        <v>1276</v>
      </c>
      <c r="B127" t="s">
        <v>2419</v>
      </c>
      <c r="C127" t="s">
        <v>2420</v>
      </c>
      <c r="D127" t="s">
        <v>2415</v>
      </c>
      <c r="E127" t="s">
        <v>2170</v>
      </c>
    </row>
    <row r="128" spans="1:5" x14ac:dyDescent="0.25">
      <c r="A128" t="s">
        <v>1276</v>
      </c>
      <c r="B128" t="s">
        <v>2421</v>
      </c>
      <c r="C128" t="s">
        <v>2422</v>
      </c>
      <c r="D128" t="s">
        <v>2415</v>
      </c>
      <c r="E128" t="s">
        <v>2170</v>
      </c>
    </row>
    <row r="129" spans="1:5" x14ac:dyDescent="0.25">
      <c r="A129" t="s">
        <v>1276</v>
      </c>
      <c r="B129" t="s">
        <v>2423</v>
      </c>
      <c r="C129" t="s">
        <v>2424</v>
      </c>
      <c r="D129" t="s">
        <v>2415</v>
      </c>
      <c r="E129" t="s">
        <v>2170</v>
      </c>
    </row>
    <row r="130" spans="1:5" x14ac:dyDescent="0.25">
      <c r="A130" t="s">
        <v>1276</v>
      </c>
      <c r="B130" t="s">
        <v>2425</v>
      </c>
      <c r="C130" t="s">
        <v>2426</v>
      </c>
      <c r="D130" t="s">
        <v>2415</v>
      </c>
      <c r="E130" t="s">
        <v>2170</v>
      </c>
    </row>
    <row r="131" spans="1:5" x14ac:dyDescent="0.25">
      <c r="A131" t="s">
        <v>1276</v>
      </c>
      <c r="B131" t="s">
        <v>2427</v>
      </c>
      <c r="C131" t="s">
        <v>2428</v>
      </c>
      <c r="D131" t="s">
        <v>2415</v>
      </c>
      <c r="E131" t="s">
        <v>2170</v>
      </c>
    </row>
    <row r="132" spans="1:5" x14ac:dyDescent="0.25">
      <c r="A132" t="s">
        <v>1276</v>
      </c>
      <c r="B132" t="s">
        <v>2429</v>
      </c>
      <c r="C132" t="s">
        <v>2430</v>
      </c>
      <c r="D132" t="s">
        <v>2415</v>
      </c>
      <c r="E132" t="s">
        <v>2170</v>
      </c>
    </row>
    <row r="133" spans="1:5" x14ac:dyDescent="0.25">
      <c r="A133" t="s">
        <v>1279</v>
      </c>
      <c r="B133" t="s">
        <v>2431</v>
      </c>
      <c r="C133" t="s">
        <v>2432</v>
      </c>
      <c r="D133" t="s">
        <v>2415</v>
      </c>
      <c r="E133" t="s">
        <v>2170</v>
      </c>
    </row>
    <row r="134" spans="1:5" x14ac:dyDescent="0.25">
      <c r="A134" t="s">
        <v>1279</v>
      </c>
      <c r="B134" t="s">
        <v>2433</v>
      </c>
      <c r="C134" t="s">
        <v>2434</v>
      </c>
      <c r="D134" t="s">
        <v>2415</v>
      </c>
      <c r="E134" t="s">
        <v>2170</v>
      </c>
    </row>
    <row r="135" spans="1:5" x14ac:dyDescent="0.25">
      <c r="A135" t="s">
        <v>1279</v>
      </c>
      <c r="B135" t="s">
        <v>2435</v>
      </c>
      <c r="C135" t="s">
        <v>2436</v>
      </c>
      <c r="D135" t="s">
        <v>2415</v>
      </c>
      <c r="E135" t="s">
        <v>2170</v>
      </c>
    </row>
    <row r="136" spans="1:5" x14ac:dyDescent="0.25">
      <c r="A136" t="s">
        <v>1279</v>
      </c>
      <c r="B136" t="s">
        <v>2437</v>
      </c>
      <c r="C136" t="s">
        <v>2438</v>
      </c>
      <c r="D136" t="s">
        <v>2415</v>
      </c>
      <c r="E136" t="s">
        <v>2170</v>
      </c>
    </row>
    <row r="137" spans="1:5" x14ac:dyDescent="0.25">
      <c r="A137" t="s">
        <v>1279</v>
      </c>
      <c r="B137" t="s">
        <v>2439</v>
      </c>
      <c r="C137" t="s">
        <v>1840</v>
      </c>
      <c r="D137" t="s">
        <v>2415</v>
      </c>
      <c r="E137" t="s">
        <v>2170</v>
      </c>
    </row>
    <row r="138" spans="1:5" x14ac:dyDescent="0.25">
      <c r="A138" t="s">
        <v>1279</v>
      </c>
      <c r="B138" t="s">
        <v>2440</v>
      </c>
      <c r="C138" t="s">
        <v>2441</v>
      </c>
      <c r="D138" t="s">
        <v>2415</v>
      </c>
      <c r="E138" t="s">
        <v>2170</v>
      </c>
    </row>
    <row r="139" spans="1:5" x14ac:dyDescent="0.25">
      <c r="A139" t="s">
        <v>1279</v>
      </c>
      <c r="B139" t="s">
        <v>2442</v>
      </c>
      <c r="C139" t="s">
        <v>2443</v>
      </c>
      <c r="D139" t="s">
        <v>2444</v>
      </c>
      <c r="E139" t="s">
        <v>2170</v>
      </c>
    </row>
    <row r="140" spans="1:5" x14ac:dyDescent="0.25">
      <c r="A140" t="s">
        <v>1279</v>
      </c>
      <c r="B140" t="s">
        <v>2445</v>
      </c>
      <c r="C140" t="s">
        <v>2446</v>
      </c>
      <c r="D140" t="s">
        <v>2444</v>
      </c>
      <c r="E140" t="s">
        <v>2170</v>
      </c>
    </row>
    <row r="141" spans="1:5" x14ac:dyDescent="0.25">
      <c r="A141" t="s">
        <v>1290</v>
      </c>
      <c r="B141" t="s">
        <v>2447</v>
      </c>
      <c r="C141" t="s">
        <v>2448</v>
      </c>
      <c r="D141" t="s">
        <v>2449</v>
      </c>
      <c r="E141" t="s">
        <v>2170</v>
      </c>
    </row>
    <row r="142" spans="1:5" x14ac:dyDescent="0.25">
      <c r="A142" t="s">
        <v>1290</v>
      </c>
      <c r="B142" t="s">
        <v>2450</v>
      </c>
      <c r="C142" t="s">
        <v>2451</v>
      </c>
      <c r="D142" t="s">
        <v>2452</v>
      </c>
      <c r="E142" t="s">
        <v>2170</v>
      </c>
    </row>
    <row r="143" spans="1:5" x14ac:dyDescent="0.25">
      <c r="A143" t="s">
        <v>1290</v>
      </c>
      <c r="B143" t="s">
        <v>2453</v>
      </c>
      <c r="C143" t="s">
        <v>2454</v>
      </c>
      <c r="D143" t="s">
        <v>2452</v>
      </c>
      <c r="E143" t="s">
        <v>2170</v>
      </c>
    </row>
    <row r="144" spans="1:5" x14ac:dyDescent="0.25">
      <c r="A144" t="s">
        <v>1290</v>
      </c>
      <c r="B144" t="s">
        <v>2455</v>
      </c>
      <c r="C144" t="s">
        <v>2456</v>
      </c>
      <c r="D144" t="s">
        <v>2452</v>
      </c>
      <c r="E144" t="s">
        <v>2170</v>
      </c>
    </row>
    <row r="145" spans="1:5" x14ac:dyDescent="0.25">
      <c r="A145" t="s">
        <v>1290</v>
      </c>
      <c r="B145" t="s">
        <v>2457</v>
      </c>
      <c r="C145" t="s">
        <v>2458</v>
      </c>
      <c r="D145" t="s">
        <v>2452</v>
      </c>
      <c r="E145" t="s">
        <v>2170</v>
      </c>
    </row>
    <row r="146" spans="1:5" x14ac:dyDescent="0.25">
      <c r="A146" t="s">
        <v>1290</v>
      </c>
      <c r="B146" t="s">
        <v>2459</v>
      </c>
      <c r="C146" t="s">
        <v>2460</v>
      </c>
      <c r="D146" t="s">
        <v>2452</v>
      </c>
      <c r="E146" t="s">
        <v>2170</v>
      </c>
    </row>
    <row r="147" spans="1:5" x14ac:dyDescent="0.25">
      <c r="A147" t="s">
        <v>1290</v>
      </c>
      <c r="B147" t="s">
        <v>2461</v>
      </c>
      <c r="C147" t="s">
        <v>2462</v>
      </c>
      <c r="D147" t="s">
        <v>2452</v>
      </c>
      <c r="E147" t="s">
        <v>2170</v>
      </c>
    </row>
    <row r="148" spans="1:5" x14ac:dyDescent="0.25">
      <c r="A148" t="s">
        <v>1290</v>
      </c>
      <c r="B148" t="s">
        <v>2463</v>
      </c>
      <c r="C148" t="s">
        <v>2464</v>
      </c>
      <c r="D148" t="s">
        <v>2452</v>
      </c>
      <c r="E148" t="s">
        <v>2170</v>
      </c>
    </row>
    <row r="149" spans="1:5" x14ac:dyDescent="0.25">
      <c r="A149" t="s">
        <v>1290</v>
      </c>
      <c r="B149" t="s">
        <v>2465</v>
      </c>
      <c r="C149" t="s">
        <v>2466</v>
      </c>
      <c r="D149" t="s">
        <v>2452</v>
      </c>
      <c r="E149" t="s">
        <v>2447</v>
      </c>
    </row>
    <row r="150" spans="1:5" x14ac:dyDescent="0.25">
      <c r="A150" t="s">
        <v>1290</v>
      </c>
      <c r="B150" t="s">
        <v>2467</v>
      </c>
      <c r="C150" t="s">
        <v>2468</v>
      </c>
      <c r="D150" t="s">
        <v>2469</v>
      </c>
      <c r="E150" t="s">
        <v>2170</v>
      </c>
    </row>
    <row r="151" spans="1:5" x14ac:dyDescent="0.25">
      <c r="A151" t="s">
        <v>1290</v>
      </c>
      <c r="B151" t="s">
        <v>2470</v>
      </c>
      <c r="C151" t="s">
        <v>2471</v>
      </c>
      <c r="D151" t="s">
        <v>2452</v>
      </c>
      <c r="E151" t="s">
        <v>2170</v>
      </c>
    </row>
    <row r="152" spans="1:5" x14ac:dyDescent="0.25">
      <c r="A152" t="s">
        <v>1290</v>
      </c>
      <c r="B152" t="s">
        <v>2472</v>
      </c>
      <c r="C152" t="s">
        <v>2473</v>
      </c>
      <c r="D152" t="s">
        <v>2452</v>
      </c>
      <c r="E152" t="s">
        <v>2170</v>
      </c>
    </row>
    <row r="153" spans="1:5" x14ac:dyDescent="0.25">
      <c r="A153" t="s">
        <v>1290</v>
      </c>
      <c r="B153" t="s">
        <v>2474</v>
      </c>
      <c r="C153" t="s">
        <v>2475</v>
      </c>
      <c r="D153" t="s">
        <v>2452</v>
      </c>
      <c r="E153" t="s">
        <v>2170</v>
      </c>
    </row>
    <row r="154" spans="1:5" x14ac:dyDescent="0.25">
      <c r="A154" t="s">
        <v>1290</v>
      </c>
      <c r="B154" t="s">
        <v>2476</v>
      </c>
      <c r="C154" t="s">
        <v>2477</v>
      </c>
      <c r="D154" t="s">
        <v>2452</v>
      </c>
      <c r="E154" t="s">
        <v>2170</v>
      </c>
    </row>
    <row r="155" spans="1:5" x14ac:dyDescent="0.25">
      <c r="A155" t="s">
        <v>1290</v>
      </c>
      <c r="B155" t="s">
        <v>2478</v>
      </c>
      <c r="C155" t="s">
        <v>2479</v>
      </c>
      <c r="D155" t="s">
        <v>2452</v>
      </c>
      <c r="E155" t="s">
        <v>2170</v>
      </c>
    </row>
    <row r="156" spans="1:5" x14ac:dyDescent="0.25">
      <c r="A156" t="s">
        <v>1290</v>
      </c>
      <c r="B156" t="s">
        <v>2480</v>
      </c>
      <c r="C156" t="s">
        <v>2481</v>
      </c>
      <c r="D156" t="s">
        <v>2452</v>
      </c>
      <c r="E156" t="s">
        <v>2170</v>
      </c>
    </row>
    <row r="157" spans="1:5" x14ac:dyDescent="0.25">
      <c r="A157" t="s">
        <v>1290</v>
      </c>
      <c r="B157" t="s">
        <v>2482</v>
      </c>
      <c r="C157" t="s">
        <v>2483</v>
      </c>
      <c r="D157" t="s">
        <v>2452</v>
      </c>
      <c r="E157" t="s">
        <v>2447</v>
      </c>
    </row>
    <row r="158" spans="1:5" x14ac:dyDescent="0.25">
      <c r="A158" t="s">
        <v>1290</v>
      </c>
      <c r="B158" t="s">
        <v>2484</v>
      </c>
      <c r="C158" t="s">
        <v>2485</v>
      </c>
      <c r="D158" t="s">
        <v>2452</v>
      </c>
      <c r="E158" t="s">
        <v>2170</v>
      </c>
    </row>
    <row r="159" spans="1:5" x14ac:dyDescent="0.25">
      <c r="A159" t="s">
        <v>1290</v>
      </c>
      <c r="B159" t="s">
        <v>2486</v>
      </c>
      <c r="C159" t="s">
        <v>2487</v>
      </c>
      <c r="D159" t="s">
        <v>2452</v>
      </c>
      <c r="E159" t="s">
        <v>2170</v>
      </c>
    </row>
    <row r="160" spans="1:5" x14ac:dyDescent="0.25">
      <c r="A160" t="s">
        <v>1290</v>
      </c>
      <c r="B160" t="s">
        <v>2488</v>
      </c>
      <c r="C160" t="s">
        <v>2489</v>
      </c>
      <c r="D160" t="s">
        <v>2452</v>
      </c>
      <c r="E160" t="s">
        <v>2170</v>
      </c>
    </row>
    <row r="161" spans="1:5" x14ac:dyDescent="0.25">
      <c r="A161" t="s">
        <v>1290</v>
      </c>
      <c r="B161" t="s">
        <v>2490</v>
      </c>
      <c r="C161" t="s">
        <v>2491</v>
      </c>
      <c r="D161" t="s">
        <v>2469</v>
      </c>
      <c r="E161" t="s">
        <v>2170</v>
      </c>
    </row>
    <row r="162" spans="1:5" x14ac:dyDescent="0.25">
      <c r="A162" t="s">
        <v>1290</v>
      </c>
      <c r="B162" t="s">
        <v>2492</v>
      </c>
      <c r="C162" t="s">
        <v>2493</v>
      </c>
      <c r="D162" t="s">
        <v>2452</v>
      </c>
      <c r="E162" t="s">
        <v>2170</v>
      </c>
    </row>
    <row r="163" spans="1:5" x14ac:dyDescent="0.25">
      <c r="A163" t="s">
        <v>1290</v>
      </c>
      <c r="B163" t="s">
        <v>2494</v>
      </c>
      <c r="C163" t="s">
        <v>2495</v>
      </c>
      <c r="D163" t="s">
        <v>2452</v>
      </c>
      <c r="E163" t="s">
        <v>2170</v>
      </c>
    </row>
    <row r="164" spans="1:5" x14ac:dyDescent="0.25">
      <c r="A164" t="s">
        <v>1290</v>
      </c>
      <c r="B164" t="s">
        <v>2496</v>
      </c>
      <c r="C164" t="s">
        <v>2497</v>
      </c>
      <c r="D164" t="s">
        <v>2452</v>
      </c>
      <c r="E164" t="s">
        <v>2170</v>
      </c>
    </row>
    <row r="165" spans="1:5" x14ac:dyDescent="0.25">
      <c r="A165" t="s">
        <v>1290</v>
      </c>
      <c r="B165" t="s">
        <v>2498</v>
      </c>
      <c r="C165" t="s">
        <v>2499</v>
      </c>
      <c r="D165" t="s">
        <v>2452</v>
      </c>
      <c r="E165" t="s">
        <v>2170</v>
      </c>
    </row>
    <row r="166" spans="1:5" x14ac:dyDescent="0.25">
      <c r="A166" t="s">
        <v>1290</v>
      </c>
      <c r="B166" t="s">
        <v>2500</v>
      </c>
      <c r="C166" t="s">
        <v>2501</v>
      </c>
      <c r="D166" t="s">
        <v>2452</v>
      </c>
      <c r="E166" t="s">
        <v>2170</v>
      </c>
    </row>
    <row r="167" spans="1:5" x14ac:dyDescent="0.25">
      <c r="A167" t="s">
        <v>1290</v>
      </c>
      <c r="B167" t="s">
        <v>2502</v>
      </c>
      <c r="C167" t="s">
        <v>2503</v>
      </c>
      <c r="D167" t="s">
        <v>2452</v>
      </c>
      <c r="E167" t="s">
        <v>2170</v>
      </c>
    </row>
    <row r="168" spans="1:5" x14ac:dyDescent="0.25">
      <c r="A168" t="s">
        <v>1290</v>
      </c>
      <c r="B168" t="s">
        <v>2504</v>
      </c>
      <c r="C168" t="s">
        <v>2505</v>
      </c>
      <c r="D168" t="s">
        <v>2452</v>
      </c>
      <c r="E168" t="s">
        <v>2170</v>
      </c>
    </row>
    <row r="169" spans="1:5" x14ac:dyDescent="0.25">
      <c r="A169" t="s">
        <v>1290</v>
      </c>
      <c r="B169" t="s">
        <v>2506</v>
      </c>
      <c r="C169" t="s">
        <v>2507</v>
      </c>
      <c r="D169" t="s">
        <v>2452</v>
      </c>
      <c r="E169" t="s">
        <v>2447</v>
      </c>
    </row>
    <row r="170" spans="1:5" x14ac:dyDescent="0.25">
      <c r="A170" t="s">
        <v>1290</v>
      </c>
      <c r="B170" t="s">
        <v>2508</v>
      </c>
      <c r="C170" t="s">
        <v>2509</v>
      </c>
      <c r="D170" t="s">
        <v>2452</v>
      </c>
      <c r="E170" t="s">
        <v>2170</v>
      </c>
    </row>
    <row r="171" spans="1:5" x14ac:dyDescent="0.25">
      <c r="A171" t="s">
        <v>1290</v>
      </c>
      <c r="B171" t="s">
        <v>2510</v>
      </c>
      <c r="C171" t="s">
        <v>2511</v>
      </c>
      <c r="D171" t="s">
        <v>2452</v>
      </c>
      <c r="E171" t="s">
        <v>2170</v>
      </c>
    </row>
    <row r="172" spans="1:5" x14ac:dyDescent="0.25">
      <c r="A172" t="s">
        <v>1290</v>
      </c>
      <c r="B172" t="s">
        <v>2512</v>
      </c>
      <c r="C172" t="s">
        <v>2513</v>
      </c>
      <c r="D172" t="s">
        <v>2469</v>
      </c>
      <c r="E172" t="s">
        <v>2170</v>
      </c>
    </row>
    <row r="173" spans="1:5" x14ac:dyDescent="0.25">
      <c r="A173" t="s">
        <v>1290</v>
      </c>
      <c r="B173" t="s">
        <v>2514</v>
      </c>
      <c r="C173" t="s">
        <v>2513</v>
      </c>
      <c r="D173" t="s">
        <v>2452</v>
      </c>
      <c r="E173" t="s">
        <v>2170</v>
      </c>
    </row>
    <row r="174" spans="1:5" x14ac:dyDescent="0.25">
      <c r="A174" t="s">
        <v>1290</v>
      </c>
      <c r="B174" t="s">
        <v>2515</v>
      </c>
      <c r="C174" t="s">
        <v>2516</v>
      </c>
      <c r="D174" t="s">
        <v>2452</v>
      </c>
      <c r="E174" t="s">
        <v>2170</v>
      </c>
    </row>
    <row r="175" spans="1:5" x14ac:dyDescent="0.25">
      <c r="A175" t="s">
        <v>1290</v>
      </c>
      <c r="B175" t="s">
        <v>2517</v>
      </c>
      <c r="C175" t="s">
        <v>2518</v>
      </c>
      <c r="D175" t="s">
        <v>2452</v>
      </c>
      <c r="E175" t="s">
        <v>2170</v>
      </c>
    </row>
    <row r="176" spans="1:5" x14ac:dyDescent="0.25">
      <c r="A176" t="s">
        <v>1290</v>
      </c>
      <c r="B176" t="s">
        <v>2519</v>
      </c>
      <c r="C176" t="s">
        <v>2520</v>
      </c>
      <c r="D176" t="s">
        <v>2469</v>
      </c>
      <c r="E176" t="s">
        <v>2170</v>
      </c>
    </row>
    <row r="177" spans="1:5" x14ac:dyDescent="0.25">
      <c r="A177" t="s">
        <v>1290</v>
      </c>
      <c r="B177" t="s">
        <v>2521</v>
      </c>
      <c r="C177" t="s">
        <v>2522</v>
      </c>
      <c r="D177" t="s">
        <v>2469</v>
      </c>
      <c r="E177" t="s">
        <v>2170</v>
      </c>
    </row>
    <row r="178" spans="1:5" x14ac:dyDescent="0.25">
      <c r="A178" t="s">
        <v>1290</v>
      </c>
      <c r="B178" t="s">
        <v>2523</v>
      </c>
      <c r="C178" t="s">
        <v>2448</v>
      </c>
      <c r="D178" t="s">
        <v>2469</v>
      </c>
      <c r="E178" t="s">
        <v>2447</v>
      </c>
    </row>
    <row r="179" spans="1:5" x14ac:dyDescent="0.25">
      <c r="A179" t="s">
        <v>1290</v>
      </c>
      <c r="B179" t="s">
        <v>2524</v>
      </c>
      <c r="C179" t="s">
        <v>2525</v>
      </c>
      <c r="D179" t="s">
        <v>2452</v>
      </c>
      <c r="E179" t="s">
        <v>2170</v>
      </c>
    </row>
    <row r="180" spans="1:5" x14ac:dyDescent="0.25">
      <c r="A180" t="s">
        <v>1290</v>
      </c>
      <c r="B180" t="s">
        <v>2526</v>
      </c>
      <c r="C180" t="s">
        <v>2527</v>
      </c>
      <c r="D180" t="s">
        <v>2452</v>
      </c>
      <c r="E180" t="s">
        <v>2170</v>
      </c>
    </row>
    <row r="181" spans="1:5" x14ac:dyDescent="0.25">
      <c r="A181" t="s">
        <v>1290</v>
      </c>
      <c r="B181" t="s">
        <v>2528</v>
      </c>
      <c r="C181" t="s">
        <v>2529</v>
      </c>
      <c r="D181" t="s">
        <v>2452</v>
      </c>
      <c r="E181" t="s">
        <v>2447</v>
      </c>
    </row>
    <row r="182" spans="1:5" x14ac:dyDescent="0.25">
      <c r="A182" t="s">
        <v>1290</v>
      </c>
      <c r="B182" t="s">
        <v>2530</v>
      </c>
      <c r="C182" t="s">
        <v>2531</v>
      </c>
      <c r="D182" t="s">
        <v>2452</v>
      </c>
      <c r="E182" t="s">
        <v>2170</v>
      </c>
    </row>
    <row r="183" spans="1:5" x14ac:dyDescent="0.25">
      <c r="A183" t="s">
        <v>1290</v>
      </c>
      <c r="B183" t="s">
        <v>2532</v>
      </c>
      <c r="C183" t="s">
        <v>2533</v>
      </c>
      <c r="D183" t="s">
        <v>2452</v>
      </c>
      <c r="E183" t="s">
        <v>2170</v>
      </c>
    </row>
    <row r="184" spans="1:5" x14ac:dyDescent="0.25">
      <c r="A184" t="s">
        <v>1290</v>
      </c>
      <c r="B184" t="s">
        <v>2534</v>
      </c>
      <c r="C184" t="s">
        <v>2535</v>
      </c>
      <c r="D184" t="s">
        <v>2452</v>
      </c>
      <c r="E184" t="s">
        <v>2170</v>
      </c>
    </row>
    <row r="185" spans="1:5" x14ac:dyDescent="0.25">
      <c r="A185" t="s">
        <v>1290</v>
      </c>
      <c r="B185" t="s">
        <v>2536</v>
      </c>
      <c r="C185" t="s">
        <v>2537</v>
      </c>
      <c r="D185" t="s">
        <v>2452</v>
      </c>
      <c r="E185" t="s">
        <v>2170</v>
      </c>
    </row>
    <row r="186" spans="1:5" x14ac:dyDescent="0.25">
      <c r="A186" t="s">
        <v>1290</v>
      </c>
      <c r="B186" t="s">
        <v>2538</v>
      </c>
      <c r="C186" t="s">
        <v>2539</v>
      </c>
      <c r="D186" t="s">
        <v>2452</v>
      </c>
      <c r="E186" t="s">
        <v>2170</v>
      </c>
    </row>
    <row r="187" spans="1:5" x14ac:dyDescent="0.25">
      <c r="A187" t="s">
        <v>1290</v>
      </c>
      <c r="B187" t="s">
        <v>2540</v>
      </c>
      <c r="C187" t="s">
        <v>2541</v>
      </c>
      <c r="D187" t="s">
        <v>2452</v>
      </c>
      <c r="E187" t="s">
        <v>2170</v>
      </c>
    </row>
    <row r="188" spans="1:5" x14ac:dyDescent="0.25">
      <c r="A188" t="s">
        <v>1290</v>
      </c>
      <c r="B188" t="s">
        <v>2542</v>
      </c>
      <c r="C188" t="s">
        <v>2543</v>
      </c>
      <c r="D188" t="s">
        <v>2452</v>
      </c>
      <c r="E188" t="s">
        <v>2170</v>
      </c>
    </row>
    <row r="189" spans="1:5" x14ac:dyDescent="0.25">
      <c r="A189" t="s">
        <v>1290</v>
      </c>
      <c r="B189" t="s">
        <v>2544</v>
      </c>
      <c r="C189" t="s">
        <v>2545</v>
      </c>
      <c r="D189" t="s">
        <v>2452</v>
      </c>
      <c r="E189" t="s">
        <v>2170</v>
      </c>
    </row>
    <row r="190" spans="1:5" x14ac:dyDescent="0.25">
      <c r="A190" t="s">
        <v>1290</v>
      </c>
      <c r="B190" t="s">
        <v>2546</v>
      </c>
      <c r="C190" t="s">
        <v>2547</v>
      </c>
      <c r="D190" t="s">
        <v>2452</v>
      </c>
      <c r="E190" t="s">
        <v>2170</v>
      </c>
    </row>
    <row r="191" spans="1:5" x14ac:dyDescent="0.25">
      <c r="A191" t="s">
        <v>1290</v>
      </c>
      <c r="B191" t="s">
        <v>2548</v>
      </c>
      <c r="C191" t="s">
        <v>2549</v>
      </c>
      <c r="D191" t="s">
        <v>2452</v>
      </c>
      <c r="E191" t="s">
        <v>2170</v>
      </c>
    </row>
    <row r="192" spans="1:5" x14ac:dyDescent="0.25">
      <c r="A192" t="s">
        <v>1290</v>
      </c>
      <c r="B192" t="s">
        <v>2550</v>
      </c>
      <c r="C192" t="s">
        <v>2551</v>
      </c>
      <c r="D192" t="s">
        <v>2452</v>
      </c>
      <c r="E192" t="s">
        <v>2447</v>
      </c>
    </row>
    <row r="193" spans="1:5" x14ac:dyDescent="0.25">
      <c r="A193" t="s">
        <v>1290</v>
      </c>
      <c r="B193" t="s">
        <v>2552</v>
      </c>
      <c r="C193" t="s">
        <v>2553</v>
      </c>
      <c r="D193" t="s">
        <v>2452</v>
      </c>
      <c r="E193" t="s">
        <v>2170</v>
      </c>
    </row>
    <row r="194" spans="1:5" x14ac:dyDescent="0.25">
      <c r="A194" t="s">
        <v>1290</v>
      </c>
      <c r="B194" t="s">
        <v>2554</v>
      </c>
      <c r="C194" t="s">
        <v>2555</v>
      </c>
      <c r="D194" t="s">
        <v>2452</v>
      </c>
      <c r="E194" t="s">
        <v>2170</v>
      </c>
    </row>
    <row r="195" spans="1:5" x14ac:dyDescent="0.25">
      <c r="A195" t="s">
        <v>1290</v>
      </c>
      <c r="B195" t="s">
        <v>2556</v>
      </c>
      <c r="C195" t="s">
        <v>2557</v>
      </c>
      <c r="D195" t="s">
        <v>2452</v>
      </c>
      <c r="E195" t="s">
        <v>2170</v>
      </c>
    </row>
    <row r="196" spans="1:5" x14ac:dyDescent="0.25">
      <c r="A196" t="s">
        <v>1290</v>
      </c>
      <c r="B196" t="s">
        <v>2558</v>
      </c>
      <c r="C196" t="s">
        <v>2559</v>
      </c>
      <c r="D196" t="s">
        <v>2452</v>
      </c>
      <c r="E196" t="s">
        <v>2447</v>
      </c>
    </row>
    <row r="197" spans="1:5" x14ac:dyDescent="0.25">
      <c r="A197" t="s">
        <v>1290</v>
      </c>
      <c r="B197" t="s">
        <v>2560</v>
      </c>
      <c r="C197" t="s">
        <v>2561</v>
      </c>
      <c r="D197" t="s">
        <v>2469</v>
      </c>
      <c r="E197" t="s">
        <v>2170</v>
      </c>
    </row>
    <row r="198" spans="1:5" x14ac:dyDescent="0.25">
      <c r="A198" t="s">
        <v>1290</v>
      </c>
      <c r="B198" t="s">
        <v>2562</v>
      </c>
      <c r="C198" t="s">
        <v>2561</v>
      </c>
      <c r="D198" t="s">
        <v>2452</v>
      </c>
      <c r="E198" t="s">
        <v>2170</v>
      </c>
    </row>
    <row r="199" spans="1:5" x14ac:dyDescent="0.25">
      <c r="A199" t="s">
        <v>1290</v>
      </c>
      <c r="B199" t="s">
        <v>2563</v>
      </c>
      <c r="C199" t="s">
        <v>2564</v>
      </c>
      <c r="D199" t="s">
        <v>2452</v>
      </c>
      <c r="E199" t="s">
        <v>2170</v>
      </c>
    </row>
    <row r="200" spans="1:5" x14ac:dyDescent="0.25">
      <c r="A200" t="s">
        <v>1290</v>
      </c>
      <c r="B200" t="s">
        <v>2565</v>
      </c>
      <c r="C200" t="s">
        <v>2566</v>
      </c>
      <c r="D200" t="s">
        <v>2452</v>
      </c>
      <c r="E200" t="s">
        <v>2447</v>
      </c>
    </row>
    <row r="201" spans="1:5" x14ac:dyDescent="0.25">
      <c r="A201" t="s">
        <v>1290</v>
      </c>
      <c r="B201" t="s">
        <v>2567</v>
      </c>
      <c r="C201" t="s">
        <v>2568</v>
      </c>
      <c r="D201" t="s">
        <v>2469</v>
      </c>
      <c r="E201" t="s">
        <v>2170</v>
      </c>
    </row>
    <row r="202" spans="1:5" x14ac:dyDescent="0.25">
      <c r="A202" t="s">
        <v>1290</v>
      </c>
      <c r="B202" t="s">
        <v>2569</v>
      </c>
      <c r="C202" t="s">
        <v>2570</v>
      </c>
      <c r="D202" t="s">
        <v>2452</v>
      </c>
      <c r="E202" t="s">
        <v>2170</v>
      </c>
    </row>
    <row r="203" spans="1:5" x14ac:dyDescent="0.25">
      <c r="A203" t="s">
        <v>1290</v>
      </c>
      <c r="B203" t="s">
        <v>2571</v>
      </c>
      <c r="C203" t="s">
        <v>2572</v>
      </c>
      <c r="D203" t="s">
        <v>2469</v>
      </c>
      <c r="E203" t="s">
        <v>2170</v>
      </c>
    </row>
    <row r="204" spans="1:5" x14ac:dyDescent="0.25">
      <c r="A204" t="s">
        <v>1290</v>
      </c>
      <c r="B204" t="s">
        <v>2573</v>
      </c>
      <c r="C204" t="s">
        <v>2574</v>
      </c>
      <c r="D204" t="s">
        <v>2452</v>
      </c>
      <c r="E204" t="s">
        <v>2170</v>
      </c>
    </row>
    <row r="205" spans="1:5" x14ac:dyDescent="0.25">
      <c r="A205" t="s">
        <v>1290</v>
      </c>
      <c r="B205" t="s">
        <v>2575</v>
      </c>
      <c r="C205" t="s">
        <v>2576</v>
      </c>
      <c r="D205" t="s">
        <v>2452</v>
      </c>
      <c r="E205" t="s">
        <v>2170</v>
      </c>
    </row>
    <row r="206" spans="1:5" x14ac:dyDescent="0.25">
      <c r="A206" t="s">
        <v>1290</v>
      </c>
      <c r="B206" t="s">
        <v>2577</v>
      </c>
      <c r="C206" t="s">
        <v>2578</v>
      </c>
      <c r="D206" t="s">
        <v>2452</v>
      </c>
      <c r="E206" t="s">
        <v>2170</v>
      </c>
    </row>
    <row r="207" spans="1:5" x14ac:dyDescent="0.25">
      <c r="A207" t="s">
        <v>1290</v>
      </c>
      <c r="B207" t="s">
        <v>2579</v>
      </c>
      <c r="C207" t="s">
        <v>2580</v>
      </c>
      <c r="D207" t="s">
        <v>2452</v>
      </c>
      <c r="E207" t="s">
        <v>2170</v>
      </c>
    </row>
    <row r="208" spans="1:5" x14ac:dyDescent="0.25">
      <c r="A208" t="s">
        <v>1290</v>
      </c>
      <c r="B208" t="s">
        <v>2581</v>
      </c>
      <c r="C208" t="s">
        <v>2582</v>
      </c>
      <c r="D208" t="s">
        <v>2452</v>
      </c>
      <c r="E208" t="s">
        <v>2170</v>
      </c>
    </row>
    <row r="209" spans="1:5" x14ac:dyDescent="0.25">
      <c r="A209" t="s">
        <v>1290</v>
      </c>
      <c r="B209" t="s">
        <v>2583</v>
      </c>
      <c r="C209" t="s">
        <v>2584</v>
      </c>
      <c r="D209" t="s">
        <v>2469</v>
      </c>
      <c r="E209" t="s">
        <v>2170</v>
      </c>
    </row>
    <row r="210" spans="1:5" x14ac:dyDescent="0.25">
      <c r="A210" t="s">
        <v>1290</v>
      </c>
      <c r="B210" t="s">
        <v>2585</v>
      </c>
      <c r="C210" t="s">
        <v>2586</v>
      </c>
      <c r="D210" t="s">
        <v>2452</v>
      </c>
      <c r="E210" t="s">
        <v>2170</v>
      </c>
    </row>
    <row r="211" spans="1:5" x14ac:dyDescent="0.25">
      <c r="A211" t="s">
        <v>1290</v>
      </c>
      <c r="B211" t="s">
        <v>2587</v>
      </c>
      <c r="C211" t="s">
        <v>2588</v>
      </c>
      <c r="D211" t="s">
        <v>2452</v>
      </c>
      <c r="E211" t="s">
        <v>2170</v>
      </c>
    </row>
    <row r="212" spans="1:5" x14ac:dyDescent="0.25">
      <c r="A212" t="s">
        <v>1290</v>
      </c>
      <c r="B212" t="s">
        <v>2589</v>
      </c>
      <c r="C212" t="s">
        <v>2590</v>
      </c>
      <c r="D212" t="s">
        <v>2452</v>
      </c>
      <c r="E212" t="s">
        <v>2170</v>
      </c>
    </row>
    <row r="213" spans="1:5" x14ac:dyDescent="0.25">
      <c r="A213" t="s">
        <v>1290</v>
      </c>
      <c r="B213" t="s">
        <v>2591</v>
      </c>
      <c r="C213" t="s">
        <v>2592</v>
      </c>
      <c r="D213" t="s">
        <v>2452</v>
      </c>
      <c r="E213" t="s">
        <v>2170</v>
      </c>
    </row>
    <row r="214" spans="1:5" x14ac:dyDescent="0.25">
      <c r="A214" t="s">
        <v>1290</v>
      </c>
      <c r="B214" t="s">
        <v>2593</v>
      </c>
      <c r="C214" t="s">
        <v>2594</v>
      </c>
      <c r="D214" t="s">
        <v>2469</v>
      </c>
      <c r="E214" t="s">
        <v>2170</v>
      </c>
    </row>
    <row r="215" spans="1:5" x14ac:dyDescent="0.25">
      <c r="A215" t="s">
        <v>1290</v>
      </c>
      <c r="B215" t="s">
        <v>2595</v>
      </c>
      <c r="C215" t="s">
        <v>2594</v>
      </c>
      <c r="D215" t="s">
        <v>2452</v>
      </c>
      <c r="E215" t="s">
        <v>2170</v>
      </c>
    </row>
    <row r="216" spans="1:5" x14ac:dyDescent="0.25">
      <c r="A216" t="s">
        <v>1290</v>
      </c>
      <c r="B216" t="s">
        <v>2596</v>
      </c>
      <c r="C216" t="s">
        <v>2597</v>
      </c>
      <c r="D216" t="s">
        <v>2452</v>
      </c>
      <c r="E216" t="s">
        <v>2170</v>
      </c>
    </row>
    <row r="217" spans="1:5" x14ac:dyDescent="0.25">
      <c r="A217" t="s">
        <v>1290</v>
      </c>
      <c r="B217" t="s">
        <v>2598</v>
      </c>
      <c r="C217" t="s">
        <v>2599</v>
      </c>
      <c r="D217" t="s">
        <v>2452</v>
      </c>
      <c r="E217" t="s">
        <v>2170</v>
      </c>
    </row>
    <row r="218" spans="1:5" x14ac:dyDescent="0.25">
      <c r="A218" t="s">
        <v>1290</v>
      </c>
      <c r="B218" t="s">
        <v>2600</v>
      </c>
      <c r="C218" t="s">
        <v>2601</v>
      </c>
      <c r="D218" t="s">
        <v>2452</v>
      </c>
      <c r="E218" t="s">
        <v>2170</v>
      </c>
    </row>
    <row r="219" spans="1:5" x14ac:dyDescent="0.25">
      <c r="A219" t="s">
        <v>1293</v>
      </c>
      <c r="B219" t="s">
        <v>2602</v>
      </c>
      <c r="C219" t="s">
        <v>2603</v>
      </c>
      <c r="D219" t="s">
        <v>2604</v>
      </c>
      <c r="E219" t="s">
        <v>2170</v>
      </c>
    </row>
    <row r="220" spans="1:5" x14ac:dyDescent="0.25">
      <c r="A220" t="s">
        <v>1293</v>
      </c>
      <c r="B220" t="s">
        <v>2605</v>
      </c>
      <c r="C220" t="s">
        <v>2606</v>
      </c>
      <c r="D220" t="s">
        <v>2604</v>
      </c>
      <c r="E220" t="s">
        <v>2170</v>
      </c>
    </row>
    <row r="221" spans="1:5" x14ac:dyDescent="0.25">
      <c r="A221" t="s">
        <v>1293</v>
      </c>
      <c r="B221" t="s">
        <v>2607</v>
      </c>
      <c r="C221" t="s">
        <v>2608</v>
      </c>
      <c r="D221" t="s">
        <v>2609</v>
      </c>
      <c r="E221" t="s">
        <v>2170</v>
      </c>
    </row>
    <row r="222" spans="1:5" x14ac:dyDescent="0.25">
      <c r="A222" t="s">
        <v>1296</v>
      </c>
      <c r="B222" t="s">
        <v>2610</v>
      </c>
      <c r="C222" t="s">
        <v>2611</v>
      </c>
      <c r="D222" t="s">
        <v>2169</v>
      </c>
      <c r="E222" t="s">
        <v>2170</v>
      </c>
    </row>
    <row r="223" spans="1:5" x14ac:dyDescent="0.25">
      <c r="A223" t="s">
        <v>1296</v>
      </c>
      <c r="B223" t="s">
        <v>2612</v>
      </c>
      <c r="C223" t="s">
        <v>2613</v>
      </c>
      <c r="D223" t="s">
        <v>2169</v>
      </c>
      <c r="E223" t="s">
        <v>2170</v>
      </c>
    </row>
    <row r="224" spans="1:5" x14ac:dyDescent="0.25">
      <c r="A224" t="s">
        <v>1296</v>
      </c>
      <c r="B224" t="s">
        <v>2614</v>
      </c>
      <c r="C224" t="s">
        <v>2268</v>
      </c>
      <c r="D224" t="s">
        <v>2169</v>
      </c>
      <c r="E224" t="s">
        <v>2170</v>
      </c>
    </row>
    <row r="225" spans="1:5" x14ac:dyDescent="0.25">
      <c r="A225" t="s">
        <v>1296</v>
      </c>
      <c r="B225" t="s">
        <v>2615</v>
      </c>
      <c r="C225" t="s">
        <v>2616</v>
      </c>
      <c r="D225" t="s">
        <v>2169</v>
      </c>
      <c r="E225" t="s">
        <v>2170</v>
      </c>
    </row>
    <row r="226" spans="1:5" x14ac:dyDescent="0.25">
      <c r="A226" t="s">
        <v>1296</v>
      </c>
      <c r="B226" t="s">
        <v>2617</v>
      </c>
      <c r="C226" t="s">
        <v>2270</v>
      </c>
      <c r="D226" t="s">
        <v>2169</v>
      </c>
      <c r="E226" t="s">
        <v>2170</v>
      </c>
    </row>
    <row r="227" spans="1:5" x14ac:dyDescent="0.25">
      <c r="A227" t="s">
        <v>1296</v>
      </c>
      <c r="B227" t="s">
        <v>2618</v>
      </c>
      <c r="C227" t="s">
        <v>2619</v>
      </c>
      <c r="D227" t="s">
        <v>2169</v>
      </c>
      <c r="E227" t="s">
        <v>2170</v>
      </c>
    </row>
    <row r="228" spans="1:5" x14ac:dyDescent="0.25">
      <c r="A228" t="s">
        <v>1296</v>
      </c>
      <c r="B228" t="s">
        <v>2620</v>
      </c>
      <c r="C228" t="s">
        <v>2621</v>
      </c>
      <c r="D228" t="s">
        <v>2169</v>
      </c>
      <c r="E228" t="s">
        <v>2170</v>
      </c>
    </row>
    <row r="229" spans="1:5" x14ac:dyDescent="0.25">
      <c r="A229" t="s">
        <v>1296</v>
      </c>
      <c r="B229" t="s">
        <v>2622</v>
      </c>
      <c r="C229" t="s">
        <v>2623</v>
      </c>
      <c r="D229" t="s">
        <v>2169</v>
      </c>
      <c r="E229" t="s">
        <v>2170</v>
      </c>
    </row>
    <row r="230" spans="1:5" x14ac:dyDescent="0.25">
      <c r="A230" t="s">
        <v>1296</v>
      </c>
      <c r="B230" t="s">
        <v>2624</v>
      </c>
      <c r="C230" t="s">
        <v>2276</v>
      </c>
      <c r="D230" t="s">
        <v>2169</v>
      </c>
      <c r="E230" t="s">
        <v>2170</v>
      </c>
    </row>
    <row r="231" spans="1:5" x14ac:dyDescent="0.25">
      <c r="A231" t="s">
        <v>1296</v>
      </c>
      <c r="B231" t="s">
        <v>2625</v>
      </c>
      <c r="C231" t="s">
        <v>2278</v>
      </c>
      <c r="D231" t="s">
        <v>2169</v>
      </c>
      <c r="E231" t="s">
        <v>2170</v>
      </c>
    </row>
    <row r="232" spans="1:5" x14ac:dyDescent="0.25">
      <c r="A232" t="s">
        <v>1296</v>
      </c>
      <c r="B232" t="s">
        <v>2626</v>
      </c>
      <c r="C232" t="s">
        <v>2627</v>
      </c>
      <c r="D232" t="s">
        <v>2169</v>
      </c>
      <c r="E232" t="s">
        <v>2170</v>
      </c>
    </row>
    <row r="233" spans="1:5" x14ac:dyDescent="0.25">
      <c r="A233" t="s">
        <v>1299</v>
      </c>
      <c r="B233" t="s">
        <v>2628</v>
      </c>
      <c r="C233" t="s">
        <v>2629</v>
      </c>
      <c r="D233" t="s">
        <v>2630</v>
      </c>
      <c r="E233" t="s">
        <v>2170</v>
      </c>
    </row>
    <row r="234" spans="1:5" x14ac:dyDescent="0.25">
      <c r="A234" t="s">
        <v>1299</v>
      </c>
      <c r="B234" t="s">
        <v>2631</v>
      </c>
      <c r="C234" t="s">
        <v>2632</v>
      </c>
      <c r="D234" t="s">
        <v>2630</v>
      </c>
      <c r="E234" t="s">
        <v>2170</v>
      </c>
    </row>
    <row r="235" spans="1:5" x14ac:dyDescent="0.25">
      <c r="A235" t="s">
        <v>1299</v>
      </c>
      <c r="B235" t="s">
        <v>2633</v>
      </c>
      <c r="C235" t="s">
        <v>1298</v>
      </c>
      <c r="D235" t="s">
        <v>2630</v>
      </c>
      <c r="E235" t="s">
        <v>2170</v>
      </c>
    </row>
    <row r="236" spans="1:5" x14ac:dyDescent="0.25">
      <c r="A236" t="s">
        <v>1299</v>
      </c>
      <c r="B236" t="s">
        <v>2634</v>
      </c>
      <c r="C236" t="s">
        <v>2635</v>
      </c>
      <c r="D236" t="s">
        <v>2630</v>
      </c>
      <c r="E236" t="s">
        <v>2170</v>
      </c>
    </row>
    <row r="237" spans="1:5" x14ac:dyDescent="0.25">
      <c r="A237" t="s">
        <v>1299</v>
      </c>
      <c r="B237" t="s">
        <v>2636</v>
      </c>
      <c r="C237" t="s">
        <v>2637</v>
      </c>
      <c r="D237" t="s">
        <v>2630</v>
      </c>
      <c r="E237" t="s">
        <v>2170</v>
      </c>
    </row>
    <row r="238" spans="1:5" x14ac:dyDescent="0.25">
      <c r="A238" t="s">
        <v>1299</v>
      </c>
      <c r="B238" t="s">
        <v>2638</v>
      </c>
      <c r="C238" t="s">
        <v>2639</v>
      </c>
      <c r="D238" t="s">
        <v>2630</v>
      </c>
      <c r="E238" t="s">
        <v>2170</v>
      </c>
    </row>
    <row r="239" spans="1:5" x14ac:dyDescent="0.25">
      <c r="A239" t="s">
        <v>1299</v>
      </c>
      <c r="B239" t="s">
        <v>2640</v>
      </c>
      <c r="C239" t="s">
        <v>2641</v>
      </c>
      <c r="D239" t="s">
        <v>2630</v>
      </c>
      <c r="E239" t="s">
        <v>2170</v>
      </c>
    </row>
    <row r="240" spans="1:5" x14ac:dyDescent="0.25">
      <c r="A240" t="s">
        <v>1299</v>
      </c>
      <c r="B240" t="s">
        <v>2642</v>
      </c>
      <c r="C240" t="s">
        <v>2643</v>
      </c>
      <c r="D240" t="s">
        <v>2630</v>
      </c>
      <c r="E240" t="s">
        <v>2170</v>
      </c>
    </row>
    <row r="241" spans="1:5" x14ac:dyDescent="0.25">
      <c r="A241" t="s">
        <v>1299</v>
      </c>
      <c r="B241" t="s">
        <v>2644</v>
      </c>
      <c r="C241" t="s">
        <v>2645</v>
      </c>
      <c r="D241" t="s">
        <v>2646</v>
      </c>
      <c r="E241" t="s">
        <v>2634</v>
      </c>
    </row>
    <row r="242" spans="1:5" x14ac:dyDescent="0.25">
      <c r="A242" t="s">
        <v>1299</v>
      </c>
      <c r="B242" t="s">
        <v>2647</v>
      </c>
      <c r="C242" t="s">
        <v>2648</v>
      </c>
      <c r="D242" t="s">
        <v>2646</v>
      </c>
      <c r="E242" t="s">
        <v>2631</v>
      </c>
    </row>
    <row r="243" spans="1:5" x14ac:dyDescent="0.25">
      <c r="A243" t="s">
        <v>1299</v>
      </c>
      <c r="B243" t="s">
        <v>2649</v>
      </c>
      <c r="C243" t="s">
        <v>2650</v>
      </c>
      <c r="D243" t="s">
        <v>2646</v>
      </c>
      <c r="E243" t="s">
        <v>2628</v>
      </c>
    </row>
    <row r="244" spans="1:5" x14ac:dyDescent="0.25">
      <c r="A244" t="s">
        <v>1299</v>
      </c>
      <c r="B244" t="s">
        <v>2651</v>
      </c>
      <c r="C244" t="s">
        <v>2629</v>
      </c>
      <c r="D244" t="s">
        <v>2646</v>
      </c>
      <c r="E244" t="s">
        <v>2628</v>
      </c>
    </row>
    <row r="245" spans="1:5" x14ac:dyDescent="0.25">
      <c r="A245" t="s">
        <v>1299</v>
      </c>
      <c r="B245" t="s">
        <v>2652</v>
      </c>
      <c r="C245" t="s">
        <v>2653</v>
      </c>
      <c r="D245" t="s">
        <v>2646</v>
      </c>
      <c r="E245" t="s">
        <v>2628</v>
      </c>
    </row>
    <row r="246" spans="1:5" x14ac:dyDescent="0.25">
      <c r="A246" t="s">
        <v>1299</v>
      </c>
      <c r="B246" t="s">
        <v>2654</v>
      </c>
      <c r="C246" t="s">
        <v>2655</v>
      </c>
      <c r="D246" t="s">
        <v>2646</v>
      </c>
      <c r="E246" t="s">
        <v>2638</v>
      </c>
    </row>
    <row r="247" spans="1:5" x14ac:dyDescent="0.25">
      <c r="A247" t="s">
        <v>1299</v>
      </c>
      <c r="B247" t="s">
        <v>2656</v>
      </c>
      <c r="C247" t="s">
        <v>2657</v>
      </c>
      <c r="D247" t="s">
        <v>2646</v>
      </c>
      <c r="E247" t="s">
        <v>2631</v>
      </c>
    </row>
    <row r="248" spans="1:5" x14ac:dyDescent="0.25">
      <c r="A248" t="s">
        <v>1299</v>
      </c>
      <c r="B248" t="s">
        <v>2658</v>
      </c>
      <c r="C248" t="s">
        <v>2659</v>
      </c>
      <c r="D248" t="s">
        <v>2646</v>
      </c>
      <c r="E248" t="s">
        <v>2631</v>
      </c>
    </row>
    <row r="249" spans="1:5" x14ac:dyDescent="0.25">
      <c r="A249" t="s">
        <v>1299</v>
      </c>
      <c r="B249" t="s">
        <v>2660</v>
      </c>
      <c r="C249" t="s">
        <v>2661</v>
      </c>
      <c r="D249" t="s">
        <v>2646</v>
      </c>
      <c r="E249" t="s">
        <v>2638</v>
      </c>
    </row>
    <row r="250" spans="1:5" x14ac:dyDescent="0.25">
      <c r="A250" t="s">
        <v>1299</v>
      </c>
      <c r="B250" t="s">
        <v>2662</v>
      </c>
      <c r="C250" t="s">
        <v>2632</v>
      </c>
      <c r="D250" t="s">
        <v>2646</v>
      </c>
      <c r="E250" t="s">
        <v>2631</v>
      </c>
    </row>
    <row r="251" spans="1:5" x14ac:dyDescent="0.25">
      <c r="A251" t="s">
        <v>1299</v>
      </c>
      <c r="B251" t="s">
        <v>2663</v>
      </c>
      <c r="C251" t="s">
        <v>2664</v>
      </c>
      <c r="D251" t="s">
        <v>2646</v>
      </c>
      <c r="E251" t="s">
        <v>2634</v>
      </c>
    </row>
    <row r="252" spans="1:5" x14ac:dyDescent="0.25">
      <c r="A252" t="s">
        <v>1299</v>
      </c>
      <c r="B252" t="s">
        <v>2665</v>
      </c>
      <c r="C252" t="s">
        <v>2666</v>
      </c>
      <c r="D252" t="s">
        <v>2646</v>
      </c>
      <c r="E252" t="s">
        <v>2631</v>
      </c>
    </row>
    <row r="253" spans="1:5" x14ac:dyDescent="0.25">
      <c r="A253" t="s">
        <v>1299</v>
      </c>
      <c r="B253" t="s">
        <v>2667</v>
      </c>
      <c r="C253" t="s">
        <v>2668</v>
      </c>
      <c r="D253" t="s">
        <v>2646</v>
      </c>
      <c r="E253" t="s">
        <v>2631</v>
      </c>
    </row>
    <row r="254" spans="1:5" x14ac:dyDescent="0.25">
      <c r="A254" t="s">
        <v>1299</v>
      </c>
      <c r="B254" t="s">
        <v>2669</v>
      </c>
      <c r="C254" t="s">
        <v>1298</v>
      </c>
      <c r="D254" t="s">
        <v>2646</v>
      </c>
      <c r="E254" t="s">
        <v>2633</v>
      </c>
    </row>
    <row r="255" spans="1:5" x14ac:dyDescent="0.25">
      <c r="A255" t="s">
        <v>1299</v>
      </c>
      <c r="B255" t="s">
        <v>2670</v>
      </c>
      <c r="C255" t="s">
        <v>2671</v>
      </c>
      <c r="D255" t="s">
        <v>2646</v>
      </c>
      <c r="E255" t="s">
        <v>2640</v>
      </c>
    </row>
    <row r="256" spans="1:5" x14ac:dyDescent="0.25">
      <c r="A256" t="s">
        <v>1299</v>
      </c>
      <c r="B256" t="s">
        <v>2672</v>
      </c>
      <c r="C256" t="s">
        <v>2673</v>
      </c>
      <c r="D256" t="s">
        <v>2646</v>
      </c>
      <c r="E256" t="s">
        <v>2633</v>
      </c>
    </row>
    <row r="257" spans="1:5" x14ac:dyDescent="0.25">
      <c r="A257" t="s">
        <v>1299</v>
      </c>
      <c r="B257" t="s">
        <v>2674</v>
      </c>
      <c r="C257" t="s">
        <v>2675</v>
      </c>
      <c r="D257" t="s">
        <v>2646</v>
      </c>
      <c r="E257" t="s">
        <v>2631</v>
      </c>
    </row>
    <row r="258" spans="1:5" x14ac:dyDescent="0.25">
      <c r="A258" t="s">
        <v>1299</v>
      </c>
      <c r="B258" t="s">
        <v>2676</v>
      </c>
      <c r="C258" t="s">
        <v>2677</v>
      </c>
      <c r="D258" t="s">
        <v>2646</v>
      </c>
      <c r="E258" t="s">
        <v>2640</v>
      </c>
    </row>
    <row r="259" spans="1:5" x14ac:dyDescent="0.25">
      <c r="A259" t="s">
        <v>1299</v>
      </c>
      <c r="B259" t="s">
        <v>2678</v>
      </c>
      <c r="C259" t="s">
        <v>2679</v>
      </c>
      <c r="D259" t="s">
        <v>2646</v>
      </c>
      <c r="E259" t="s">
        <v>2633</v>
      </c>
    </row>
    <row r="260" spans="1:5" x14ac:dyDescent="0.25">
      <c r="A260" t="s">
        <v>1299</v>
      </c>
      <c r="B260" t="s">
        <v>2680</v>
      </c>
      <c r="C260" t="s">
        <v>2681</v>
      </c>
      <c r="D260" t="s">
        <v>2646</v>
      </c>
      <c r="E260" t="s">
        <v>2633</v>
      </c>
    </row>
    <row r="261" spans="1:5" x14ac:dyDescent="0.25">
      <c r="A261" t="s">
        <v>1299</v>
      </c>
      <c r="B261" t="s">
        <v>2682</v>
      </c>
      <c r="C261" t="s">
        <v>2683</v>
      </c>
      <c r="D261" t="s">
        <v>2646</v>
      </c>
      <c r="E261" t="s">
        <v>2642</v>
      </c>
    </row>
    <row r="262" spans="1:5" x14ac:dyDescent="0.25">
      <c r="A262" t="s">
        <v>1299</v>
      </c>
      <c r="B262" t="s">
        <v>2684</v>
      </c>
      <c r="C262" t="s">
        <v>2685</v>
      </c>
      <c r="D262" t="s">
        <v>2646</v>
      </c>
      <c r="E262" t="s">
        <v>2636</v>
      </c>
    </row>
    <row r="263" spans="1:5" x14ac:dyDescent="0.25">
      <c r="A263" t="s">
        <v>1299</v>
      </c>
      <c r="B263" t="s">
        <v>2686</v>
      </c>
      <c r="C263" t="s">
        <v>2687</v>
      </c>
      <c r="D263" t="s">
        <v>2646</v>
      </c>
      <c r="E263" t="s">
        <v>2634</v>
      </c>
    </row>
    <row r="264" spans="1:5" x14ac:dyDescent="0.25">
      <c r="A264" t="s">
        <v>1299</v>
      </c>
      <c r="B264" t="s">
        <v>2688</v>
      </c>
      <c r="C264" t="s">
        <v>2689</v>
      </c>
      <c r="D264" t="s">
        <v>2646</v>
      </c>
      <c r="E264" t="s">
        <v>2628</v>
      </c>
    </row>
    <row r="265" spans="1:5" x14ac:dyDescent="0.25">
      <c r="A265" t="s">
        <v>1299</v>
      </c>
      <c r="B265" t="s">
        <v>2690</v>
      </c>
      <c r="C265" t="s">
        <v>2691</v>
      </c>
      <c r="D265" t="s">
        <v>2646</v>
      </c>
      <c r="E265" t="s">
        <v>2634</v>
      </c>
    </row>
    <row r="266" spans="1:5" x14ac:dyDescent="0.25">
      <c r="A266" t="s">
        <v>1299</v>
      </c>
      <c r="B266" t="s">
        <v>2692</v>
      </c>
      <c r="C266" t="s">
        <v>2693</v>
      </c>
      <c r="D266" t="s">
        <v>2646</v>
      </c>
      <c r="E266" t="s">
        <v>2638</v>
      </c>
    </row>
    <row r="267" spans="1:5" x14ac:dyDescent="0.25">
      <c r="A267" t="s">
        <v>1299</v>
      </c>
      <c r="B267" t="s">
        <v>2694</v>
      </c>
      <c r="C267" t="s">
        <v>2695</v>
      </c>
      <c r="D267" t="s">
        <v>2646</v>
      </c>
      <c r="E267" t="s">
        <v>2631</v>
      </c>
    </row>
    <row r="268" spans="1:5" x14ac:dyDescent="0.25">
      <c r="A268" t="s">
        <v>1299</v>
      </c>
      <c r="B268" t="s">
        <v>2696</v>
      </c>
      <c r="C268" t="s">
        <v>2635</v>
      </c>
      <c r="D268" t="s">
        <v>2646</v>
      </c>
      <c r="E268" t="s">
        <v>2634</v>
      </c>
    </row>
    <row r="269" spans="1:5" x14ac:dyDescent="0.25">
      <c r="A269" t="s">
        <v>1299</v>
      </c>
      <c r="B269" t="s">
        <v>2697</v>
      </c>
      <c r="C269" t="s">
        <v>2698</v>
      </c>
      <c r="D269" t="s">
        <v>2646</v>
      </c>
      <c r="E269" t="s">
        <v>2633</v>
      </c>
    </row>
    <row r="270" spans="1:5" x14ac:dyDescent="0.25">
      <c r="A270" t="s">
        <v>1299</v>
      </c>
      <c r="B270" t="s">
        <v>2699</v>
      </c>
      <c r="C270" t="s">
        <v>2700</v>
      </c>
      <c r="D270" t="s">
        <v>2646</v>
      </c>
      <c r="E270" t="s">
        <v>2640</v>
      </c>
    </row>
    <row r="271" spans="1:5" x14ac:dyDescent="0.25">
      <c r="A271" t="s">
        <v>1299</v>
      </c>
      <c r="B271" t="s">
        <v>2701</v>
      </c>
      <c r="C271" t="s">
        <v>2702</v>
      </c>
      <c r="D271" t="s">
        <v>2646</v>
      </c>
      <c r="E271" t="s">
        <v>2634</v>
      </c>
    </row>
    <row r="272" spans="1:5" x14ac:dyDescent="0.25">
      <c r="A272" t="s">
        <v>1299</v>
      </c>
      <c r="B272" t="s">
        <v>2703</v>
      </c>
      <c r="C272" t="s">
        <v>2704</v>
      </c>
      <c r="D272" t="s">
        <v>2646</v>
      </c>
      <c r="E272" t="s">
        <v>2631</v>
      </c>
    </row>
    <row r="273" spans="1:5" x14ac:dyDescent="0.25">
      <c r="A273" t="s">
        <v>1299</v>
      </c>
      <c r="B273" t="s">
        <v>2705</v>
      </c>
      <c r="C273" t="s">
        <v>2706</v>
      </c>
      <c r="D273" t="s">
        <v>2646</v>
      </c>
      <c r="E273" t="s">
        <v>2640</v>
      </c>
    </row>
    <row r="274" spans="1:5" x14ac:dyDescent="0.25">
      <c r="A274" t="s">
        <v>1299</v>
      </c>
      <c r="B274" t="s">
        <v>2707</v>
      </c>
      <c r="C274" t="s">
        <v>2708</v>
      </c>
      <c r="D274" t="s">
        <v>2646</v>
      </c>
      <c r="E274" t="s">
        <v>2633</v>
      </c>
    </row>
    <row r="275" spans="1:5" x14ac:dyDescent="0.25">
      <c r="A275" t="s">
        <v>1299</v>
      </c>
      <c r="B275" t="s">
        <v>2709</v>
      </c>
      <c r="C275" t="s">
        <v>2710</v>
      </c>
      <c r="D275" t="s">
        <v>2646</v>
      </c>
      <c r="E275" t="s">
        <v>2634</v>
      </c>
    </row>
    <row r="276" spans="1:5" x14ac:dyDescent="0.25">
      <c r="A276" t="s">
        <v>1299</v>
      </c>
      <c r="B276" t="s">
        <v>2711</v>
      </c>
      <c r="C276" t="s">
        <v>2712</v>
      </c>
      <c r="D276" t="s">
        <v>2646</v>
      </c>
      <c r="E276" t="s">
        <v>2633</v>
      </c>
    </row>
    <row r="277" spans="1:5" x14ac:dyDescent="0.25">
      <c r="A277" t="s">
        <v>1299</v>
      </c>
      <c r="B277" t="s">
        <v>2713</v>
      </c>
      <c r="C277" t="s">
        <v>2714</v>
      </c>
      <c r="D277" t="s">
        <v>2646</v>
      </c>
      <c r="E277" t="s">
        <v>2634</v>
      </c>
    </row>
    <row r="278" spans="1:5" x14ac:dyDescent="0.25">
      <c r="A278" t="s">
        <v>1299</v>
      </c>
      <c r="B278" t="s">
        <v>2715</v>
      </c>
      <c r="C278" t="s">
        <v>2716</v>
      </c>
      <c r="D278" t="s">
        <v>2646</v>
      </c>
      <c r="E278" t="s">
        <v>2642</v>
      </c>
    </row>
    <row r="279" spans="1:5" x14ac:dyDescent="0.25">
      <c r="A279" t="s">
        <v>1299</v>
      </c>
      <c r="B279" t="s">
        <v>2717</v>
      </c>
      <c r="C279" t="s">
        <v>2718</v>
      </c>
      <c r="D279" t="s">
        <v>2646</v>
      </c>
      <c r="E279" t="s">
        <v>2633</v>
      </c>
    </row>
    <row r="280" spans="1:5" x14ac:dyDescent="0.25">
      <c r="A280" t="s">
        <v>1299</v>
      </c>
      <c r="B280" t="s">
        <v>2719</v>
      </c>
      <c r="C280" t="s">
        <v>2637</v>
      </c>
      <c r="D280" t="s">
        <v>2646</v>
      </c>
      <c r="E280" t="s">
        <v>2636</v>
      </c>
    </row>
    <row r="281" spans="1:5" x14ac:dyDescent="0.25">
      <c r="A281" t="s">
        <v>1299</v>
      </c>
      <c r="B281" t="s">
        <v>2720</v>
      </c>
      <c r="C281" t="s">
        <v>2721</v>
      </c>
      <c r="D281" t="s">
        <v>2646</v>
      </c>
      <c r="E281" t="s">
        <v>2638</v>
      </c>
    </row>
    <row r="282" spans="1:5" x14ac:dyDescent="0.25">
      <c r="A282" t="s">
        <v>1299</v>
      </c>
      <c r="B282" t="s">
        <v>2722</v>
      </c>
      <c r="C282" t="s">
        <v>2723</v>
      </c>
      <c r="D282" t="s">
        <v>2646</v>
      </c>
      <c r="E282" t="s">
        <v>2634</v>
      </c>
    </row>
    <row r="283" spans="1:5" x14ac:dyDescent="0.25">
      <c r="A283" t="s">
        <v>1299</v>
      </c>
      <c r="B283" t="s">
        <v>2724</v>
      </c>
      <c r="C283" t="s">
        <v>2725</v>
      </c>
      <c r="D283" t="s">
        <v>2646</v>
      </c>
      <c r="E283" t="s">
        <v>2633</v>
      </c>
    </row>
    <row r="284" spans="1:5" x14ac:dyDescent="0.25">
      <c r="A284" t="s">
        <v>1299</v>
      </c>
      <c r="B284" t="s">
        <v>2726</v>
      </c>
      <c r="C284" t="s">
        <v>2727</v>
      </c>
      <c r="D284" t="s">
        <v>2646</v>
      </c>
      <c r="E284" t="s">
        <v>2633</v>
      </c>
    </row>
    <row r="285" spans="1:5" x14ac:dyDescent="0.25">
      <c r="A285" t="s">
        <v>1299</v>
      </c>
      <c r="B285" t="s">
        <v>2728</v>
      </c>
      <c r="C285" t="s">
        <v>2729</v>
      </c>
      <c r="D285" t="s">
        <v>2646</v>
      </c>
      <c r="E285" t="s">
        <v>2638</v>
      </c>
    </row>
    <row r="286" spans="1:5" x14ac:dyDescent="0.25">
      <c r="A286" t="s">
        <v>1299</v>
      </c>
      <c r="B286" t="s">
        <v>2730</v>
      </c>
      <c r="C286" t="s">
        <v>2731</v>
      </c>
      <c r="D286" t="s">
        <v>2646</v>
      </c>
      <c r="E286" t="s">
        <v>2636</v>
      </c>
    </row>
    <row r="287" spans="1:5" x14ac:dyDescent="0.25">
      <c r="A287" t="s">
        <v>1299</v>
      </c>
      <c r="B287" t="s">
        <v>2732</v>
      </c>
      <c r="C287" t="s">
        <v>2733</v>
      </c>
      <c r="D287" t="s">
        <v>2646</v>
      </c>
      <c r="E287" t="s">
        <v>2640</v>
      </c>
    </row>
    <row r="288" spans="1:5" x14ac:dyDescent="0.25">
      <c r="A288" t="s">
        <v>1299</v>
      </c>
      <c r="B288" t="s">
        <v>2734</v>
      </c>
      <c r="C288" t="s">
        <v>2735</v>
      </c>
      <c r="D288" t="s">
        <v>2646</v>
      </c>
      <c r="E288" t="s">
        <v>2631</v>
      </c>
    </row>
    <row r="289" spans="1:5" x14ac:dyDescent="0.25">
      <c r="A289" t="s">
        <v>1299</v>
      </c>
      <c r="B289" t="s">
        <v>2736</v>
      </c>
      <c r="C289" t="s">
        <v>2737</v>
      </c>
      <c r="D289" t="s">
        <v>2646</v>
      </c>
      <c r="E289" t="s">
        <v>2638</v>
      </c>
    </row>
    <row r="290" spans="1:5" x14ac:dyDescent="0.25">
      <c r="A290" t="s">
        <v>1299</v>
      </c>
      <c r="B290" t="s">
        <v>2738</v>
      </c>
      <c r="C290" t="s">
        <v>2739</v>
      </c>
      <c r="D290" t="s">
        <v>2646</v>
      </c>
      <c r="E290" t="s">
        <v>2640</v>
      </c>
    </row>
    <row r="291" spans="1:5" x14ac:dyDescent="0.25">
      <c r="A291" t="s">
        <v>1299</v>
      </c>
      <c r="B291" t="s">
        <v>2740</v>
      </c>
      <c r="C291" t="s">
        <v>2741</v>
      </c>
      <c r="D291" t="s">
        <v>2646</v>
      </c>
      <c r="E291" t="s">
        <v>2628</v>
      </c>
    </row>
    <row r="292" spans="1:5" x14ac:dyDescent="0.25">
      <c r="A292" t="s">
        <v>1299</v>
      </c>
      <c r="B292" t="s">
        <v>2742</v>
      </c>
      <c r="C292" t="s">
        <v>2743</v>
      </c>
      <c r="D292" t="s">
        <v>2646</v>
      </c>
      <c r="E292" t="s">
        <v>2628</v>
      </c>
    </row>
    <row r="293" spans="1:5" x14ac:dyDescent="0.25">
      <c r="A293" t="s">
        <v>1299</v>
      </c>
      <c r="B293" t="s">
        <v>2744</v>
      </c>
      <c r="C293" t="s">
        <v>2745</v>
      </c>
      <c r="D293" t="s">
        <v>2646</v>
      </c>
      <c r="E293" t="s">
        <v>2633</v>
      </c>
    </row>
    <row r="294" spans="1:5" x14ac:dyDescent="0.25">
      <c r="A294" t="s">
        <v>1299</v>
      </c>
      <c r="B294" t="s">
        <v>2746</v>
      </c>
      <c r="C294" t="s">
        <v>2639</v>
      </c>
      <c r="D294" t="s">
        <v>2646</v>
      </c>
      <c r="E294" t="s">
        <v>2638</v>
      </c>
    </row>
    <row r="295" spans="1:5" x14ac:dyDescent="0.25">
      <c r="A295" t="s">
        <v>1299</v>
      </c>
      <c r="B295" t="s">
        <v>2747</v>
      </c>
      <c r="C295" t="s">
        <v>2748</v>
      </c>
      <c r="D295" t="s">
        <v>2646</v>
      </c>
      <c r="E295" t="s">
        <v>2631</v>
      </c>
    </row>
    <row r="296" spans="1:5" x14ac:dyDescent="0.25">
      <c r="A296" t="s">
        <v>1299</v>
      </c>
      <c r="B296" t="s">
        <v>2749</v>
      </c>
      <c r="C296" t="s">
        <v>2641</v>
      </c>
      <c r="D296" t="s">
        <v>2646</v>
      </c>
      <c r="E296" t="s">
        <v>2640</v>
      </c>
    </row>
    <row r="297" spans="1:5" x14ac:dyDescent="0.25">
      <c r="A297" t="s">
        <v>1299</v>
      </c>
      <c r="B297" t="s">
        <v>2750</v>
      </c>
      <c r="C297" t="s">
        <v>2751</v>
      </c>
      <c r="D297" t="s">
        <v>2646</v>
      </c>
      <c r="E297" t="s">
        <v>2634</v>
      </c>
    </row>
    <row r="298" spans="1:5" x14ac:dyDescent="0.25">
      <c r="A298" t="s">
        <v>1299</v>
      </c>
      <c r="B298" t="s">
        <v>2752</v>
      </c>
      <c r="C298" t="s">
        <v>2753</v>
      </c>
      <c r="D298" t="s">
        <v>2646</v>
      </c>
      <c r="E298" t="s">
        <v>2633</v>
      </c>
    </row>
    <row r="299" spans="1:5" x14ac:dyDescent="0.25">
      <c r="A299" t="s">
        <v>1299</v>
      </c>
      <c r="B299" t="s">
        <v>2754</v>
      </c>
      <c r="C299" t="s">
        <v>2755</v>
      </c>
      <c r="D299" t="s">
        <v>2646</v>
      </c>
      <c r="E299" t="s">
        <v>2636</v>
      </c>
    </row>
    <row r="300" spans="1:5" x14ac:dyDescent="0.25">
      <c r="A300" t="s">
        <v>1299</v>
      </c>
      <c r="B300" t="s">
        <v>2756</v>
      </c>
      <c r="C300" t="s">
        <v>2757</v>
      </c>
      <c r="D300" t="s">
        <v>2646</v>
      </c>
      <c r="E300" t="s">
        <v>2638</v>
      </c>
    </row>
    <row r="301" spans="1:5" x14ac:dyDescent="0.25">
      <c r="A301" t="s">
        <v>1299</v>
      </c>
      <c r="B301" t="s">
        <v>2758</v>
      </c>
      <c r="C301" t="s">
        <v>2759</v>
      </c>
      <c r="D301" t="s">
        <v>2646</v>
      </c>
      <c r="E301" t="s">
        <v>2642</v>
      </c>
    </row>
    <row r="302" spans="1:5" x14ac:dyDescent="0.25">
      <c r="A302" t="s">
        <v>1299</v>
      </c>
      <c r="B302" t="s">
        <v>2760</v>
      </c>
      <c r="C302" t="s">
        <v>2643</v>
      </c>
      <c r="D302" t="s">
        <v>2646</v>
      </c>
      <c r="E302" t="s">
        <v>2642</v>
      </c>
    </row>
    <row r="303" spans="1:5" x14ac:dyDescent="0.25">
      <c r="A303" t="s">
        <v>1299</v>
      </c>
      <c r="B303" t="s">
        <v>2761</v>
      </c>
      <c r="C303" t="s">
        <v>2762</v>
      </c>
      <c r="D303" t="s">
        <v>2646</v>
      </c>
      <c r="E303" t="s">
        <v>2633</v>
      </c>
    </row>
    <row r="304" spans="1:5" x14ac:dyDescent="0.25">
      <c r="A304" t="s">
        <v>1299</v>
      </c>
      <c r="B304" t="s">
        <v>2763</v>
      </c>
      <c r="C304" t="s">
        <v>2764</v>
      </c>
      <c r="D304" t="s">
        <v>2646</v>
      </c>
      <c r="E304" t="s">
        <v>2640</v>
      </c>
    </row>
    <row r="305" spans="1:5" x14ac:dyDescent="0.25">
      <c r="A305" t="s">
        <v>1302</v>
      </c>
      <c r="B305" t="s">
        <v>2765</v>
      </c>
      <c r="C305" t="s">
        <v>2766</v>
      </c>
      <c r="D305" t="s">
        <v>2311</v>
      </c>
      <c r="E305" t="s">
        <v>2170</v>
      </c>
    </row>
    <row r="306" spans="1:5" x14ac:dyDescent="0.25">
      <c r="A306" t="s">
        <v>1302</v>
      </c>
      <c r="B306" t="s">
        <v>2767</v>
      </c>
      <c r="C306" t="s">
        <v>2768</v>
      </c>
      <c r="D306" t="s">
        <v>2311</v>
      </c>
      <c r="E306" t="s">
        <v>2170</v>
      </c>
    </row>
    <row r="307" spans="1:5" x14ac:dyDescent="0.25">
      <c r="A307" t="s">
        <v>1302</v>
      </c>
      <c r="B307" t="s">
        <v>2769</v>
      </c>
      <c r="C307" t="s">
        <v>2770</v>
      </c>
      <c r="D307" t="s">
        <v>2311</v>
      </c>
      <c r="E307" t="s">
        <v>2170</v>
      </c>
    </row>
    <row r="308" spans="1:5" x14ac:dyDescent="0.25">
      <c r="A308" t="s">
        <v>1302</v>
      </c>
      <c r="B308" t="s">
        <v>2771</v>
      </c>
      <c r="C308" t="s">
        <v>2772</v>
      </c>
      <c r="D308" t="s">
        <v>2773</v>
      </c>
      <c r="E308" t="s">
        <v>2767</v>
      </c>
    </row>
    <row r="309" spans="1:5" x14ac:dyDescent="0.25">
      <c r="A309" t="s">
        <v>1302</v>
      </c>
      <c r="B309" t="s">
        <v>2774</v>
      </c>
      <c r="C309" t="s">
        <v>2775</v>
      </c>
      <c r="D309" t="s">
        <v>2773</v>
      </c>
      <c r="E309" t="s">
        <v>2769</v>
      </c>
    </row>
    <row r="310" spans="1:5" x14ac:dyDescent="0.25">
      <c r="A310" t="s">
        <v>1302</v>
      </c>
      <c r="B310" t="s">
        <v>2776</v>
      </c>
      <c r="C310" t="s">
        <v>2777</v>
      </c>
      <c r="D310" t="s">
        <v>2773</v>
      </c>
      <c r="E310" t="s">
        <v>2769</v>
      </c>
    </row>
    <row r="311" spans="1:5" x14ac:dyDescent="0.25">
      <c r="A311" t="s">
        <v>1302</v>
      </c>
      <c r="B311" t="s">
        <v>2778</v>
      </c>
      <c r="C311" t="s">
        <v>2779</v>
      </c>
      <c r="D311" t="s">
        <v>2773</v>
      </c>
      <c r="E311" t="s">
        <v>2769</v>
      </c>
    </row>
    <row r="312" spans="1:5" x14ac:dyDescent="0.25">
      <c r="A312" t="s">
        <v>1302</v>
      </c>
      <c r="B312" t="s">
        <v>2780</v>
      </c>
      <c r="C312" t="s">
        <v>2781</v>
      </c>
      <c r="D312" t="s">
        <v>2773</v>
      </c>
      <c r="E312" t="s">
        <v>2767</v>
      </c>
    </row>
    <row r="313" spans="1:5" x14ac:dyDescent="0.25">
      <c r="A313" t="s">
        <v>1302</v>
      </c>
      <c r="B313" t="s">
        <v>2782</v>
      </c>
      <c r="C313" t="s">
        <v>101</v>
      </c>
      <c r="D313" t="s">
        <v>2773</v>
      </c>
      <c r="E313" t="s">
        <v>2769</v>
      </c>
    </row>
    <row r="314" spans="1:5" x14ac:dyDescent="0.25">
      <c r="A314" t="s">
        <v>1302</v>
      </c>
      <c r="B314" t="s">
        <v>2783</v>
      </c>
      <c r="C314" t="s">
        <v>2784</v>
      </c>
      <c r="D314" t="s">
        <v>2773</v>
      </c>
      <c r="E314" t="s">
        <v>2769</v>
      </c>
    </row>
    <row r="315" spans="1:5" x14ac:dyDescent="0.25">
      <c r="A315" t="s">
        <v>1302</v>
      </c>
      <c r="B315" t="s">
        <v>2785</v>
      </c>
      <c r="C315" t="s">
        <v>2786</v>
      </c>
      <c r="D315" t="s">
        <v>2773</v>
      </c>
      <c r="E315" t="s">
        <v>2767</v>
      </c>
    </row>
    <row r="316" spans="1:5" x14ac:dyDescent="0.25">
      <c r="A316" t="s">
        <v>1302</v>
      </c>
      <c r="B316" t="s">
        <v>2787</v>
      </c>
      <c r="C316" t="s">
        <v>2788</v>
      </c>
      <c r="D316" t="s">
        <v>2773</v>
      </c>
      <c r="E316" t="s">
        <v>2767</v>
      </c>
    </row>
    <row r="317" spans="1:5" x14ac:dyDescent="0.25">
      <c r="A317" t="s">
        <v>1302</v>
      </c>
      <c r="B317" t="s">
        <v>2789</v>
      </c>
      <c r="C317" t="s">
        <v>2790</v>
      </c>
      <c r="D317" t="s">
        <v>2773</v>
      </c>
      <c r="E317" t="s">
        <v>2767</v>
      </c>
    </row>
    <row r="318" spans="1:5" x14ac:dyDescent="0.25">
      <c r="A318" t="s">
        <v>1306</v>
      </c>
      <c r="B318" t="s">
        <v>2791</v>
      </c>
      <c r="C318" t="s">
        <v>2792</v>
      </c>
      <c r="D318" t="s">
        <v>2311</v>
      </c>
      <c r="E318" t="s">
        <v>2170</v>
      </c>
    </row>
    <row r="319" spans="1:5" x14ac:dyDescent="0.25">
      <c r="A319" t="s">
        <v>1306</v>
      </c>
      <c r="B319" t="s">
        <v>2793</v>
      </c>
      <c r="C319" t="s">
        <v>2794</v>
      </c>
      <c r="D319" t="s">
        <v>2311</v>
      </c>
      <c r="E319" t="s">
        <v>2170</v>
      </c>
    </row>
    <row r="320" spans="1:5" x14ac:dyDescent="0.25">
      <c r="A320" t="s">
        <v>1306</v>
      </c>
      <c r="B320" t="s">
        <v>2795</v>
      </c>
      <c r="C320" t="s">
        <v>2796</v>
      </c>
      <c r="D320" t="s">
        <v>2311</v>
      </c>
      <c r="E320" t="s">
        <v>2170</v>
      </c>
    </row>
    <row r="321" spans="1:5" x14ac:dyDescent="0.25">
      <c r="A321" t="s">
        <v>1306</v>
      </c>
      <c r="B321" t="s">
        <v>2797</v>
      </c>
      <c r="C321" t="s">
        <v>2798</v>
      </c>
      <c r="D321" t="s">
        <v>2311</v>
      </c>
      <c r="E321" t="s">
        <v>2170</v>
      </c>
    </row>
    <row r="322" spans="1:5" x14ac:dyDescent="0.25">
      <c r="A322" t="s">
        <v>1306</v>
      </c>
      <c r="B322" t="s">
        <v>2799</v>
      </c>
      <c r="C322" t="s">
        <v>2800</v>
      </c>
      <c r="D322" t="s">
        <v>2311</v>
      </c>
      <c r="E322" t="s">
        <v>2170</v>
      </c>
    </row>
    <row r="323" spans="1:5" x14ac:dyDescent="0.25">
      <c r="A323" t="s">
        <v>1306</v>
      </c>
      <c r="B323" t="s">
        <v>2801</v>
      </c>
      <c r="C323" t="s">
        <v>2802</v>
      </c>
      <c r="D323" t="s">
        <v>2311</v>
      </c>
      <c r="E323" t="s">
        <v>2170</v>
      </c>
    </row>
    <row r="324" spans="1:5" x14ac:dyDescent="0.25">
      <c r="A324" t="s">
        <v>1306</v>
      </c>
      <c r="B324" t="s">
        <v>2803</v>
      </c>
      <c r="C324" t="s">
        <v>2804</v>
      </c>
      <c r="D324" t="s">
        <v>2311</v>
      </c>
      <c r="E324" t="s">
        <v>2170</v>
      </c>
    </row>
    <row r="325" spans="1:5" x14ac:dyDescent="0.25">
      <c r="A325" t="s">
        <v>1306</v>
      </c>
      <c r="B325" t="s">
        <v>2805</v>
      </c>
      <c r="C325" t="s">
        <v>2806</v>
      </c>
      <c r="D325" t="s">
        <v>2311</v>
      </c>
      <c r="E325" t="s">
        <v>2170</v>
      </c>
    </row>
    <row r="326" spans="1:5" x14ac:dyDescent="0.25">
      <c r="A326" t="s">
        <v>1306</v>
      </c>
      <c r="B326" t="s">
        <v>2807</v>
      </c>
      <c r="C326" t="s">
        <v>2808</v>
      </c>
      <c r="D326" t="s">
        <v>2311</v>
      </c>
      <c r="E326" t="s">
        <v>2170</v>
      </c>
    </row>
    <row r="327" spans="1:5" x14ac:dyDescent="0.25">
      <c r="A327" t="s">
        <v>1306</v>
      </c>
      <c r="B327" t="s">
        <v>2809</v>
      </c>
      <c r="C327" t="s">
        <v>2810</v>
      </c>
      <c r="D327" t="s">
        <v>2311</v>
      </c>
      <c r="E327" t="s">
        <v>2170</v>
      </c>
    </row>
    <row r="328" spans="1:5" x14ac:dyDescent="0.25">
      <c r="A328" t="s">
        <v>1306</v>
      </c>
      <c r="B328" t="s">
        <v>2811</v>
      </c>
      <c r="C328" t="s">
        <v>2812</v>
      </c>
      <c r="D328" t="s">
        <v>2311</v>
      </c>
      <c r="E328" t="s">
        <v>2170</v>
      </c>
    </row>
    <row r="329" spans="1:5" x14ac:dyDescent="0.25">
      <c r="A329" t="s">
        <v>1306</v>
      </c>
      <c r="B329" t="s">
        <v>2813</v>
      </c>
      <c r="C329" t="s">
        <v>2814</v>
      </c>
      <c r="D329" t="s">
        <v>2311</v>
      </c>
      <c r="E329" t="s">
        <v>2170</v>
      </c>
    </row>
    <row r="330" spans="1:5" x14ac:dyDescent="0.25">
      <c r="A330" t="s">
        <v>1306</v>
      </c>
      <c r="B330" t="s">
        <v>2815</v>
      </c>
      <c r="C330" t="s">
        <v>2816</v>
      </c>
      <c r="D330" t="s">
        <v>2311</v>
      </c>
      <c r="E330" t="s">
        <v>2170</v>
      </c>
    </row>
    <row r="331" spans="1:5" x14ac:dyDescent="0.25">
      <c r="A331" t="s">
        <v>1306</v>
      </c>
      <c r="B331" t="s">
        <v>2817</v>
      </c>
      <c r="C331" t="s">
        <v>2818</v>
      </c>
      <c r="D331" t="s">
        <v>2773</v>
      </c>
      <c r="E331" t="s">
        <v>2791</v>
      </c>
    </row>
    <row r="332" spans="1:5" x14ac:dyDescent="0.25">
      <c r="A332" t="s">
        <v>1306</v>
      </c>
      <c r="B332" t="s">
        <v>2819</v>
      </c>
      <c r="C332" t="s">
        <v>2820</v>
      </c>
      <c r="D332" t="s">
        <v>2773</v>
      </c>
      <c r="E332" t="s">
        <v>2799</v>
      </c>
    </row>
    <row r="333" spans="1:5" x14ac:dyDescent="0.25">
      <c r="A333" t="s">
        <v>1306</v>
      </c>
      <c r="B333" t="s">
        <v>2821</v>
      </c>
      <c r="C333" t="s">
        <v>2822</v>
      </c>
      <c r="D333" t="s">
        <v>2773</v>
      </c>
      <c r="E333" t="s">
        <v>2791</v>
      </c>
    </row>
    <row r="334" spans="1:5" x14ac:dyDescent="0.25">
      <c r="A334" t="s">
        <v>1306</v>
      </c>
      <c r="B334" t="s">
        <v>2823</v>
      </c>
      <c r="C334" t="s">
        <v>2824</v>
      </c>
      <c r="D334" t="s">
        <v>2773</v>
      </c>
      <c r="E334" t="s">
        <v>2803</v>
      </c>
    </row>
    <row r="335" spans="1:5" x14ac:dyDescent="0.25">
      <c r="A335" t="s">
        <v>1306</v>
      </c>
      <c r="B335" t="s">
        <v>2825</v>
      </c>
      <c r="C335" t="s">
        <v>2826</v>
      </c>
      <c r="D335" t="s">
        <v>2773</v>
      </c>
      <c r="E335" t="s">
        <v>2815</v>
      </c>
    </row>
    <row r="336" spans="1:5" x14ac:dyDescent="0.25">
      <c r="A336" t="s">
        <v>1306</v>
      </c>
      <c r="B336" t="s">
        <v>2827</v>
      </c>
      <c r="C336" t="s">
        <v>2828</v>
      </c>
      <c r="D336" t="s">
        <v>2773</v>
      </c>
      <c r="E336" t="s">
        <v>2797</v>
      </c>
    </row>
    <row r="337" spans="1:5" x14ac:dyDescent="0.25">
      <c r="A337" t="s">
        <v>1306</v>
      </c>
      <c r="B337" t="s">
        <v>2829</v>
      </c>
      <c r="C337" t="s">
        <v>2830</v>
      </c>
      <c r="D337" t="s">
        <v>2773</v>
      </c>
      <c r="E337" t="s">
        <v>2801</v>
      </c>
    </row>
    <row r="338" spans="1:5" x14ac:dyDescent="0.25">
      <c r="A338" t="s">
        <v>1306</v>
      </c>
      <c r="B338" t="s">
        <v>2831</v>
      </c>
      <c r="C338" t="s">
        <v>2832</v>
      </c>
      <c r="D338" t="s">
        <v>2773</v>
      </c>
      <c r="E338" t="s">
        <v>2793</v>
      </c>
    </row>
    <row r="339" spans="1:5" x14ac:dyDescent="0.25">
      <c r="A339" t="s">
        <v>1306</v>
      </c>
      <c r="B339" t="s">
        <v>2833</v>
      </c>
      <c r="C339" t="s">
        <v>2834</v>
      </c>
      <c r="D339" t="s">
        <v>2773</v>
      </c>
      <c r="E339" t="s">
        <v>2811</v>
      </c>
    </row>
    <row r="340" spans="1:5" x14ac:dyDescent="0.25">
      <c r="A340" t="s">
        <v>1306</v>
      </c>
      <c r="B340" t="s">
        <v>2835</v>
      </c>
      <c r="C340" t="s">
        <v>2836</v>
      </c>
      <c r="D340" t="s">
        <v>2773</v>
      </c>
      <c r="E340" t="s">
        <v>2805</v>
      </c>
    </row>
    <row r="341" spans="1:5" x14ac:dyDescent="0.25">
      <c r="A341" t="s">
        <v>1306</v>
      </c>
      <c r="B341" t="s">
        <v>2837</v>
      </c>
      <c r="C341" t="s">
        <v>2838</v>
      </c>
      <c r="D341" t="s">
        <v>2773</v>
      </c>
      <c r="E341" t="s">
        <v>2805</v>
      </c>
    </row>
    <row r="342" spans="1:5" x14ac:dyDescent="0.25">
      <c r="A342" t="s">
        <v>1306</v>
      </c>
      <c r="B342" t="s">
        <v>2839</v>
      </c>
      <c r="C342" t="s">
        <v>2840</v>
      </c>
      <c r="D342" t="s">
        <v>2773</v>
      </c>
      <c r="E342" t="s">
        <v>2807</v>
      </c>
    </row>
    <row r="343" spans="1:5" x14ac:dyDescent="0.25">
      <c r="A343" t="s">
        <v>1306</v>
      </c>
      <c r="B343" t="s">
        <v>2841</v>
      </c>
      <c r="C343" t="s">
        <v>2842</v>
      </c>
      <c r="D343" t="s">
        <v>2773</v>
      </c>
      <c r="E343" t="s">
        <v>2815</v>
      </c>
    </row>
    <row r="344" spans="1:5" x14ac:dyDescent="0.25">
      <c r="A344" t="s">
        <v>1306</v>
      </c>
      <c r="B344" t="s">
        <v>2843</v>
      </c>
      <c r="C344" t="s">
        <v>2844</v>
      </c>
      <c r="D344" t="s">
        <v>2773</v>
      </c>
      <c r="E344" t="s">
        <v>2795</v>
      </c>
    </row>
    <row r="345" spans="1:5" x14ac:dyDescent="0.25">
      <c r="A345" t="s">
        <v>1306</v>
      </c>
      <c r="B345" t="s">
        <v>2845</v>
      </c>
      <c r="C345" t="s">
        <v>2846</v>
      </c>
      <c r="D345" t="s">
        <v>2773</v>
      </c>
      <c r="E345" t="s">
        <v>2807</v>
      </c>
    </row>
    <row r="346" spans="1:5" x14ac:dyDescent="0.25">
      <c r="A346" t="s">
        <v>1306</v>
      </c>
      <c r="B346" t="s">
        <v>2847</v>
      </c>
      <c r="C346" t="s">
        <v>2848</v>
      </c>
      <c r="D346" t="s">
        <v>2773</v>
      </c>
      <c r="E346" t="s">
        <v>2805</v>
      </c>
    </row>
    <row r="347" spans="1:5" x14ac:dyDescent="0.25">
      <c r="A347" t="s">
        <v>1306</v>
      </c>
      <c r="B347" t="s">
        <v>2849</v>
      </c>
      <c r="C347" t="s">
        <v>2850</v>
      </c>
      <c r="D347" t="s">
        <v>2773</v>
      </c>
      <c r="E347" t="s">
        <v>2805</v>
      </c>
    </row>
    <row r="348" spans="1:5" x14ac:dyDescent="0.25">
      <c r="A348" t="s">
        <v>1306</v>
      </c>
      <c r="B348" t="s">
        <v>2851</v>
      </c>
      <c r="C348" t="s">
        <v>2852</v>
      </c>
      <c r="D348" t="s">
        <v>2773</v>
      </c>
      <c r="E348" t="s">
        <v>2791</v>
      </c>
    </row>
    <row r="349" spans="1:5" x14ac:dyDescent="0.25">
      <c r="A349" t="s">
        <v>1306</v>
      </c>
      <c r="B349" t="s">
        <v>2853</v>
      </c>
      <c r="C349" t="s">
        <v>2854</v>
      </c>
      <c r="D349" t="s">
        <v>2773</v>
      </c>
      <c r="E349" t="s">
        <v>2797</v>
      </c>
    </row>
    <row r="350" spans="1:5" x14ac:dyDescent="0.25">
      <c r="A350" t="s">
        <v>1306</v>
      </c>
      <c r="B350" t="s">
        <v>2855</v>
      </c>
      <c r="C350" t="s">
        <v>2856</v>
      </c>
      <c r="D350" t="s">
        <v>2773</v>
      </c>
      <c r="E350" t="s">
        <v>2797</v>
      </c>
    </row>
    <row r="351" spans="1:5" x14ac:dyDescent="0.25">
      <c r="A351" t="s">
        <v>1306</v>
      </c>
      <c r="B351" t="s">
        <v>2857</v>
      </c>
      <c r="C351" t="s">
        <v>2858</v>
      </c>
      <c r="D351" t="s">
        <v>2773</v>
      </c>
      <c r="E351" t="s">
        <v>2811</v>
      </c>
    </row>
    <row r="352" spans="1:5" x14ac:dyDescent="0.25">
      <c r="A352" t="s">
        <v>1306</v>
      </c>
      <c r="B352" t="s">
        <v>2859</v>
      </c>
      <c r="C352" t="s">
        <v>2860</v>
      </c>
      <c r="D352" t="s">
        <v>2773</v>
      </c>
      <c r="E352" t="s">
        <v>2793</v>
      </c>
    </row>
    <row r="353" spans="1:5" x14ac:dyDescent="0.25">
      <c r="A353" t="s">
        <v>1306</v>
      </c>
      <c r="B353" t="s">
        <v>2861</v>
      </c>
      <c r="C353" t="s">
        <v>2862</v>
      </c>
      <c r="D353" t="s">
        <v>2773</v>
      </c>
      <c r="E353" t="s">
        <v>2809</v>
      </c>
    </row>
    <row r="354" spans="1:5" x14ac:dyDescent="0.25">
      <c r="A354" t="s">
        <v>1306</v>
      </c>
      <c r="B354" t="s">
        <v>2863</v>
      </c>
      <c r="C354" t="s">
        <v>2864</v>
      </c>
      <c r="D354" t="s">
        <v>2773</v>
      </c>
      <c r="E354" t="s">
        <v>2791</v>
      </c>
    </row>
    <row r="355" spans="1:5" x14ac:dyDescent="0.25">
      <c r="A355" t="s">
        <v>1306</v>
      </c>
      <c r="B355" t="s">
        <v>2865</v>
      </c>
      <c r="C355" t="s">
        <v>2866</v>
      </c>
      <c r="D355" t="s">
        <v>2773</v>
      </c>
      <c r="E355" t="s">
        <v>2803</v>
      </c>
    </row>
    <row r="356" spans="1:5" x14ac:dyDescent="0.25">
      <c r="A356" t="s">
        <v>1306</v>
      </c>
      <c r="B356" t="s">
        <v>2867</v>
      </c>
      <c r="C356" t="s">
        <v>2868</v>
      </c>
      <c r="D356" t="s">
        <v>2773</v>
      </c>
      <c r="E356" t="s">
        <v>2799</v>
      </c>
    </row>
    <row r="357" spans="1:5" x14ac:dyDescent="0.25">
      <c r="A357" t="s">
        <v>1306</v>
      </c>
      <c r="B357" t="s">
        <v>2869</v>
      </c>
      <c r="C357" t="s">
        <v>2870</v>
      </c>
      <c r="D357" t="s">
        <v>2773</v>
      </c>
      <c r="E357" t="s">
        <v>2791</v>
      </c>
    </row>
    <row r="358" spans="1:5" x14ac:dyDescent="0.25">
      <c r="A358" t="s">
        <v>1306</v>
      </c>
      <c r="B358" t="s">
        <v>2871</v>
      </c>
      <c r="C358" t="s">
        <v>2872</v>
      </c>
      <c r="D358" t="s">
        <v>2773</v>
      </c>
      <c r="E358" t="s">
        <v>2815</v>
      </c>
    </row>
    <row r="359" spans="1:5" x14ac:dyDescent="0.25">
      <c r="A359" t="s">
        <v>1306</v>
      </c>
      <c r="B359" t="s">
        <v>2873</v>
      </c>
      <c r="C359" t="s">
        <v>2874</v>
      </c>
      <c r="D359" t="s">
        <v>2773</v>
      </c>
      <c r="E359" t="s">
        <v>2811</v>
      </c>
    </row>
    <row r="360" spans="1:5" x14ac:dyDescent="0.25">
      <c r="A360" t="s">
        <v>1306</v>
      </c>
      <c r="B360" t="s">
        <v>2875</v>
      </c>
      <c r="C360" t="s">
        <v>2876</v>
      </c>
      <c r="D360" t="s">
        <v>2773</v>
      </c>
      <c r="E360" t="s">
        <v>2813</v>
      </c>
    </row>
    <row r="361" spans="1:5" x14ac:dyDescent="0.25">
      <c r="A361" t="s">
        <v>1306</v>
      </c>
      <c r="B361" t="s">
        <v>2877</v>
      </c>
      <c r="C361" t="s">
        <v>2878</v>
      </c>
      <c r="D361" t="s">
        <v>2773</v>
      </c>
      <c r="E361" t="s">
        <v>2809</v>
      </c>
    </row>
    <row r="362" spans="1:5" x14ac:dyDescent="0.25">
      <c r="A362" t="s">
        <v>1306</v>
      </c>
      <c r="B362" t="s">
        <v>2879</v>
      </c>
      <c r="C362" t="s">
        <v>2880</v>
      </c>
      <c r="D362" t="s">
        <v>2773</v>
      </c>
      <c r="E362" t="s">
        <v>2815</v>
      </c>
    </row>
    <row r="363" spans="1:5" x14ac:dyDescent="0.25">
      <c r="A363" t="s">
        <v>1306</v>
      </c>
      <c r="B363" t="s">
        <v>2881</v>
      </c>
      <c r="C363" t="s">
        <v>2882</v>
      </c>
      <c r="D363" t="s">
        <v>2773</v>
      </c>
      <c r="E363" t="s">
        <v>2801</v>
      </c>
    </row>
    <row r="364" spans="1:5" x14ac:dyDescent="0.25">
      <c r="A364" t="s">
        <v>1306</v>
      </c>
      <c r="B364" t="s">
        <v>2883</v>
      </c>
      <c r="C364" t="s">
        <v>2884</v>
      </c>
      <c r="D364" t="s">
        <v>2773</v>
      </c>
      <c r="E364" t="s">
        <v>2799</v>
      </c>
    </row>
    <row r="365" spans="1:5" x14ac:dyDescent="0.25">
      <c r="A365" t="s">
        <v>1306</v>
      </c>
      <c r="B365" t="s">
        <v>2885</v>
      </c>
      <c r="C365" t="s">
        <v>2886</v>
      </c>
      <c r="D365" t="s">
        <v>2773</v>
      </c>
      <c r="E365" t="s">
        <v>2813</v>
      </c>
    </row>
    <row r="366" spans="1:5" x14ac:dyDescent="0.25">
      <c r="A366" t="s">
        <v>1306</v>
      </c>
      <c r="B366" t="s">
        <v>2887</v>
      </c>
      <c r="C366" t="s">
        <v>2888</v>
      </c>
      <c r="D366" t="s">
        <v>2773</v>
      </c>
      <c r="E366" t="s">
        <v>2801</v>
      </c>
    </row>
    <row r="367" spans="1:5" x14ac:dyDescent="0.25">
      <c r="A367" t="s">
        <v>1306</v>
      </c>
      <c r="B367" t="s">
        <v>2889</v>
      </c>
      <c r="C367" t="s">
        <v>2890</v>
      </c>
      <c r="D367" t="s">
        <v>2773</v>
      </c>
      <c r="E367" t="s">
        <v>2813</v>
      </c>
    </row>
    <row r="368" spans="1:5" x14ac:dyDescent="0.25">
      <c r="A368" t="s">
        <v>1306</v>
      </c>
      <c r="B368" t="s">
        <v>2891</v>
      </c>
      <c r="C368" t="s">
        <v>2892</v>
      </c>
      <c r="D368" t="s">
        <v>2773</v>
      </c>
      <c r="E368" t="s">
        <v>2791</v>
      </c>
    </row>
    <row r="369" spans="1:5" x14ac:dyDescent="0.25">
      <c r="A369" t="s">
        <v>1306</v>
      </c>
      <c r="B369" t="s">
        <v>2893</v>
      </c>
      <c r="C369" t="s">
        <v>2894</v>
      </c>
      <c r="D369" t="s">
        <v>2773</v>
      </c>
      <c r="E369" t="s">
        <v>2805</v>
      </c>
    </row>
    <row r="370" spans="1:5" x14ac:dyDescent="0.25">
      <c r="A370" t="s">
        <v>1306</v>
      </c>
      <c r="B370" t="s">
        <v>2895</v>
      </c>
      <c r="C370" t="s">
        <v>2896</v>
      </c>
      <c r="D370" t="s">
        <v>2773</v>
      </c>
      <c r="E370" t="s">
        <v>2807</v>
      </c>
    </row>
    <row r="371" spans="1:5" x14ac:dyDescent="0.25">
      <c r="A371" t="s">
        <v>1306</v>
      </c>
      <c r="B371" t="s">
        <v>2897</v>
      </c>
      <c r="C371" t="s">
        <v>2898</v>
      </c>
      <c r="D371" t="s">
        <v>2773</v>
      </c>
      <c r="E371" t="s">
        <v>2813</v>
      </c>
    </row>
    <row r="372" spans="1:5" x14ac:dyDescent="0.25">
      <c r="A372" t="s">
        <v>1306</v>
      </c>
      <c r="B372" t="s">
        <v>2899</v>
      </c>
      <c r="C372" t="s">
        <v>2900</v>
      </c>
      <c r="D372" t="s">
        <v>2773</v>
      </c>
      <c r="E372" t="s">
        <v>2809</v>
      </c>
    </row>
    <row r="373" spans="1:5" x14ac:dyDescent="0.25">
      <c r="A373" t="s">
        <v>1306</v>
      </c>
      <c r="B373" t="s">
        <v>2901</v>
      </c>
      <c r="C373" t="s">
        <v>2902</v>
      </c>
      <c r="D373" t="s">
        <v>2773</v>
      </c>
      <c r="E373" t="s">
        <v>2801</v>
      </c>
    </row>
    <row r="374" spans="1:5" x14ac:dyDescent="0.25">
      <c r="A374" t="s">
        <v>1306</v>
      </c>
      <c r="B374" t="s">
        <v>2903</v>
      </c>
      <c r="C374" t="s">
        <v>2904</v>
      </c>
      <c r="D374" t="s">
        <v>2773</v>
      </c>
      <c r="E374" t="s">
        <v>2809</v>
      </c>
    </row>
    <row r="375" spans="1:5" x14ac:dyDescent="0.25">
      <c r="A375" t="s">
        <v>1306</v>
      </c>
      <c r="B375" t="s">
        <v>2905</v>
      </c>
      <c r="C375" t="s">
        <v>2906</v>
      </c>
      <c r="D375" t="s">
        <v>2773</v>
      </c>
      <c r="E375" t="s">
        <v>2803</v>
      </c>
    </row>
    <row r="376" spans="1:5" x14ac:dyDescent="0.25">
      <c r="A376" t="s">
        <v>1309</v>
      </c>
      <c r="B376" t="s">
        <v>2907</v>
      </c>
      <c r="C376" t="s">
        <v>2908</v>
      </c>
      <c r="D376" t="s">
        <v>2646</v>
      </c>
      <c r="E376" t="s">
        <v>2170</v>
      </c>
    </row>
    <row r="377" spans="1:5" x14ac:dyDescent="0.25">
      <c r="A377" t="s">
        <v>1309</v>
      </c>
      <c r="B377" t="s">
        <v>2909</v>
      </c>
      <c r="C377" t="s">
        <v>2910</v>
      </c>
      <c r="D377" t="s">
        <v>2646</v>
      </c>
      <c r="E377" t="s">
        <v>2170</v>
      </c>
    </row>
    <row r="378" spans="1:5" x14ac:dyDescent="0.25">
      <c r="A378" t="s">
        <v>1309</v>
      </c>
      <c r="B378" t="s">
        <v>2911</v>
      </c>
      <c r="C378" t="s">
        <v>2912</v>
      </c>
      <c r="D378" t="s">
        <v>2646</v>
      </c>
      <c r="E378" t="s">
        <v>2170</v>
      </c>
    </row>
    <row r="379" spans="1:5" x14ac:dyDescent="0.25">
      <c r="A379" t="s">
        <v>1309</v>
      </c>
      <c r="B379" t="s">
        <v>2913</v>
      </c>
      <c r="C379" t="s">
        <v>2914</v>
      </c>
      <c r="D379" t="s">
        <v>2646</v>
      </c>
      <c r="E379" t="s">
        <v>2170</v>
      </c>
    </row>
    <row r="380" spans="1:5" x14ac:dyDescent="0.25">
      <c r="A380" t="s">
        <v>1309</v>
      </c>
      <c r="B380" t="s">
        <v>2915</v>
      </c>
      <c r="C380" t="s">
        <v>2916</v>
      </c>
      <c r="D380" t="s">
        <v>2646</v>
      </c>
      <c r="E380" t="s">
        <v>2170</v>
      </c>
    </row>
    <row r="381" spans="1:5" x14ac:dyDescent="0.25">
      <c r="A381" t="s">
        <v>1309</v>
      </c>
      <c r="B381" t="s">
        <v>2917</v>
      </c>
      <c r="C381" t="s">
        <v>2918</v>
      </c>
      <c r="D381" t="s">
        <v>2646</v>
      </c>
      <c r="E381" t="s">
        <v>2170</v>
      </c>
    </row>
    <row r="382" spans="1:5" x14ac:dyDescent="0.25">
      <c r="A382" t="s">
        <v>1309</v>
      </c>
      <c r="B382" t="s">
        <v>2919</v>
      </c>
      <c r="C382" t="s">
        <v>2920</v>
      </c>
      <c r="D382" t="s">
        <v>2646</v>
      </c>
      <c r="E382" t="s">
        <v>2170</v>
      </c>
    </row>
    <row r="383" spans="1:5" x14ac:dyDescent="0.25">
      <c r="A383" t="s">
        <v>1309</v>
      </c>
      <c r="B383" t="s">
        <v>2921</v>
      </c>
      <c r="C383" t="s">
        <v>2922</v>
      </c>
      <c r="D383" t="s">
        <v>2646</v>
      </c>
      <c r="E383" t="s">
        <v>2170</v>
      </c>
    </row>
    <row r="384" spans="1:5" x14ac:dyDescent="0.25">
      <c r="A384" t="s">
        <v>1309</v>
      </c>
      <c r="B384" t="s">
        <v>2923</v>
      </c>
      <c r="C384" t="s">
        <v>2029</v>
      </c>
      <c r="D384" t="s">
        <v>2646</v>
      </c>
      <c r="E384" t="s">
        <v>2170</v>
      </c>
    </row>
    <row r="385" spans="1:5" x14ac:dyDescent="0.25">
      <c r="A385" t="s">
        <v>1309</v>
      </c>
      <c r="B385" t="s">
        <v>2924</v>
      </c>
      <c r="C385" t="s">
        <v>2925</v>
      </c>
      <c r="D385" t="s">
        <v>2646</v>
      </c>
      <c r="E385" t="s">
        <v>2170</v>
      </c>
    </row>
    <row r="386" spans="1:5" x14ac:dyDescent="0.25">
      <c r="A386" t="s">
        <v>1309</v>
      </c>
      <c r="B386" t="s">
        <v>2926</v>
      </c>
      <c r="C386" t="s">
        <v>2927</v>
      </c>
      <c r="D386" t="s">
        <v>2646</v>
      </c>
      <c r="E386" t="s">
        <v>2170</v>
      </c>
    </row>
    <row r="387" spans="1:5" x14ac:dyDescent="0.25">
      <c r="A387" t="s">
        <v>1309</v>
      </c>
      <c r="B387" t="s">
        <v>2928</v>
      </c>
      <c r="C387" t="s">
        <v>2929</v>
      </c>
      <c r="D387" t="s">
        <v>2646</v>
      </c>
      <c r="E387" t="s">
        <v>2170</v>
      </c>
    </row>
    <row r="388" spans="1:5" x14ac:dyDescent="0.25">
      <c r="A388" t="s">
        <v>1309</v>
      </c>
      <c r="B388" t="s">
        <v>2930</v>
      </c>
      <c r="C388" t="s">
        <v>2931</v>
      </c>
      <c r="D388" t="s">
        <v>2646</v>
      </c>
      <c r="E388" t="s">
        <v>2170</v>
      </c>
    </row>
    <row r="389" spans="1:5" x14ac:dyDescent="0.25">
      <c r="A389" t="s">
        <v>1309</v>
      </c>
      <c r="B389" t="s">
        <v>2932</v>
      </c>
      <c r="C389" t="s">
        <v>2933</v>
      </c>
      <c r="D389" t="s">
        <v>2646</v>
      </c>
      <c r="E389" t="s">
        <v>2170</v>
      </c>
    </row>
    <row r="390" spans="1:5" x14ac:dyDescent="0.25">
      <c r="A390" t="s">
        <v>1309</v>
      </c>
      <c r="B390" t="s">
        <v>2934</v>
      </c>
      <c r="C390" t="s">
        <v>2935</v>
      </c>
      <c r="D390" t="s">
        <v>2646</v>
      </c>
      <c r="E390" t="s">
        <v>2170</v>
      </c>
    </row>
    <row r="391" spans="1:5" x14ac:dyDescent="0.25">
      <c r="A391" t="s">
        <v>1309</v>
      </c>
      <c r="B391" t="s">
        <v>2936</v>
      </c>
      <c r="C391" t="s">
        <v>2937</v>
      </c>
      <c r="D391" t="s">
        <v>2646</v>
      </c>
      <c r="E391" t="s">
        <v>2170</v>
      </c>
    </row>
    <row r="392" spans="1:5" x14ac:dyDescent="0.25">
      <c r="A392" t="s">
        <v>1309</v>
      </c>
      <c r="B392" t="s">
        <v>2938</v>
      </c>
      <c r="C392" t="s">
        <v>2939</v>
      </c>
      <c r="D392" t="s">
        <v>2646</v>
      </c>
      <c r="E392" t="s">
        <v>2170</v>
      </c>
    </row>
    <row r="393" spans="1:5" x14ac:dyDescent="0.25">
      <c r="A393" t="s">
        <v>1309</v>
      </c>
      <c r="B393" t="s">
        <v>2940</v>
      </c>
      <c r="C393" t="s">
        <v>2941</v>
      </c>
      <c r="D393" t="s">
        <v>2646</v>
      </c>
      <c r="E393" t="s">
        <v>2170</v>
      </c>
    </row>
    <row r="394" spans="1:5" x14ac:dyDescent="0.25">
      <c r="A394" t="s">
        <v>1309</v>
      </c>
      <c r="B394" t="s">
        <v>2942</v>
      </c>
      <c r="C394" t="s">
        <v>2943</v>
      </c>
      <c r="D394" t="s">
        <v>2646</v>
      </c>
      <c r="E394" t="s">
        <v>2170</v>
      </c>
    </row>
    <row r="395" spans="1:5" x14ac:dyDescent="0.25">
      <c r="A395" t="s">
        <v>1309</v>
      </c>
      <c r="B395" t="s">
        <v>2944</v>
      </c>
      <c r="C395" t="s">
        <v>1308</v>
      </c>
      <c r="D395" t="s">
        <v>2646</v>
      </c>
      <c r="E395" t="s">
        <v>2170</v>
      </c>
    </row>
    <row r="396" spans="1:5" x14ac:dyDescent="0.25">
      <c r="A396" t="s">
        <v>1309</v>
      </c>
      <c r="B396" t="s">
        <v>2945</v>
      </c>
      <c r="C396" t="s">
        <v>2946</v>
      </c>
      <c r="D396" t="s">
        <v>2646</v>
      </c>
      <c r="E396" t="s">
        <v>2170</v>
      </c>
    </row>
    <row r="397" spans="1:5" x14ac:dyDescent="0.25">
      <c r="A397" t="s">
        <v>1309</v>
      </c>
      <c r="B397" t="s">
        <v>2947</v>
      </c>
      <c r="C397" t="s">
        <v>2948</v>
      </c>
      <c r="D397" t="s">
        <v>2646</v>
      </c>
      <c r="E397" t="s">
        <v>2170</v>
      </c>
    </row>
    <row r="398" spans="1:5" x14ac:dyDescent="0.25">
      <c r="A398" t="s">
        <v>1309</v>
      </c>
      <c r="B398" t="s">
        <v>2949</v>
      </c>
      <c r="C398" t="s">
        <v>2950</v>
      </c>
      <c r="D398" t="s">
        <v>2646</v>
      </c>
      <c r="E398" t="s">
        <v>2170</v>
      </c>
    </row>
    <row r="399" spans="1:5" x14ac:dyDescent="0.25">
      <c r="A399" t="s">
        <v>1309</v>
      </c>
      <c r="B399" t="s">
        <v>2951</v>
      </c>
      <c r="C399" t="s">
        <v>2952</v>
      </c>
      <c r="D399" t="s">
        <v>2646</v>
      </c>
      <c r="E399" t="s">
        <v>2170</v>
      </c>
    </row>
    <row r="400" spans="1:5" x14ac:dyDescent="0.25">
      <c r="A400" t="s">
        <v>1309</v>
      </c>
      <c r="B400" t="s">
        <v>2953</v>
      </c>
      <c r="C400" t="s">
        <v>2954</v>
      </c>
      <c r="D400" t="s">
        <v>2646</v>
      </c>
      <c r="E400" t="s">
        <v>2170</v>
      </c>
    </row>
    <row r="401" spans="1:5" x14ac:dyDescent="0.25">
      <c r="A401" t="s">
        <v>1309</v>
      </c>
      <c r="B401" t="s">
        <v>2955</v>
      </c>
      <c r="C401" t="s">
        <v>2956</v>
      </c>
      <c r="D401" t="s">
        <v>2646</v>
      </c>
      <c r="E401" t="s">
        <v>2170</v>
      </c>
    </row>
    <row r="402" spans="1:5" x14ac:dyDescent="0.25">
      <c r="A402" t="s">
        <v>1309</v>
      </c>
      <c r="B402" t="s">
        <v>2957</v>
      </c>
      <c r="C402" t="s">
        <v>2958</v>
      </c>
      <c r="D402" t="s">
        <v>2646</v>
      </c>
      <c r="E402" t="s">
        <v>2170</v>
      </c>
    </row>
    <row r="403" spans="1:5" x14ac:dyDescent="0.25">
      <c r="A403" t="s">
        <v>1309</v>
      </c>
      <c r="B403" t="s">
        <v>2959</v>
      </c>
      <c r="C403" t="s">
        <v>2960</v>
      </c>
      <c r="D403" t="s">
        <v>2646</v>
      </c>
      <c r="E403" t="s">
        <v>2170</v>
      </c>
    </row>
    <row r="404" spans="1:5" x14ac:dyDescent="0.25">
      <c r="A404" t="s">
        <v>1313</v>
      </c>
      <c r="B404" t="s">
        <v>2961</v>
      </c>
      <c r="C404" t="s">
        <v>2962</v>
      </c>
      <c r="D404" t="s">
        <v>2963</v>
      </c>
      <c r="E404" t="s">
        <v>2170</v>
      </c>
    </row>
    <row r="405" spans="1:5" x14ac:dyDescent="0.25">
      <c r="A405" t="s">
        <v>1313</v>
      </c>
      <c r="B405" t="s">
        <v>2964</v>
      </c>
      <c r="C405" t="s">
        <v>2965</v>
      </c>
      <c r="D405" t="s">
        <v>2963</v>
      </c>
      <c r="E405" t="s">
        <v>2170</v>
      </c>
    </row>
    <row r="406" spans="1:5" x14ac:dyDescent="0.25">
      <c r="A406" t="s">
        <v>1313</v>
      </c>
      <c r="B406" t="s">
        <v>2966</v>
      </c>
      <c r="C406" t="s">
        <v>2967</v>
      </c>
      <c r="D406" t="s">
        <v>2963</v>
      </c>
      <c r="E406" t="s">
        <v>2170</v>
      </c>
    </row>
    <row r="407" spans="1:5" x14ac:dyDescent="0.25">
      <c r="A407" t="s">
        <v>1313</v>
      </c>
      <c r="B407" t="s">
        <v>2968</v>
      </c>
      <c r="C407" t="s">
        <v>2969</v>
      </c>
      <c r="D407" t="s">
        <v>2963</v>
      </c>
      <c r="E407" t="s">
        <v>2170</v>
      </c>
    </row>
    <row r="408" spans="1:5" x14ac:dyDescent="0.25">
      <c r="A408" t="s">
        <v>1316</v>
      </c>
      <c r="B408" t="s">
        <v>2970</v>
      </c>
      <c r="C408" t="s">
        <v>2971</v>
      </c>
      <c r="D408" t="s">
        <v>2200</v>
      </c>
      <c r="E408" t="s">
        <v>2170</v>
      </c>
    </row>
    <row r="409" spans="1:5" x14ac:dyDescent="0.25">
      <c r="A409" t="s">
        <v>1316</v>
      </c>
      <c r="B409" t="s">
        <v>2972</v>
      </c>
      <c r="C409" t="s">
        <v>2973</v>
      </c>
      <c r="D409" t="s">
        <v>2200</v>
      </c>
      <c r="E409" t="s">
        <v>2170</v>
      </c>
    </row>
    <row r="410" spans="1:5" x14ac:dyDescent="0.25">
      <c r="A410" t="s">
        <v>1316</v>
      </c>
      <c r="B410" t="s">
        <v>2974</v>
      </c>
      <c r="C410" t="s">
        <v>2975</v>
      </c>
      <c r="D410" t="s">
        <v>2200</v>
      </c>
      <c r="E410" t="s">
        <v>2170</v>
      </c>
    </row>
    <row r="411" spans="1:5" x14ac:dyDescent="0.25">
      <c r="A411" t="s">
        <v>1316</v>
      </c>
      <c r="B411" t="s">
        <v>2976</v>
      </c>
      <c r="C411" t="s">
        <v>2977</v>
      </c>
      <c r="D411" t="s">
        <v>2200</v>
      </c>
      <c r="E411" t="s">
        <v>2170</v>
      </c>
    </row>
    <row r="412" spans="1:5" x14ac:dyDescent="0.25">
      <c r="A412" t="s">
        <v>1316</v>
      </c>
      <c r="B412" t="s">
        <v>2978</v>
      </c>
      <c r="C412" t="s">
        <v>2979</v>
      </c>
      <c r="D412" t="s">
        <v>2200</v>
      </c>
      <c r="E412" t="s">
        <v>2170</v>
      </c>
    </row>
    <row r="413" spans="1:5" x14ac:dyDescent="0.25">
      <c r="A413" t="s">
        <v>1316</v>
      </c>
      <c r="B413" t="s">
        <v>2980</v>
      </c>
      <c r="C413" t="s">
        <v>2981</v>
      </c>
      <c r="D413" t="s">
        <v>2200</v>
      </c>
      <c r="E413" t="s">
        <v>2170</v>
      </c>
    </row>
    <row r="414" spans="1:5" x14ac:dyDescent="0.25">
      <c r="A414" t="s">
        <v>1316</v>
      </c>
      <c r="B414" t="s">
        <v>2982</v>
      </c>
      <c r="C414" t="s">
        <v>2983</v>
      </c>
      <c r="D414" t="s">
        <v>2200</v>
      </c>
      <c r="E414" t="s">
        <v>2170</v>
      </c>
    </row>
    <row r="415" spans="1:5" x14ac:dyDescent="0.25">
      <c r="A415" t="s">
        <v>1316</v>
      </c>
      <c r="B415" t="s">
        <v>2984</v>
      </c>
      <c r="C415" t="s">
        <v>2985</v>
      </c>
      <c r="D415" t="s">
        <v>2200</v>
      </c>
      <c r="E415" t="s">
        <v>2170</v>
      </c>
    </row>
    <row r="416" spans="1:5" x14ac:dyDescent="0.25">
      <c r="A416" t="s">
        <v>1316</v>
      </c>
      <c r="B416" t="s">
        <v>2986</v>
      </c>
      <c r="C416" t="s">
        <v>2987</v>
      </c>
      <c r="D416" t="s">
        <v>2200</v>
      </c>
      <c r="E416" t="s">
        <v>2170</v>
      </c>
    </row>
    <row r="417" spans="1:5" x14ac:dyDescent="0.25">
      <c r="A417" t="s">
        <v>1316</v>
      </c>
      <c r="B417" t="s">
        <v>2988</v>
      </c>
      <c r="C417" t="s">
        <v>2989</v>
      </c>
      <c r="D417" t="s">
        <v>2200</v>
      </c>
      <c r="E417" t="s">
        <v>2170</v>
      </c>
    </row>
    <row r="418" spans="1:5" x14ac:dyDescent="0.25">
      <c r="A418" t="s">
        <v>1316</v>
      </c>
      <c r="B418" t="s">
        <v>2990</v>
      </c>
      <c r="C418" t="s">
        <v>2991</v>
      </c>
      <c r="D418" t="s">
        <v>2200</v>
      </c>
      <c r="E418" t="s">
        <v>2170</v>
      </c>
    </row>
    <row r="419" spans="1:5" x14ac:dyDescent="0.25">
      <c r="A419" t="s">
        <v>1316</v>
      </c>
      <c r="B419" t="s">
        <v>2992</v>
      </c>
      <c r="C419" t="s">
        <v>2993</v>
      </c>
      <c r="D419" t="s">
        <v>2200</v>
      </c>
      <c r="E419" t="s">
        <v>2170</v>
      </c>
    </row>
    <row r="420" spans="1:5" x14ac:dyDescent="0.25">
      <c r="A420" t="s">
        <v>1316</v>
      </c>
      <c r="B420" t="s">
        <v>2994</v>
      </c>
      <c r="C420" t="s">
        <v>2995</v>
      </c>
      <c r="D420" t="s">
        <v>2200</v>
      </c>
      <c r="E420" t="s">
        <v>2170</v>
      </c>
    </row>
    <row r="421" spans="1:5" x14ac:dyDescent="0.25">
      <c r="A421" t="s">
        <v>1316</v>
      </c>
      <c r="B421" t="s">
        <v>2996</v>
      </c>
      <c r="C421" t="s">
        <v>2997</v>
      </c>
      <c r="D421" t="s">
        <v>2200</v>
      </c>
      <c r="E421" t="s">
        <v>2170</v>
      </c>
    </row>
    <row r="422" spans="1:5" x14ac:dyDescent="0.25">
      <c r="A422" t="s">
        <v>1316</v>
      </c>
      <c r="B422" t="s">
        <v>2998</v>
      </c>
      <c r="C422" t="s">
        <v>2999</v>
      </c>
      <c r="D422" t="s">
        <v>2200</v>
      </c>
      <c r="E422" t="s">
        <v>2170</v>
      </c>
    </row>
    <row r="423" spans="1:5" x14ac:dyDescent="0.25">
      <c r="A423" t="s">
        <v>1316</v>
      </c>
      <c r="B423" t="s">
        <v>3000</v>
      </c>
      <c r="C423" t="s">
        <v>3001</v>
      </c>
      <c r="D423" t="s">
        <v>2200</v>
      </c>
      <c r="E423" t="s">
        <v>2170</v>
      </c>
    </row>
    <row r="424" spans="1:5" x14ac:dyDescent="0.25">
      <c r="A424" t="s">
        <v>1316</v>
      </c>
      <c r="B424" t="s">
        <v>3002</v>
      </c>
      <c r="C424" t="s">
        <v>3003</v>
      </c>
      <c r="D424" t="s">
        <v>2200</v>
      </c>
      <c r="E424" t="s">
        <v>2170</v>
      </c>
    </row>
    <row r="425" spans="1:5" x14ac:dyDescent="0.25">
      <c r="A425" t="s">
        <v>1316</v>
      </c>
      <c r="B425" t="s">
        <v>3004</v>
      </c>
      <c r="C425" t="s">
        <v>3005</v>
      </c>
      <c r="D425" t="s">
        <v>2200</v>
      </c>
      <c r="E425" t="s">
        <v>2170</v>
      </c>
    </row>
    <row r="426" spans="1:5" x14ac:dyDescent="0.25">
      <c r="A426" t="s">
        <v>1320</v>
      </c>
      <c r="B426" t="s">
        <v>3006</v>
      </c>
      <c r="C426" t="s">
        <v>3007</v>
      </c>
      <c r="D426" t="s">
        <v>3008</v>
      </c>
      <c r="E426" t="s">
        <v>2170</v>
      </c>
    </row>
    <row r="427" spans="1:5" x14ac:dyDescent="0.25">
      <c r="A427" t="s">
        <v>1320</v>
      </c>
      <c r="B427" t="s">
        <v>3009</v>
      </c>
      <c r="C427" t="s">
        <v>3010</v>
      </c>
      <c r="D427" t="s">
        <v>3008</v>
      </c>
      <c r="E427" t="s">
        <v>2170</v>
      </c>
    </row>
    <row r="428" spans="1:5" x14ac:dyDescent="0.25">
      <c r="A428" t="s">
        <v>1320</v>
      </c>
      <c r="B428" t="s">
        <v>3011</v>
      </c>
      <c r="C428" t="s">
        <v>3012</v>
      </c>
      <c r="D428" t="s">
        <v>3008</v>
      </c>
      <c r="E428" t="s">
        <v>2170</v>
      </c>
    </row>
    <row r="429" spans="1:5" x14ac:dyDescent="0.25">
      <c r="A429" t="s">
        <v>1320</v>
      </c>
      <c r="B429" t="s">
        <v>3013</v>
      </c>
      <c r="C429" t="s">
        <v>3014</v>
      </c>
      <c r="D429" t="s">
        <v>3008</v>
      </c>
      <c r="E429" t="s">
        <v>2170</v>
      </c>
    </row>
    <row r="430" spans="1:5" x14ac:dyDescent="0.25">
      <c r="A430" t="s">
        <v>1320</v>
      </c>
      <c r="B430" t="s">
        <v>3015</v>
      </c>
      <c r="C430" t="s">
        <v>3016</v>
      </c>
      <c r="D430" t="s">
        <v>3008</v>
      </c>
      <c r="E430" t="s">
        <v>2170</v>
      </c>
    </row>
    <row r="431" spans="1:5" x14ac:dyDescent="0.25">
      <c r="A431" t="s">
        <v>1320</v>
      </c>
      <c r="B431" t="s">
        <v>3017</v>
      </c>
      <c r="C431" t="s">
        <v>3018</v>
      </c>
      <c r="D431" t="s">
        <v>3008</v>
      </c>
      <c r="E431" t="s">
        <v>2170</v>
      </c>
    </row>
    <row r="432" spans="1:5" x14ac:dyDescent="0.25">
      <c r="A432" t="s">
        <v>1320</v>
      </c>
      <c r="B432" t="s">
        <v>3019</v>
      </c>
      <c r="C432" t="s">
        <v>3020</v>
      </c>
      <c r="D432" t="s">
        <v>3008</v>
      </c>
      <c r="E432" t="s">
        <v>2170</v>
      </c>
    </row>
    <row r="433" spans="1:5" x14ac:dyDescent="0.25">
      <c r="A433" t="s">
        <v>1320</v>
      </c>
      <c r="B433" t="s">
        <v>3021</v>
      </c>
      <c r="C433" t="s">
        <v>3022</v>
      </c>
      <c r="D433" t="s">
        <v>3008</v>
      </c>
      <c r="E433" t="s">
        <v>2170</v>
      </c>
    </row>
    <row r="434" spans="1:5" x14ac:dyDescent="0.25">
      <c r="A434" t="s">
        <v>1320</v>
      </c>
      <c r="B434" t="s">
        <v>3023</v>
      </c>
      <c r="C434" t="s">
        <v>3024</v>
      </c>
      <c r="D434" t="s">
        <v>3008</v>
      </c>
      <c r="E434" t="s">
        <v>2170</v>
      </c>
    </row>
    <row r="435" spans="1:5" x14ac:dyDescent="0.25">
      <c r="A435" t="s">
        <v>1320</v>
      </c>
      <c r="B435" t="s">
        <v>3025</v>
      </c>
      <c r="C435" t="s">
        <v>3026</v>
      </c>
      <c r="D435" t="s">
        <v>3008</v>
      </c>
      <c r="E435" t="s">
        <v>2170</v>
      </c>
    </row>
    <row r="436" spans="1:5" x14ac:dyDescent="0.25">
      <c r="A436" t="s">
        <v>1320</v>
      </c>
      <c r="B436" t="s">
        <v>3027</v>
      </c>
      <c r="C436" t="s">
        <v>3028</v>
      </c>
      <c r="D436" t="s">
        <v>3008</v>
      </c>
      <c r="E436" t="s">
        <v>2170</v>
      </c>
    </row>
    <row r="437" spans="1:5" x14ac:dyDescent="0.25">
      <c r="A437" t="s">
        <v>1320</v>
      </c>
      <c r="B437" t="s">
        <v>3029</v>
      </c>
      <c r="C437" t="s">
        <v>3030</v>
      </c>
      <c r="D437" t="s">
        <v>3008</v>
      </c>
      <c r="E437" t="s">
        <v>2170</v>
      </c>
    </row>
    <row r="438" spans="1:5" x14ac:dyDescent="0.25">
      <c r="A438" t="s">
        <v>1329</v>
      </c>
      <c r="B438" t="s">
        <v>3031</v>
      </c>
      <c r="C438" t="s">
        <v>3032</v>
      </c>
      <c r="D438" t="s">
        <v>2646</v>
      </c>
      <c r="E438" t="s">
        <v>2170</v>
      </c>
    </row>
    <row r="439" spans="1:5" x14ac:dyDescent="0.25">
      <c r="A439" t="s">
        <v>1329</v>
      </c>
      <c r="B439" t="s">
        <v>3033</v>
      </c>
      <c r="C439" t="s">
        <v>3034</v>
      </c>
      <c r="D439" t="s">
        <v>2646</v>
      </c>
      <c r="E439" t="s">
        <v>2170</v>
      </c>
    </row>
    <row r="440" spans="1:5" x14ac:dyDescent="0.25">
      <c r="A440" t="s">
        <v>1329</v>
      </c>
      <c r="B440" t="s">
        <v>3035</v>
      </c>
      <c r="C440" t="s">
        <v>3036</v>
      </c>
      <c r="D440" t="s">
        <v>2646</v>
      </c>
      <c r="E440" t="s">
        <v>2170</v>
      </c>
    </row>
    <row r="441" spans="1:5" x14ac:dyDescent="0.25">
      <c r="A441" t="s">
        <v>1329</v>
      </c>
      <c r="B441" t="s">
        <v>3037</v>
      </c>
      <c r="C441" t="s">
        <v>3038</v>
      </c>
      <c r="D441" t="s">
        <v>2646</v>
      </c>
      <c r="E441" t="s">
        <v>2170</v>
      </c>
    </row>
    <row r="442" spans="1:5" x14ac:dyDescent="0.25">
      <c r="A442" t="s">
        <v>1332</v>
      </c>
      <c r="B442" t="s">
        <v>3039</v>
      </c>
      <c r="C442" t="s">
        <v>3040</v>
      </c>
      <c r="D442" t="s">
        <v>3008</v>
      </c>
      <c r="E442" t="s">
        <v>2170</v>
      </c>
    </row>
    <row r="443" spans="1:5" x14ac:dyDescent="0.25">
      <c r="A443" t="s">
        <v>1332</v>
      </c>
      <c r="B443" t="s">
        <v>3041</v>
      </c>
      <c r="C443" t="s">
        <v>3042</v>
      </c>
      <c r="D443" t="s">
        <v>3008</v>
      </c>
      <c r="E443" t="s">
        <v>2170</v>
      </c>
    </row>
    <row r="444" spans="1:5" x14ac:dyDescent="0.25">
      <c r="A444" t="s">
        <v>1332</v>
      </c>
      <c r="B444" t="s">
        <v>3043</v>
      </c>
      <c r="C444" t="s">
        <v>3044</v>
      </c>
      <c r="D444" t="s">
        <v>3008</v>
      </c>
      <c r="E444" t="s">
        <v>2170</v>
      </c>
    </row>
    <row r="445" spans="1:5" x14ac:dyDescent="0.25">
      <c r="A445" t="s">
        <v>1332</v>
      </c>
      <c r="B445" t="s">
        <v>3045</v>
      </c>
      <c r="C445" t="s">
        <v>3046</v>
      </c>
      <c r="D445" t="s">
        <v>3008</v>
      </c>
      <c r="E445" t="s">
        <v>2170</v>
      </c>
    </row>
    <row r="446" spans="1:5" x14ac:dyDescent="0.25">
      <c r="A446" t="s">
        <v>1332</v>
      </c>
      <c r="B446" t="s">
        <v>3047</v>
      </c>
      <c r="C446" t="s">
        <v>3048</v>
      </c>
      <c r="D446" t="s">
        <v>3008</v>
      </c>
      <c r="E446" t="s">
        <v>2170</v>
      </c>
    </row>
    <row r="447" spans="1:5" x14ac:dyDescent="0.25">
      <c r="A447" t="s">
        <v>1332</v>
      </c>
      <c r="B447" t="s">
        <v>3049</v>
      </c>
      <c r="C447" t="s">
        <v>3050</v>
      </c>
      <c r="D447" t="s">
        <v>3008</v>
      </c>
      <c r="E447" t="s">
        <v>2170</v>
      </c>
    </row>
    <row r="448" spans="1:5" x14ac:dyDescent="0.25">
      <c r="A448" t="s">
        <v>1332</v>
      </c>
      <c r="B448" t="s">
        <v>3051</v>
      </c>
      <c r="C448" t="s">
        <v>3052</v>
      </c>
      <c r="D448" t="s">
        <v>3008</v>
      </c>
      <c r="E448" t="s">
        <v>2170</v>
      </c>
    </row>
    <row r="449" spans="1:5" x14ac:dyDescent="0.25">
      <c r="A449" t="s">
        <v>1332</v>
      </c>
      <c r="B449" t="s">
        <v>3053</v>
      </c>
      <c r="C449" t="s">
        <v>2405</v>
      </c>
      <c r="D449" t="s">
        <v>3008</v>
      </c>
      <c r="E449" t="s">
        <v>2170</v>
      </c>
    </row>
    <row r="450" spans="1:5" x14ac:dyDescent="0.25">
      <c r="A450" t="s">
        <v>1332</v>
      </c>
      <c r="B450" t="s">
        <v>3054</v>
      </c>
      <c r="C450" t="s">
        <v>3055</v>
      </c>
      <c r="D450" t="s">
        <v>3008</v>
      </c>
      <c r="E450" t="s">
        <v>2170</v>
      </c>
    </row>
    <row r="451" spans="1:5" x14ac:dyDescent="0.25">
      <c r="A451" t="s">
        <v>1335</v>
      </c>
      <c r="B451" t="s">
        <v>3056</v>
      </c>
      <c r="C451" t="s">
        <v>1202</v>
      </c>
      <c r="D451" t="s">
        <v>3057</v>
      </c>
      <c r="E451" t="s">
        <v>2170</v>
      </c>
    </row>
    <row r="452" spans="1:5" x14ac:dyDescent="0.25">
      <c r="A452" t="s">
        <v>1335</v>
      </c>
      <c r="B452" t="s">
        <v>3058</v>
      </c>
      <c r="C452" t="s">
        <v>3059</v>
      </c>
      <c r="D452" t="s">
        <v>3057</v>
      </c>
      <c r="E452" t="s">
        <v>2170</v>
      </c>
    </row>
    <row r="453" spans="1:5" x14ac:dyDescent="0.25">
      <c r="A453" t="s">
        <v>1335</v>
      </c>
      <c r="B453" t="s">
        <v>3060</v>
      </c>
      <c r="C453" t="s">
        <v>3061</v>
      </c>
      <c r="D453" t="s">
        <v>3057</v>
      </c>
      <c r="E453" t="s">
        <v>2170</v>
      </c>
    </row>
    <row r="454" spans="1:5" x14ac:dyDescent="0.25">
      <c r="A454" t="s">
        <v>1338</v>
      </c>
      <c r="B454" t="s">
        <v>3062</v>
      </c>
      <c r="C454" t="s">
        <v>3063</v>
      </c>
      <c r="D454" t="s">
        <v>2415</v>
      </c>
      <c r="E454" t="s">
        <v>2170</v>
      </c>
    </row>
    <row r="455" spans="1:5" x14ac:dyDescent="0.25">
      <c r="A455" t="s">
        <v>1338</v>
      </c>
      <c r="B455" t="s">
        <v>3064</v>
      </c>
      <c r="C455" t="s">
        <v>3065</v>
      </c>
      <c r="D455" t="s">
        <v>2415</v>
      </c>
      <c r="E455" t="s">
        <v>2170</v>
      </c>
    </row>
    <row r="456" spans="1:5" x14ac:dyDescent="0.25">
      <c r="A456" t="s">
        <v>1338</v>
      </c>
      <c r="B456" t="s">
        <v>3066</v>
      </c>
      <c r="C456" t="s">
        <v>3067</v>
      </c>
      <c r="D456" t="s">
        <v>2415</v>
      </c>
      <c r="E456" t="s">
        <v>2170</v>
      </c>
    </row>
    <row r="457" spans="1:5" x14ac:dyDescent="0.25">
      <c r="A457" t="s">
        <v>1338</v>
      </c>
      <c r="B457" t="s">
        <v>3068</v>
      </c>
      <c r="C457" t="s">
        <v>3069</v>
      </c>
      <c r="D457" t="s">
        <v>2415</v>
      </c>
      <c r="E457" t="s">
        <v>2170</v>
      </c>
    </row>
    <row r="458" spans="1:5" x14ac:dyDescent="0.25">
      <c r="A458" t="s">
        <v>1338</v>
      </c>
      <c r="B458" t="s">
        <v>3070</v>
      </c>
      <c r="C458" t="s">
        <v>3071</v>
      </c>
      <c r="D458" t="s">
        <v>2415</v>
      </c>
      <c r="E458" t="s">
        <v>2170</v>
      </c>
    </row>
    <row r="459" spans="1:5" x14ac:dyDescent="0.25">
      <c r="A459" t="s">
        <v>1338</v>
      </c>
      <c r="B459" t="s">
        <v>3072</v>
      </c>
      <c r="C459" t="s">
        <v>3073</v>
      </c>
      <c r="D459" t="s">
        <v>2415</v>
      </c>
      <c r="E459" t="s">
        <v>2170</v>
      </c>
    </row>
    <row r="460" spans="1:5" x14ac:dyDescent="0.25">
      <c r="A460" t="s">
        <v>1338</v>
      </c>
      <c r="B460" t="s">
        <v>3074</v>
      </c>
      <c r="C460" t="s">
        <v>3075</v>
      </c>
      <c r="D460" t="s">
        <v>3076</v>
      </c>
      <c r="E460" t="s">
        <v>2170</v>
      </c>
    </row>
    <row r="461" spans="1:5" x14ac:dyDescent="0.25">
      <c r="A461" t="s">
        <v>1338</v>
      </c>
      <c r="B461" t="s">
        <v>3077</v>
      </c>
      <c r="C461" t="s">
        <v>3078</v>
      </c>
      <c r="D461" t="s">
        <v>2415</v>
      </c>
      <c r="E461" t="s">
        <v>2170</v>
      </c>
    </row>
    <row r="462" spans="1:5" x14ac:dyDescent="0.25">
      <c r="A462" t="s">
        <v>1338</v>
      </c>
      <c r="B462" t="s">
        <v>3079</v>
      </c>
      <c r="C462" t="s">
        <v>3080</v>
      </c>
      <c r="D462" t="s">
        <v>2415</v>
      </c>
      <c r="E462" t="s">
        <v>2170</v>
      </c>
    </row>
    <row r="463" spans="1:5" x14ac:dyDescent="0.25">
      <c r="A463" t="s">
        <v>1338</v>
      </c>
      <c r="B463" t="s">
        <v>3081</v>
      </c>
      <c r="C463" t="s">
        <v>3082</v>
      </c>
      <c r="D463" t="s">
        <v>2415</v>
      </c>
      <c r="E463" t="s">
        <v>2170</v>
      </c>
    </row>
    <row r="464" spans="1:5" x14ac:dyDescent="0.25">
      <c r="A464" t="s">
        <v>1338</v>
      </c>
      <c r="B464" t="s">
        <v>3083</v>
      </c>
      <c r="C464" t="s">
        <v>3084</v>
      </c>
      <c r="D464" t="s">
        <v>2415</v>
      </c>
      <c r="E464" t="s">
        <v>2170</v>
      </c>
    </row>
    <row r="465" spans="1:5" x14ac:dyDescent="0.25">
      <c r="A465" t="s">
        <v>1338</v>
      </c>
      <c r="B465" t="s">
        <v>3085</v>
      </c>
      <c r="C465" t="s">
        <v>3086</v>
      </c>
      <c r="D465" t="s">
        <v>2415</v>
      </c>
      <c r="E465" t="s">
        <v>2170</v>
      </c>
    </row>
    <row r="466" spans="1:5" x14ac:dyDescent="0.25">
      <c r="A466" t="s">
        <v>1338</v>
      </c>
      <c r="B466" t="s">
        <v>3087</v>
      </c>
      <c r="C466" t="s">
        <v>3088</v>
      </c>
      <c r="D466" t="s">
        <v>2415</v>
      </c>
      <c r="E466" t="s">
        <v>2170</v>
      </c>
    </row>
    <row r="467" spans="1:5" x14ac:dyDescent="0.25">
      <c r="A467" t="s">
        <v>1338</v>
      </c>
      <c r="B467" t="s">
        <v>3089</v>
      </c>
      <c r="C467" t="s">
        <v>3090</v>
      </c>
      <c r="D467" t="s">
        <v>2415</v>
      </c>
      <c r="E467" t="s">
        <v>2170</v>
      </c>
    </row>
    <row r="468" spans="1:5" x14ac:dyDescent="0.25">
      <c r="A468" t="s">
        <v>1338</v>
      </c>
      <c r="B468" t="s">
        <v>3091</v>
      </c>
      <c r="C468" t="s">
        <v>3092</v>
      </c>
      <c r="D468" t="s">
        <v>2415</v>
      </c>
      <c r="E468" t="s">
        <v>2170</v>
      </c>
    </row>
    <row r="469" spans="1:5" x14ac:dyDescent="0.25">
      <c r="A469" t="s">
        <v>1338</v>
      </c>
      <c r="B469" t="s">
        <v>3093</v>
      </c>
      <c r="C469" t="s">
        <v>3094</v>
      </c>
      <c r="D469" t="s">
        <v>2415</v>
      </c>
      <c r="E469" t="s">
        <v>2170</v>
      </c>
    </row>
    <row r="470" spans="1:5" x14ac:dyDescent="0.25">
      <c r="A470" t="s">
        <v>1338</v>
      </c>
      <c r="B470" t="s">
        <v>3095</v>
      </c>
      <c r="C470" t="s">
        <v>3096</v>
      </c>
      <c r="D470" t="s">
        <v>2415</v>
      </c>
      <c r="E470" t="s">
        <v>2170</v>
      </c>
    </row>
    <row r="471" spans="1:5" x14ac:dyDescent="0.25">
      <c r="A471" t="s">
        <v>1338</v>
      </c>
      <c r="B471" t="s">
        <v>3097</v>
      </c>
      <c r="C471" t="s">
        <v>3098</v>
      </c>
      <c r="D471" t="s">
        <v>2415</v>
      </c>
      <c r="E471" t="s">
        <v>2170</v>
      </c>
    </row>
    <row r="472" spans="1:5" x14ac:dyDescent="0.25">
      <c r="A472" t="s">
        <v>1338</v>
      </c>
      <c r="B472" t="s">
        <v>3099</v>
      </c>
      <c r="C472" t="s">
        <v>3100</v>
      </c>
      <c r="D472" t="s">
        <v>2415</v>
      </c>
      <c r="E472" t="s">
        <v>2170</v>
      </c>
    </row>
    <row r="473" spans="1:5" x14ac:dyDescent="0.25">
      <c r="A473" t="s">
        <v>1338</v>
      </c>
      <c r="B473" t="s">
        <v>3101</v>
      </c>
      <c r="C473" t="s">
        <v>3102</v>
      </c>
      <c r="D473" t="s">
        <v>2415</v>
      </c>
      <c r="E473" t="s">
        <v>2170</v>
      </c>
    </row>
    <row r="474" spans="1:5" x14ac:dyDescent="0.25">
      <c r="A474" t="s">
        <v>1338</v>
      </c>
      <c r="B474" t="s">
        <v>3103</v>
      </c>
      <c r="C474" t="s">
        <v>3104</v>
      </c>
      <c r="D474" t="s">
        <v>2415</v>
      </c>
      <c r="E474" t="s">
        <v>2170</v>
      </c>
    </row>
    <row r="475" spans="1:5" x14ac:dyDescent="0.25">
      <c r="A475" t="s">
        <v>1338</v>
      </c>
      <c r="B475" t="s">
        <v>3105</v>
      </c>
      <c r="C475" t="s">
        <v>3106</v>
      </c>
      <c r="D475" t="s">
        <v>2415</v>
      </c>
      <c r="E475" t="s">
        <v>2170</v>
      </c>
    </row>
    <row r="476" spans="1:5" x14ac:dyDescent="0.25">
      <c r="A476" t="s">
        <v>1338</v>
      </c>
      <c r="B476" t="s">
        <v>3107</v>
      </c>
      <c r="C476" t="s">
        <v>3108</v>
      </c>
      <c r="D476" t="s">
        <v>2415</v>
      </c>
      <c r="E476" t="s">
        <v>2170</v>
      </c>
    </row>
    <row r="477" spans="1:5" x14ac:dyDescent="0.25">
      <c r="A477" t="s">
        <v>1338</v>
      </c>
      <c r="B477" t="s">
        <v>3109</v>
      </c>
      <c r="C477" t="s">
        <v>3110</v>
      </c>
      <c r="D477" t="s">
        <v>2415</v>
      </c>
      <c r="E477" t="s">
        <v>2170</v>
      </c>
    </row>
    <row r="478" spans="1:5" x14ac:dyDescent="0.25">
      <c r="A478" t="s">
        <v>1338</v>
      </c>
      <c r="B478" t="s">
        <v>3111</v>
      </c>
      <c r="C478" t="s">
        <v>1337</v>
      </c>
      <c r="D478" t="s">
        <v>2415</v>
      </c>
      <c r="E478" t="s">
        <v>2170</v>
      </c>
    </row>
    <row r="479" spans="1:5" x14ac:dyDescent="0.25">
      <c r="A479" t="s">
        <v>1338</v>
      </c>
      <c r="B479" t="s">
        <v>3112</v>
      </c>
      <c r="C479" t="s">
        <v>3113</v>
      </c>
      <c r="D479" t="s">
        <v>2415</v>
      </c>
      <c r="E479" t="s">
        <v>2170</v>
      </c>
    </row>
    <row r="480" spans="1:5" x14ac:dyDescent="0.25">
      <c r="A480" t="s">
        <v>1338</v>
      </c>
      <c r="B480" t="s">
        <v>3114</v>
      </c>
      <c r="C480" t="s">
        <v>3115</v>
      </c>
      <c r="D480" t="s">
        <v>2415</v>
      </c>
      <c r="E480" t="s">
        <v>2170</v>
      </c>
    </row>
    <row r="481" spans="1:5" x14ac:dyDescent="0.25">
      <c r="A481" t="s">
        <v>1341</v>
      </c>
      <c r="B481" t="s">
        <v>3116</v>
      </c>
      <c r="C481" t="s">
        <v>3117</v>
      </c>
      <c r="D481" t="s">
        <v>2646</v>
      </c>
      <c r="E481" t="s">
        <v>2170</v>
      </c>
    </row>
    <row r="482" spans="1:5" x14ac:dyDescent="0.25">
      <c r="A482" t="s">
        <v>1341</v>
      </c>
      <c r="B482" t="s">
        <v>3118</v>
      </c>
      <c r="C482" t="s">
        <v>3119</v>
      </c>
      <c r="D482" t="s">
        <v>2646</v>
      </c>
      <c r="E482" t="s">
        <v>2170</v>
      </c>
    </row>
    <row r="483" spans="1:5" x14ac:dyDescent="0.25">
      <c r="A483" t="s">
        <v>1341</v>
      </c>
      <c r="B483" t="s">
        <v>3120</v>
      </c>
      <c r="C483" t="s">
        <v>3121</v>
      </c>
      <c r="D483" t="s">
        <v>2646</v>
      </c>
      <c r="E483" t="s">
        <v>2170</v>
      </c>
    </row>
    <row r="484" spans="1:5" x14ac:dyDescent="0.25">
      <c r="A484" t="s">
        <v>1341</v>
      </c>
      <c r="B484" t="s">
        <v>3122</v>
      </c>
      <c r="C484" t="s">
        <v>3123</v>
      </c>
      <c r="D484" t="s">
        <v>2646</v>
      </c>
      <c r="E484" t="s">
        <v>2170</v>
      </c>
    </row>
    <row r="485" spans="1:5" x14ac:dyDescent="0.25">
      <c r="A485" t="s">
        <v>1341</v>
      </c>
      <c r="B485" t="s">
        <v>3124</v>
      </c>
      <c r="C485" t="s">
        <v>3125</v>
      </c>
      <c r="D485" t="s">
        <v>2646</v>
      </c>
      <c r="E485" t="s">
        <v>2170</v>
      </c>
    </row>
    <row r="486" spans="1:5" x14ac:dyDescent="0.25">
      <c r="A486" t="s">
        <v>1341</v>
      </c>
      <c r="B486" t="s">
        <v>3126</v>
      </c>
      <c r="C486" t="s">
        <v>3127</v>
      </c>
      <c r="D486" t="s">
        <v>2646</v>
      </c>
      <c r="E486" t="s">
        <v>2170</v>
      </c>
    </row>
    <row r="487" spans="1:5" x14ac:dyDescent="0.25">
      <c r="A487" t="s">
        <v>1341</v>
      </c>
      <c r="B487" t="s">
        <v>3128</v>
      </c>
      <c r="C487" t="s">
        <v>3129</v>
      </c>
      <c r="D487" t="s">
        <v>2646</v>
      </c>
      <c r="E487" t="s">
        <v>2170</v>
      </c>
    </row>
    <row r="488" spans="1:5" x14ac:dyDescent="0.25">
      <c r="A488" t="s">
        <v>1341</v>
      </c>
      <c r="B488" t="s">
        <v>3130</v>
      </c>
      <c r="C488" t="s">
        <v>3131</v>
      </c>
      <c r="D488" t="s">
        <v>2646</v>
      </c>
      <c r="E488" t="s">
        <v>2170</v>
      </c>
    </row>
    <row r="489" spans="1:5" x14ac:dyDescent="0.25">
      <c r="A489" t="s">
        <v>1341</v>
      </c>
      <c r="B489" t="s">
        <v>3132</v>
      </c>
      <c r="C489" t="s">
        <v>3133</v>
      </c>
      <c r="D489" t="s">
        <v>2646</v>
      </c>
      <c r="E489" t="s">
        <v>2170</v>
      </c>
    </row>
    <row r="490" spans="1:5" x14ac:dyDescent="0.25">
      <c r="A490" t="s">
        <v>1341</v>
      </c>
      <c r="B490" t="s">
        <v>3134</v>
      </c>
      <c r="C490" t="s">
        <v>3135</v>
      </c>
      <c r="D490" t="s">
        <v>2646</v>
      </c>
      <c r="E490" t="s">
        <v>2170</v>
      </c>
    </row>
    <row r="491" spans="1:5" x14ac:dyDescent="0.25">
      <c r="A491" t="s">
        <v>1341</v>
      </c>
      <c r="B491" t="s">
        <v>3136</v>
      </c>
      <c r="C491" t="s">
        <v>3137</v>
      </c>
      <c r="D491" t="s">
        <v>2646</v>
      </c>
      <c r="E491" t="s">
        <v>2170</v>
      </c>
    </row>
    <row r="492" spans="1:5" x14ac:dyDescent="0.25">
      <c r="A492" t="s">
        <v>1341</v>
      </c>
      <c r="B492" t="s">
        <v>3138</v>
      </c>
      <c r="C492" t="s">
        <v>3139</v>
      </c>
      <c r="D492" t="s">
        <v>2646</v>
      </c>
      <c r="E492" t="s">
        <v>2170</v>
      </c>
    </row>
    <row r="493" spans="1:5" x14ac:dyDescent="0.25">
      <c r="A493" t="s">
        <v>1341</v>
      </c>
      <c r="B493" t="s">
        <v>3140</v>
      </c>
      <c r="C493" t="s">
        <v>3141</v>
      </c>
      <c r="D493" t="s">
        <v>2646</v>
      </c>
      <c r="E493" t="s">
        <v>2170</v>
      </c>
    </row>
    <row r="494" spans="1:5" x14ac:dyDescent="0.25">
      <c r="A494" t="s">
        <v>1341</v>
      </c>
      <c r="B494" t="s">
        <v>3142</v>
      </c>
      <c r="C494" t="s">
        <v>3143</v>
      </c>
      <c r="D494" t="s">
        <v>2646</v>
      </c>
      <c r="E494" t="s">
        <v>2170</v>
      </c>
    </row>
    <row r="495" spans="1:5" x14ac:dyDescent="0.25">
      <c r="A495" t="s">
        <v>1341</v>
      </c>
      <c r="B495" t="s">
        <v>3144</v>
      </c>
      <c r="C495" t="s">
        <v>3145</v>
      </c>
      <c r="D495" t="s">
        <v>2646</v>
      </c>
      <c r="E495" t="s">
        <v>2170</v>
      </c>
    </row>
    <row r="496" spans="1:5" x14ac:dyDescent="0.25">
      <c r="A496" t="s">
        <v>1341</v>
      </c>
      <c r="B496" t="s">
        <v>3146</v>
      </c>
      <c r="C496" t="s">
        <v>3147</v>
      </c>
      <c r="D496" t="s">
        <v>2646</v>
      </c>
      <c r="E496" t="s">
        <v>2170</v>
      </c>
    </row>
    <row r="497" spans="1:5" x14ac:dyDescent="0.25">
      <c r="A497" t="s">
        <v>1341</v>
      </c>
      <c r="B497" t="s">
        <v>3148</v>
      </c>
      <c r="C497" t="s">
        <v>3149</v>
      </c>
      <c r="D497" t="s">
        <v>2646</v>
      </c>
      <c r="E497" t="s">
        <v>2170</v>
      </c>
    </row>
    <row r="498" spans="1:5" x14ac:dyDescent="0.25">
      <c r="A498" t="s">
        <v>1341</v>
      </c>
      <c r="B498" t="s">
        <v>3150</v>
      </c>
      <c r="C498" t="s">
        <v>3151</v>
      </c>
      <c r="D498" t="s">
        <v>2646</v>
      </c>
      <c r="E498" t="s">
        <v>2170</v>
      </c>
    </row>
    <row r="499" spans="1:5" x14ac:dyDescent="0.25">
      <c r="A499" t="s">
        <v>1341</v>
      </c>
      <c r="B499" t="s">
        <v>3152</v>
      </c>
      <c r="C499" t="s">
        <v>3153</v>
      </c>
      <c r="D499" t="s">
        <v>2646</v>
      </c>
      <c r="E499" t="s">
        <v>2170</v>
      </c>
    </row>
    <row r="500" spans="1:5" x14ac:dyDescent="0.25">
      <c r="A500" t="s">
        <v>1341</v>
      </c>
      <c r="B500" t="s">
        <v>3154</v>
      </c>
      <c r="C500" t="s">
        <v>3155</v>
      </c>
      <c r="D500" t="s">
        <v>2646</v>
      </c>
      <c r="E500" t="s">
        <v>2170</v>
      </c>
    </row>
    <row r="501" spans="1:5" x14ac:dyDescent="0.25">
      <c r="A501" t="s">
        <v>1341</v>
      </c>
      <c r="B501" t="s">
        <v>3156</v>
      </c>
      <c r="C501" t="s">
        <v>3157</v>
      </c>
      <c r="D501" t="s">
        <v>3158</v>
      </c>
      <c r="E501" t="s">
        <v>2170</v>
      </c>
    </row>
    <row r="502" spans="1:5" x14ac:dyDescent="0.25">
      <c r="A502" t="s">
        <v>1341</v>
      </c>
      <c r="B502" t="s">
        <v>3159</v>
      </c>
      <c r="C502" t="s">
        <v>3160</v>
      </c>
      <c r="D502" t="s">
        <v>2646</v>
      </c>
      <c r="E502" t="s">
        <v>2170</v>
      </c>
    </row>
    <row r="503" spans="1:5" x14ac:dyDescent="0.25">
      <c r="A503" t="s">
        <v>1341</v>
      </c>
      <c r="B503" t="s">
        <v>3161</v>
      </c>
      <c r="C503" t="s">
        <v>3162</v>
      </c>
      <c r="D503" t="s">
        <v>2646</v>
      </c>
      <c r="E503" t="s">
        <v>2170</v>
      </c>
    </row>
    <row r="504" spans="1:5" x14ac:dyDescent="0.25">
      <c r="A504" t="s">
        <v>1341</v>
      </c>
      <c r="B504" t="s">
        <v>3163</v>
      </c>
      <c r="C504" t="s">
        <v>3164</v>
      </c>
      <c r="D504" t="s">
        <v>2646</v>
      </c>
      <c r="E504" t="s">
        <v>2170</v>
      </c>
    </row>
    <row r="505" spans="1:5" x14ac:dyDescent="0.25">
      <c r="A505" t="s">
        <v>1341</v>
      </c>
      <c r="B505" t="s">
        <v>3165</v>
      </c>
      <c r="C505" t="s">
        <v>3166</v>
      </c>
      <c r="D505" t="s">
        <v>2646</v>
      </c>
      <c r="E505" t="s">
        <v>2170</v>
      </c>
    </row>
    <row r="506" spans="1:5" x14ac:dyDescent="0.25">
      <c r="A506" t="s">
        <v>1341</v>
      </c>
      <c r="B506" t="s">
        <v>3167</v>
      </c>
      <c r="C506" t="s">
        <v>3168</v>
      </c>
      <c r="D506" t="s">
        <v>2646</v>
      </c>
      <c r="E506" t="s">
        <v>2170</v>
      </c>
    </row>
    <row r="507" spans="1:5" x14ac:dyDescent="0.25">
      <c r="A507" t="s">
        <v>1341</v>
      </c>
      <c r="B507" t="s">
        <v>3169</v>
      </c>
      <c r="C507" t="s">
        <v>1880</v>
      </c>
      <c r="D507" t="s">
        <v>2646</v>
      </c>
      <c r="E507" t="s">
        <v>2170</v>
      </c>
    </row>
    <row r="508" spans="1:5" x14ac:dyDescent="0.25">
      <c r="A508" t="s">
        <v>1341</v>
      </c>
      <c r="B508" t="s">
        <v>3170</v>
      </c>
      <c r="C508" t="s">
        <v>3171</v>
      </c>
      <c r="D508" t="s">
        <v>2646</v>
      </c>
      <c r="E508" t="s">
        <v>2170</v>
      </c>
    </row>
    <row r="509" spans="1:5" x14ac:dyDescent="0.25">
      <c r="A509" t="s">
        <v>1341</v>
      </c>
      <c r="B509" t="s">
        <v>3172</v>
      </c>
      <c r="C509" t="s">
        <v>3173</v>
      </c>
      <c r="D509" t="s">
        <v>2646</v>
      </c>
      <c r="E509" t="s">
        <v>2170</v>
      </c>
    </row>
    <row r="510" spans="1:5" x14ac:dyDescent="0.25">
      <c r="A510" t="s">
        <v>1341</v>
      </c>
      <c r="B510" t="s">
        <v>3174</v>
      </c>
      <c r="C510" t="s">
        <v>3175</v>
      </c>
      <c r="D510" t="s">
        <v>2646</v>
      </c>
      <c r="E510" t="s">
        <v>2170</v>
      </c>
    </row>
    <row r="511" spans="1:5" x14ac:dyDescent="0.25">
      <c r="A511" t="s">
        <v>1341</v>
      </c>
      <c r="B511" t="s">
        <v>3176</v>
      </c>
      <c r="C511" t="s">
        <v>3177</v>
      </c>
      <c r="D511" t="s">
        <v>2646</v>
      </c>
      <c r="E511" t="s">
        <v>2170</v>
      </c>
    </row>
    <row r="512" spans="1:5" x14ac:dyDescent="0.25">
      <c r="A512" t="s">
        <v>1341</v>
      </c>
      <c r="B512" t="s">
        <v>3178</v>
      </c>
      <c r="C512" t="s">
        <v>3179</v>
      </c>
      <c r="D512" t="s">
        <v>2646</v>
      </c>
      <c r="E512" t="s">
        <v>2170</v>
      </c>
    </row>
    <row r="513" spans="1:5" x14ac:dyDescent="0.25">
      <c r="A513" t="s">
        <v>1344</v>
      </c>
      <c r="B513" t="s">
        <v>3180</v>
      </c>
      <c r="C513" t="s">
        <v>3181</v>
      </c>
      <c r="D513" t="s">
        <v>2646</v>
      </c>
      <c r="E513" t="s">
        <v>2170</v>
      </c>
    </row>
    <row r="514" spans="1:5" x14ac:dyDescent="0.25">
      <c r="A514" t="s">
        <v>1344</v>
      </c>
      <c r="B514" t="s">
        <v>3182</v>
      </c>
      <c r="C514" t="s">
        <v>3183</v>
      </c>
      <c r="D514" t="s">
        <v>2646</v>
      </c>
      <c r="E514" t="s">
        <v>2170</v>
      </c>
    </row>
    <row r="515" spans="1:5" x14ac:dyDescent="0.25">
      <c r="A515" t="s">
        <v>1344</v>
      </c>
      <c r="B515" t="s">
        <v>3184</v>
      </c>
      <c r="C515" t="s">
        <v>3185</v>
      </c>
      <c r="D515" t="s">
        <v>2646</v>
      </c>
      <c r="E515" t="s">
        <v>2170</v>
      </c>
    </row>
    <row r="516" spans="1:5" x14ac:dyDescent="0.25">
      <c r="A516" t="s">
        <v>1344</v>
      </c>
      <c r="B516" t="s">
        <v>3186</v>
      </c>
      <c r="C516" t="s">
        <v>3187</v>
      </c>
      <c r="D516" t="s">
        <v>2646</v>
      </c>
      <c r="E516" t="s">
        <v>2170</v>
      </c>
    </row>
    <row r="517" spans="1:5" x14ac:dyDescent="0.25">
      <c r="A517" t="s">
        <v>1344</v>
      </c>
      <c r="B517" t="s">
        <v>3188</v>
      </c>
      <c r="C517" t="s">
        <v>3189</v>
      </c>
      <c r="D517" t="s">
        <v>2646</v>
      </c>
      <c r="E517" t="s">
        <v>2170</v>
      </c>
    </row>
    <row r="518" spans="1:5" x14ac:dyDescent="0.25">
      <c r="A518" t="s">
        <v>1344</v>
      </c>
      <c r="B518" t="s">
        <v>3190</v>
      </c>
      <c r="C518" t="s">
        <v>3191</v>
      </c>
      <c r="D518" t="s">
        <v>2646</v>
      </c>
      <c r="E518" t="s">
        <v>2170</v>
      </c>
    </row>
    <row r="519" spans="1:5" x14ac:dyDescent="0.25">
      <c r="A519" t="s">
        <v>1344</v>
      </c>
      <c r="B519" t="s">
        <v>3192</v>
      </c>
      <c r="C519" t="s">
        <v>3193</v>
      </c>
      <c r="D519" t="s">
        <v>2646</v>
      </c>
      <c r="E519" t="s">
        <v>2170</v>
      </c>
    </row>
    <row r="520" spans="1:5" x14ac:dyDescent="0.25">
      <c r="A520" t="s">
        <v>1344</v>
      </c>
      <c r="B520" t="s">
        <v>3194</v>
      </c>
      <c r="C520" t="s">
        <v>3195</v>
      </c>
      <c r="D520" t="s">
        <v>2646</v>
      </c>
      <c r="E520" t="s">
        <v>2170</v>
      </c>
    </row>
    <row r="521" spans="1:5" x14ac:dyDescent="0.25">
      <c r="A521" t="s">
        <v>1344</v>
      </c>
      <c r="B521" t="s">
        <v>3196</v>
      </c>
      <c r="C521" t="s">
        <v>3197</v>
      </c>
      <c r="D521" t="s">
        <v>2646</v>
      </c>
      <c r="E521" t="s">
        <v>2170</v>
      </c>
    </row>
    <row r="522" spans="1:5" x14ac:dyDescent="0.25">
      <c r="A522" t="s">
        <v>1344</v>
      </c>
      <c r="B522" t="s">
        <v>3198</v>
      </c>
      <c r="C522" t="s">
        <v>3199</v>
      </c>
      <c r="D522" t="s">
        <v>2646</v>
      </c>
      <c r="E522" t="s">
        <v>2170</v>
      </c>
    </row>
    <row r="523" spans="1:5" x14ac:dyDescent="0.25">
      <c r="A523" t="s">
        <v>1344</v>
      </c>
      <c r="B523" t="s">
        <v>3200</v>
      </c>
      <c r="C523" t="s">
        <v>3201</v>
      </c>
      <c r="D523" t="s">
        <v>2646</v>
      </c>
      <c r="E523" t="s">
        <v>2170</v>
      </c>
    </row>
    <row r="524" spans="1:5" x14ac:dyDescent="0.25">
      <c r="A524" t="s">
        <v>1344</v>
      </c>
      <c r="B524" t="s">
        <v>3202</v>
      </c>
      <c r="C524" t="s">
        <v>3203</v>
      </c>
      <c r="D524" t="s">
        <v>2646</v>
      </c>
      <c r="E524" t="s">
        <v>2170</v>
      </c>
    </row>
    <row r="525" spans="1:5" x14ac:dyDescent="0.25">
      <c r="A525" t="s">
        <v>1344</v>
      </c>
      <c r="B525" t="s">
        <v>3204</v>
      </c>
      <c r="C525" t="s">
        <v>3205</v>
      </c>
      <c r="D525" t="s">
        <v>2646</v>
      </c>
      <c r="E525" t="s">
        <v>2170</v>
      </c>
    </row>
    <row r="526" spans="1:5" x14ac:dyDescent="0.25">
      <c r="A526" t="s">
        <v>1344</v>
      </c>
      <c r="B526" t="s">
        <v>3206</v>
      </c>
      <c r="C526" t="s">
        <v>1343</v>
      </c>
      <c r="D526" t="s">
        <v>2646</v>
      </c>
      <c r="E526" t="s">
        <v>2170</v>
      </c>
    </row>
    <row r="527" spans="1:5" x14ac:dyDescent="0.25">
      <c r="A527" t="s">
        <v>1344</v>
      </c>
      <c r="B527" t="s">
        <v>3207</v>
      </c>
      <c r="C527" t="s">
        <v>3208</v>
      </c>
      <c r="D527" t="s">
        <v>2646</v>
      </c>
      <c r="E527" t="s">
        <v>2170</v>
      </c>
    </row>
    <row r="528" spans="1:5" x14ac:dyDescent="0.25">
      <c r="A528" t="s">
        <v>1344</v>
      </c>
      <c r="B528" t="s">
        <v>3209</v>
      </c>
      <c r="C528" t="s">
        <v>3210</v>
      </c>
      <c r="D528" t="s">
        <v>2646</v>
      </c>
      <c r="E528" t="s">
        <v>2170</v>
      </c>
    </row>
    <row r="529" spans="1:5" x14ac:dyDescent="0.25">
      <c r="A529" t="s">
        <v>1344</v>
      </c>
      <c r="B529" t="s">
        <v>3211</v>
      </c>
      <c r="C529" t="s">
        <v>3212</v>
      </c>
      <c r="D529" t="s">
        <v>2646</v>
      </c>
      <c r="E529" t="s">
        <v>2170</v>
      </c>
    </row>
    <row r="530" spans="1:5" x14ac:dyDescent="0.25">
      <c r="A530" t="s">
        <v>1344</v>
      </c>
      <c r="B530" t="s">
        <v>3213</v>
      </c>
      <c r="C530" t="s">
        <v>3214</v>
      </c>
      <c r="D530" t="s">
        <v>2646</v>
      </c>
      <c r="E530" t="s">
        <v>2170</v>
      </c>
    </row>
    <row r="531" spans="1:5" x14ac:dyDescent="0.25">
      <c r="A531" t="s">
        <v>1344</v>
      </c>
      <c r="B531" t="s">
        <v>3215</v>
      </c>
      <c r="C531" t="s">
        <v>3216</v>
      </c>
      <c r="D531" t="s">
        <v>2646</v>
      </c>
      <c r="E531" t="s">
        <v>2170</v>
      </c>
    </row>
    <row r="532" spans="1:5" x14ac:dyDescent="0.25">
      <c r="A532" t="s">
        <v>1344</v>
      </c>
      <c r="B532" t="s">
        <v>3217</v>
      </c>
      <c r="C532" t="s">
        <v>3218</v>
      </c>
      <c r="D532" t="s">
        <v>2646</v>
      </c>
      <c r="E532" t="s">
        <v>2170</v>
      </c>
    </row>
    <row r="533" spans="1:5" x14ac:dyDescent="0.25">
      <c r="A533" t="s">
        <v>1347</v>
      </c>
      <c r="B533" t="s">
        <v>3219</v>
      </c>
      <c r="C533" t="s">
        <v>3220</v>
      </c>
      <c r="D533" t="s">
        <v>2646</v>
      </c>
      <c r="E533" t="s">
        <v>2170</v>
      </c>
    </row>
    <row r="534" spans="1:5" x14ac:dyDescent="0.25">
      <c r="A534" t="s">
        <v>1347</v>
      </c>
      <c r="B534" t="s">
        <v>3221</v>
      </c>
      <c r="C534" t="s">
        <v>3222</v>
      </c>
      <c r="D534" t="s">
        <v>2646</v>
      </c>
      <c r="E534" t="s">
        <v>2170</v>
      </c>
    </row>
    <row r="535" spans="1:5" x14ac:dyDescent="0.25">
      <c r="A535" t="s">
        <v>1347</v>
      </c>
      <c r="B535" t="s">
        <v>3223</v>
      </c>
      <c r="C535" t="s">
        <v>3224</v>
      </c>
      <c r="D535" t="s">
        <v>2318</v>
      </c>
      <c r="E535" t="s">
        <v>2170</v>
      </c>
    </row>
    <row r="536" spans="1:5" x14ac:dyDescent="0.25">
      <c r="A536" t="s">
        <v>1347</v>
      </c>
      <c r="B536" t="s">
        <v>3225</v>
      </c>
      <c r="C536" t="s">
        <v>1346</v>
      </c>
      <c r="D536" t="s">
        <v>2318</v>
      </c>
      <c r="E536" t="s">
        <v>2170</v>
      </c>
    </row>
    <row r="537" spans="1:5" x14ac:dyDescent="0.25">
      <c r="A537" t="s">
        <v>1347</v>
      </c>
      <c r="B537" t="s">
        <v>3226</v>
      </c>
      <c r="C537" t="s">
        <v>3227</v>
      </c>
      <c r="D537" t="s">
        <v>2646</v>
      </c>
      <c r="E537" t="s">
        <v>2170</v>
      </c>
    </row>
    <row r="538" spans="1:5" x14ac:dyDescent="0.25">
      <c r="A538" t="s">
        <v>1347</v>
      </c>
      <c r="B538" t="s">
        <v>3228</v>
      </c>
      <c r="C538" t="s">
        <v>3229</v>
      </c>
      <c r="D538" t="s">
        <v>3230</v>
      </c>
      <c r="E538" t="s">
        <v>2170</v>
      </c>
    </row>
    <row r="539" spans="1:5" x14ac:dyDescent="0.25">
      <c r="A539" t="s">
        <v>1347</v>
      </c>
      <c r="B539" t="s">
        <v>3231</v>
      </c>
      <c r="C539" t="s">
        <v>3232</v>
      </c>
      <c r="D539" t="s">
        <v>2646</v>
      </c>
      <c r="E539" t="s">
        <v>2170</v>
      </c>
    </row>
    <row r="540" spans="1:5" x14ac:dyDescent="0.25">
      <c r="A540" t="s">
        <v>1347</v>
      </c>
      <c r="B540" t="s">
        <v>3233</v>
      </c>
      <c r="C540" t="s">
        <v>3234</v>
      </c>
      <c r="D540" t="s">
        <v>2646</v>
      </c>
      <c r="E540" t="s">
        <v>2170</v>
      </c>
    </row>
    <row r="541" spans="1:5" x14ac:dyDescent="0.25">
      <c r="A541" t="s">
        <v>1347</v>
      </c>
      <c r="B541" t="s">
        <v>3235</v>
      </c>
      <c r="C541" t="s">
        <v>3236</v>
      </c>
      <c r="D541" t="s">
        <v>2646</v>
      </c>
      <c r="E541" t="s">
        <v>2170</v>
      </c>
    </row>
    <row r="542" spans="1:5" x14ac:dyDescent="0.25">
      <c r="A542" t="s">
        <v>1347</v>
      </c>
      <c r="B542" t="s">
        <v>3237</v>
      </c>
      <c r="C542" t="s">
        <v>3238</v>
      </c>
      <c r="D542" t="s">
        <v>3230</v>
      </c>
      <c r="E542" t="s">
        <v>2170</v>
      </c>
    </row>
    <row r="543" spans="1:5" x14ac:dyDescent="0.25">
      <c r="A543" t="s">
        <v>1347</v>
      </c>
      <c r="B543" t="s">
        <v>3239</v>
      </c>
      <c r="C543" t="s">
        <v>3240</v>
      </c>
      <c r="D543" t="s">
        <v>2646</v>
      </c>
      <c r="E543" t="s">
        <v>2170</v>
      </c>
    </row>
    <row r="544" spans="1:5" x14ac:dyDescent="0.25">
      <c r="A544" t="s">
        <v>1347</v>
      </c>
      <c r="B544" t="s">
        <v>3241</v>
      </c>
      <c r="C544" t="s">
        <v>3242</v>
      </c>
      <c r="D544" t="s">
        <v>2646</v>
      </c>
      <c r="E544" t="s">
        <v>2170</v>
      </c>
    </row>
    <row r="545" spans="1:5" x14ac:dyDescent="0.25">
      <c r="A545" t="s">
        <v>1347</v>
      </c>
      <c r="B545" t="s">
        <v>3243</v>
      </c>
      <c r="C545" t="s">
        <v>3244</v>
      </c>
      <c r="D545" t="s">
        <v>3230</v>
      </c>
      <c r="E545" t="s">
        <v>2170</v>
      </c>
    </row>
    <row r="546" spans="1:5" x14ac:dyDescent="0.25">
      <c r="A546" t="s">
        <v>1347</v>
      </c>
      <c r="B546" t="s">
        <v>3245</v>
      </c>
      <c r="C546" t="s">
        <v>3246</v>
      </c>
      <c r="D546" t="s">
        <v>2646</v>
      </c>
      <c r="E546" t="s">
        <v>2170</v>
      </c>
    </row>
    <row r="547" spans="1:5" x14ac:dyDescent="0.25">
      <c r="A547" t="s">
        <v>1347</v>
      </c>
      <c r="B547" t="s">
        <v>3247</v>
      </c>
      <c r="C547" t="s">
        <v>3248</v>
      </c>
      <c r="D547" t="s">
        <v>2646</v>
      </c>
      <c r="E547" t="s">
        <v>2170</v>
      </c>
    </row>
    <row r="548" spans="1:5" x14ac:dyDescent="0.25">
      <c r="A548" t="s">
        <v>1347</v>
      </c>
      <c r="B548" t="s">
        <v>3249</v>
      </c>
      <c r="C548" t="s">
        <v>3250</v>
      </c>
      <c r="D548" t="s">
        <v>3230</v>
      </c>
      <c r="E548" t="s">
        <v>2170</v>
      </c>
    </row>
    <row r="549" spans="1:5" x14ac:dyDescent="0.25">
      <c r="A549" t="s">
        <v>1350</v>
      </c>
      <c r="B549" t="s">
        <v>3251</v>
      </c>
      <c r="C549" t="s">
        <v>3252</v>
      </c>
      <c r="D549" t="s">
        <v>3253</v>
      </c>
      <c r="E549" t="s">
        <v>2170</v>
      </c>
    </row>
    <row r="550" spans="1:5" x14ac:dyDescent="0.25">
      <c r="A550" t="s">
        <v>1350</v>
      </c>
      <c r="B550" t="s">
        <v>3254</v>
      </c>
      <c r="C550" t="s">
        <v>3255</v>
      </c>
      <c r="D550" t="s">
        <v>3253</v>
      </c>
      <c r="E550" t="s">
        <v>2170</v>
      </c>
    </row>
    <row r="551" spans="1:5" x14ac:dyDescent="0.25">
      <c r="A551" t="s">
        <v>1350</v>
      </c>
      <c r="B551" t="s">
        <v>3256</v>
      </c>
      <c r="C551" t="s">
        <v>3257</v>
      </c>
      <c r="D551" t="s">
        <v>2318</v>
      </c>
      <c r="E551" t="s">
        <v>2170</v>
      </c>
    </row>
    <row r="552" spans="1:5" x14ac:dyDescent="0.25">
      <c r="A552" t="s">
        <v>1350</v>
      </c>
      <c r="B552" t="s">
        <v>3258</v>
      </c>
      <c r="C552" t="s">
        <v>3259</v>
      </c>
      <c r="D552" t="s">
        <v>3253</v>
      </c>
      <c r="E552" t="s">
        <v>2170</v>
      </c>
    </row>
    <row r="553" spans="1:5" x14ac:dyDescent="0.25">
      <c r="A553" t="s">
        <v>1350</v>
      </c>
      <c r="B553" t="s">
        <v>3260</v>
      </c>
      <c r="C553" t="s">
        <v>3261</v>
      </c>
      <c r="D553" t="s">
        <v>3253</v>
      </c>
      <c r="E553" t="s">
        <v>2170</v>
      </c>
    </row>
    <row r="554" spans="1:5" x14ac:dyDescent="0.25">
      <c r="A554" t="s">
        <v>1350</v>
      </c>
      <c r="B554" t="s">
        <v>3262</v>
      </c>
      <c r="C554" t="s">
        <v>3263</v>
      </c>
      <c r="D554" t="s">
        <v>3253</v>
      </c>
      <c r="E554" t="s">
        <v>2170</v>
      </c>
    </row>
    <row r="555" spans="1:5" x14ac:dyDescent="0.25">
      <c r="A555" t="s">
        <v>1350</v>
      </c>
      <c r="B555" t="s">
        <v>3264</v>
      </c>
      <c r="C555" t="s">
        <v>3265</v>
      </c>
      <c r="D555" t="s">
        <v>3253</v>
      </c>
      <c r="E555" t="s">
        <v>2170</v>
      </c>
    </row>
    <row r="556" spans="1:5" x14ac:dyDescent="0.25">
      <c r="A556" t="s">
        <v>1353</v>
      </c>
      <c r="B556" t="s">
        <v>3266</v>
      </c>
      <c r="C556" t="s">
        <v>17</v>
      </c>
      <c r="D556" t="s">
        <v>2646</v>
      </c>
      <c r="E556" t="s">
        <v>2170</v>
      </c>
    </row>
    <row r="557" spans="1:5" x14ac:dyDescent="0.25">
      <c r="A557" t="s">
        <v>1353</v>
      </c>
      <c r="B557" t="s">
        <v>3267</v>
      </c>
      <c r="C557" t="s">
        <v>3268</v>
      </c>
      <c r="D557" t="s">
        <v>2646</v>
      </c>
      <c r="E557" t="s">
        <v>2170</v>
      </c>
    </row>
    <row r="558" spans="1:5" x14ac:dyDescent="0.25">
      <c r="A558" t="s">
        <v>1353</v>
      </c>
      <c r="B558" t="s">
        <v>3269</v>
      </c>
      <c r="C558" t="s">
        <v>3270</v>
      </c>
      <c r="D558" t="s">
        <v>2646</v>
      </c>
      <c r="E558" t="s">
        <v>2170</v>
      </c>
    </row>
    <row r="559" spans="1:5" x14ac:dyDescent="0.25">
      <c r="A559" t="s">
        <v>1353</v>
      </c>
      <c r="B559" t="s">
        <v>3271</v>
      </c>
      <c r="C559" t="s">
        <v>3272</v>
      </c>
      <c r="D559" t="s">
        <v>2646</v>
      </c>
      <c r="E559" t="s">
        <v>2170</v>
      </c>
    </row>
    <row r="560" spans="1:5" x14ac:dyDescent="0.25">
      <c r="A560" t="s">
        <v>1353</v>
      </c>
      <c r="B560" t="s">
        <v>3273</v>
      </c>
      <c r="C560" t="s">
        <v>3274</v>
      </c>
      <c r="D560" t="s">
        <v>2646</v>
      </c>
      <c r="E560" t="s">
        <v>2170</v>
      </c>
    </row>
    <row r="561" spans="1:5" x14ac:dyDescent="0.25">
      <c r="A561" t="s">
        <v>1353</v>
      </c>
      <c r="B561" t="s">
        <v>3275</v>
      </c>
      <c r="C561" t="s">
        <v>3276</v>
      </c>
      <c r="D561" t="s">
        <v>2646</v>
      </c>
      <c r="E561" t="s">
        <v>2170</v>
      </c>
    </row>
    <row r="562" spans="1:5" x14ac:dyDescent="0.25">
      <c r="A562" t="s">
        <v>1356</v>
      </c>
      <c r="B562" t="s">
        <v>3277</v>
      </c>
      <c r="C562" t="s">
        <v>3278</v>
      </c>
      <c r="D562" t="s">
        <v>2200</v>
      </c>
      <c r="E562" t="s">
        <v>2170</v>
      </c>
    </row>
    <row r="563" spans="1:5" x14ac:dyDescent="0.25">
      <c r="A563" t="s">
        <v>1356</v>
      </c>
      <c r="B563" t="s">
        <v>3279</v>
      </c>
      <c r="C563" t="s">
        <v>3280</v>
      </c>
      <c r="D563" t="s">
        <v>2200</v>
      </c>
      <c r="E563" t="s">
        <v>2170</v>
      </c>
    </row>
    <row r="564" spans="1:5" x14ac:dyDescent="0.25">
      <c r="A564" t="s">
        <v>1356</v>
      </c>
      <c r="B564" t="s">
        <v>3281</v>
      </c>
      <c r="C564" t="s">
        <v>3282</v>
      </c>
      <c r="D564" t="s">
        <v>2200</v>
      </c>
      <c r="E564" t="s">
        <v>2170</v>
      </c>
    </row>
    <row r="565" spans="1:5" x14ac:dyDescent="0.25">
      <c r="A565" t="s">
        <v>1356</v>
      </c>
      <c r="B565" t="s">
        <v>3283</v>
      </c>
      <c r="C565" t="s">
        <v>3284</v>
      </c>
      <c r="D565" t="s">
        <v>2200</v>
      </c>
      <c r="E565" t="s">
        <v>2170</v>
      </c>
    </row>
    <row r="566" spans="1:5" x14ac:dyDescent="0.25">
      <c r="A566" t="s">
        <v>1356</v>
      </c>
      <c r="B566" t="s">
        <v>3285</v>
      </c>
      <c r="C566" t="s">
        <v>3286</v>
      </c>
      <c r="D566" t="s">
        <v>2200</v>
      </c>
      <c r="E566" t="s">
        <v>2170</v>
      </c>
    </row>
    <row r="567" spans="1:5" x14ac:dyDescent="0.25">
      <c r="A567" t="s">
        <v>1356</v>
      </c>
      <c r="B567" t="s">
        <v>3287</v>
      </c>
      <c r="C567" t="s">
        <v>3288</v>
      </c>
      <c r="D567" t="s">
        <v>2444</v>
      </c>
      <c r="E567" t="s">
        <v>2170</v>
      </c>
    </row>
    <row r="568" spans="1:5" x14ac:dyDescent="0.25">
      <c r="A568" t="s">
        <v>1356</v>
      </c>
      <c r="B568" t="s">
        <v>3289</v>
      </c>
      <c r="C568" t="s">
        <v>3290</v>
      </c>
      <c r="D568" t="s">
        <v>2200</v>
      </c>
      <c r="E568" t="s">
        <v>2170</v>
      </c>
    </row>
    <row r="569" spans="1:5" x14ac:dyDescent="0.25">
      <c r="A569" t="s">
        <v>1356</v>
      </c>
      <c r="B569" t="s">
        <v>3291</v>
      </c>
      <c r="C569" t="s">
        <v>3292</v>
      </c>
      <c r="D569" t="s">
        <v>2444</v>
      </c>
      <c r="E569" t="s">
        <v>2170</v>
      </c>
    </row>
    <row r="570" spans="1:5" x14ac:dyDescent="0.25">
      <c r="A570" t="s">
        <v>1356</v>
      </c>
      <c r="B570" t="s">
        <v>3293</v>
      </c>
      <c r="C570" t="s">
        <v>3294</v>
      </c>
      <c r="D570" t="s">
        <v>2200</v>
      </c>
      <c r="E570" t="s">
        <v>2170</v>
      </c>
    </row>
    <row r="571" spans="1:5" x14ac:dyDescent="0.25">
      <c r="A571" t="s">
        <v>1356</v>
      </c>
      <c r="B571" t="s">
        <v>3295</v>
      </c>
      <c r="C571" t="s">
        <v>3296</v>
      </c>
      <c r="D571" t="s">
        <v>2200</v>
      </c>
      <c r="E571" t="s">
        <v>2170</v>
      </c>
    </row>
    <row r="572" spans="1:5" x14ac:dyDescent="0.25">
      <c r="A572" t="s">
        <v>1356</v>
      </c>
      <c r="B572" t="s">
        <v>3297</v>
      </c>
      <c r="C572" t="s">
        <v>3298</v>
      </c>
      <c r="D572" t="s">
        <v>2200</v>
      </c>
      <c r="E572" t="s">
        <v>2170</v>
      </c>
    </row>
    <row r="573" spans="1:5" x14ac:dyDescent="0.25">
      <c r="A573" t="s">
        <v>1356</v>
      </c>
      <c r="B573" t="s">
        <v>3299</v>
      </c>
      <c r="C573" t="s">
        <v>3300</v>
      </c>
      <c r="D573" t="s">
        <v>2200</v>
      </c>
      <c r="E573" t="s">
        <v>2170</v>
      </c>
    </row>
    <row r="574" spans="1:5" x14ac:dyDescent="0.25">
      <c r="A574" t="s">
        <v>1356</v>
      </c>
      <c r="B574" t="s">
        <v>3301</v>
      </c>
      <c r="C574" t="s">
        <v>3302</v>
      </c>
      <c r="D574" t="s">
        <v>2444</v>
      </c>
      <c r="E574" t="s">
        <v>2170</v>
      </c>
    </row>
    <row r="575" spans="1:5" x14ac:dyDescent="0.25">
      <c r="A575" t="s">
        <v>1362</v>
      </c>
      <c r="B575" t="s">
        <v>3303</v>
      </c>
      <c r="C575" t="s">
        <v>3304</v>
      </c>
      <c r="D575" t="s">
        <v>2200</v>
      </c>
      <c r="E575" t="s">
        <v>2170</v>
      </c>
    </row>
    <row r="576" spans="1:5" x14ac:dyDescent="0.25">
      <c r="A576" t="s">
        <v>1362</v>
      </c>
      <c r="B576" t="s">
        <v>3305</v>
      </c>
      <c r="C576" t="s">
        <v>3306</v>
      </c>
      <c r="D576" t="s">
        <v>2200</v>
      </c>
      <c r="E576" t="s">
        <v>2170</v>
      </c>
    </row>
    <row r="577" spans="1:5" x14ac:dyDescent="0.25">
      <c r="A577" t="s">
        <v>1362</v>
      </c>
      <c r="B577" t="s">
        <v>3307</v>
      </c>
      <c r="C577" t="s">
        <v>3308</v>
      </c>
      <c r="D577" t="s">
        <v>2200</v>
      </c>
      <c r="E577" t="s">
        <v>2170</v>
      </c>
    </row>
    <row r="578" spans="1:5" x14ac:dyDescent="0.25">
      <c r="A578" t="s">
        <v>1362</v>
      </c>
      <c r="B578" t="s">
        <v>3309</v>
      </c>
      <c r="C578" t="s">
        <v>3310</v>
      </c>
      <c r="D578" t="s">
        <v>2200</v>
      </c>
      <c r="E578" t="s">
        <v>2170</v>
      </c>
    </row>
    <row r="579" spans="1:5" x14ac:dyDescent="0.25">
      <c r="A579" t="s">
        <v>1362</v>
      </c>
      <c r="B579" t="s">
        <v>3311</v>
      </c>
      <c r="C579" t="s">
        <v>3312</v>
      </c>
      <c r="D579" t="s">
        <v>2200</v>
      </c>
      <c r="E579" t="s">
        <v>2170</v>
      </c>
    </row>
    <row r="580" spans="1:5" x14ac:dyDescent="0.25">
      <c r="A580" t="s">
        <v>1362</v>
      </c>
      <c r="B580" t="s">
        <v>3313</v>
      </c>
      <c r="C580" t="s">
        <v>3314</v>
      </c>
      <c r="D580" t="s">
        <v>2200</v>
      </c>
      <c r="E580" t="s">
        <v>2170</v>
      </c>
    </row>
    <row r="581" spans="1:5" x14ac:dyDescent="0.25">
      <c r="A581" t="s">
        <v>1362</v>
      </c>
      <c r="B581" t="s">
        <v>3315</v>
      </c>
      <c r="C581" t="s">
        <v>3316</v>
      </c>
      <c r="D581" t="s">
        <v>2200</v>
      </c>
      <c r="E581" t="s">
        <v>2170</v>
      </c>
    </row>
    <row r="582" spans="1:5" x14ac:dyDescent="0.25">
      <c r="A582" t="s">
        <v>1362</v>
      </c>
      <c r="B582" t="s">
        <v>3317</v>
      </c>
      <c r="C582" t="s">
        <v>3318</v>
      </c>
      <c r="D582" t="s">
        <v>2200</v>
      </c>
      <c r="E582" t="s">
        <v>2170</v>
      </c>
    </row>
    <row r="583" spans="1:5" x14ac:dyDescent="0.25">
      <c r="A583" t="s">
        <v>1362</v>
      </c>
      <c r="B583" t="s">
        <v>3319</v>
      </c>
      <c r="C583" t="s">
        <v>3320</v>
      </c>
      <c r="D583" t="s">
        <v>2200</v>
      </c>
      <c r="E583" t="s">
        <v>2170</v>
      </c>
    </row>
    <row r="584" spans="1:5" x14ac:dyDescent="0.25">
      <c r="A584" t="s">
        <v>1362</v>
      </c>
      <c r="B584" t="s">
        <v>3321</v>
      </c>
      <c r="C584" t="s">
        <v>1361</v>
      </c>
      <c r="D584" t="s">
        <v>2318</v>
      </c>
      <c r="E584" t="s">
        <v>2170</v>
      </c>
    </row>
    <row r="585" spans="1:5" x14ac:dyDescent="0.25">
      <c r="A585" t="s">
        <v>1362</v>
      </c>
      <c r="B585" t="s">
        <v>3322</v>
      </c>
      <c r="C585" t="s">
        <v>3323</v>
      </c>
      <c r="D585" t="s">
        <v>2200</v>
      </c>
      <c r="E585" t="s">
        <v>2170</v>
      </c>
    </row>
    <row r="586" spans="1:5" x14ac:dyDescent="0.25">
      <c r="A586" t="s">
        <v>1362</v>
      </c>
      <c r="B586" t="s">
        <v>3324</v>
      </c>
      <c r="C586" t="s">
        <v>3325</v>
      </c>
      <c r="D586" t="s">
        <v>2200</v>
      </c>
      <c r="E586" t="s">
        <v>2170</v>
      </c>
    </row>
    <row r="587" spans="1:5" x14ac:dyDescent="0.25">
      <c r="A587" t="s">
        <v>1362</v>
      </c>
      <c r="B587" t="s">
        <v>3326</v>
      </c>
      <c r="C587" t="s">
        <v>3327</v>
      </c>
      <c r="D587" t="s">
        <v>2200</v>
      </c>
      <c r="E587" t="s">
        <v>2170</v>
      </c>
    </row>
    <row r="588" spans="1:5" x14ac:dyDescent="0.25">
      <c r="A588" t="s">
        <v>1362</v>
      </c>
      <c r="B588" t="s">
        <v>3328</v>
      </c>
      <c r="C588" t="s">
        <v>3329</v>
      </c>
      <c r="D588" t="s">
        <v>2200</v>
      </c>
      <c r="E588" t="s">
        <v>2170</v>
      </c>
    </row>
    <row r="589" spans="1:5" x14ac:dyDescent="0.25">
      <c r="A589" t="s">
        <v>1362</v>
      </c>
      <c r="B589" t="s">
        <v>3330</v>
      </c>
      <c r="C589" t="s">
        <v>3331</v>
      </c>
      <c r="D589" t="s">
        <v>2200</v>
      </c>
      <c r="E589" t="s">
        <v>2170</v>
      </c>
    </row>
    <row r="590" spans="1:5" x14ac:dyDescent="0.25">
      <c r="A590" t="s">
        <v>1362</v>
      </c>
      <c r="B590" t="s">
        <v>3332</v>
      </c>
      <c r="C590" t="s">
        <v>3333</v>
      </c>
      <c r="D590" t="s">
        <v>2200</v>
      </c>
      <c r="E590" t="s">
        <v>2170</v>
      </c>
    </row>
    <row r="591" spans="1:5" x14ac:dyDescent="0.25">
      <c r="A591" t="s">
        <v>1362</v>
      </c>
      <c r="B591" t="s">
        <v>3334</v>
      </c>
      <c r="C591" t="s">
        <v>3335</v>
      </c>
      <c r="D591" t="s">
        <v>2200</v>
      </c>
      <c r="E591" t="s">
        <v>2170</v>
      </c>
    </row>
    <row r="592" spans="1:5" x14ac:dyDescent="0.25">
      <c r="A592" t="s">
        <v>1362</v>
      </c>
      <c r="B592" t="s">
        <v>3336</v>
      </c>
      <c r="C592" t="s">
        <v>3337</v>
      </c>
      <c r="D592" t="s">
        <v>2200</v>
      </c>
      <c r="E592" t="s">
        <v>2170</v>
      </c>
    </row>
    <row r="593" spans="1:5" x14ac:dyDescent="0.25">
      <c r="A593" t="s">
        <v>1362</v>
      </c>
      <c r="B593" t="s">
        <v>3338</v>
      </c>
      <c r="C593" t="s">
        <v>3339</v>
      </c>
      <c r="D593" t="s">
        <v>2200</v>
      </c>
      <c r="E593" t="s">
        <v>2170</v>
      </c>
    </row>
    <row r="594" spans="1:5" x14ac:dyDescent="0.25">
      <c r="A594" t="s">
        <v>1362</v>
      </c>
      <c r="B594" t="s">
        <v>3340</v>
      </c>
      <c r="C594" t="s">
        <v>3341</v>
      </c>
      <c r="D594" t="s">
        <v>2200</v>
      </c>
      <c r="E594" t="s">
        <v>2170</v>
      </c>
    </row>
    <row r="595" spans="1:5" x14ac:dyDescent="0.25">
      <c r="A595" t="s">
        <v>1362</v>
      </c>
      <c r="B595" t="s">
        <v>3342</v>
      </c>
      <c r="C595" t="s">
        <v>3343</v>
      </c>
      <c r="D595" t="s">
        <v>2200</v>
      </c>
      <c r="E595" t="s">
        <v>2170</v>
      </c>
    </row>
    <row r="596" spans="1:5" x14ac:dyDescent="0.25">
      <c r="A596" t="s">
        <v>1362</v>
      </c>
      <c r="B596" t="s">
        <v>3344</v>
      </c>
      <c r="C596" t="s">
        <v>3345</v>
      </c>
      <c r="D596" t="s">
        <v>2200</v>
      </c>
      <c r="E596" t="s">
        <v>2170</v>
      </c>
    </row>
    <row r="597" spans="1:5" x14ac:dyDescent="0.25">
      <c r="A597" t="s">
        <v>1362</v>
      </c>
      <c r="B597" t="s">
        <v>3346</v>
      </c>
      <c r="C597" t="s">
        <v>3347</v>
      </c>
      <c r="D597" t="s">
        <v>2200</v>
      </c>
      <c r="E597" t="s">
        <v>2170</v>
      </c>
    </row>
    <row r="598" spans="1:5" x14ac:dyDescent="0.25">
      <c r="A598" t="s">
        <v>1362</v>
      </c>
      <c r="B598" t="s">
        <v>3348</v>
      </c>
      <c r="C598" t="s">
        <v>3349</v>
      </c>
      <c r="D598" t="s">
        <v>2200</v>
      </c>
      <c r="E598" t="s">
        <v>2170</v>
      </c>
    </row>
    <row r="599" spans="1:5" x14ac:dyDescent="0.25">
      <c r="A599" t="s">
        <v>1362</v>
      </c>
      <c r="B599" t="s">
        <v>3350</v>
      </c>
      <c r="C599" t="s">
        <v>3351</v>
      </c>
      <c r="D599" t="s">
        <v>2200</v>
      </c>
      <c r="E599" t="s">
        <v>2170</v>
      </c>
    </row>
    <row r="600" spans="1:5" x14ac:dyDescent="0.25">
      <c r="A600" t="s">
        <v>1362</v>
      </c>
      <c r="B600" t="s">
        <v>3352</v>
      </c>
      <c r="C600" t="s">
        <v>3353</v>
      </c>
      <c r="D600" t="s">
        <v>2200</v>
      </c>
      <c r="E600" t="s">
        <v>2170</v>
      </c>
    </row>
    <row r="601" spans="1:5" x14ac:dyDescent="0.25">
      <c r="A601" t="s">
        <v>1365</v>
      </c>
      <c r="B601" t="s">
        <v>3354</v>
      </c>
      <c r="C601" t="s">
        <v>3355</v>
      </c>
      <c r="D601" t="s">
        <v>3356</v>
      </c>
      <c r="E601" t="s">
        <v>2170</v>
      </c>
    </row>
    <row r="602" spans="1:5" x14ac:dyDescent="0.25">
      <c r="A602" t="s">
        <v>1365</v>
      </c>
      <c r="B602" t="s">
        <v>3357</v>
      </c>
      <c r="C602" t="s">
        <v>1364</v>
      </c>
      <c r="D602" t="s">
        <v>3358</v>
      </c>
      <c r="E602" t="s">
        <v>2170</v>
      </c>
    </row>
    <row r="603" spans="1:5" x14ac:dyDescent="0.25">
      <c r="A603" t="s">
        <v>1365</v>
      </c>
      <c r="B603" t="s">
        <v>3359</v>
      </c>
      <c r="C603" t="s">
        <v>3360</v>
      </c>
      <c r="D603" t="s">
        <v>3356</v>
      </c>
      <c r="E603" t="s">
        <v>2170</v>
      </c>
    </row>
    <row r="604" spans="1:5" x14ac:dyDescent="0.25">
      <c r="A604" t="s">
        <v>1365</v>
      </c>
      <c r="B604" t="s">
        <v>3361</v>
      </c>
      <c r="C604" t="s">
        <v>3362</v>
      </c>
      <c r="D604" t="s">
        <v>3363</v>
      </c>
      <c r="E604" t="s">
        <v>2170</v>
      </c>
    </row>
    <row r="605" spans="1:5" x14ac:dyDescent="0.25">
      <c r="A605" t="s">
        <v>1365</v>
      </c>
      <c r="B605" t="s">
        <v>3364</v>
      </c>
      <c r="C605" t="s">
        <v>3365</v>
      </c>
      <c r="D605" t="s">
        <v>3356</v>
      </c>
      <c r="E605" t="s">
        <v>2170</v>
      </c>
    </row>
    <row r="606" spans="1:5" x14ac:dyDescent="0.25">
      <c r="A606" t="s">
        <v>1365</v>
      </c>
      <c r="B606" t="s">
        <v>3366</v>
      </c>
      <c r="C606" t="s">
        <v>3367</v>
      </c>
      <c r="D606" t="s">
        <v>3356</v>
      </c>
      <c r="E606" t="s">
        <v>2170</v>
      </c>
    </row>
    <row r="607" spans="1:5" x14ac:dyDescent="0.25">
      <c r="A607" t="s">
        <v>1365</v>
      </c>
      <c r="B607" t="s">
        <v>3368</v>
      </c>
      <c r="C607" t="s">
        <v>3369</v>
      </c>
      <c r="D607" t="s">
        <v>3356</v>
      </c>
      <c r="E607" t="s">
        <v>2170</v>
      </c>
    </row>
    <row r="608" spans="1:5" x14ac:dyDescent="0.25">
      <c r="A608" t="s">
        <v>1365</v>
      </c>
      <c r="B608" t="s">
        <v>3370</v>
      </c>
      <c r="C608" t="s">
        <v>3371</v>
      </c>
      <c r="D608" t="s">
        <v>3356</v>
      </c>
      <c r="E608" t="s">
        <v>2170</v>
      </c>
    </row>
    <row r="609" spans="1:5" x14ac:dyDescent="0.25">
      <c r="A609" t="s">
        <v>1365</v>
      </c>
      <c r="B609" t="s">
        <v>3372</v>
      </c>
      <c r="C609" t="s">
        <v>3373</v>
      </c>
      <c r="D609" t="s">
        <v>3356</v>
      </c>
      <c r="E609" t="s">
        <v>2170</v>
      </c>
    </row>
    <row r="610" spans="1:5" x14ac:dyDescent="0.25">
      <c r="A610" t="s">
        <v>1365</v>
      </c>
      <c r="B610" t="s">
        <v>3374</v>
      </c>
      <c r="C610" t="s">
        <v>3375</v>
      </c>
      <c r="D610" t="s">
        <v>3356</v>
      </c>
      <c r="E610" t="s">
        <v>2170</v>
      </c>
    </row>
    <row r="611" spans="1:5" x14ac:dyDescent="0.25">
      <c r="A611" t="s">
        <v>1365</v>
      </c>
      <c r="B611" t="s">
        <v>3376</v>
      </c>
      <c r="C611" t="s">
        <v>3377</v>
      </c>
      <c r="D611" t="s">
        <v>3356</v>
      </c>
      <c r="E611" t="s">
        <v>2170</v>
      </c>
    </row>
    <row r="612" spans="1:5" x14ac:dyDescent="0.25">
      <c r="A612" t="s">
        <v>1365</v>
      </c>
      <c r="B612" t="s">
        <v>3378</v>
      </c>
      <c r="C612" t="s">
        <v>3379</v>
      </c>
      <c r="D612" t="s">
        <v>3356</v>
      </c>
      <c r="E612" t="s">
        <v>2170</v>
      </c>
    </row>
    <row r="613" spans="1:5" x14ac:dyDescent="0.25">
      <c r="A613" t="s">
        <v>1365</v>
      </c>
      <c r="B613" t="s">
        <v>3380</v>
      </c>
      <c r="C613" t="s">
        <v>3381</v>
      </c>
      <c r="D613" t="s">
        <v>3356</v>
      </c>
      <c r="E613" t="s">
        <v>2170</v>
      </c>
    </row>
    <row r="614" spans="1:5" x14ac:dyDescent="0.25">
      <c r="A614" t="s">
        <v>1365</v>
      </c>
      <c r="B614" t="s">
        <v>3382</v>
      </c>
      <c r="C614" t="s">
        <v>3383</v>
      </c>
      <c r="D614" t="s">
        <v>3356</v>
      </c>
      <c r="E614" t="s">
        <v>2170</v>
      </c>
    </row>
    <row r="615" spans="1:5" x14ac:dyDescent="0.25">
      <c r="A615" t="s">
        <v>1365</v>
      </c>
      <c r="B615" t="s">
        <v>3384</v>
      </c>
      <c r="C615" t="s">
        <v>3385</v>
      </c>
      <c r="D615" t="s">
        <v>3356</v>
      </c>
      <c r="E615" t="s">
        <v>2170</v>
      </c>
    </row>
    <row r="616" spans="1:5" x14ac:dyDescent="0.25">
      <c r="A616" t="s">
        <v>1365</v>
      </c>
      <c r="B616" t="s">
        <v>3386</v>
      </c>
      <c r="C616" t="s">
        <v>3387</v>
      </c>
      <c r="D616" t="s">
        <v>3363</v>
      </c>
      <c r="E616" t="s">
        <v>2170</v>
      </c>
    </row>
    <row r="617" spans="1:5" x14ac:dyDescent="0.25">
      <c r="A617" t="s">
        <v>1365</v>
      </c>
      <c r="B617" t="s">
        <v>3388</v>
      </c>
      <c r="C617" t="s">
        <v>3389</v>
      </c>
      <c r="D617" t="s">
        <v>3356</v>
      </c>
      <c r="E617" t="s">
        <v>2170</v>
      </c>
    </row>
    <row r="618" spans="1:5" x14ac:dyDescent="0.25">
      <c r="A618" t="s">
        <v>1368</v>
      </c>
      <c r="B618" t="s">
        <v>3390</v>
      </c>
      <c r="C618" t="s">
        <v>3391</v>
      </c>
      <c r="D618" t="s">
        <v>3008</v>
      </c>
      <c r="E618" t="s">
        <v>2170</v>
      </c>
    </row>
    <row r="619" spans="1:5" x14ac:dyDescent="0.25">
      <c r="A619" t="s">
        <v>1368</v>
      </c>
      <c r="B619" t="s">
        <v>3392</v>
      </c>
      <c r="C619" t="s">
        <v>1367</v>
      </c>
      <c r="D619" t="s">
        <v>3008</v>
      </c>
      <c r="E619" t="s">
        <v>2170</v>
      </c>
    </row>
    <row r="620" spans="1:5" x14ac:dyDescent="0.25">
      <c r="A620" t="s">
        <v>1368</v>
      </c>
      <c r="B620" t="s">
        <v>3393</v>
      </c>
      <c r="C620" t="s">
        <v>3394</v>
      </c>
      <c r="D620" t="s">
        <v>3008</v>
      </c>
      <c r="E620" t="s">
        <v>2170</v>
      </c>
    </row>
    <row r="621" spans="1:5" x14ac:dyDescent="0.25">
      <c r="A621" t="s">
        <v>1368</v>
      </c>
      <c r="B621" t="s">
        <v>3395</v>
      </c>
      <c r="C621" t="s">
        <v>3396</v>
      </c>
      <c r="D621" t="s">
        <v>3008</v>
      </c>
      <c r="E621" t="s">
        <v>2170</v>
      </c>
    </row>
    <row r="622" spans="1:5" x14ac:dyDescent="0.25">
      <c r="A622" t="s">
        <v>1368</v>
      </c>
      <c r="B622" t="s">
        <v>3397</v>
      </c>
      <c r="C622" t="s">
        <v>3398</v>
      </c>
      <c r="D622" t="s">
        <v>3008</v>
      </c>
      <c r="E622" t="s">
        <v>2170</v>
      </c>
    </row>
    <row r="623" spans="1:5" x14ac:dyDescent="0.25">
      <c r="A623" t="s">
        <v>1368</v>
      </c>
      <c r="B623" t="s">
        <v>3399</v>
      </c>
      <c r="C623" t="s">
        <v>3400</v>
      </c>
      <c r="D623" t="s">
        <v>3008</v>
      </c>
      <c r="E623" t="s">
        <v>2170</v>
      </c>
    </row>
    <row r="624" spans="1:5" x14ac:dyDescent="0.25">
      <c r="A624" t="s">
        <v>1368</v>
      </c>
      <c r="B624" t="s">
        <v>3401</v>
      </c>
      <c r="C624" t="s">
        <v>3402</v>
      </c>
      <c r="D624" t="s">
        <v>3008</v>
      </c>
      <c r="E624" t="s">
        <v>2170</v>
      </c>
    </row>
    <row r="625" spans="1:5" x14ac:dyDescent="0.25">
      <c r="A625" t="s">
        <v>1368</v>
      </c>
      <c r="B625" t="s">
        <v>3403</v>
      </c>
      <c r="C625" t="s">
        <v>3404</v>
      </c>
      <c r="D625" t="s">
        <v>3008</v>
      </c>
      <c r="E625" t="s">
        <v>2170</v>
      </c>
    </row>
    <row r="626" spans="1:5" x14ac:dyDescent="0.25">
      <c r="A626" t="s">
        <v>1368</v>
      </c>
      <c r="B626" t="s">
        <v>3405</v>
      </c>
      <c r="C626" t="s">
        <v>3406</v>
      </c>
      <c r="D626" t="s">
        <v>3008</v>
      </c>
      <c r="E626" t="s">
        <v>2170</v>
      </c>
    </row>
    <row r="627" spans="1:5" x14ac:dyDescent="0.25">
      <c r="A627" t="s">
        <v>1368</v>
      </c>
      <c r="B627" t="s">
        <v>3407</v>
      </c>
      <c r="C627" t="s">
        <v>3408</v>
      </c>
      <c r="D627" t="s">
        <v>3008</v>
      </c>
      <c r="E627" t="s">
        <v>2170</v>
      </c>
    </row>
    <row r="628" spans="1:5" x14ac:dyDescent="0.25">
      <c r="A628" t="s">
        <v>1368</v>
      </c>
      <c r="B628" t="s">
        <v>3409</v>
      </c>
      <c r="C628" t="s">
        <v>3410</v>
      </c>
      <c r="D628" t="s">
        <v>3008</v>
      </c>
      <c r="E628" t="s">
        <v>2170</v>
      </c>
    </row>
    <row r="629" spans="1:5" x14ac:dyDescent="0.25">
      <c r="A629" t="s">
        <v>1368</v>
      </c>
      <c r="B629" t="s">
        <v>3411</v>
      </c>
      <c r="C629" t="s">
        <v>3387</v>
      </c>
      <c r="D629" t="s">
        <v>3008</v>
      </c>
      <c r="E629" t="s">
        <v>2170</v>
      </c>
    </row>
    <row r="630" spans="1:5" x14ac:dyDescent="0.25">
      <c r="A630" t="s">
        <v>1371</v>
      </c>
      <c r="B630" t="s">
        <v>3412</v>
      </c>
      <c r="C630" t="s">
        <v>3413</v>
      </c>
      <c r="D630" t="s">
        <v>3414</v>
      </c>
      <c r="E630" t="s">
        <v>2170</v>
      </c>
    </row>
    <row r="631" spans="1:5" x14ac:dyDescent="0.25">
      <c r="A631" t="s">
        <v>1371</v>
      </c>
      <c r="B631" t="s">
        <v>3415</v>
      </c>
      <c r="C631" t="s">
        <v>3416</v>
      </c>
      <c r="D631" t="s">
        <v>3414</v>
      </c>
      <c r="E631" t="s">
        <v>2170</v>
      </c>
    </row>
    <row r="632" spans="1:5" x14ac:dyDescent="0.25">
      <c r="A632" t="s">
        <v>1371</v>
      </c>
      <c r="B632" t="s">
        <v>3417</v>
      </c>
      <c r="C632" t="s">
        <v>3418</v>
      </c>
      <c r="D632" t="s">
        <v>3414</v>
      </c>
      <c r="E632" t="s">
        <v>2170</v>
      </c>
    </row>
    <row r="633" spans="1:5" x14ac:dyDescent="0.25">
      <c r="A633" t="s">
        <v>1371</v>
      </c>
      <c r="B633" t="s">
        <v>3419</v>
      </c>
      <c r="C633" t="s">
        <v>3420</v>
      </c>
      <c r="D633" t="s">
        <v>3414</v>
      </c>
      <c r="E633" t="s">
        <v>2170</v>
      </c>
    </row>
    <row r="634" spans="1:5" x14ac:dyDescent="0.25">
      <c r="A634" t="s">
        <v>1371</v>
      </c>
      <c r="B634" t="s">
        <v>3421</v>
      </c>
      <c r="C634" t="s">
        <v>3422</v>
      </c>
      <c r="D634" t="s">
        <v>3414</v>
      </c>
      <c r="E634" t="s">
        <v>2170</v>
      </c>
    </row>
    <row r="635" spans="1:5" x14ac:dyDescent="0.25">
      <c r="A635" t="s">
        <v>1371</v>
      </c>
      <c r="B635" t="s">
        <v>3423</v>
      </c>
      <c r="C635" t="s">
        <v>3424</v>
      </c>
      <c r="D635" t="s">
        <v>3414</v>
      </c>
      <c r="E635" t="s">
        <v>2170</v>
      </c>
    </row>
    <row r="636" spans="1:5" x14ac:dyDescent="0.25">
      <c r="A636" t="s">
        <v>1371</v>
      </c>
      <c r="B636" t="s">
        <v>3425</v>
      </c>
      <c r="C636" t="s">
        <v>3426</v>
      </c>
      <c r="D636" t="s">
        <v>3414</v>
      </c>
      <c r="E636" t="s">
        <v>2170</v>
      </c>
    </row>
    <row r="637" spans="1:5" x14ac:dyDescent="0.25">
      <c r="A637" t="s">
        <v>1371</v>
      </c>
      <c r="B637" t="s">
        <v>3427</v>
      </c>
      <c r="C637" t="s">
        <v>3428</v>
      </c>
      <c r="D637" t="s">
        <v>3414</v>
      </c>
      <c r="E637" t="s">
        <v>2170</v>
      </c>
    </row>
    <row r="638" spans="1:5" x14ac:dyDescent="0.25">
      <c r="A638" t="s">
        <v>1371</v>
      </c>
      <c r="B638" t="s">
        <v>3429</v>
      </c>
      <c r="C638" t="s">
        <v>3430</v>
      </c>
      <c r="D638" t="s">
        <v>3414</v>
      </c>
      <c r="E638" t="s">
        <v>2170</v>
      </c>
    </row>
    <row r="639" spans="1:5" x14ac:dyDescent="0.25">
      <c r="A639" t="s">
        <v>1371</v>
      </c>
      <c r="B639" t="s">
        <v>3431</v>
      </c>
      <c r="C639" t="s">
        <v>3432</v>
      </c>
      <c r="D639" t="s">
        <v>3414</v>
      </c>
      <c r="E639" t="s">
        <v>2170</v>
      </c>
    </row>
    <row r="640" spans="1:5" x14ac:dyDescent="0.25">
      <c r="A640" t="s">
        <v>1371</v>
      </c>
      <c r="B640" t="s">
        <v>3433</v>
      </c>
      <c r="C640" t="s">
        <v>3434</v>
      </c>
      <c r="D640" t="s">
        <v>3414</v>
      </c>
      <c r="E640" t="s">
        <v>2170</v>
      </c>
    </row>
    <row r="641" spans="1:5" x14ac:dyDescent="0.25">
      <c r="A641" t="s">
        <v>1371</v>
      </c>
      <c r="B641" t="s">
        <v>3435</v>
      </c>
      <c r="C641" t="s">
        <v>3436</v>
      </c>
      <c r="D641" t="s">
        <v>3414</v>
      </c>
      <c r="E641" t="s">
        <v>2170</v>
      </c>
    </row>
    <row r="642" spans="1:5" x14ac:dyDescent="0.25">
      <c r="A642" t="s">
        <v>1371</v>
      </c>
      <c r="B642" t="s">
        <v>3437</v>
      </c>
      <c r="C642" t="s">
        <v>3438</v>
      </c>
      <c r="D642" t="s">
        <v>3414</v>
      </c>
      <c r="E642" t="s">
        <v>2170</v>
      </c>
    </row>
    <row r="643" spans="1:5" x14ac:dyDescent="0.25">
      <c r="A643" t="s">
        <v>1371</v>
      </c>
      <c r="B643" t="s">
        <v>3439</v>
      </c>
      <c r="C643" t="s">
        <v>3440</v>
      </c>
      <c r="D643" t="s">
        <v>3414</v>
      </c>
      <c r="E643" t="s">
        <v>2170</v>
      </c>
    </row>
    <row r="644" spans="1:5" x14ac:dyDescent="0.25">
      <c r="A644" t="s">
        <v>1371</v>
      </c>
      <c r="B644" t="s">
        <v>3441</v>
      </c>
      <c r="C644" t="s">
        <v>3442</v>
      </c>
      <c r="D644" t="s">
        <v>3414</v>
      </c>
      <c r="E644" t="s">
        <v>2170</v>
      </c>
    </row>
    <row r="645" spans="1:5" x14ac:dyDescent="0.25">
      <c r="A645" t="s">
        <v>1371</v>
      </c>
      <c r="B645" t="s">
        <v>3443</v>
      </c>
      <c r="C645" t="s">
        <v>3444</v>
      </c>
      <c r="D645" t="s">
        <v>3414</v>
      </c>
      <c r="E645" t="s">
        <v>2170</v>
      </c>
    </row>
    <row r="646" spans="1:5" x14ac:dyDescent="0.25">
      <c r="A646" t="s">
        <v>1371</v>
      </c>
      <c r="B646" t="s">
        <v>3445</v>
      </c>
      <c r="C646" t="s">
        <v>3446</v>
      </c>
      <c r="D646" t="s">
        <v>3414</v>
      </c>
      <c r="E646" t="s">
        <v>2170</v>
      </c>
    </row>
    <row r="647" spans="1:5" x14ac:dyDescent="0.25">
      <c r="A647" t="s">
        <v>1371</v>
      </c>
      <c r="B647" t="s">
        <v>3447</v>
      </c>
      <c r="C647" t="s">
        <v>3448</v>
      </c>
      <c r="D647" t="s">
        <v>3414</v>
      </c>
      <c r="E647" t="s">
        <v>2170</v>
      </c>
    </row>
    <row r="648" spans="1:5" x14ac:dyDescent="0.25">
      <c r="A648" t="s">
        <v>1371</v>
      </c>
      <c r="B648" t="s">
        <v>3449</v>
      </c>
      <c r="C648" t="s">
        <v>3450</v>
      </c>
      <c r="D648" t="s">
        <v>3414</v>
      </c>
      <c r="E648" t="s">
        <v>2170</v>
      </c>
    </row>
    <row r="649" spans="1:5" x14ac:dyDescent="0.25">
      <c r="A649" t="s">
        <v>1371</v>
      </c>
      <c r="B649" t="s">
        <v>3451</v>
      </c>
      <c r="C649" t="s">
        <v>3452</v>
      </c>
      <c r="D649" t="s">
        <v>3414</v>
      </c>
      <c r="E649" t="s">
        <v>2170</v>
      </c>
    </row>
    <row r="650" spans="1:5" x14ac:dyDescent="0.25">
      <c r="A650" t="s">
        <v>1371</v>
      </c>
      <c r="B650" t="s">
        <v>3453</v>
      </c>
      <c r="C650" t="s">
        <v>3454</v>
      </c>
      <c r="D650" t="s">
        <v>3414</v>
      </c>
      <c r="E650" t="s">
        <v>2170</v>
      </c>
    </row>
    <row r="651" spans="1:5" x14ac:dyDescent="0.25">
      <c r="A651" t="s">
        <v>1371</v>
      </c>
      <c r="B651" t="s">
        <v>3455</v>
      </c>
      <c r="C651" t="s">
        <v>3456</v>
      </c>
      <c r="D651" t="s">
        <v>3414</v>
      </c>
      <c r="E651" t="s">
        <v>2170</v>
      </c>
    </row>
    <row r="652" spans="1:5" x14ac:dyDescent="0.25">
      <c r="A652" t="s">
        <v>1371</v>
      </c>
      <c r="B652" t="s">
        <v>3457</v>
      </c>
      <c r="C652" t="s">
        <v>3458</v>
      </c>
      <c r="D652" t="s">
        <v>3414</v>
      </c>
      <c r="E652" t="s">
        <v>2170</v>
      </c>
    </row>
    <row r="653" spans="1:5" x14ac:dyDescent="0.25">
      <c r="A653" t="s">
        <v>1371</v>
      </c>
      <c r="B653" t="s">
        <v>3459</v>
      </c>
      <c r="C653" t="s">
        <v>3460</v>
      </c>
      <c r="D653" t="s">
        <v>3414</v>
      </c>
      <c r="E653" t="s">
        <v>2170</v>
      </c>
    </row>
    <row r="654" spans="1:5" x14ac:dyDescent="0.25">
      <c r="A654" t="s">
        <v>1371</v>
      </c>
      <c r="B654" t="s">
        <v>3461</v>
      </c>
      <c r="C654" t="s">
        <v>3462</v>
      </c>
      <c r="D654" t="s">
        <v>3414</v>
      </c>
      <c r="E654" t="s">
        <v>2170</v>
      </c>
    </row>
    <row r="655" spans="1:5" x14ac:dyDescent="0.25">
      <c r="A655" t="s">
        <v>1371</v>
      </c>
      <c r="B655" t="s">
        <v>3463</v>
      </c>
      <c r="C655" t="s">
        <v>1370</v>
      </c>
      <c r="D655" t="s">
        <v>3414</v>
      </c>
      <c r="E655" t="s">
        <v>2170</v>
      </c>
    </row>
    <row r="656" spans="1:5" x14ac:dyDescent="0.25">
      <c r="A656" t="s">
        <v>1375</v>
      </c>
      <c r="B656" t="s">
        <v>3464</v>
      </c>
      <c r="C656" t="s">
        <v>1374</v>
      </c>
      <c r="D656" t="s">
        <v>3465</v>
      </c>
      <c r="E656" t="s">
        <v>2170</v>
      </c>
    </row>
    <row r="657" spans="1:5" x14ac:dyDescent="0.25">
      <c r="A657" t="s">
        <v>1375</v>
      </c>
      <c r="B657" t="s">
        <v>3466</v>
      </c>
      <c r="C657" t="s">
        <v>3467</v>
      </c>
      <c r="D657" t="s">
        <v>2646</v>
      </c>
      <c r="E657" t="s">
        <v>2170</v>
      </c>
    </row>
    <row r="658" spans="1:5" x14ac:dyDescent="0.25">
      <c r="A658" t="s">
        <v>1375</v>
      </c>
      <c r="B658" t="s">
        <v>3468</v>
      </c>
      <c r="C658" t="s">
        <v>2832</v>
      </c>
      <c r="D658" t="s">
        <v>2646</v>
      </c>
      <c r="E658" t="s">
        <v>2170</v>
      </c>
    </row>
    <row r="659" spans="1:5" x14ac:dyDescent="0.25">
      <c r="A659" t="s">
        <v>1375</v>
      </c>
      <c r="B659" t="s">
        <v>3469</v>
      </c>
      <c r="C659" t="s">
        <v>3470</v>
      </c>
      <c r="D659" t="s">
        <v>2646</v>
      </c>
      <c r="E659" t="s">
        <v>2170</v>
      </c>
    </row>
    <row r="660" spans="1:5" x14ac:dyDescent="0.25">
      <c r="A660" t="s">
        <v>1375</v>
      </c>
      <c r="B660" t="s">
        <v>3471</v>
      </c>
      <c r="C660" t="s">
        <v>3472</v>
      </c>
      <c r="D660" t="s">
        <v>2646</v>
      </c>
      <c r="E660" t="s">
        <v>2170</v>
      </c>
    </row>
    <row r="661" spans="1:5" x14ac:dyDescent="0.25">
      <c r="A661" t="s">
        <v>1375</v>
      </c>
      <c r="B661" t="s">
        <v>3473</v>
      </c>
      <c r="C661" t="s">
        <v>3474</v>
      </c>
      <c r="D661" t="s">
        <v>2646</v>
      </c>
      <c r="E661" t="s">
        <v>2170</v>
      </c>
    </row>
    <row r="662" spans="1:5" x14ac:dyDescent="0.25">
      <c r="A662" t="s">
        <v>1375</v>
      </c>
      <c r="B662" t="s">
        <v>3475</v>
      </c>
      <c r="C662" t="s">
        <v>3476</v>
      </c>
      <c r="D662" t="s">
        <v>2646</v>
      </c>
      <c r="E662" t="s">
        <v>2170</v>
      </c>
    </row>
    <row r="663" spans="1:5" x14ac:dyDescent="0.25">
      <c r="A663" t="s">
        <v>1375</v>
      </c>
      <c r="B663" t="s">
        <v>3477</v>
      </c>
      <c r="C663" t="s">
        <v>3478</v>
      </c>
      <c r="D663" t="s">
        <v>2646</v>
      </c>
      <c r="E663" t="s">
        <v>2170</v>
      </c>
    </row>
    <row r="664" spans="1:5" x14ac:dyDescent="0.25">
      <c r="A664" t="s">
        <v>1375</v>
      </c>
      <c r="B664" t="s">
        <v>3479</v>
      </c>
      <c r="C664" t="s">
        <v>3480</v>
      </c>
      <c r="D664" t="s">
        <v>2646</v>
      </c>
      <c r="E664" t="s">
        <v>2170</v>
      </c>
    </row>
    <row r="665" spans="1:5" x14ac:dyDescent="0.25">
      <c r="A665" t="s">
        <v>1375</v>
      </c>
      <c r="B665" t="s">
        <v>3481</v>
      </c>
      <c r="C665" t="s">
        <v>3482</v>
      </c>
      <c r="D665" t="s">
        <v>2646</v>
      </c>
      <c r="E665" t="s">
        <v>2170</v>
      </c>
    </row>
    <row r="666" spans="1:5" x14ac:dyDescent="0.25">
      <c r="A666" t="s">
        <v>1375</v>
      </c>
      <c r="B666" t="s">
        <v>3483</v>
      </c>
      <c r="C666" t="s">
        <v>3484</v>
      </c>
      <c r="D666" t="s">
        <v>2646</v>
      </c>
      <c r="E666" t="s">
        <v>2170</v>
      </c>
    </row>
    <row r="667" spans="1:5" x14ac:dyDescent="0.25">
      <c r="A667" t="s">
        <v>1375</v>
      </c>
      <c r="B667" t="s">
        <v>3485</v>
      </c>
      <c r="C667" t="s">
        <v>3486</v>
      </c>
      <c r="D667" t="s">
        <v>2646</v>
      </c>
      <c r="E667" t="s">
        <v>2170</v>
      </c>
    </row>
    <row r="668" spans="1:5" x14ac:dyDescent="0.25">
      <c r="A668" t="s">
        <v>1375</v>
      </c>
      <c r="B668" t="s">
        <v>3487</v>
      </c>
      <c r="C668" t="s">
        <v>3488</v>
      </c>
      <c r="D668" t="s">
        <v>3465</v>
      </c>
      <c r="E668" t="s">
        <v>2170</v>
      </c>
    </row>
    <row r="669" spans="1:5" x14ac:dyDescent="0.25">
      <c r="A669" t="s">
        <v>1375</v>
      </c>
      <c r="B669" t="s">
        <v>3489</v>
      </c>
      <c r="C669" t="s">
        <v>3490</v>
      </c>
      <c r="D669" t="s">
        <v>2646</v>
      </c>
      <c r="E669" t="s">
        <v>2170</v>
      </c>
    </row>
    <row r="670" spans="1:5" x14ac:dyDescent="0.25">
      <c r="A670" t="s">
        <v>1381</v>
      </c>
      <c r="B670" t="s">
        <v>3491</v>
      </c>
      <c r="C670" t="s">
        <v>3492</v>
      </c>
      <c r="D670" t="s">
        <v>2311</v>
      </c>
      <c r="E670" t="s">
        <v>2170</v>
      </c>
    </row>
    <row r="671" spans="1:5" x14ac:dyDescent="0.25">
      <c r="A671" t="s">
        <v>1381</v>
      </c>
      <c r="B671" t="s">
        <v>3493</v>
      </c>
      <c r="C671" t="s">
        <v>3494</v>
      </c>
      <c r="D671" t="s">
        <v>2311</v>
      </c>
      <c r="E671" t="s">
        <v>2170</v>
      </c>
    </row>
    <row r="672" spans="1:5" x14ac:dyDescent="0.25">
      <c r="A672" t="s">
        <v>1381</v>
      </c>
      <c r="B672" t="s">
        <v>3495</v>
      </c>
      <c r="C672" t="s">
        <v>3496</v>
      </c>
      <c r="D672" t="s">
        <v>2311</v>
      </c>
      <c r="E672" t="s">
        <v>2170</v>
      </c>
    </row>
    <row r="673" spans="1:5" x14ac:dyDescent="0.25">
      <c r="A673" t="s">
        <v>1381</v>
      </c>
      <c r="B673" t="s">
        <v>3497</v>
      </c>
      <c r="C673" t="s">
        <v>3498</v>
      </c>
      <c r="D673" t="s">
        <v>2311</v>
      </c>
      <c r="E673" t="s">
        <v>2170</v>
      </c>
    </row>
    <row r="674" spans="1:5" x14ac:dyDescent="0.25">
      <c r="A674" t="s">
        <v>1381</v>
      </c>
      <c r="B674" t="s">
        <v>3499</v>
      </c>
      <c r="C674" t="s">
        <v>3500</v>
      </c>
      <c r="D674" t="s">
        <v>2311</v>
      </c>
      <c r="E674" t="s">
        <v>2170</v>
      </c>
    </row>
    <row r="675" spans="1:5" x14ac:dyDescent="0.25">
      <c r="A675" t="s">
        <v>1381</v>
      </c>
      <c r="B675" t="s">
        <v>3501</v>
      </c>
      <c r="C675" t="s">
        <v>3502</v>
      </c>
      <c r="D675" t="s">
        <v>2311</v>
      </c>
      <c r="E675" t="s">
        <v>2170</v>
      </c>
    </row>
    <row r="676" spans="1:5" x14ac:dyDescent="0.25">
      <c r="A676" t="s">
        <v>1381</v>
      </c>
      <c r="B676" t="s">
        <v>3503</v>
      </c>
      <c r="C676" t="s">
        <v>3504</v>
      </c>
      <c r="D676" t="s">
        <v>2311</v>
      </c>
      <c r="E676" t="s">
        <v>2170</v>
      </c>
    </row>
    <row r="677" spans="1:5" x14ac:dyDescent="0.25">
      <c r="A677" t="s">
        <v>1381</v>
      </c>
      <c r="B677" t="s">
        <v>3505</v>
      </c>
      <c r="C677" t="s">
        <v>3506</v>
      </c>
      <c r="D677" t="s">
        <v>2311</v>
      </c>
      <c r="E677" t="s">
        <v>2170</v>
      </c>
    </row>
    <row r="678" spans="1:5" x14ac:dyDescent="0.25">
      <c r="A678" t="s">
        <v>1381</v>
      </c>
      <c r="B678" t="s">
        <v>3507</v>
      </c>
      <c r="C678" t="s">
        <v>3508</v>
      </c>
      <c r="D678" t="s">
        <v>2311</v>
      </c>
      <c r="E678" t="s">
        <v>2170</v>
      </c>
    </row>
    <row r="679" spans="1:5" x14ac:dyDescent="0.25">
      <c r="A679" t="s">
        <v>1381</v>
      </c>
      <c r="B679" t="s">
        <v>3509</v>
      </c>
      <c r="C679" t="s">
        <v>3510</v>
      </c>
      <c r="D679" t="s">
        <v>2311</v>
      </c>
      <c r="E679" t="s">
        <v>2170</v>
      </c>
    </row>
    <row r="680" spans="1:5" x14ac:dyDescent="0.25">
      <c r="A680" t="s">
        <v>1381</v>
      </c>
      <c r="B680" t="s">
        <v>3511</v>
      </c>
      <c r="C680" t="s">
        <v>3512</v>
      </c>
      <c r="D680" t="s">
        <v>2311</v>
      </c>
      <c r="E680" t="s">
        <v>2170</v>
      </c>
    </row>
    <row r="681" spans="1:5" x14ac:dyDescent="0.25">
      <c r="A681" t="s">
        <v>1381</v>
      </c>
      <c r="B681" t="s">
        <v>3513</v>
      </c>
      <c r="C681" t="s">
        <v>3514</v>
      </c>
      <c r="D681" t="s">
        <v>2311</v>
      </c>
      <c r="E681" t="s">
        <v>2170</v>
      </c>
    </row>
    <row r="682" spans="1:5" x14ac:dyDescent="0.25">
      <c r="A682" t="s">
        <v>1381</v>
      </c>
      <c r="B682" t="s">
        <v>3515</v>
      </c>
      <c r="C682" t="s">
        <v>3516</v>
      </c>
      <c r="D682" t="s">
        <v>2311</v>
      </c>
      <c r="E682" t="s">
        <v>2170</v>
      </c>
    </row>
    <row r="683" spans="1:5" x14ac:dyDescent="0.25">
      <c r="A683" t="s">
        <v>1381</v>
      </c>
      <c r="B683" t="s">
        <v>3517</v>
      </c>
      <c r="C683" t="s">
        <v>3518</v>
      </c>
      <c r="D683" t="s">
        <v>2311</v>
      </c>
      <c r="E683" t="s">
        <v>2170</v>
      </c>
    </row>
    <row r="684" spans="1:5" x14ac:dyDescent="0.25">
      <c r="A684" t="s">
        <v>1381</v>
      </c>
      <c r="B684" t="s">
        <v>3519</v>
      </c>
      <c r="C684" t="s">
        <v>3520</v>
      </c>
      <c r="D684" t="s">
        <v>2311</v>
      </c>
      <c r="E684" t="s">
        <v>2170</v>
      </c>
    </row>
    <row r="685" spans="1:5" x14ac:dyDescent="0.25">
      <c r="A685" t="s">
        <v>1381</v>
      </c>
      <c r="B685" t="s">
        <v>3521</v>
      </c>
      <c r="C685" t="s">
        <v>3522</v>
      </c>
      <c r="D685" t="s">
        <v>2311</v>
      </c>
      <c r="E685" t="s">
        <v>2170</v>
      </c>
    </row>
    <row r="686" spans="1:5" x14ac:dyDescent="0.25">
      <c r="A686" t="s">
        <v>1384</v>
      </c>
      <c r="B686" t="s">
        <v>3523</v>
      </c>
      <c r="C686" t="s">
        <v>3524</v>
      </c>
      <c r="D686" t="s">
        <v>2311</v>
      </c>
      <c r="E686" t="s">
        <v>2170</v>
      </c>
    </row>
    <row r="687" spans="1:5" x14ac:dyDescent="0.25">
      <c r="A687" t="s">
        <v>1384</v>
      </c>
      <c r="B687" t="s">
        <v>3525</v>
      </c>
      <c r="C687" t="s">
        <v>2796</v>
      </c>
      <c r="D687" t="s">
        <v>2311</v>
      </c>
      <c r="E687" t="s">
        <v>2170</v>
      </c>
    </row>
    <row r="688" spans="1:5" x14ac:dyDescent="0.25">
      <c r="A688" t="s">
        <v>1384</v>
      </c>
      <c r="B688" t="s">
        <v>3526</v>
      </c>
      <c r="C688" t="s">
        <v>3527</v>
      </c>
      <c r="D688" t="s">
        <v>2311</v>
      </c>
      <c r="E688" t="s">
        <v>2170</v>
      </c>
    </row>
    <row r="689" spans="1:5" x14ac:dyDescent="0.25">
      <c r="A689" t="s">
        <v>1384</v>
      </c>
      <c r="B689" t="s">
        <v>3528</v>
      </c>
      <c r="C689" t="s">
        <v>3529</v>
      </c>
      <c r="D689" t="s">
        <v>2311</v>
      </c>
      <c r="E689" t="s">
        <v>2170</v>
      </c>
    </row>
    <row r="690" spans="1:5" x14ac:dyDescent="0.25">
      <c r="A690" t="s">
        <v>1384</v>
      </c>
      <c r="B690" t="s">
        <v>3530</v>
      </c>
      <c r="C690" t="s">
        <v>3022</v>
      </c>
      <c r="D690" t="s">
        <v>2311</v>
      </c>
      <c r="E690" t="s">
        <v>2170</v>
      </c>
    </row>
    <row r="691" spans="1:5" x14ac:dyDescent="0.25">
      <c r="A691" t="s">
        <v>1384</v>
      </c>
      <c r="B691" t="s">
        <v>3531</v>
      </c>
      <c r="C691" t="s">
        <v>3532</v>
      </c>
      <c r="D691" t="s">
        <v>2311</v>
      </c>
      <c r="E691" t="s">
        <v>2170</v>
      </c>
    </row>
    <row r="692" spans="1:5" x14ac:dyDescent="0.25">
      <c r="A692" t="s">
        <v>1384</v>
      </c>
      <c r="B692" t="s">
        <v>3533</v>
      </c>
      <c r="C692" t="s">
        <v>3534</v>
      </c>
      <c r="D692" t="s">
        <v>2311</v>
      </c>
      <c r="E692" t="s">
        <v>2170</v>
      </c>
    </row>
    <row r="693" spans="1:5" x14ac:dyDescent="0.25">
      <c r="A693" t="s">
        <v>1384</v>
      </c>
      <c r="B693" t="s">
        <v>3535</v>
      </c>
      <c r="C693" t="s">
        <v>3536</v>
      </c>
      <c r="D693" t="s">
        <v>2311</v>
      </c>
      <c r="E693" t="s">
        <v>2170</v>
      </c>
    </row>
    <row r="694" spans="1:5" x14ac:dyDescent="0.25">
      <c r="A694" t="s">
        <v>1384</v>
      </c>
      <c r="B694" t="s">
        <v>3537</v>
      </c>
      <c r="C694" t="s">
        <v>3538</v>
      </c>
      <c r="D694" t="s">
        <v>2311</v>
      </c>
      <c r="E694" t="s">
        <v>2170</v>
      </c>
    </row>
    <row r="695" spans="1:5" x14ac:dyDescent="0.25">
      <c r="A695" t="s">
        <v>1384</v>
      </c>
      <c r="B695" t="s">
        <v>3539</v>
      </c>
      <c r="C695" t="s">
        <v>3540</v>
      </c>
      <c r="D695" t="s">
        <v>2311</v>
      </c>
      <c r="E695" t="s">
        <v>2170</v>
      </c>
    </row>
    <row r="696" spans="1:5" x14ac:dyDescent="0.25">
      <c r="A696" t="s">
        <v>1387</v>
      </c>
      <c r="B696" t="s">
        <v>3541</v>
      </c>
      <c r="C696" t="s">
        <v>3542</v>
      </c>
      <c r="D696" t="s">
        <v>2200</v>
      </c>
      <c r="E696" t="s">
        <v>2170</v>
      </c>
    </row>
    <row r="697" spans="1:5" x14ac:dyDescent="0.25">
      <c r="A697" t="s">
        <v>1387</v>
      </c>
      <c r="B697" t="s">
        <v>3543</v>
      </c>
      <c r="C697" t="s">
        <v>3544</v>
      </c>
      <c r="D697" t="s">
        <v>2469</v>
      </c>
      <c r="E697" t="s">
        <v>2170</v>
      </c>
    </row>
    <row r="698" spans="1:5" x14ac:dyDescent="0.25">
      <c r="A698" t="s">
        <v>1387</v>
      </c>
      <c r="B698" t="s">
        <v>3545</v>
      </c>
      <c r="C698" t="s">
        <v>3546</v>
      </c>
      <c r="D698" t="s">
        <v>2469</v>
      </c>
      <c r="E698" t="s">
        <v>2170</v>
      </c>
    </row>
    <row r="699" spans="1:5" x14ac:dyDescent="0.25">
      <c r="A699" t="s">
        <v>1387</v>
      </c>
      <c r="B699" t="s">
        <v>3547</v>
      </c>
      <c r="C699" t="s">
        <v>3548</v>
      </c>
      <c r="D699" t="s">
        <v>2200</v>
      </c>
      <c r="E699" t="s">
        <v>2170</v>
      </c>
    </row>
    <row r="700" spans="1:5" x14ac:dyDescent="0.25">
      <c r="A700" t="s">
        <v>1387</v>
      </c>
      <c r="B700" t="s">
        <v>3549</v>
      </c>
      <c r="C700" t="s">
        <v>3550</v>
      </c>
      <c r="D700" t="s">
        <v>2200</v>
      </c>
      <c r="E700" t="s">
        <v>2170</v>
      </c>
    </row>
    <row r="701" spans="1:5" x14ac:dyDescent="0.25">
      <c r="A701" t="s">
        <v>1387</v>
      </c>
      <c r="B701" t="s">
        <v>3551</v>
      </c>
      <c r="C701" t="s">
        <v>3552</v>
      </c>
      <c r="D701" t="s">
        <v>2200</v>
      </c>
      <c r="E701" t="s">
        <v>2170</v>
      </c>
    </row>
    <row r="702" spans="1:5" x14ac:dyDescent="0.25">
      <c r="A702" t="s">
        <v>1387</v>
      </c>
      <c r="B702" t="s">
        <v>3553</v>
      </c>
      <c r="C702" t="s">
        <v>3554</v>
      </c>
      <c r="D702" t="s">
        <v>3555</v>
      </c>
      <c r="E702" t="s">
        <v>2170</v>
      </c>
    </row>
    <row r="703" spans="1:5" x14ac:dyDescent="0.25">
      <c r="A703" t="s">
        <v>1387</v>
      </c>
      <c r="B703" t="s">
        <v>3556</v>
      </c>
      <c r="C703" t="s">
        <v>3557</v>
      </c>
      <c r="D703" t="s">
        <v>2200</v>
      </c>
      <c r="E703" t="s">
        <v>2170</v>
      </c>
    </row>
    <row r="704" spans="1:5" x14ac:dyDescent="0.25">
      <c r="A704" t="s">
        <v>1387</v>
      </c>
      <c r="B704" t="s">
        <v>3558</v>
      </c>
      <c r="C704" t="s">
        <v>3559</v>
      </c>
      <c r="D704" t="s">
        <v>2200</v>
      </c>
      <c r="E704" t="s">
        <v>2170</v>
      </c>
    </row>
    <row r="705" spans="1:5" x14ac:dyDescent="0.25">
      <c r="A705" t="s">
        <v>1387</v>
      </c>
      <c r="B705" t="s">
        <v>3560</v>
      </c>
      <c r="C705" t="s">
        <v>3561</v>
      </c>
      <c r="D705" t="s">
        <v>2200</v>
      </c>
      <c r="E705" t="s">
        <v>2170</v>
      </c>
    </row>
    <row r="706" spans="1:5" x14ac:dyDescent="0.25">
      <c r="A706" t="s">
        <v>1387</v>
      </c>
      <c r="B706" t="s">
        <v>3562</v>
      </c>
      <c r="C706" t="s">
        <v>3563</v>
      </c>
      <c r="D706" t="s">
        <v>2200</v>
      </c>
      <c r="E706" t="s">
        <v>2170</v>
      </c>
    </row>
    <row r="707" spans="1:5" x14ac:dyDescent="0.25">
      <c r="A707" t="s">
        <v>1387</v>
      </c>
      <c r="B707" t="s">
        <v>3564</v>
      </c>
      <c r="C707" t="s">
        <v>3565</v>
      </c>
      <c r="D707" t="s">
        <v>2200</v>
      </c>
      <c r="E707" t="s">
        <v>2170</v>
      </c>
    </row>
    <row r="708" spans="1:5" x14ac:dyDescent="0.25">
      <c r="A708" t="s">
        <v>1387</v>
      </c>
      <c r="B708" t="s">
        <v>3566</v>
      </c>
      <c r="C708" t="s">
        <v>3567</v>
      </c>
      <c r="D708" t="s">
        <v>3568</v>
      </c>
      <c r="E708" t="s">
        <v>2170</v>
      </c>
    </row>
    <row r="709" spans="1:5" x14ac:dyDescent="0.25">
      <c r="A709" t="s">
        <v>1387</v>
      </c>
      <c r="B709" t="s">
        <v>3569</v>
      </c>
      <c r="C709" t="s">
        <v>3570</v>
      </c>
      <c r="D709" t="s">
        <v>2200</v>
      </c>
      <c r="E709" t="s">
        <v>2170</v>
      </c>
    </row>
    <row r="710" spans="1:5" x14ac:dyDescent="0.25">
      <c r="A710" t="s">
        <v>1387</v>
      </c>
      <c r="B710" t="s">
        <v>3571</v>
      </c>
      <c r="C710" t="s">
        <v>3572</v>
      </c>
      <c r="D710" t="s">
        <v>2200</v>
      </c>
      <c r="E710" t="s">
        <v>2170</v>
      </c>
    </row>
    <row r="711" spans="1:5" x14ac:dyDescent="0.25">
      <c r="A711" t="s">
        <v>1387</v>
      </c>
      <c r="B711" t="s">
        <v>3573</v>
      </c>
      <c r="C711" t="s">
        <v>3574</v>
      </c>
      <c r="D711" t="s">
        <v>2200</v>
      </c>
      <c r="E711" t="s">
        <v>2170</v>
      </c>
    </row>
    <row r="712" spans="1:5" x14ac:dyDescent="0.25">
      <c r="A712" t="s">
        <v>1387</v>
      </c>
      <c r="B712" t="s">
        <v>3575</v>
      </c>
      <c r="C712" t="s">
        <v>3576</v>
      </c>
      <c r="D712" t="s">
        <v>2200</v>
      </c>
      <c r="E712" t="s">
        <v>2170</v>
      </c>
    </row>
    <row r="713" spans="1:5" x14ac:dyDescent="0.25">
      <c r="A713" t="s">
        <v>1387</v>
      </c>
      <c r="B713" t="s">
        <v>3577</v>
      </c>
      <c r="C713" t="s">
        <v>3578</v>
      </c>
      <c r="D713" t="s">
        <v>2200</v>
      </c>
      <c r="E713" t="s">
        <v>2170</v>
      </c>
    </row>
    <row r="714" spans="1:5" x14ac:dyDescent="0.25">
      <c r="A714" t="s">
        <v>1387</v>
      </c>
      <c r="B714" t="s">
        <v>3579</v>
      </c>
      <c r="C714" t="s">
        <v>3580</v>
      </c>
      <c r="D714" t="s">
        <v>2200</v>
      </c>
      <c r="E714" t="s">
        <v>2170</v>
      </c>
    </row>
    <row r="715" spans="1:5" x14ac:dyDescent="0.25">
      <c r="A715" t="s">
        <v>1387</v>
      </c>
      <c r="B715" t="s">
        <v>3581</v>
      </c>
      <c r="C715" t="s">
        <v>3582</v>
      </c>
      <c r="D715" t="s">
        <v>3568</v>
      </c>
      <c r="E715" t="s">
        <v>2170</v>
      </c>
    </row>
    <row r="716" spans="1:5" x14ac:dyDescent="0.25">
      <c r="A716" t="s">
        <v>1387</v>
      </c>
      <c r="B716" t="s">
        <v>3583</v>
      </c>
      <c r="C716" t="s">
        <v>3584</v>
      </c>
      <c r="D716" t="s">
        <v>3555</v>
      </c>
      <c r="E716" t="s">
        <v>2170</v>
      </c>
    </row>
    <row r="717" spans="1:5" x14ac:dyDescent="0.25">
      <c r="A717" t="s">
        <v>1387</v>
      </c>
      <c r="B717" t="s">
        <v>3585</v>
      </c>
      <c r="C717" t="s">
        <v>3586</v>
      </c>
      <c r="D717" t="s">
        <v>3555</v>
      </c>
      <c r="E717" t="s">
        <v>2170</v>
      </c>
    </row>
    <row r="718" spans="1:5" x14ac:dyDescent="0.25">
      <c r="A718" t="s">
        <v>1387</v>
      </c>
      <c r="B718" t="s">
        <v>3587</v>
      </c>
      <c r="C718" t="s">
        <v>3588</v>
      </c>
      <c r="D718" t="s">
        <v>2200</v>
      </c>
      <c r="E718" t="s">
        <v>2170</v>
      </c>
    </row>
    <row r="719" spans="1:5" x14ac:dyDescent="0.25">
      <c r="A719" t="s">
        <v>1387</v>
      </c>
      <c r="B719" t="s">
        <v>3589</v>
      </c>
      <c r="C719" t="s">
        <v>3590</v>
      </c>
      <c r="D719" t="s">
        <v>2200</v>
      </c>
      <c r="E719" t="s">
        <v>2170</v>
      </c>
    </row>
    <row r="720" spans="1:5" x14ac:dyDescent="0.25">
      <c r="A720" t="s">
        <v>1387</v>
      </c>
      <c r="B720" t="s">
        <v>3591</v>
      </c>
      <c r="C720" t="s">
        <v>3592</v>
      </c>
      <c r="D720" t="s">
        <v>2200</v>
      </c>
      <c r="E720" t="s">
        <v>2170</v>
      </c>
    </row>
    <row r="721" spans="1:5" x14ac:dyDescent="0.25">
      <c r="A721" t="s">
        <v>1387</v>
      </c>
      <c r="B721" t="s">
        <v>3593</v>
      </c>
      <c r="C721" t="s">
        <v>3594</v>
      </c>
      <c r="D721" t="s">
        <v>2469</v>
      </c>
      <c r="E721" t="s">
        <v>2170</v>
      </c>
    </row>
    <row r="722" spans="1:5" x14ac:dyDescent="0.25">
      <c r="A722" t="s">
        <v>1387</v>
      </c>
      <c r="B722" t="s">
        <v>3595</v>
      </c>
      <c r="C722" t="s">
        <v>3596</v>
      </c>
      <c r="D722" t="s">
        <v>2200</v>
      </c>
      <c r="E722" t="s">
        <v>2170</v>
      </c>
    </row>
    <row r="723" spans="1:5" x14ac:dyDescent="0.25">
      <c r="A723" t="s">
        <v>1387</v>
      </c>
      <c r="B723" t="s">
        <v>3597</v>
      </c>
      <c r="C723" t="s">
        <v>3598</v>
      </c>
      <c r="D723" t="s">
        <v>2200</v>
      </c>
      <c r="E723" t="s">
        <v>2170</v>
      </c>
    </row>
    <row r="724" spans="1:5" x14ac:dyDescent="0.25">
      <c r="A724" t="s">
        <v>1387</v>
      </c>
      <c r="B724" t="s">
        <v>3599</v>
      </c>
      <c r="C724" t="s">
        <v>3600</v>
      </c>
      <c r="D724" t="s">
        <v>2200</v>
      </c>
      <c r="E724" t="s">
        <v>2170</v>
      </c>
    </row>
    <row r="725" spans="1:5" x14ac:dyDescent="0.25">
      <c r="A725" t="s">
        <v>1387</v>
      </c>
      <c r="B725" t="s">
        <v>3601</v>
      </c>
      <c r="C725" t="s">
        <v>3602</v>
      </c>
      <c r="D725" t="s">
        <v>2469</v>
      </c>
      <c r="E725" t="s">
        <v>2170</v>
      </c>
    </row>
    <row r="726" spans="1:5" x14ac:dyDescent="0.25">
      <c r="A726" t="s">
        <v>1387</v>
      </c>
      <c r="B726" t="s">
        <v>3603</v>
      </c>
      <c r="C726" t="s">
        <v>3604</v>
      </c>
      <c r="D726" t="s">
        <v>3555</v>
      </c>
      <c r="E726" t="s">
        <v>2170</v>
      </c>
    </row>
    <row r="727" spans="1:5" x14ac:dyDescent="0.25">
      <c r="A727" t="s">
        <v>1387</v>
      </c>
      <c r="B727" t="s">
        <v>3605</v>
      </c>
      <c r="C727" t="s">
        <v>3606</v>
      </c>
      <c r="D727" t="s">
        <v>3555</v>
      </c>
      <c r="E727" t="s">
        <v>2170</v>
      </c>
    </row>
    <row r="728" spans="1:5" x14ac:dyDescent="0.25">
      <c r="A728" t="s">
        <v>1387</v>
      </c>
      <c r="B728" t="s">
        <v>3607</v>
      </c>
      <c r="C728" t="s">
        <v>3608</v>
      </c>
      <c r="D728" t="s">
        <v>2200</v>
      </c>
      <c r="E728" t="s">
        <v>2170</v>
      </c>
    </row>
    <row r="729" spans="1:5" x14ac:dyDescent="0.25">
      <c r="A729" t="s">
        <v>1387</v>
      </c>
      <c r="B729" t="s">
        <v>3609</v>
      </c>
      <c r="C729" t="s">
        <v>3610</v>
      </c>
      <c r="D729" t="s">
        <v>2200</v>
      </c>
      <c r="E729" t="s">
        <v>2170</v>
      </c>
    </row>
    <row r="730" spans="1:5" x14ac:dyDescent="0.25">
      <c r="A730" t="s">
        <v>1390</v>
      </c>
      <c r="B730" t="s">
        <v>3611</v>
      </c>
      <c r="C730" t="s">
        <v>3069</v>
      </c>
      <c r="D730" t="s">
        <v>3008</v>
      </c>
      <c r="E730" t="s">
        <v>2170</v>
      </c>
    </row>
    <row r="731" spans="1:5" x14ac:dyDescent="0.25">
      <c r="A731" t="s">
        <v>1390</v>
      </c>
      <c r="B731" t="s">
        <v>3612</v>
      </c>
      <c r="C731" t="s">
        <v>3613</v>
      </c>
      <c r="D731" t="s">
        <v>3008</v>
      </c>
      <c r="E731" t="s">
        <v>2170</v>
      </c>
    </row>
    <row r="732" spans="1:5" x14ac:dyDescent="0.25">
      <c r="A732" t="s">
        <v>1390</v>
      </c>
      <c r="B732" t="s">
        <v>3614</v>
      </c>
      <c r="C732" t="s">
        <v>3615</v>
      </c>
      <c r="D732" t="s">
        <v>3008</v>
      </c>
      <c r="E732" t="s">
        <v>2170</v>
      </c>
    </row>
    <row r="733" spans="1:5" x14ac:dyDescent="0.25">
      <c r="A733" t="s">
        <v>1390</v>
      </c>
      <c r="B733" t="s">
        <v>3616</v>
      </c>
      <c r="C733" t="s">
        <v>3617</v>
      </c>
      <c r="D733" t="s">
        <v>3008</v>
      </c>
      <c r="E733" t="s">
        <v>2170</v>
      </c>
    </row>
    <row r="734" spans="1:5" x14ac:dyDescent="0.25">
      <c r="A734" t="s">
        <v>1390</v>
      </c>
      <c r="B734" t="s">
        <v>3618</v>
      </c>
      <c r="C734" t="s">
        <v>3619</v>
      </c>
      <c r="D734" t="s">
        <v>3008</v>
      </c>
      <c r="E734" t="s">
        <v>2170</v>
      </c>
    </row>
    <row r="735" spans="1:5" x14ac:dyDescent="0.25">
      <c r="A735" t="s">
        <v>1390</v>
      </c>
      <c r="B735" t="s">
        <v>3620</v>
      </c>
      <c r="C735" t="s">
        <v>3621</v>
      </c>
      <c r="D735" t="s">
        <v>3008</v>
      </c>
      <c r="E735" t="s">
        <v>2170</v>
      </c>
    </row>
    <row r="736" spans="1:5" x14ac:dyDescent="0.25">
      <c r="A736" t="s">
        <v>1390</v>
      </c>
      <c r="B736" t="s">
        <v>3622</v>
      </c>
      <c r="C736" t="s">
        <v>3623</v>
      </c>
      <c r="D736" t="s">
        <v>3008</v>
      </c>
      <c r="E736" t="s">
        <v>2170</v>
      </c>
    </row>
    <row r="737" spans="1:5" x14ac:dyDescent="0.25">
      <c r="A737" t="s">
        <v>1390</v>
      </c>
      <c r="B737" t="s">
        <v>3624</v>
      </c>
      <c r="C737" t="s">
        <v>3625</v>
      </c>
      <c r="D737" t="s">
        <v>3008</v>
      </c>
      <c r="E737" t="s">
        <v>2170</v>
      </c>
    </row>
    <row r="738" spans="1:5" x14ac:dyDescent="0.25">
      <c r="A738" t="s">
        <v>1390</v>
      </c>
      <c r="B738" t="s">
        <v>3626</v>
      </c>
      <c r="C738" t="s">
        <v>3627</v>
      </c>
      <c r="D738" t="s">
        <v>3008</v>
      </c>
      <c r="E738" t="s">
        <v>2170</v>
      </c>
    </row>
    <row r="739" spans="1:5" x14ac:dyDescent="0.25">
      <c r="A739" t="s">
        <v>1390</v>
      </c>
      <c r="B739" t="s">
        <v>3628</v>
      </c>
      <c r="C739" t="s">
        <v>3629</v>
      </c>
      <c r="D739" t="s">
        <v>3008</v>
      </c>
      <c r="E739" t="s">
        <v>2170</v>
      </c>
    </row>
    <row r="740" spans="1:5" x14ac:dyDescent="0.25">
      <c r="A740" t="s">
        <v>1390</v>
      </c>
      <c r="B740" t="s">
        <v>3630</v>
      </c>
      <c r="C740" t="s">
        <v>3631</v>
      </c>
      <c r="D740" t="s">
        <v>3008</v>
      </c>
      <c r="E740" t="s">
        <v>2170</v>
      </c>
    </row>
    <row r="741" spans="1:5" x14ac:dyDescent="0.25">
      <c r="A741" t="s">
        <v>1390</v>
      </c>
      <c r="B741" t="s">
        <v>3632</v>
      </c>
      <c r="C741" t="s">
        <v>2378</v>
      </c>
      <c r="D741" t="s">
        <v>3008</v>
      </c>
      <c r="E741" t="s">
        <v>2170</v>
      </c>
    </row>
    <row r="742" spans="1:5" x14ac:dyDescent="0.25">
      <c r="A742" t="s">
        <v>1390</v>
      </c>
      <c r="B742" t="s">
        <v>3633</v>
      </c>
      <c r="C742" t="s">
        <v>3634</v>
      </c>
      <c r="D742" t="s">
        <v>3008</v>
      </c>
      <c r="E742" t="s">
        <v>2170</v>
      </c>
    </row>
    <row r="743" spans="1:5" x14ac:dyDescent="0.25">
      <c r="A743" t="s">
        <v>1390</v>
      </c>
      <c r="B743" t="s">
        <v>3635</v>
      </c>
      <c r="C743" t="s">
        <v>3636</v>
      </c>
      <c r="D743" t="s">
        <v>3008</v>
      </c>
      <c r="E743" t="s">
        <v>2170</v>
      </c>
    </row>
    <row r="744" spans="1:5" x14ac:dyDescent="0.25">
      <c r="A744" t="s">
        <v>1390</v>
      </c>
      <c r="B744" t="s">
        <v>3637</v>
      </c>
      <c r="C744" t="s">
        <v>3638</v>
      </c>
      <c r="D744" t="s">
        <v>3639</v>
      </c>
      <c r="E744" t="s">
        <v>2170</v>
      </c>
    </row>
    <row r="745" spans="1:5" x14ac:dyDescent="0.25">
      <c r="A745" t="s">
        <v>1390</v>
      </c>
      <c r="B745" t="s">
        <v>3640</v>
      </c>
      <c r="C745" t="s">
        <v>3641</v>
      </c>
      <c r="D745" t="s">
        <v>3008</v>
      </c>
      <c r="E745" t="s">
        <v>2170</v>
      </c>
    </row>
    <row r="746" spans="1:5" x14ac:dyDescent="0.25">
      <c r="A746" t="s">
        <v>1390</v>
      </c>
      <c r="B746" t="s">
        <v>3642</v>
      </c>
      <c r="C746" t="s">
        <v>3643</v>
      </c>
      <c r="D746" t="s">
        <v>3008</v>
      </c>
      <c r="E746" t="s">
        <v>2170</v>
      </c>
    </row>
    <row r="747" spans="1:5" x14ac:dyDescent="0.25">
      <c r="A747" t="s">
        <v>1390</v>
      </c>
      <c r="B747" t="s">
        <v>3644</v>
      </c>
      <c r="C747" t="s">
        <v>3645</v>
      </c>
      <c r="D747" t="s">
        <v>3008</v>
      </c>
      <c r="E747" t="s">
        <v>2170</v>
      </c>
    </row>
    <row r="748" spans="1:5" x14ac:dyDescent="0.25">
      <c r="A748" t="s">
        <v>1390</v>
      </c>
      <c r="B748" t="s">
        <v>3646</v>
      </c>
      <c r="C748" t="s">
        <v>3647</v>
      </c>
      <c r="D748" t="s">
        <v>3008</v>
      </c>
      <c r="E748" t="s">
        <v>2170</v>
      </c>
    </row>
    <row r="749" spans="1:5" x14ac:dyDescent="0.25">
      <c r="A749" t="s">
        <v>1390</v>
      </c>
      <c r="B749" t="s">
        <v>3648</v>
      </c>
      <c r="C749" t="s">
        <v>3649</v>
      </c>
      <c r="D749" t="s">
        <v>3008</v>
      </c>
      <c r="E749" t="s">
        <v>2170</v>
      </c>
    </row>
    <row r="750" spans="1:5" x14ac:dyDescent="0.25">
      <c r="A750" t="s">
        <v>1390</v>
      </c>
      <c r="B750" t="s">
        <v>3650</v>
      </c>
      <c r="C750" t="s">
        <v>3651</v>
      </c>
      <c r="D750" t="s">
        <v>3008</v>
      </c>
      <c r="E750" t="s">
        <v>2170</v>
      </c>
    </row>
    <row r="751" spans="1:5" x14ac:dyDescent="0.25">
      <c r="A751" t="s">
        <v>1390</v>
      </c>
      <c r="B751" t="s">
        <v>3652</v>
      </c>
      <c r="C751" t="s">
        <v>3653</v>
      </c>
      <c r="D751" t="s">
        <v>3008</v>
      </c>
      <c r="E751" t="s">
        <v>2170</v>
      </c>
    </row>
    <row r="752" spans="1:5" x14ac:dyDescent="0.25">
      <c r="A752" t="s">
        <v>1390</v>
      </c>
      <c r="B752" t="s">
        <v>3654</v>
      </c>
      <c r="C752" t="s">
        <v>3655</v>
      </c>
      <c r="D752" t="s">
        <v>3008</v>
      </c>
      <c r="E752" t="s">
        <v>2170</v>
      </c>
    </row>
    <row r="753" spans="1:5" x14ac:dyDescent="0.25">
      <c r="A753" t="s">
        <v>1390</v>
      </c>
      <c r="B753" t="s">
        <v>3656</v>
      </c>
      <c r="C753" t="s">
        <v>3657</v>
      </c>
      <c r="D753" t="s">
        <v>3008</v>
      </c>
      <c r="E753" t="s">
        <v>2170</v>
      </c>
    </row>
    <row r="754" spans="1:5" x14ac:dyDescent="0.25">
      <c r="A754" t="s">
        <v>1390</v>
      </c>
      <c r="B754" t="s">
        <v>3658</v>
      </c>
      <c r="C754" t="s">
        <v>3659</v>
      </c>
      <c r="D754" t="s">
        <v>3008</v>
      </c>
      <c r="E754" t="s">
        <v>2170</v>
      </c>
    </row>
    <row r="755" spans="1:5" x14ac:dyDescent="0.25">
      <c r="A755" t="s">
        <v>1390</v>
      </c>
      <c r="B755" t="s">
        <v>3660</v>
      </c>
      <c r="C755" t="s">
        <v>3661</v>
      </c>
      <c r="D755" t="s">
        <v>3008</v>
      </c>
      <c r="E755" t="s">
        <v>2170</v>
      </c>
    </row>
    <row r="756" spans="1:5" x14ac:dyDescent="0.25">
      <c r="A756" t="s">
        <v>1390</v>
      </c>
      <c r="B756" t="s">
        <v>3662</v>
      </c>
      <c r="C756" t="s">
        <v>3663</v>
      </c>
      <c r="D756" t="s">
        <v>3008</v>
      </c>
      <c r="E756" t="s">
        <v>2170</v>
      </c>
    </row>
    <row r="757" spans="1:5" x14ac:dyDescent="0.25">
      <c r="A757" t="s">
        <v>1390</v>
      </c>
      <c r="B757" t="s">
        <v>3664</v>
      </c>
      <c r="C757" t="s">
        <v>3665</v>
      </c>
      <c r="D757" t="s">
        <v>3008</v>
      </c>
      <c r="E757" t="s">
        <v>2170</v>
      </c>
    </row>
    <row r="758" spans="1:5" x14ac:dyDescent="0.25">
      <c r="A758" t="s">
        <v>1390</v>
      </c>
      <c r="B758" t="s">
        <v>3666</v>
      </c>
      <c r="C758" t="s">
        <v>3667</v>
      </c>
      <c r="D758" t="s">
        <v>3008</v>
      </c>
      <c r="E758" t="s">
        <v>2170</v>
      </c>
    </row>
    <row r="759" spans="1:5" x14ac:dyDescent="0.25">
      <c r="A759" t="s">
        <v>1390</v>
      </c>
      <c r="B759" t="s">
        <v>3668</v>
      </c>
      <c r="C759" t="s">
        <v>3669</v>
      </c>
      <c r="D759" t="s">
        <v>3008</v>
      </c>
      <c r="E759" t="s">
        <v>2170</v>
      </c>
    </row>
    <row r="760" spans="1:5" x14ac:dyDescent="0.25">
      <c r="A760" t="s">
        <v>1390</v>
      </c>
      <c r="B760" t="s">
        <v>3670</v>
      </c>
      <c r="C760" t="s">
        <v>3671</v>
      </c>
      <c r="D760" t="s">
        <v>3008</v>
      </c>
      <c r="E760" t="s">
        <v>2170</v>
      </c>
    </row>
    <row r="761" spans="1:5" x14ac:dyDescent="0.25">
      <c r="A761" t="s">
        <v>1390</v>
      </c>
      <c r="B761" t="s">
        <v>3672</v>
      </c>
      <c r="C761" t="s">
        <v>3673</v>
      </c>
      <c r="D761" t="s">
        <v>3008</v>
      </c>
      <c r="E761" t="s">
        <v>2170</v>
      </c>
    </row>
    <row r="762" spans="1:5" x14ac:dyDescent="0.25">
      <c r="A762" t="s">
        <v>1390</v>
      </c>
      <c r="B762" t="s">
        <v>3674</v>
      </c>
      <c r="C762" t="s">
        <v>3675</v>
      </c>
      <c r="D762" t="s">
        <v>3008</v>
      </c>
      <c r="E762" t="s">
        <v>2170</v>
      </c>
    </row>
    <row r="763" spans="1:5" x14ac:dyDescent="0.25">
      <c r="A763" t="s">
        <v>1393</v>
      </c>
      <c r="B763" t="s">
        <v>3676</v>
      </c>
      <c r="C763" t="s">
        <v>3677</v>
      </c>
      <c r="D763" t="s">
        <v>2200</v>
      </c>
      <c r="E763" t="s">
        <v>2170</v>
      </c>
    </row>
    <row r="764" spans="1:5" x14ac:dyDescent="0.25">
      <c r="A764" t="s">
        <v>1393</v>
      </c>
      <c r="B764" t="s">
        <v>3678</v>
      </c>
      <c r="C764" t="s">
        <v>3679</v>
      </c>
      <c r="D764" t="s">
        <v>2200</v>
      </c>
      <c r="E764" t="s">
        <v>2170</v>
      </c>
    </row>
    <row r="765" spans="1:5" x14ac:dyDescent="0.25">
      <c r="A765" t="s">
        <v>1393</v>
      </c>
      <c r="B765" t="s">
        <v>3680</v>
      </c>
      <c r="C765" t="s">
        <v>3681</v>
      </c>
      <c r="D765" t="s">
        <v>2200</v>
      </c>
      <c r="E765" t="s">
        <v>2170</v>
      </c>
    </row>
    <row r="766" spans="1:5" x14ac:dyDescent="0.25">
      <c r="A766" t="s">
        <v>1393</v>
      </c>
      <c r="B766" t="s">
        <v>3682</v>
      </c>
      <c r="C766" t="s">
        <v>3683</v>
      </c>
      <c r="D766" t="s">
        <v>2200</v>
      </c>
      <c r="E766" t="s">
        <v>2170</v>
      </c>
    </row>
    <row r="767" spans="1:5" x14ac:dyDescent="0.25">
      <c r="A767" t="s">
        <v>1393</v>
      </c>
      <c r="B767" t="s">
        <v>3684</v>
      </c>
      <c r="C767" t="s">
        <v>3685</v>
      </c>
      <c r="D767" t="s">
        <v>2200</v>
      </c>
      <c r="E767" t="s">
        <v>2170</v>
      </c>
    </row>
    <row r="768" spans="1:5" x14ac:dyDescent="0.25">
      <c r="A768" t="s">
        <v>1393</v>
      </c>
      <c r="B768" t="s">
        <v>3686</v>
      </c>
      <c r="C768" t="s">
        <v>3687</v>
      </c>
      <c r="D768" t="s">
        <v>2200</v>
      </c>
      <c r="E768" t="s">
        <v>2170</v>
      </c>
    </row>
    <row r="769" spans="1:5" x14ac:dyDescent="0.25">
      <c r="A769" t="s">
        <v>1393</v>
      </c>
      <c r="B769" t="s">
        <v>3688</v>
      </c>
      <c r="C769" t="s">
        <v>1392</v>
      </c>
      <c r="D769" t="s">
        <v>2200</v>
      </c>
      <c r="E769" t="s">
        <v>2170</v>
      </c>
    </row>
    <row r="770" spans="1:5" x14ac:dyDescent="0.25">
      <c r="A770" t="s">
        <v>1396</v>
      </c>
      <c r="B770" t="s">
        <v>3689</v>
      </c>
      <c r="C770" t="s">
        <v>3690</v>
      </c>
      <c r="D770" t="s">
        <v>2200</v>
      </c>
      <c r="E770" t="s">
        <v>2170</v>
      </c>
    </row>
    <row r="771" spans="1:5" x14ac:dyDescent="0.25">
      <c r="A771" t="s">
        <v>1396</v>
      </c>
      <c r="B771" t="s">
        <v>3691</v>
      </c>
      <c r="C771" t="s">
        <v>3692</v>
      </c>
      <c r="D771" t="s">
        <v>2200</v>
      </c>
      <c r="E771" t="s">
        <v>2170</v>
      </c>
    </row>
    <row r="772" spans="1:5" x14ac:dyDescent="0.25">
      <c r="A772" t="s">
        <v>1396</v>
      </c>
      <c r="B772" t="s">
        <v>3693</v>
      </c>
      <c r="C772" t="s">
        <v>3694</v>
      </c>
      <c r="D772" t="s">
        <v>2200</v>
      </c>
      <c r="E772" t="s">
        <v>2170</v>
      </c>
    </row>
    <row r="773" spans="1:5" x14ac:dyDescent="0.25">
      <c r="A773" t="s">
        <v>1396</v>
      </c>
      <c r="B773" t="s">
        <v>3695</v>
      </c>
      <c r="C773" t="s">
        <v>3696</v>
      </c>
      <c r="D773" t="s">
        <v>2200</v>
      </c>
      <c r="E773" t="s">
        <v>2170</v>
      </c>
    </row>
    <row r="774" spans="1:5" x14ac:dyDescent="0.25">
      <c r="A774" t="s">
        <v>1396</v>
      </c>
      <c r="B774" t="s">
        <v>3697</v>
      </c>
      <c r="C774" t="s">
        <v>3698</v>
      </c>
      <c r="D774" t="s">
        <v>2200</v>
      </c>
      <c r="E774" t="s">
        <v>2170</v>
      </c>
    </row>
    <row r="775" spans="1:5" x14ac:dyDescent="0.25">
      <c r="A775" t="s">
        <v>1396</v>
      </c>
      <c r="B775" t="s">
        <v>3699</v>
      </c>
      <c r="C775" t="s">
        <v>3700</v>
      </c>
      <c r="D775" t="s">
        <v>2200</v>
      </c>
      <c r="E775" t="s">
        <v>2170</v>
      </c>
    </row>
    <row r="776" spans="1:5" x14ac:dyDescent="0.25">
      <c r="A776" t="s">
        <v>1396</v>
      </c>
      <c r="B776" t="s">
        <v>3701</v>
      </c>
      <c r="C776" t="s">
        <v>3702</v>
      </c>
      <c r="D776" t="s">
        <v>2200</v>
      </c>
      <c r="E776" t="s">
        <v>2170</v>
      </c>
    </row>
    <row r="777" spans="1:5" x14ac:dyDescent="0.25">
      <c r="A777" t="s">
        <v>1396</v>
      </c>
      <c r="B777" t="s">
        <v>3703</v>
      </c>
      <c r="C777" t="s">
        <v>3704</v>
      </c>
      <c r="D777" t="s">
        <v>2200</v>
      </c>
      <c r="E777" t="s">
        <v>2170</v>
      </c>
    </row>
    <row r="778" spans="1:5" x14ac:dyDescent="0.25">
      <c r="A778" t="s">
        <v>1396</v>
      </c>
      <c r="B778" t="s">
        <v>3705</v>
      </c>
      <c r="C778" t="s">
        <v>3706</v>
      </c>
      <c r="D778" t="s">
        <v>2200</v>
      </c>
      <c r="E778" t="s">
        <v>2170</v>
      </c>
    </row>
    <row r="779" spans="1:5" x14ac:dyDescent="0.25">
      <c r="A779" t="s">
        <v>1396</v>
      </c>
      <c r="B779" t="s">
        <v>3707</v>
      </c>
      <c r="C779" t="s">
        <v>3708</v>
      </c>
      <c r="D779" t="s">
        <v>2200</v>
      </c>
      <c r="E779" t="s">
        <v>2170</v>
      </c>
    </row>
    <row r="780" spans="1:5" x14ac:dyDescent="0.25">
      <c r="A780" t="s">
        <v>1396</v>
      </c>
      <c r="B780" t="s">
        <v>3709</v>
      </c>
      <c r="C780" t="s">
        <v>3710</v>
      </c>
      <c r="D780" t="s">
        <v>2200</v>
      </c>
      <c r="E780" t="s">
        <v>2170</v>
      </c>
    </row>
    <row r="781" spans="1:5" x14ac:dyDescent="0.25">
      <c r="A781" t="s">
        <v>1396</v>
      </c>
      <c r="B781" t="s">
        <v>3711</v>
      </c>
      <c r="C781" t="s">
        <v>3712</v>
      </c>
      <c r="D781" t="s">
        <v>2200</v>
      </c>
      <c r="E781" t="s">
        <v>2170</v>
      </c>
    </row>
    <row r="782" spans="1:5" x14ac:dyDescent="0.25">
      <c r="A782" t="s">
        <v>1396</v>
      </c>
      <c r="B782" t="s">
        <v>3713</v>
      </c>
      <c r="C782" t="s">
        <v>3714</v>
      </c>
      <c r="D782" t="s">
        <v>2200</v>
      </c>
      <c r="E782" t="s">
        <v>2170</v>
      </c>
    </row>
    <row r="783" spans="1:5" x14ac:dyDescent="0.25">
      <c r="A783" t="s">
        <v>1396</v>
      </c>
      <c r="B783" t="s">
        <v>3715</v>
      </c>
      <c r="C783" t="s">
        <v>3716</v>
      </c>
      <c r="D783" t="s">
        <v>2200</v>
      </c>
      <c r="E783" t="s">
        <v>2170</v>
      </c>
    </row>
    <row r="784" spans="1:5" x14ac:dyDescent="0.25">
      <c r="A784" t="s">
        <v>1396</v>
      </c>
      <c r="B784" t="s">
        <v>3717</v>
      </c>
      <c r="C784" t="s">
        <v>3718</v>
      </c>
      <c r="D784" t="s">
        <v>2200</v>
      </c>
      <c r="E784" t="s">
        <v>2170</v>
      </c>
    </row>
    <row r="785" spans="1:5" x14ac:dyDescent="0.25">
      <c r="A785" t="s">
        <v>1396</v>
      </c>
      <c r="B785" t="s">
        <v>3719</v>
      </c>
      <c r="C785" t="s">
        <v>3720</v>
      </c>
      <c r="D785" t="s">
        <v>3057</v>
      </c>
      <c r="E785" t="s">
        <v>2170</v>
      </c>
    </row>
    <row r="786" spans="1:5" x14ac:dyDescent="0.25">
      <c r="A786" t="s">
        <v>1399</v>
      </c>
      <c r="B786" t="s">
        <v>3721</v>
      </c>
      <c r="C786" t="s">
        <v>3722</v>
      </c>
      <c r="D786" t="s">
        <v>3723</v>
      </c>
      <c r="E786" t="s">
        <v>2170</v>
      </c>
    </row>
    <row r="787" spans="1:5" x14ac:dyDescent="0.25">
      <c r="A787" t="s">
        <v>1399</v>
      </c>
      <c r="B787" t="s">
        <v>3724</v>
      </c>
      <c r="C787" t="s">
        <v>3725</v>
      </c>
      <c r="D787" t="s">
        <v>3723</v>
      </c>
      <c r="E787" t="s">
        <v>2170</v>
      </c>
    </row>
    <row r="788" spans="1:5" x14ac:dyDescent="0.25">
      <c r="A788" t="s">
        <v>1399</v>
      </c>
      <c r="B788" t="s">
        <v>3726</v>
      </c>
      <c r="C788" t="s">
        <v>3727</v>
      </c>
      <c r="D788" t="s">
        <v>2469</v>
      </c>
      <c r="E788" t="s">
        <v>3721</v>
      </c>
    </row>
    <row r="789" spans="1:5" x14ac:dyDescent="0.25">
      <c r="A789" t="s">
        <v>1399</v>
      </c>
      <c r="B789" t="s">
        <v>3728</v>
      </c>
      <c r="C789" t="s">
        <v>3729</v>
      </c>
      <c r="D789" t="s">
        <v>2469</v>
      </c>
      <c r="E789" t="s">
        <v>3724</v>
      </c>
    </row>
    <row r="790" spans="1:5" x14ac:dyDescent="0.25">
      <c r="A790" t="s">
        <v>1399</v>
      </c>
      <c r="B790" t="s">
        <v>3730</v>
      </c>
      <c r="C790" t="s">
        <v>3731</v>
      </c>
      <c r="D790" t="s">
        <v>2469</v>
      </c>
      <c r="E790" t="s">
        <v>3724</v>
      </c>
    </row>
    <row r="791" spans="1:5" x14ac:dyDescent="0.25">
      <c r="A791" t="s">
        <v>1399</v>
      </c>
      <c r="B791" t="s">
        <v>3732</v>
      </c>
      <c r="C791" t="s">
        <v>3733</v>
      </c>
      <c r="D791" t="s">
        <v>2469</v>
      </c>
      <c r="E791" t="s">
        <v>3724</v>
      </c>
    </row>
    <row r="792" spans="1:5" x14ac:dyDescent="0.25">
      <c r="A792" t="s">
        <v>1399</v>
      </c>
      <c r="B792" t="s">
        <v>3734</v>
      </c>
      <c r="C792" t="s">
        <v>3735</v>
      </c>
      <c r="D792" t="s">
        <v>2469</v>
      </c>
      <c r="E792" t="s">
        <v>3721</v>
      </c>
    </row>
    <row r="793" spans="1:5" x14ac:dyDescent="0.25">
      <c r="A793" t="s">
        <v>1399</v>
      </c>
      <c r="B793" t="s">
        <v>3736</v>
      </c>
      <c r="C793" t="s">
        <v>3737</v>
      </c>
      <c r="D793" t="s">
        <v>2469</v>
      </c>
      <c r="E793" t="s">
        <v>3721</v>
      </c>
    </row>
    <row r="794" spans="1:5" x14ac:dyDescent="0.25">
      <c r="A794" t="s">
        <v>1399</v>
      </c>
      <c r="B794" t="s">
        <v>3738</v>
      </c>
      <c r="C794" t="s">
        <v>1398</v>
      </c>
      <c r="D794" t="s">
        <v>2469</v>
      </c>
      <c r="E794" t="s">
        <v>3724</v>
      </c>
    </row>
    <row r="795" spans="1:5" x14ac:dyDescent="0.25">
      <c r="A795" t="s">
        <v>1399</v>
      </c>
      <c r="B795" t="s">
        <v>3739</v>
      </c>
      <c r="C795" t="s">
        <v>3740</v>
      </c>
      <c r="D795" t="s">
        <v>2469</v>
      </c>
      <c r="E795" t="s">
        <v>3721</v>
      </c>
    </row>
    <row r="796" spans="1:5" x14ac:dyDescent="0.25">
      <c r="A796" t="s">
        <v>1399</v>
      </c>
      <c r="B796" t="s">
        <v>3741</v>
      </c>
      <c r="C796" t="s">
        <v>3742</v>
      </c>
      <c r="D796" t="s">
        <v>2469</v>
      </c>
      <c r="E796" t="s">
        <v>3721</v>
      </c>
    </row>
    <row r="797" spans="1:5" x14ac:dyDescent="0.25">
      <c r="A797" t="s">
        <v>1399</v>
      </c>
      <c r="B797" t="s">
        <v>3743</v>
      </c>
      <c r="C797" t="s">
        <v>3744</v>
      </c>
      <c r="D797" t="s">
        <v>2469</v>
      </c>
      <c r="E797" t="s">
        <v>3724</v>
      </c>
    </row>
    <row r="798" spans="1:5" x14ac:dyDescent="0.25">
      <c r="A798" t="s">
        <v>1399</v>
      </c>
      <c r="B798" t="s">
        <v>3745</v>
      </c>
      <c r="C798" t="s">
        <v>3746</v>
      </c>
      <c r="D798" t="s">
        <v>2469</v>
      </c>
      <c r="E798" t="s">
        <v>3721</v>
      </c>
    </row>
    <row r="799" spans="1:5" x14ac:dyDescent="0.25">
      <c r="A799" t="s">
        <v>1399</v>
      </c>
      <c r="B799" t="s">
        <v>3747</v>
      </c>
      <c r="C799" t="s">
        <v>3110</v>
      </c>
      <c r="D799" t="s">
        <v>2469</v>
      </c>
      <c r="E799" t="s">
        <v>3724</v>
      </c>
    </row>
    <row r="800" spans="1:5" x14ac:dyDescent="0.25">
      <c r="A800" t="s">
        <v>1399</v>
      </c>
      <c r="B800" t="s">
        <v>3748</v>
      </c>
      <c r="C800" t="s">
        <v>3749</v>
      </c>
      <c r="D800" t="s">
        <v>2469</v>
      </c>
      <c r="E800" t="s">
        <v>3724</v>
      </c>
    </row>
    <row r="801" spans="1:5" x14ac:dyDescent="0.25">
      <c r="A801" t="s">
        <v>1399</v>
      </c>
      <c r="B801" t="s">
        <v>3750</v>
      </c>
      <c r="C801" t="s">
        <v>2405</v>
      </c>
      <c r="D801" t="s">
        <v>2469</v>
      </c>
      <c r="E801" t="s">
        <v>3724</v>
      </c>
    </row>
    <row r="802" spans="1:5" x14ac:dyDescent="0.25">
      <c r="A802" t="s">
        <v>1399</v>
      </c>
      <c r="B802" t="s">
        <v>3751</v>
      </c>
      <c r="C802" t="s">
        <v>3752</v>
      </c>
      <c r="D802" t="s">
        <v>2469</v>
      </c>
      <c r="E802" t="s">
        <v>3724</v>
      </c>
    </row>
    <row r="803" spans="1:5" x14ac:dyDescent="0.25">
      <c r="A803" t="s">
        <v>1399</v>
      </c>
      <c r="B803" t="s">
        <v>3753</v>
      </c>
      <c r="C803" t="s">
        <v>3754</v>
      </c>
      <c r="D803" t="s">
        <v>2469</v>
      </c>
      <c r="E803" t="s">
        <v>3724</v>
      </c>
    </row>
    <row r="804" spans="1:5" x14ac:dyDescent="0.25">
      <c r="A804" t="s">
        <v>1399</v>
      </c>
      <c r="B804" t="s">
        <v>3755</v>
      </c>
      <c r="C804" t="s">
        <v>3756</v>
      </c>
      <c r="D804" t="s">
        <v>2469</v>
      </c>
      <c r="E804" t="s">
        <v>3724</v>
      </c>
    </row>
    <row r="805" spans="1:5" x14ac:dyDescent="0.25">
      <c r="A805" t="s">
        <v>1399</v>
      </c>
      <c r="B805" t="s">
        <v>3757</v>
      </c>
      <c r="C805" t="s">
        <v>3758</v>
      </c>
      <c r="D805" t="s">
        <v>2469</v>
      </c>
      <c r="E805" t="s">
        <v>3724</v>
      </c>
    </row>
    <row r="806" spans="1:5" x14ac:dyDescent="0.25">
      <c r="A806" t="s">
        <v>1399</v>
      </c>
      <c r="B806" t="s">
        <v>3759</v>
      </c>
      <c r="C806" t="s">
        <v>3760</v>
      </c>
      <c r="D806" t="s">
        <v>2469</v>
      </c>
      <c r="E806" t="s">
        <v>3724</v>
      </c>
    </row>
    <row r="807" spans="1:5" x14ac:dyDescent="0.25">
      <c r="A807" t="s">
        <v>1399</v>
      </c>
      <c r="B807" t="s">
        <v>3761</v>
      </c>
      <c r="C807" t="s">
        <v>3762</v>
      </c>
      <c r="D807" t="s">
        <v>2469</v>
      </c>
      <c r="E807" t="s">
        <v>3721</v>
      </c>
    </row>
    <row r="808" spans="1:5" x14ac:dyDescent="0.25">
      <c r="A808" t="s">
        <v>1399</v>
      </c>
      <c r="B808" t="s">
        <v>3763</v>
      </c>
      <c r="C808" t="s">
        <v>3764</v>
      </c>
      <c r="D808" t="s">
        <v>2469</v>
      </c>
      <c r="E808" t="s">
        <v>3724</v>
      </c>
    </row>
    <row r="809" spans="1:5" x14ac:dyDescent="0.25">
      <c r="A809" t="s">
        <v>1399</v>
      </c>
      <c r="B809" t="s">
        <v>3765</v>
      </c>
      <c r="C809" t="s">
        <v>3766</v>
      </c>
      <c r="D809" t="s">
        <v>2469</v>
      </c>
      <c r="E809" t="s">
        <v>3721</v>
      </c>
    </row>
    <row r="810" spans="1:5" x14ac:dyDescent="0.25">
      <c r="A810" t="s">
        <v>1408</v>
      </c>
      <c r="B810" t="s">
        <v>3767</v>
      </c>
      <c r="C810" t="s">
        <v>3768</v>
      </c>
      <c r="D810" t="s">
        <v>2646</v>
      </c>
      <c r="E810" t="s">
        <v>2170</v>
      </c>
    </row>
    <row r="811" spans="1:5" x14ac:dyDescent="0.25">
      <c r="A811" t="s">
        <v>1408</v>
      </c>
      <c r="B811" t="s">
        <v>3769</v>
      </c>
      <c r="C811" t="s">
        <v>3770</v>
      </c>
      <c r="D811" t="s">
        <v>2646</v>
      </c>
      <c r="E811" t="s">
        <v>2170</v>
      </c>
    </row>
    <row r="812" spans="1:5" x14ac:dyDescent="0.25">
      <c r="A812" t="s">
        <v>1408</v>
      </c>
      <c r="B812" t="s">
        <v>3771</v>
      </c>
      <c r="C812" t="s">
        <v>3772</v>
      </c>
      <c r="D812" t="s">
        <v>2646</v>
      </c>
      <c r="E812" t="s">
        <v>2170</v>
      </c>
    </row>
    <row r="813" spans="1:5" x14ac:dyDescent="0.25">
      <c r="A813" t="s">
        <v>1408</v>
      </c>
      <c r="B813" t="s">
        <v>3773</v>
      </c>
      <c r="C813" t="s">
        <v>3774</v>
      </c>
      <c r="D813" t="s">
        <v>2646</v>
      </c>
      <c r="E813" t="s">
        <v>2170</v>
      </c>
    </row>
    <row r="814" spans="1:5" x14ac:dyDescent="0.25">
      <c r="A814" t="s">
        <v>1408</v>
      </c>
      <c r="B814" t="s">
        <v>3775</v>
      </c>
      <c r="C814" t="s">
        <v>3776</v>
      </c>
      <c r="D814" t="s">
        <v>2646</v>
      </c>
      <c r="E814" t="s">
        <v>2170</v>
      </c>
    </row>
    <row r="815" spans="1:5" x14ac:dyDescent="0.25">
      <c r="A815" t="s">
        <v>1408</v>
      </c>
      <c r="B815" t="s">
        <v>3777</v>
      </c>
      <c r="C815" t="s">
        <v>3778</v>
      </c>
      <c r="D815" t="s">
        <v>2646</v>
      </c>
      <c r="E815" t="s">
        <v>2170</v>
      </c>
    </row>
    <row r="816" spans="1:5" x14ac:dyDescent="0.25">
      <c r="A816" t="s">
        <v>1411</v>
      </c>
      <c r="B816" t="s">
        <v>3779</v>
      </c>
      <c r="C816" t="s">
        <v>3780</v>
      </c>
      <c r="D816" t="s">
        <v>2311</v>
      </c>
      <c r="E816" t="s">
        <v>2170</v>
      </c>
    </row>
    <row r="817" spans="1:5" x14ac:dyDescent="0.25">
      <c r="A817" t="s">
        <v>1411</v>
      </c>
      <c r="B817" t="s">
        <v>3781</v>
      </c>
      <c r="C817" t="s">
        <v>3782</v>
      </c>
      <c r="D817" t="s">
        <v>2311</v>
      </c>
      <c r="E817" t="s">
        <v>2170</v>
      </c>
    </row>
    <row r="818" spans="1:5" x14ac:dyDescent="0.25">
      <c r="A818" t="s">
        <v>1411</v>
      </c>
      <c r="B818" t="s">
        <v>3783</v>
      </c>
      <c r="C818" t="s">
        <v>3784</v>
      </c>
      <c r="D818" t="s">
        <v>2311</v>
      </c>
      <c r="E818" t="s">
        <v>2170</v>
      </c>
    </row>
    <row r="819" spans="1:5" x14ac:dyDescent="0.25">
      <c r="A819" t="s">
        <v>1411</v>
      </c>
      <c r="B819" t="s">
        <v>3785</v>
      </c>
      <c r="C819" t="s">
        <v>3786</v>
      </c>
      <c r="D819" t="s">
        <v>2311</v>
      </c>
      <c r="E819" t="s">
        <v>2170</v>
      </c>
    </row>
    <row r="820" spans="1:5" x14ac:dyDescent="0.25">
      <c r="A820" t="s">
        <v>1411</v>
      </c>
      <c r="B820" t="s">
        <v>3787</v>
      </c>
      <c r="C820" t="s">
        <v>3788</v>
      </c>
      <c r="D820" t="s">
        <v>2311</v>
      </c>
      <c r="E820" t="s">
        <v>2170</v>
      </c>
    </row>
    <row r="821" spans="1:5" x14ac:dyDescent="0.25">
      <c r="A821" t="s">
        <v>1411</v>
      </c>
      <c r="B821" t="s">
        <v>3789</v>
      </c>
      <c r="C821" t="s">
        <v>3790</v>
      </c>
      <c r="D821" t="s">
        <v>2311</v>
      </c>
      <c r="E821" t="s">
        <v>2170</v>
      </c>
    </row>
    <row r="822" spans="1:5" x14ac:dyDescent="0.25">
      <c r="A822" t="s">
        <v>1411</v>
      </c>
      <c r="B822" t="s">
        <v>3791</v>
      </c>
      <c r="C822" t="s">
        <v>3792</v>
      </c>
      <c r="D822" t="s">
        <v>2311</v>
      </c>
      <c r="E822" t="s">
        <v>2170</v>
      </c>
    </row>
    <row r="823" spans="1:5" x14ac:dyDescent="0.25">
      <c r="A823" t="s">
        <v>1411</v>
      </c>
      <c r="B823" t="s">
        <v>3793</v>
      </c>
      <c r="C823" t="s">
        <v>3794</v>
      </c>
      <c r="D823" t="s">
        <v>2311</v>
      </c>
      <c r="E823" t="s">
        <v>2170</v>
      </c>
    </row>
    <row r="824" spans="1:5" x14ac:dyDescent="0.25">
      <c r="A824" t="s">
        <v>1411</v>
      </c>
      <c r="B824" t="s">
        <v>3795</v>
      </c>
      <c r="C824" t="s">
        <v>3796</v>
      </c>
      <c r="D824" t="s">
        <v>2311</v>
      </c>
      <c r="E824" t="s">
        <v>2170</v>
      </c>
    </row>
    <row r="825" spans="1:5" x14ac:dyDescent="0.25">
      <c r="A825" t="s">
        <v>1411</v>
      </c>
      <c r="B825" t="s">
        <v>3797</v>
      </c>
      <c r="C825" t="s">
        <v>3798</v>
      </c>
      <c r="D825" t="s">
        <v>3799</v>
      </c>
      <c r="E825" t="s">
        <v>2170</v>
      </c>
    </row>
    <row r="826" spans="1:5" x14ac:dyDescent="0.25">
      <c r="A826" t="s">
        <v>1411</v>
      </c>
      <c r="B826" t="s">
        <v>3800</v>
      </c>
      <c r="C826" t="s">
        <v>3801</v>
      </c>
      <c r="D826" t="s">
        <v>2311</v>
      </c>
      <c r="E826" t="s">
        <v>2170</v>
      </c>
    </row>
    <row r="827" spans="1:5" x14ac:dyDescent="0.25">
      <c r="A827" t="s">
        <v>1411</v>
      </c>
      <c r="B827" t="s">
        <v>3802</v>
      </c>
      <c r="C827" t="s">
        <v>3803</v>
      </c>
      <c r="D827" t="s">
        <v>2311</v>
      </c>
      <c r="E827" t="s">
        <v>2170</v>
      </c>
    </row>
    <row r="828" spans="1:5" x14ac:dyDescent="0.25">
      <c r="A828" t="s">
        <v>1411</v>
      </c>
      <c r="B828" t="s">
        <v>3804</v>
      </c>
      <c r="C828" t="s">
        <v>3805</v>
      </c>
      <c r="D828" t="s">
        <v>2311</v>
      </c>
      <c r="E828" t="s">
        <v>2170</v>
      </c>
    </row>
    <row r="829" spans="1:5" x14ac:dyDescent="0.25">
      <c r="A829" t="s">
        <v>1411</v>
      </c>
      <c r="B829" t="s">
        <v>3806</v>
      </c>
      <c r="C829" t="s">
        <v>3807</v>
      </c>
      <c r="D829" t="s">
        <v>2311</v>
      </c>
      <c r="E829" t="s">
        <v>2170</v>
      </c>
    </row>
    <row r="830" spans="1:5" x14ac:dyDescent="0.25">
      <c r="A830" t="s">
        <v>1411</v>
      </c>
      <c r="B830" t="s">
        <v>3808</v>
      </c>
      <c r="C830" t="s">
        <v>3809</v>
      </c>
      <c r="D830" t="s">
        <v>2646</v>
      </c>
      <c r="E830" t="s">
        <v>3800</v>
      </c>
    </row>
    <row r="831" spans="1:5" x14ac:dyDescent="0.25">
      <c r="A831" t="s">
        <v>1411</v>
      </c>
      <c r="B831" t="s">
        <v>3810</v>
      </c>
      <c r="C831" t="s">
        <v>3811</v>
      </c>
      <c r="D831" t="s">
        <v>2646</v>
      </c>
      <c r="E831" t="s">
        <v>3800</v>
      </c>
    </row>
    <row r="832" spans="1:5" x14ac:dyDescent="0.25">
      <c r="A832" t="s">
        <v>1411</v>
      </c>
      <c r="B832" t="s">
        <v>3812</v>
      </c>
      <c r="C832" t="s">
        <v>3813</v>
      </c>
      <c r="D832" t="s">
        <v>2646</v>
      </c>
      <c r="E832" t="s">
        <v>3781</v>
      </c>
    </row>
    <row r="833" spans="1:5" x14ac:dyDescent="0.25">
      <c r="A833" t="s">
        <v>1411</v>
      </c>
      <c r="B833" t="s">
        <v>3814</v>
      </c>
      <c r="C833" t="s">
        <v>3815</v>
      </c>
      <c r="D833" t="s">
        <v>2646</v>
      </c>
      <c r="E833" t="s">
        <v>3781</v>
      </c>
    </row>
    <row r="834" spans="1:5" x14ac:dyDescent="0.25">
      <c r="A834" t="s">
        <v>1411</v>
      </c>
      <c r="B834" t="s">
        <v>3816</v>
      </c>
      <c r="C834" t="s">
        <v>3817</v>
      </c>
      <c r="D834" t="s">
        <v>2646</v>
      </c>
      <c r="E834" t="s">
        <v>3781</v>
      </c>
    </row>
    <row r="835" spans="1:5" x14ac:dyDescent="0.25">
      <c r="A835" t="s">
        <v>1411</v>
      </c>
      <c r="B835" t="s">
        <v>3818</v>
      </c>
      <c r="C835" t="s">
        <v>3819</v>
      </c>
      <c r="D835" t="s">
        <v>2646</v>
      </c>
      <c r="E835" t="s">
        <v>3789</v>
      </c>
    </row>
    <row r="836" spans="1:5" x14ac:dyDescent="0.25">
      <c r="A836" t="s">
        <v>1411</v>
      </c>
      <c r="B836" t="s">
        <v>3820</v>
      </c>
      <c r="C836" t="s">
        <v>3821</v>
      </c>
      <c r="D836" t="s">
        <v>2646</v>
      </c>
      <c r="E836" t="s">
        <v>3781</v>
      </c>
    </row>
    <row r="837" spans="1:5" x14ac:dyDescent="0.25">
      <c r="A837" t="s">
        <v>1411</v>
      </c>
      <c r="B837" t="s">
        <v>3822</v>
      </c>
      <c r="C837" t="s">
        <v>3823</v>
      </c>
      <c r="D837" t="s">
        <v>2646</v>
      </c>
      <c r="E837" t="s">
        <v>3787</v>
      </c>
    </row>
    <row r="838" spans="1:5" x14ac:dyDescent="0.25">
      <c r="A838" t="s">
        <v>1411</v>
      </c>
      <c r="B838" t="s">
        <v>3824</v>
      </c>
      <c r="C838" t="s">
        <v>3825</v>
      </c>
      <c r="D838" t="s">
        <v>2646</v>
      </c>
      <c r="E838" t="s">
        <v>3779</v>
      </c>
    </row>
    <row r="839" spans="1:5" x14ac:dyDescent="0.25">
      <c r="A839" t="s">
        <v>1411</v>
      </c>
      <c r="B839" t="s">
        <v>3826</v>
      </c>
      <c r="C839" t="s">
        <v>3827</v>
      </c>
      <c r="D839" t="s">
        <v>2646</v>
      </c>
      <c r="E839" t="s">
        <v>3779</v>
      </c>
    </row>
    <row r="840" spans="1:5" x14ac:dyDescent="0.25">
      <c r="A840" t="s">
        <v>1411</v>
      </c>
      <c r="B840" t="s">
        <v>3828</v>
      </c>
      <c r="C840" t="s">
        <v>3829</v>
      </c>
      <c r="D840" t="s">
        <v>2646</v>
      </c>
      <c r="E840" t="s">
        <v>3802</v>
      </c>
    </row>
    <row r="841" spans="1:5" x14ac:dyDescent="0.25">
      <c r="A841" t="s">
        <v>1411</v>
      </c>
      <c r="B841" t="s">
        <v>3830</v>
      </c>
      <c r="C841" t="s">
        <v>3831</v>
      </c>
      <c r="D841" t="s">
        <v>2646</v>
      </c>
      <c r="E841" t="s">
        <v>3795</v>
      </c>
    </row>
    <row r="842" spans="1:5" x14ac:dyDescent="0.25">
      <c r="A842" t="s">
        <v>1411</v>
      </c>
      <c r="B842" t="s">
        <v>3832</v>
      </c>
      <c r="C842" t="s">
        <v>3833</v>
      </c>
      <c r="D842" t="s">
        <v>2646</v>
      </c>
      <c r="E842" t="s">
        <v>3789</v>
      </c>
    </row>
    <row r="843" spans="1:5" x14ac:dyDescent="0.25">
      <c r="A843" t="s">
        <v>1411</v>
      </c>
      <c r="B843" t="s">
        <v>3834</v>
      </c>
      <c r="C843" t="s">
        <v>3835</v>
      </c>
      <c r="D843" t="s">
        <v>2646</v>
      </c>
      <c r="E843" t="s">
        <v>3804</v>
      </c>
    </row>
    <row r="844" spans="1:5" x14ac:dyDescent="0.25">
      <c r="A844" t="s">
        <v>1411</v>
      </c>
      <c r="B844" t="s">
        <v>3836</v>
      </c>
      <c r="C844" t="s">
        <v>3837</v>
      </c>
      <c r="D844" t="s">
        <v>2646</v>
      </c>
      <c r="E844" t="s">
        <v>3781</v>
      </c>
    </row>
    <row r="845" spans="1:5" x14ac:dyDescent="0.25">
      <c r="A845" t="s">
        <v>1411</v>
      </c>
      <c r="B845" t="s">
        <v>3838</v>
      </c>
      <c r="C845" t="s">
        <v>3839</v>
      </c>
      <c r="D845" t="s">
        <v>2646</v>
      </c>
      <c r="E845" t="s">
        <v>3785</v>
      </c>
    </row>
    <row r="846" spans="1:5" x14ac:dyDescent="0.25">
      <c r="A846" t="s">
        <v>1411</v>
      </c>
      <c r="B846" t="s">
        <v>3840</v>
      </c>
      <c r="C846" t="s">
        <v>3841</v>
      </c>
      <c r="D846" t="s">
        <v>2646</v>
      </c>
      <c r="E846" t="s">
        <v>3783</v>
      </c>
    </row>
    <row r="847" spans="1:5" x14ac:dyDescent="0.25">
      <c r="A847" t="s">
        <v>1411</v>
      </c>
      <c r="B847" t="s">
        <v>3842</v>
      </c>
      <c r="C847" t="s">
        <v>3843</v>
      </c>
      <c r="D847" t="s">
        <v>2646</v>
      </c>
      <c r="E847" t="s">
        <v>3802</v>
      </c>
    </row>
    <row r="848" spans="1:5" x14ac:dyDescent="0.25">
      <c r="A848" t="s">
        <v>1411</v>
      </c>
      <c r="B848" t="s">
        <v>3844</v>
      </c>
      <c r="C848" t="s">
        <v>3845</v>
      </c>
      <c r="D848" t="s">
        <v>2646</v>
      </c>
      <c r="E848" t="s">
        <v>3793</v>
      </c>
    </row>
    <row r="849" spans="1:5" x14ac:dyDescent="0.25">
      <c r="A849" t="s">
        <v>1411</v>
      </c>
      <c r="B849" t="s">
        <v>3846</v>
      </c>
      <c r="C849" t="s">
        <v>3847</v>
      </c>
      <c r="D849" t="s">
        <v>2646</v>
      </c>
      <c r="E849" t="s">
        <v>3787</v>
      </c>
    </row>
    <row r="850" spans="1:5" x14ac:dyDescent="0.25">
      <c r="A850" t="s">
        <v>1411</v>
      </c>
      <c r="B850" t="s">
        <v>3848</v>
      </c>
      <c r="C850" t="s">
        <v>3849</v>
      </c>
      <c r="D850" t="s">
        <v>2646</v>
      </c>
      <c r="E850" t="s">
        <v>3791</v>
      </c>
    </row>
    <row r="851" spans="1:5" x14ac:dyDescent="0.25">
      <c r="A851" t="s">
        <v>1411</v>
      </c>
      <c r="B851" t="s">
        <v>3850</v>
      </c>
      <c r="C851" t="s">
        <v>3851</v>
      </c>
      <c r="D851" t="s">
        <v>2646</v>
      </c>
      <c r="E851" t="s">
        <v>3785</v>
      </c>
    </row>
    <row r="852" spans="1:5" x14ac:dyDescent="0.25">
      <c r="A852" t="s">
        <v>1411</v>
      </c>
      <c r="B852" t="s">
        <v>3852</v>
      </c>
      <c r="C852" t="s">
        <v>3853</v>
      </c>
      <c r="D852" t="s">
        <v>2646</v>
      </c>
      <c r="E852" t="s">
        <v>3804</v>
      </c>
    </row>
    <row r="853" spans="1:5" x14ac:dyDescent="0.25">
      <c r="A853" t="s">
        <v>1411</v>
      </c>
      <c r="B853" t="s">
        <v>3854</v>
      </c>
      <c r="C853" t="s">
        <v>3855</v>
      </c>
      <c r="D853" t="s">
        <v>2646</v>
      </c>
      <c r="E853" t="s">
        <v>3779</v>
      </c>
    </row>
    <row r="854" spans="1:5" x14ac:dyDescent="0.25">
      <c r="A854" t="s">
        <v>1411</v>
      </c>
      <c r="B854" t="s">
        <v>3856</v>
      </c>
      <c r="C854" t="s">
        <v>3857</v>
      </c>
      <c r="D854" t="s">
        <v>2646</v>
      </c>
      <c r="E854" t="s">
        <v>3783</v>
      </c>
    </row>
    <row r="855" spans="1:5" x14ac:dyDescent="0.25">
      <c r="A855" t="s">
        <v>1411</v>
      </c>
      <c r="B855" t="s">
        <v>3858</v>
      </c>
      <c r="C855" t="s">
        <v>3859</v>
      </c>
      <c r="D855" t="s">
        <v>2646</v>
      </c>
      <c r="E855" t="s">
        <v>3789</v>
      </c>
    </row>
    <row r="856" spans="1:5" x14ac:dyDescent="0.25">
      <c r="A856" t="s">
        <v>1411</v>
      </c>
      <c r="B856" t="s">
        <v>3860</v>
      </c>
      <c r="C856" t="s">
        <v>3861</v>
      </c>
      <c r="D856" t="s">
        <v>2646</v>
      </c>
      <c r="E856" t="s">
        <v>3800</v>
      </c>
    </row>
    <row r="857" spans="1:5" x14ac:dyDescent="0.25">
      <c r="A857" t="s">
        <v>1411</v>
      </c>
      <c r="B857" t="s">
        <v>3862</v>
      </c>
      <c r="C857" t="s">
        <v>3863</v>
      </c>
      <c r="D857" t="s">
        <v>2646</v>
      </c>
      <c r="E857" t="s">
        <v>3795</v>
      </c>
    </row>
    <row r="858" spans="1:5" x14ac:dyDescent="0.25">
      <c r="A858" t="s">
        <v>1411</v>
      </c>
      <c r="B858" t="s">
        <v>3864</v>
      </c>
      <c r="C858" t="s">
        <v>3865</v>
      </c>
      <c r="D858" t="s">
        <v>2646</v>
      </c>
      <c r="E858" t="s">
        <v>3800</v>
      </c>
    </row>
    <row r="859" spans="1:5" x14ac:dyDescent="0.25">
      <c r="A859" t="s">
        <v>1411</v>
      </c>
      <c r="B859" t="s">
        <v>3866</v>
      </c>
      <c r="C859" t="s">
        <v>3867</v>
      </c>
      <c r="D859" t="s">
        <v>2646</v>
      </c>
      <c r="E859" t="s">
        <v>3806</v>
      </c>
    </row>
    <row r="860" spans="1:5" x14ac:dyDescent="0.25">
      <c r="A860" t="s">
        <v>1411</v>
      </c>
      <c r="B860" t="s">
        <v>3868</v>
      </c>
      <c r="C860" t="s">
        <v>3869</v>
      </c>
      <c r="D860" t="s">
        <v>2646</v>
      </c>
      <c r="E860" t="s">
        <v>3800</v>
      </c>
    </row>
    <row r="861" spans="1:5" x14ac:dyDescent="0.25">
      <c r="A861" t="s">
        <v>1411</v>
      </c>
      <c r="B861" t="s">
        <v>3870</v>
      </c>
      <c r="C861" t="s">
        <v>3871</v>
      </c>
      <c r="D861" t="s">
        <v>2646</v>
      </c>
      <c r="E861" t="s">
        <v>3787</v>
      </c>
    </row>
    <row r="862" spans="1:5" x14ac:dyDescent="0.25">
      <c r="A862" t="s">
        <v>1411</v>
      </c>
      <c r="B862" t="s">
        <v>3872</v>
      </c>
      <c r="C862" t="s">
        <v>3873</v>
      </c>
      <c r="D862" t="s">
        <v>2646</v>
      </c>
      <c r="E862" t="s">
        <v>3802</v>
      </c>
    </row>
    <row r="863" spans="1:5" x14ac:dyDescent="0.25">
      <c r="A863" t="s">
        <v>1411</v>
      </c>
      <c r="B863" t="s">
        <v>3874</v>
      </c>
      <c r="C863" t="s">
        <v>3875</v>
      </c>
      <c r="D863" t="s">
        <v>2646</v>
      </c>
      <c r="E863" t="s">
        <v>3802</v>
      </c>
    </row>
    <row r="864" spans="1:5" x14ac:dyDescent="0.25">
      <c r="A864" t="s">
        <v>1411</v>
      </c>
      <c r="B864" t="s">
        <v>3876</v>
      </c>
      <c r="C864" t="s">
        <v>3877</v>
      </c>
      <c r="D864" t="s">
        <v>2646</v>
      </c>
      <c r="E864" t="s">
        <v>3800</v>
      </c>
    </row>
    <row r="865" spans="1:5" x14ac:dyDescent="0.25">
      <c r="A865" t="s">
        <v>1411</v>
      </c>
      <c r="B865" t="s">
        <v>3878</v>
      </c>
      <c r="C865" t="s">
        <v>3879</v>
      </c>
      <c r="D865" t="s">
        <v>2646</v>
      </c>
      <c r="E865" t="s">
        <v>3800</v>
      </c>
    </row>
    <row r="866" spans="1:5" x14ac:dyDescent="0.25">
      <c r="A866" t="s">
        <v>1411</v>
      </c>
      <c r="B866" t="s">
        <v>3880</v>
      </c>
      <c r="C866" t="s">
        <v>3881</v>
      </c>
      <c r="D866" t="s">
        <v>2646</v>
      </c>
      <c r="E866" t="s">
        <v>3802</v>
      </c>
    </row>
    <row r="867" spans="1:5" x14ac:dyDescent="0.25">
      <c r="A867" t="s">
        <v>1411</v>
      </c>
      <c r="B867" t="s">
        <v>3882</v>
      </c>
      <c r="C867" t="s">
        <v>3883</v>
      </c>
      <c r="D867" t="s">
        <v>2646</v>
      </c>
      <c r="E867" t="s">
        <v>3785</v>
      </c>
    </row>
    <row r="868" spans="1:5" x14ac:dyDescent="0.25">
      <c r="A868" t="s">
        <v>1411</v>
      </c>
      <c r="B868" t="s">
        <v>3884</v>
      </c>
      <c r="C868" t="s">
        <v>3885</v>
      </c>
      <c r="D868" t="s">
        <v>2646</v>
      </c>
      <c r="E868" t="s">
        <v>3789</v>
      </c>
    </row>
    <row r="869" spans="1:5" x14ac:dyDescent="0.25">
      <c r="A869" t="s">
        <v>1411</v>
      </c>
      <c r="B869" t="s">
        <v>3886</v>
      </c>
      <c r="C869" t="s">
        <v>3887</v>
      </c>
      <c r="D869" t="s">
        <v>2646</v>
      </c>
      <c r="E869" t="s">
        <v>3800</v>
      </c>
    </row>
    <row r="870" spans="1:5" x14ac:dyDescent="0.25">
      <c r="A870" t="s">
        <v>1411</v>
      </c>
      <c r="B870" t="s">
        <v>3888</v>
      </c>
      <c r="C870" t="s">
        <v>3889</v>
      </c>
      <c r="D870" t="s">
        <v>2646</v>
      </c>
      <c r="E870" t="s">
        <v>3791</v>
      </c>
    </row>
    <row r="871" spans="1:5" x14ac:dyDescent="0.25">
      <c r="A871" t="s">
        <v>1411</v>
      </c>
      <c r="B871" t="s">
        <v>3890</v>
      </c>
      <c r="C871" t="s">
        <v>3891</v>
      </c>
      <c r="D871" t="s">
        <v>2646</v>
      </c>
      <c r="E871" t="s">
        <v>3789</v>
      </c>
    </row>
    <row r="872" spans="1:5" x14ac:dyDescent="0.25">
      <c r="A872" t="s">
        <v>1411</v>
      </c>
      <c r="B872" t="s">
        <v>3892</v>
      </c>
      <c r="C872" t="s">
        <v>3893</v>
      </c>
      <c r="D872" t="s">
        <v>2646</v>
      </c>
      <c r="E872" t="s">
        <v>3789</v>
      </c>
    </row>
    <row r="873" spans="1:5" x14ac:dyDescent="0.25">
      <c r="A873" t="s">
        <v>1411</v>
      </c>
      <c r="B873" t="s">
        <v>3894</v>
      </c>
      <c r="C873" t="s">
        <v>3895</v>
      </c>
      <c r="D873" t="s">
        <v>2646</v>
      </c>
      <c r="E873" t="s">
        <v>3793</v>
      </c>
    </row>
    <row r="874" spans="1:5" x14ac:dyDescent="0.25">
      <c r="A874" t="s">
        <v>1411</v>
      </c>
      <c r="B874" t="s">
        <v>3896</v>
      </c>
      <c r="C874" t="s">
        <v>3897</v>
      </c>
      <c r="D874" t="s">
        <v>2646</v>
      </c>
      <c r="E874" t="s">
        <v>3804</v>
      </c>
    </row>
    <row r="875" spans="1:5" x14ac:dyDescent="0.25">
      <c r="A875" t="s">
        <v>1411</v>
      </c>
      <c r="B875" t="s">
        <v>3898</v>
      </c>
      <c r="C875" t="s">
        <v>3899</v>
      </c>
      <c r="D875" t="s">
        <v>2646</v>
      </c>
      <c r="E875" t="s">
        <v>3779</v>
      </c>
    </row>
    <row r="876" spans="1:5" x14ac:dyDescent="0.25">
      <c r="A876" t="s">
        <v>1411</v>
      </c>
      <c r="B876" t="s">
        <v>3900</v>
      </c>
      <c r="C876" t="s">
        <v>3901</v>
      </c>
      <c r="D876" t="s">
        <v>2646</v>
      </c>
      <c r="E876" t="s">
        <v>3795</v>
      </c>
    </row>
    <row r="877" spans="1:5" x14ac:dyDescent="0.25">
      <c r="A877" t="s">
        <v>1411</v>
      </c>
      <c r="B877" t="s">
        <v>3902</v>
      </c>
      <c r="C877" t="s">
        <v>3903</v>
      </c>
      <c r="D877" t="s">
        <v>2646</v>
      </c>
      <c r="E877" t="s">
        <v>3795</v>
      </c>
    </row>
    <row r="878" spans="1:5" x14ac:dyDescent="0.25">
      <c r="A878" t="s">
        <v>1411</v>
      </c>
      <c r="B878" t="s">
        <v>3904</v>
      </c>
      <c r="C878" t="s">
        <v>3905</v>
      </c>
      <c r="D878" t="s">
        <v>2646</v>
      </c>
      <c r="E878" t="s">
        <v>3795</v>
      </c>
    </row>
    <row r="879" spans="1:5" x14ac:dyDescent="0.25">
      <c r="A879" t="s">
        <v>1411</v>
      </c>
      <c r="B879" t="s">
        <v>3906</v>
      </c>
      <c r="C879" t="s">
        <v>3907</v>
      </c>
      <c r="D879" t="s">
        <v>2646</v>
      </c>
      <c r="E879" t="s">
        <v>3800</v>
      </c>
    </row>
    <row r="880" spans="1:5" x14ac:dyDescent="0.25">
      <c r="A880" t="s">
        <v>1411</v>
      </c>
      <c r="B880" t="s">
        <v>3908</v>
      </c>
      <c r="C880" t="s">
        <v>3909</v>
      </c>
      <c r="D880" t="s">
        <v>2646</v>
      </c>
      <c r="E880" t="s">
        <v>3800</v>
      </c>
    </row>
    <row r="881" spans="1:5" x14ac:dyDescent="0.25">
      <c r="A881" t="s">
        <v>1411</v>
      </c>
      <c r="B881" t="s">
        <v>3910</v>
      </c>
      <c r="C881" t="s">
        <v>3911</v>
      </c>
      <c r="D881" t="s">
        <v>2646</v>
      </c>
      <c r="E881" t="s">
        <v>3779</v>
      </c>
    </row>
    <row r="882" spans="1:5" x14ac:dyDescent="0.25">
      <c r="A882" t="s">
        <v>1411</v>
      </c>
      <c r="B882" t="s">
        <v>3912</v>
      </c>
      <c r="C882" t="s">
        <v>3913</v>
      </c>
      <c r="D882" t="s">
        <v>2646</v>
      </c>
      <c r="E882" t="s">
        <v>3791</v>
      </c>
    </row>
    <row r="883" spans="1:5" x14ac:dyDescent="0.25">
      <c r="A883" t="s">
        <v>1411</v>
      </c>
      <c r="B883" t="s">
        <v>3914</v>
      </c>
      <c r="C883" t="s">
        <v>3915</v>
      </c>
      <c r="D883" t="s">
        <v>2646</v>
      </c>
      <c r="E883" t="s">
        <v>3791</v>
      </c>
    </row>
    <row r="884" spans="1:5" x14ac:dyDescent="0.25">
      <c r="A884" t="s">
        <v>1411</v>
      </c>
      <c r="B884" t="s">
        <v>3916</v>
      </c>
      <c r="C884" t="s">
        <v>3917</v>
      </c>
      <c r="D884" t="s">
        <v>2646</v>
      </c>
      <c r="E884" t="s">
        <v>3800</v>
      </c>
    </row>
    <row r="885" spans="1:5" x14ac:dyDescent="0.25">
      <c r="A885" t="s">
        <v>1411</v>
      </c>
      <c r="B885" t="s">
        <v>3918</v>
      </c>
      <c r="C885" t="s">
        <v>3919</v>
      </c>
      <c r="D885" t="s">
        <v>2646</v>
      </c>
      <c r="E885" t="s">
        <v>3800</v>
      </c>
    </row>
    <row r="886" spans="1:5" x14ac:dyDescent="0.25">
      <c r="A886" t="s">
        <v>1411</v>
      </c>
      <c r="B886" t="s">
        <v>3920</v>
      </c>
      <c r="C886" t="s">
        <v>3921</v>
      </c>
      <c r="D886" t="s">
        <v>2646</v>
      </c>
      <c r="E886" t="s">
        <v>3795</v>
      </c>
    </row>
    <row r="887" spans="1:5" x14ac:dyDescent="0.25">
      <c r="A887" t="s">
        <v>1411</v>
      </c>
      <c r="B887" t="s">
        <v>3922</v>
      </c>
      <c r="C887" t="s">
        <v>3923</v>
      </c>
      <c r="D887" t="s">
        <v>2646</v>
      </c>
      <c r="E887" t="s">
        <v>3785</v>
      </c>
    </row>
    <row r="888" spans="1:5" x14ac:dyDescent="0.25">
      <c r="A888" t="s">
        <v>1411</v>
      </c>
      <c r="B888" t="s">
        <v>3924</v>
      </c>
      <c r="C888" t="s">
        <v>3925</v>
      </c>
      <c r="D888" t="s">
        <v>2646</v>
      </c>
      <c r="E888" t="s">
        <v>3787</v>
      </c>
    </row>
    <row r="889" spans="1:5" x14ac:dyDescent="0.25">
      <c r="A889" t="s">
        <v>1411</v>
      </c>
      <c r="B889" t="s">
        <v>3926</v>
      </c>
      <c r="C889" t="s">
        <v>3927</v>
      </c>
      <c r="D889" t="s">
        <v>2646</v>
      </c>
      <c r="E889" t="s">
        <v>3783</v>
      </c>
    </row>
    <row r="890" spans="1:5" x14ac:dyDescent="0.25">
      <c r="A890" t="s">
        <v>1411</v>
      </c>
      <c r="B890" t="s">
        <v>3928</v>
      </c>
      <c r="C890" t="s">
        <v>3929</v>
      </c>
      <c r="D890" t="s">
        <v>2646</v>
      </c>
      <c r="E890" t="s">
        <v>3779</v>
      </c>
    </row>
    <row r="891" spans="1:5" x14ac:dyDescent="0.25">
      <c r="A891" t="s">
        <v>1411</v>
      </c>
      <c r="B891" t="s">
        <v>3930</v>
      </c>
      <c r="C891" t="s">
        <v>3931</v>
      </c>
      <c r="D891" t="s">
        <v>2646</v>
      </c>
      <c r="E891" t="s">
        <v>3793</v>
      </c>
    </row>
    <row r="892" spans="1:5" x14ac:dyDescent="0.25">
      <c r="A892" t="s">
        <v>1411</v>
      </c>
      <c r="B892" t="s">
        <v>3932</v>
      </c>
      <c r="C892" t="s">
        <v>3933</v>
      </c>
      <c r="D892" t="s">
        <v>2646</v>
      </c>
      <c r="E892" t="s">
        <v>3791</v>
      </c>
    </row>
    <row r="893" spans="1:5" x14ac:dyDescent="0.25">
      <c r="A893" t="s">
        <v>1411</v>
      </c>
      <c r="B893" t="s">
        <v>3934</v>
      </c>
      <c r="C893" t="s">
        <v>3935</v>
      </c>
      <c r="D893" t="s">
        <v>2646</v>
      </c>
      <c r="E893" t="s">
        <v>3779</v>
      </c>
    </row>
    <row r="894" spans="1:5" x14ac:dyDescent="0.25">
      <c r="A894" t="s">
        <v>1411</v>
      </c>
      <c r="B894" t="s">
        <v>3936</v>
      </c>
      <c r="C894" t="s">
        <v>3937</v>
      </c>
      <c r="D894" t="s">
        <v>2646</v>
      </c>
      <c r="E894" t="s">
        <v>3795</v>
      </c>
    </row>
    <row r="895" spans="1:5" x14ac:dyDescent="0.25">
      <c r="A895" t="s">
        <v>1411</v>
      </c>
      <c r="B895" t="s">
        <v>3938</v>
      </c>
      <c r="C895" t="s">
        <v>3939</v>
      </c>
      <c r="D895" t="s">
        <v>2646</v>
      </c>
      <c r="E895" t="s">
        <v>3802</v>
      </c>
    </row>
    <row r="896" spans="1:5" x14ac:dyDescent="0.25">
      <c r="A896" t="s">
        <v>1411</v>
      </c>
      <c r="B896" t="s">
        <v>3940</v>
      </c>
      <c r="C896" t="s">
        <v>3941</v>
      </c>
      <c r="D896" t="s">
        <v>2646</v>
      </c>
      <c r="E896" t="s">
        <v>3785</v>
      </c>
    </row>
    <row r="897" spans="1:5" x14ac:dyDescent="0.25">
      <c r="A897" t="s">
        <v>1411</v>
      </c>
      <c r="B897" t="s">
        <v>3942</v>
      </c>
      <c r="C897" t="s">
        <v>3943</v>
      </c>
      <c r="D897" t="s">
        <v>2646</v>
      </c>
      <c r="E897" t="s">
        <v>3804</v>
      </c>
    </row>
    <row r="898" spans="1:5" x14ac:dyDescent="0.25">
      <c r="A898" t="s">
        <v>1411</v>
      </c>
      <c r="B898" t="s">
        <v>3944</v>
      </c>
      <c r="C898" t="s">
        <v>3945</v>
      </c>
      <c r="D898" t="s">
        <v>2646</v>
      </c>
      <c r="E898" t="s">
        <v>3806</v>
      </c>
    </row>
    <row r="899" spans="1:5" x14ac:dyDescent="0.25">
      <c r="A899" t="s">
        <v>1411</v>
      </c>
      <c r="B899" t="s">
        <v>3946</v>
      </c>
      <c r="C899" t="s">
        <v>3947</v>
      </c>
      <c r="D899" t="s">
        <v>2646</v>
      </c>
      <c r="E899" t="s">
        <v>3802</v>
      </c>
    </row>
    <row r="900" spans="1:5" x14ac:dyDescent="0.25">
      <c r="A900" t="s">
        <v>1411</v>
      </c>
      <c r="B900" t="s">
        <v>3948</v>
      </c>
      <c r="C900" t="s">
        <v>3949</v>
      </c>
      <c r="D900" t="s">
        <v>2646</v>
      </c>
      <c r="E900" t="s">
        <v>3793</v>
      </c>
    </row>
    <row r="901" spans="1:5" x14ac:dyDescent="0.25">
      <c r="A901" t="s">
        <v>1411</v>
      </c>
      <c r="B901" t="s">
        <v>3950</v>
      </c>
      <c r="C901" t="s">
        <v>3951</v>
      </c>
      <c r="D901" t="s">
        <v>2646</v>
      </c>
      <c r="E901" t="s">
        <v>3806</v>
      </c>
    </row>
    <row r="902" spans="1:5" x14ac:dyDescent="0.25">
      <c r="A902" t="s">
        <v>1411</v>
      </c>
      <c r="B902" t="s">
        <v>3952</v>
      </c>
      <c r="C902" t="s">
        <v>3953</v>
      </c>
      <c r="D902" t="s">
        <v>2646</v>
      </c>
      <c r="E902" t="s">
        <v>3781</v>
      </c>
    </row>
    <row r="903" spans="1:5" x14ac:dyDescent="0.25">
      <c r="A903" t="s">
        <v>1411</v>
      </c>
      <c r="B903" t="s">
        <v>3954</v>
      </c>
      <c r="C903" t="s">
        <v>3955</v>
      </c>
      <c r="D903" t="s">
        <v>2646</v>
      </c>
      <c r="E903" t="s">
        <v>3806</v>
      </c>
    </row>
    <row r="904" spans="1:5" x14ac:dyDescent="0.25">
      <c r="A904" t="s">
        <v>1411</v>
      </c>
      <c r="B904" t="s">
        <v>3956</v>
      </c>
      <c r="C904" t="s">
        <v>3957</v>
      </c>
      <c r="D904" t="s">
        <v>2646</v>
      </c>
      <c r="E904" t="s">
        <v>3781</v>
      </c>
    </row>
    <row r="905" spans="1:5" x14ac:dyDescent="0.25">
      <c r="A905" t="s">
        <v>1411</v>
      </c>
      <c r="B905" t="s">
        <v>3958</v>
      </c>
      <c r="C905" t="s">
        <v>3959</v>
      </c>
      <c r="D905" t="s">
        <v>2646</v>
      </c>
      <c r="E905" t="s">
        <v>3804</v>
      </c>
    </row>
    <row r="906" spans="1:5" x14ac:dyDescent="0.25">
      <c r="A906" t="s">
        <v>1414</v>
      </c>
      <c r="B906" t="s">
        <v>3960</v>
      </c>
      <c r="C906" t="s">
        <v>3961</v>
      </c>
      <c r="D906" t="s">
        <v>2415</v>
      </c>
      <c r="E906" t="s">
        <v>2170</v>
      </c>
    </row>
    <row r="907" spans="1:5" x14ac:dyDescent="0.25">
      <c r="A907" t="s">
        <v>1414</v>
      </c>
      <c r="B907" t="s">
        <v>3962</v>
      </c>
      <c r="C907" t="s">
        <v>3963</v>
      </c>
      <c r="D907" t="s">
        <v>2415</v>
      </c>
      <c r="E907" t="s">
        <v>2170</v>
      </c>
    </row>
    <row r="908" spans="1:5" x14ac:dyDescent="0.25">
      <c r="A908" t="s">
        <v>1414</v>
      </c>
      <c r="B908" t="s">
        <v>3964</v>
      </c>
      <c r="C908" t="s">
        <v>1413</v>
      </c>
      <c r="D908" t="s">
        <v>2415</v>
      </c>
      <c r="E908" t="s">
        <v>2170</v>
      </c>
    </row>
    <row r="909" spans="1:5" x14ac:dyDescent="0.25">
      <c r="A909" t="s">
        <v>1414</v>
      </c>
      <c r="B909" t="s">
        <v>3965</v>
      </c>
      <c r="C909" t="s">
        <v>3966</v>
      </c>
      <c r="D909" t="s">
        <v>2415</v>
      </c>
      <c r="E909" t="s">
        <v>2170</v>
      </c>
    </row>
    <row r="910" spans="1:5" x14ac:dyDescent="0.25">
      <c r="A910" t="s">
        <v>1414</v>
      </c>
      <c r="B910" t="s">
        <v>3967</v>
      </c>
      <c r="C910" t="s">
        <v>3968</v>
      </c>
      <c r="D910" t="s">
        <v>2415</v>
      </c>
      <c r="E910" t="s">
        <v>2170</v>
      </c>
    </row>
    <row r="911" spans="1:5" x14ac:dyDescent="0.25">
      <c r="A911" t="s">
        <v>1414</v>
      </c>
      <c r="B911" t="s">
        <v>3969</v>
      </c>
      <c r="C911" t="s">
        <v>3970</v>
      </c>
      <c r="D911" t="s">
        <v>2415</v>
      </c>
      <c r="E911" t="s">
        <v>2170</v>
      </c>
    </row>
    <row r="912" spans="1:5" x14ac:dyDescent="0.25">
      <c r="A912" t="s">
        <v>1414</v>
      </c>
      <c r="B912" t="s">
        <v>3971</v>
      </c>
      <c r="C912" t="s">
        <v>3972</v>
      </c>
      <c r="D912" t="s">
        <v>2415</v>
      </c>
      <c r="E912" t="s">
        <v>2170</v>
      </c>
    </row>
    <row r="913" spans="1:5" x14ac:dyDescent="0.25">
      <c r="A913" t="s">
        <v>1414</v>
      </c>
      <c r="B913" t="s">
        <v>3973</v>
      </c>
      <c r="C913" t="s">
        <v>3974</v>
      </c>
      <c r="D913" t="s">
        <v>2415</v>
      </c>
      <c r="E913" t="s">
        <v>2170</v>
      </c>
    </row>
    <row r="914" spans="1:5" x14ac:dyDescent="0.25">
      <c r="A914" t="s">
        <v>1414</v>
      </c>
      <c r="B914" t="s">
        <v>3975</v>
      </c>
      <c r="C914" t="s">
        <v>3976</v>
      </c>
      <c r="D914" t="s">
        <v>2415</v>
      </c>
      <c r="E914" t="s">
        <v>2170</v>
      </c>
    </row>
    <row r="915" spans="1:5" x14ac:dyDescent="0.25">
      <c r="A915" t="s">
        <v>1414</v>
      </c>
      <c r="B915" t="s">
        <v>3977</v>
      </c>
      <c r="C915" t="s">
        <v>3978</v>
      </c>
      <c r="D915" t="s">
        <v>2415</v>
      </c>
      <c r="E915" t="s">
        <v>2170</v>
      </c>
    </row>
    <row r="916" spans="1:5" x14ac:dyDescent="0.25">
      <c r="A916" t="s">
        <v>1414</v>
      </c>
      <c r="B916" t="s">
        <v>3979</v>
      </c>
      <c r="C916" t="s">
        <v>3980</v>
      </c>
      <c r="D916" t="s">
        <v>2415</v>
      </c>
      <c r="E916" t="s">
        <v>2170</v>
      </c>
    </row>
    <row r="917" spans="1:5" x14ac:dyDescent="0.25">
      <c r="A917" t="s">
        <v>1414</v>
      </c>
      <c r="B917" t="s">
        <v>3981</v>
      </c>
      <c r="C917" t="s">
        <v>3982</v>
      </c>
      <c r="D917" t="s">
        <v>2415</v>
      </c>
      <c r="E917" t="s">
        <v>2170</v>
      </c>
    </row>
    <row r="918" spans="1:5" x14ac:dyDescent="0.25">
      <c r="A918" t="s">
        <v>1414</v>
      </c>
      <c r="B918" t="s">
        <v>3983</v>
      </c>
      <c r="C918" t="s">
        <v>3984</v>
      </c>
      <c r="D918" t="s">
        <v>2415</v>
      </c>
      <c r="E918" t="s">
        <v>2170</v>
      </c>
    </row>
    <row r="919" spans="1:5" x14ac:dyDescent="0.25">
      <c r="A919" t="s">
        <v>1414</v>
      </c>
      <c r="B919" t="s">
        <v>3985</v>
      </c>
      <c r="C919" t="s">
        <v>3986</v>
      </c>
      <c r="D919" t="s">
        <v>2415</v>
      </c>
      <c r="E919" t="s">
        <v>2170</v>
      </c>
    </row>
    <row r="920" spans="1:5" x14ac:dyDescent="0.25">
      <c r="A920" t="s">
        <v>1414</v>
      </c>
      <c r="B920" t="s">
        <v>3987</v>
      </c>
      <c r="C920" t="s">
        <v>3988</v>
      </c>
      <c r="D920" t="s">
        <v>2415</v>
      </c>
      <c r="E920" t="s">
        <v>2170</v>
      </c>
    </row>
    <row r="921" spans="1:5" x14ac:dyDescent="0.25">
      <c r="A921" t="s">
        <v>1414</v>
      </c>
      <c r="B921" t="s">
        <v>3989</v>
      </c>
      <c r="C921" t="s">
        <v>3990</v>
      </c>
      <c r="D921" t="s">
        <v>2415</v>
      </c>
      <c r="E921" t="s">
        <v>2170</v>
      </c>
    </row>
    <row r="922" spans="1:5" x14ac:dyDescent="0.25">
      <c r="A922" t="s">
        <v>1416</v>
      </c>
      <c r="B922" t="s">
        <v>3991</v>
      </c>
      <c r="C922" t="s">
        <v>3992</v>
      </c>
      <c r="D922" t="s">
        <v>2311</v>
      </c>
      <c r="E922" t="s">
        <v>2170</v>
      </c>
    </row>
    <row r="923" spans="1:5" x14ac:dyDescent="0.25">
      <c r="A923" t="s">
        <v>1416</v>
      </c>
      <c r="B923" t="s">
        <v>3993</v>
      </c>
      <c r="C923" t="s">
        <v>3994</v>
      </c>
      <c r="D923" t="s">
        <v>2311</v>
      </c>
      <c r="E923" t="s">
        <v>2170</v>
      </c>
    </row>
    <row r="924" spans="1:5" x14ac:dyDescent="0.25">
      <c r="A924" t="s">
        <v>1416</v>
      </c>
      <c r="B924" t="s">
        <v>3995</v>
      </c>
      <c r="C924" t="s">
        <v>3996</v>
      </c>
      <c r="D924" t="s">
        <v>2311</v>
      </c>
      <c r="E924" t="s">
        <v>2170</v>
      </c>
    </row>
    <row r="925" spans="1:5" x14ac:dyDescent="0.25">
      <c r="A925" t="s">
        <v>1416</v>
      </c>
      <c r="B925" t="s">
        <v>3997</v>
      </c>
      <c r="C925" t="s">
        <v>46</v>
      </c>
      <c r="D925" t="s">
        <v>2318</v>
      </c>
      <c r="E925" t="s">
        <v>2170</v>
      </c>
    </row>
    <row r="926" spans="1:5" x14ac:dyDescent="0.25">
      <c r="A926" t="s">
        <v>1416</v>
      </c>
      <c r="B926" t="s">
        <v>3998</v>
      </c>
      <c r="C926" t="s">
        <v>3999</v>
      </c>
      <c r="D926" t="s">
        <v>2311</v>
      </c>
      <c r="E926" t="s">
        <v>2170</v>
      </c>
    </row>
    <row r="927" spans="1:5" x14ac:dyDescent="0.25">
      <c r="A927" t="s">
        <v>1416</v>
      </c>
      <c r="B927" t="s">
        <v>4000</v>
      </c>
      <c r="C927" t="s">
        <v>4001</v>
      </c>
      <c r="D927" t="s">
        <v>2311</v>
      </c>
      <c r="E927" t="s">
        <v>2170</v>
      </c>
    </row>
    <row r="928" spans="1:5" x14ac:dyDescent="0.25">
      <c r="A928" t="s">
        <v>1419</v>
      </c>
      <c r="B928" t="s">
        <v>4002</v>
      </c>
      <c r="C928" t="s">
        <v>4003</v>
      </c>
      <c r="D928" t="s">
        <v>2311</v>
      </c>
      <c r="E928" t="s">
        <v>2170</v>
      </c>
    </row>
    <row r="929" spans="1:5" x14ac:dyDescent="0.25">
      <c r="A929" t="s">
        <v>1419</v>
      </c>
      <c r="B929" t="s">
        <v>4004</v>
      </c>
      <c r="C929" t="s">
        <v>4005</v>
      </c>
      <c r="D929" t="s">
        <v>2311</v>
      </c>
      <c r="E929" t="s">
        <v>2170</v>
      </c>
    </row>
    <row r="930" spans="1:5" x14ac:dyDescent="0.25">
      <c r="A930" t="s">
        <v>1419</v>
      </c>
      <c r="B930" t="s">
        <v>4006</v>
      </c>
      <c r="C930" t="s">
        <v>4007</v>
      </c>
      <c r="D930" t="s">
        <v>2311</v>
      </c>
      <c r="E930" t="s">
        <v>2170</v>
      </c>
    </row>
    <row r="931" spans="1:5" x14ac:dyDescent="0.25">
      <c r="A931" t="s">
        <v>1419</v>
      </c>
      <c r="B931" t="s">
        <v>4008</v>
      </c>
      <c r="C931" t="s">
        <v>4009</v>
      </c>
      <c r="D931" t="s">
        <v>2311</v>
      </c>
      <c r="E931" t="s">
        <v>2170</v>
      </c>
    </row>
    <row r="932" spans="1:5" x14ac:dyDescent="0.25">
      <c r="A932" t="s">
        <v>1419</v>
      </c>
      <c r="B932" t="s">
        <v>4010</v>
      </c>
      <c r="C932" t="s">
        <v>4011</v>
      </c>
      <c r="D932" t="s">
        <v>2311</v>
      </c>
      <c r="E932" t="s">
        <v>2170</v>
      </c>
    </row>
    <row r="933" spans="1:5" x14ac:dyDescent="0.25">
      <c r="A933" t="s">
        <v>1422</v>
      </c>
      <c r="B933" t="s">
        <v>4012</v>
      </c>
      <c r="C933" t="s">
        <v>2613</v>
      </c>
      <c r="D933" t="s">
        <v>2169</v>
      </c>
      <c r="E933" t="s">
        <v>2170</v>
      </c>
    </row>
    <row r="934" spans="1:5" x14ac:dyDescent="0.25">
      <c r="A934" t="s">
        <v>1422</v>
      </c>
      <c r="B934" t="s">
        <v>4013</v>
      </c>
      <c r="C934" t="s">
        <v>4014</v>
      </c>
      <c r="D934" t="s">
        <v>2169</v>
      </c>
      <c r="E934" t="s">
        <v>2170</v>
      </c>
    </row>
    <row r="935" spans="1:5" x14ac:dyDescent="0.25">
      <c r="A935" t="s">
        <v>1422</v>
      </c>
      <c r="B935" t="s">
        <v>4015</v>
      </c>
      <c r="C935" t="s">
        <v>2268</v>
      </c>
      <c r="D935" t="s">
        <v>2169</v>
      </c>
      <c r="E935" t="s">
        <v>2170</v>
      </c>
    </row>
    <row r="936" spans="1:5" x14ac:dyDescent="0.25">
      <c r="A936" t="s">
        <v>1422</v>
      </c>
      <c r="B936" t="s">
        <v>4016</v>
      </c>
      <c r="C936" t="s">
        <v>2270</v>
      </c>
      <c r="D936" t="s">
        <v>2169</v>
      </c>
      <c r="E936" t="s">
        <v>2170</v>
      </c>
    </row>
    <row r="937" spans="1:5" x14ac:dyDescent="0.25">
      <c r="A937" t="s">
        <v>1422</v>
      </c>
      <c r="B937" t="s">
        <v>4017</v>
      </c>
      <c r="C937" t="s">
        <v>2619</v>
      </c>
      <c r="D937" t="s">
        <v>2169</v>
      </c>
      <c r="E937" t="s">
        <v>2170</v>
      </c>
    </row>
    <row r="938" spans="1:5" x14ac:dyDescent="0.25">
      <c r="A938" t="s">
        <v>1422</v>
      </c>
      <c r="B938" t="s">
        <v>4018</v>
      </c>
      <c r="C938" t="s">
        <v>4019</v>
      </c>
      <c r="D938" t="s">
        <v>2169</v>
      </c>
      <c r="E938" t="s">
        <v>2170</v>
      </c>
    </row>
    <row r="939" spans="1:5" x14ac:dyDescent="0.25">
      <c r="A939" t="s">
        <v>1422</v>
      </c>
      <c r="B939" t="s">
        <v>4020</v>
      </c>
      <c r="C939" t="s">
        <v>4021</v>
      </c>
      <c r="D939" t="s">
        <v>2169</v>
      </c>
      <c r="E939" t="s">
        <v>2170</v>
      </c>
    </row>
    <row r="940" spans="1:5" x14ac:dyDescent="0.25">
      <c r="A940" t="s">
        <v>1422</v>
      </c>
      <c r="B940" t="s">
        <v>4022</v>
      </c>
      <c r="C940" t="s">
        <v>4023</v>
      </c>
      <c r="D940" t="s">
        <v>2169</v>
      </c>
      <c r="E940" t="s">
        <v>2170</v>
      </c>
    </row>
    <row r="941" spans="1:5" x14ac:dyDescent="0.25">
      <c r="A941" t="s">
        <v>1422</v>
      </c>
      <c r="B941" t="s">
        <v>4024</v>
      </c>
      <c r="C941" t="s">
        <v>2274</v>
      </c>
      <c r="D941" t="s">
        <v>2169</v>
      </c>
      <c r="E941" t="s">
        <v>2170</v>
      </c>
    </row>
    <row r="942" spans="1:5" x14ac:dyDescent="0.25">
      <c r="A942" t="s">
        <v>1422</v>
      </c>
      <c r="B942" t="s">
        <v>4025</v>
      </c>
      <c r="C942" t="s">
        <v>2276</v>
      </c>
      <c r="D942" t="s">
        <v>2169</v>
      </c>
      <c r="E942" t="s">
        <v>2170</v>
      </c>
    </row>
    <row r="943" spans="1:5" x14ac:dyDescent="0.25">
      <c r="A943" t="s">
        <v>1425</v>
      </c>
      <c r="B943" t="s">
        <v>4026</v>
      </c>
      <c r="C943" t="s">
        <v>4027</v>
      </c>
      <c r="D943" t="s">
        <v>2311</v>
      </c>
      <c r="E943" t="s">
        <v>2170</v>
      </c>
    </row>
    <row r="944" spans="1:5" x14ac:dyDescent="0.25">
      <c r="A944" t="s">
        <v>1425</v>
      </c>
      <c r="B944" t="s">
        <v>4028</v>
      </c>
      <c r="C944" t="s">
        <v>4029</v>
      </c>
      <c r="D944" t="s">
        <v>2311</v>
      </c>
      <c r="E944" t="s">
        <v>2170</v>
      </c>
    </row>
    <row r="945" spans="1:5" x14ac:dyDescent="0.25">
      <c r="A945" t="s">
        <v>1425</v>
      </c>
      <c r="B945" t="s">
        <v>4030</v>
      </c>
      <c r="C945" t="s">
        <v>4031</v>
      </c>
      <c r="D945" t="s">
        <v>2311</v>
      </c>
      <c r="E945" t="s">
        <v>2170</v>
      </c>
    </row>
    <row r="946" spans="1:5" x14ac:dyDescent="0.25">
      <c r="A946" t="s">
        <v>1425</v>
      </c>
      <c r="B946" t="s">
        <v>4032</v>
      </c>
      <c r="C946" t="s">
        <v>4033</v>
      </c>
      <c r="D946" t="s">
        <v>2311</v>
      </c>
      <c r="E946" t="s">
        <v>2170</v>
      </c>
    </row>
    <row r="947" spans="1:5" x14ac:dyDescent="0.25">
      <c r="A947" t="s">
        <v>1425</v>
      </c>
      <c r="B947" t="s">
        <v>4034</v>
      </c>
      <c r="C947" t="s">
        <v>4035</v>
      </c>
      <c r="D947" t="s">
        <v>2311</v>
      </c>
      <c r="E947" t="s">
        <v>2170</v>
      </c>
    </row>
    <row r="948" spans="1:5" x14ac:dyDescent="0.25">
      <c r="A948" t="s">
        <v>1425</v>
      </c>
      <c r="B948" t="s">
        <v>4036</v>
      </c>
      <c r="C948" t="s">
        <v>4037</v>
      </c>
      <c r="D948" t="s">
        <v>2311</v>
      </c>
      <c r="E948" t="s">
        <v>2170</v>
      </c>
    </row>
    <row r="949" spans="1:5" x14ac:dyDescent="0.25">
      <c r="A949" t="s">
        <v>1425</v>
      </c>
      <c r="B949" t="s">
        <v>4038</v>
      </c>
      <c r="C949" t="s">
        <v>4039</v>
      </c>
      <c r="D949" t="s">
        <v>2311</v>
      </c>
      <c r="E949" t="s">
        <v>2170</v>
      </c>
    </row>
    <row r="950" spans="1:5" x14ac:dyDescent="0.25">
      <c r="A950" t="s">
        <v>1425</v>
      </c>
      <c r="B950" t="s">
        <v>4040</v>
      </c>
      <c r="C950" t="s">
        <v>4041</v>
      </c>
      <c r="D950" t="s">
        <v>2311</v>
      </c>
      <c r="E950" t="s">
        <v>2170</v>
      </c>
    </row>
    <row r="951" spans="1:5" x14ac:dyDescent="0.25">
      <c r="A951" t="s">
        <v>1425</v>
      </c>
      <c r="B951" t="s">
        <v>4042</v>
      </c>
      <c r="C951" t="s">
        <v>4043</v>
      </c>
      <c r="D951" t="s">
        <v>2311</v>
      </c>
      <c r="E951" t="s">
        <v>2170</v>
      </c>
    </row>
    <row r="952" spans="1:5" x14ac:dyDescent="0.25">
      <c r="A952" t="s">
        <v>1425</v>
      </c>
      <c r="B952" t="s">
        <v>4044</v>
      </c>
      <c r="C952" t="s">
        <v>4045</v>
      </c>
      <c r="D952" t="s">
        <v>2311</v>
      </c>
      <c r="E952" t="s">
        <v>2170</v>
      </c>
    </row>
    <row r="953" spans="1:5" x14ac:dyDescent="0.25">
      <c r="A953" t="s">
        <v>1425</v>
      </c>
      <c r="B953" t="s">
        <v>4046</v>
      </c>
      <c r="C953" t="s">
        <v>4047</v>
      </c>
      <c r="D953" t="s">
        <v>2200</v>
      </c>
      <c r="E953" t="s">
        <v>4042</v>
      </c>
    </row>
    <row r="954" spans="1:5" x14ac:dyDescent="0.25">
      <c r="A954" t="s">
        <v>1425</v>
      </c>
      <c r="B954" t="s">
        <v>4048</v>
      </c>
      <c r="C954" t="s">
        <v>4049</v>
      </c>
      <c r="D954" t="s">
        <v>2200</v>
      </c>
      <c r="E954" t="s">
        <v>4036</v>
      </c>
    </row>
    <row r="955" spans="1:5" x14ac:dyDescent="0.25">
      <c r="A955" t="s">
        <v>1425</v>
      </c>
      <c r="B955" t="s">
        <v>4050</v>
      </c>
      <c r="C955" t="s">
        <v>4051</v>
      </c>
      <c r="D955" t="s">
        <v>2200</v>
      </c>
      <c r="E955" t="s">
        <v>4036</v>
      </c>
    </row>
    <row r="956" spans="1:5" x14ac:dyDescent="0.25">
      <c r="A956" t="s">
        <v>1425</v>
      </c>
      <c r="B956" t="s">
        <v>4052</v>
      </c>
      <c r="C956" t="s">
        <v>4053</v>
      </c>
      <c r="D956" t="s">
        <v>2200</v>
      </c>
      <c r="E956" t="s">
        <v>4028</v>
      </c>
    </row>
    <row r="957" spans="1:5" x14ac:dyDescent="0.25">
      <c r="A957" t="s">
        <v>1425</v>
      </c>
      <c r="B957" t="s">
        <v>4054</v>
      </c>
      <c r="C957" t="s">
        <v>4055</v>
      </c>
      <c r="D957" t="s">
        <v>2646</v>
      </c>
      <c r="E957" t="s">
        <v>4040</v>
      </c>
    </row>
    <row r="958" spans="1:5" x14ac:dyDescent="0.25">
      <c r="A958" t="s">
        <v>1425</v>
      </c>
      <c r="B958" t="s">
        <v>4056</v>
      </c>
      <c r="C958" t="s">
        <v>4057</v>
      </c>
      <c r="D958" t="s">
        <v>2200</v>
      </c>
      <c r="E958" t="s">
        <v>4026</v>
      </c>
    </row>
    <row r="959" spans="1:5" x14ac:dyDescent="0.25">
      <c r="A959" t="s">
        <v>1425</v>
      </c>
      <c r="B959" t="s">
        <v>4058</v>
      </c>
      <c r="C959" t="s">
        <v>4059</v>
      </c>
      <c r="D959" t="s">
        <v>2200</v>
      </c>
      <c r="E959" t="s">
        <v>4044</v>
      </c>
    </row>
    <row r="960" spans="1:5" x14ac:dyDescent="0.25">
      <c r="A960" t="s">
        <v>1425</v>
      </c>
      <c r="B960" t="s">
        <v>4060</v>
      </c>
      <c r="C960" t="s">
        <v>4061</v>
      </c>
      <c r="D960" t="s">
        <v>2200</v>
      </c>
      <c r="E960" t="s">
        <v>4034</v>
      </c>
    </row>
    <row r="961" spans="1:5" x14ac:dyDescent="0.25">
      <c r="A961" t="s">
        <v>1425</v>
      </c>
      <c r="B961" t="s">
        <v>4062</v>
      </c>
      <c r="C961" t="s">
        <v>4063</v>
      </c>
      <c r="D961" t="s">
        <v>2200</v>
      </c>
      <c r="E961" t="s">
        <v>4030</v>
      </c>
    </row>
    <row r="962" spans="1:5" x14ac:dyDescent="0.25">
      <c r="A962" t="s">
        <v>1425</v>
      </c>
      <c r="B962" t="s">
        <v>4064</v>
      </c>
      <c r="C962" t="s">
        <v>4065</v>
      </c>
      <c r="D962" t="s">
        <v>2200</v>
      </c>
      <c r="E962" t="s">
        <v>4038</v>
      </c>
    </row>
    <row r="963" spans="1:5" x14ac:dyDescent="0.25">
      <c r="A963" t="s">
        <v>1425</v>
      </c>
      <c r="B963" t="s">
        <v>4066</v>
      </c>
      <c r="C963" t="s">
        <v>4067</v>
      </c>
      <c r="D963" t="s">
        <v>2200</v>
      </c>
      <c r="E963" t="s">
        <v>4026</v>
      </c>
    </row>
    <row r="964" spans="1:5" x14ac:dyDescent="0.25">
      <c r="A964" t="s">
        <v>1425</v>
      </c>
      <c r="B964" t="s">
        <v>4068</v>
      </c>
      <c r="C964" t="s">
        <v>4069</v>
      </c>
      <c r="D964" t="s">
        <v>2200</v>
      </c>
      <c r="E964" t="s">
        <v>4036</v>
      </c>
    </row>
    <row r="965" spans="1:5" x14ac:dyDescent="0.25">
      <c r="A965" t="s">
        <v>1425</v>
      </c>
      <c r="B965" t="s">
        <v>4070</v>
      </c>
      <c r="C965" t="s">
        <v>4071</v>
      </c>
      <c r="D965" t="s">
        <v>2200</v>
      </c>
      <c r="E965" t="s">
        <v>4044</v>
      </c>
    </row>
    <row r="966" spans="1:5" x14ac:dyDescent="0.25">
      <c r="A966" t="s">
        <v>1425</v>
      </c>
      <c r="B966" t="s">
        <v>4072</v>
      </c>
      <c r="C966" t="s">
        <v>4073</v>
      </c>
      <c r="D966" t="s">
        <v>2200</v>
      </c>
      <c r="E966" t="s">
        <v>4044</v>
      </c>
    </row>
    <row r="967" spans="1:5" x14ac:dyDescent="0.25">
      <c r="A967" t="s">
        <v>1425</v>
      </c>
      <c r="B967" t="s">
        <v>4074</v>
      </c>
      <c r="C967" t="s">
        <v>4075</v>
      </c>
      <c r="D967" t="s">
        <v>2200</v>
      </c>
      <c r="E967" t="s">
        <v>4032</v>
      </c>
    </row>
    <row r="968" spans="1:5" x14ac:dyDescent="0.25">
      <c r="A968" t="s">
        <v>1425</v>
      </c>
      <c r="B968" t="s">
        <v>4076</v>
      </c>
      <c r="C968" t="s">
        <v>4077</v>
      </c>
      <c r="D968" t="s">
        <v>2200</v>
      </c>
      <c r="E968" t="s">
        <v>4026</v>
      </c>
    </row>
    <row r="969" spans="1:5" x14ac:dyDescent="0.25">
      <c r="A969" t="s">
        <v>1425</v>
      </c>
      <c r="B969" t="s">
        <v>4078</v>
      </c>
      <c r="C969" t="s">
        <v>4079</v>
      </c>
      <c r="D969" t="s">
        <v>2200</v>
      </c>
      <c r="E969" t="s">
        <v>4032</v>
      </c>
    </row>
    <row r="970" spans="1:5" x14ac:dyDescent="0.25">
      <c r="A970" t="s">
        <v>1425</v>
      </c>
      <c r="B970" t="s">
        <v>4080</v>
      </c>
      <c r="C970" t="s">
        <v>4081</v>
      </c>
      <c r="D970" t="s">
        <v>2200</v>
      </c>
      <c r="E970" t="s">
        <v>4028</v>
      </c>
    </row>
    <row r="971" spans="1:5" x14ac:dyDescent="0.25">
      <c r="A971" t="s">
        <v>1425</v>
      </c>
      <c r="B971" t="s">
        <v>4082</v>
      </c>
      <c r="C971" t="s">
        <v>4083</v>
      </c>
      <c r="D971" t="s">
        <v>2200</v>
      </c>
      <c r="E971" t="s">
        <v>4038</v>
      </c>
    </row>
    <row r="972" spans="1:5" x14ac:dyDescent="0.25">
      <c r="A972" t="s">
        <v>1425</v>
      </c>
      <c r="B972" t="s">
        <v>4084</v>
      </c>
      <c r="C972" t="s">
        <v>4085</v>
      </c>
      <c r="D972" t="s">
        <v>2200</v>
      </c>
      <c r="E972" t="s">
        <v>4036</v>
      </c>
    </row>
    <row r="973" spans="1:5" x14ac:dyDescent="0.25">
      <c r="A973" t="s">
        <v>1425</v>
      </c>
      <c r="B973" t="s">
        <v>4086</v>
      </c>
      <c r="C973" t="s">
        <v>4087</v>
      </c>
      <c r="D973" t="s">
        <v>2200</v>
      </c>
      <c r="E973" t="s">
        <v>4042</v>
      </c>
    </row>
    <row r="974" spans="1:5" x14ac:dyDescent="0.25">
      <c r="A974" t="s">
        <v>1425</v>
      </c>
      <c r="B974" t="s">
        <v>4088</v>
      </c>
      <c r="C974" t="s">
        <v>4089</v>
      </c>
      <c r="D974" t="s">
        <v>2200</v>
      </c>
      <c r="E974" t="s">
        <v>4030</v>
      </c>
    </row>
    <row r="975" spans="1:5" x14ac:dyDescent="0.25">
      <c r="A975" t="s">
        <v>1425</v>
      </c>
      <c r="B975" t="s">
        <v>4090</v>
      </c>
      <c r="C975" t="s">
        <v>4091</v>
      </c>
      <c r="D975" t="s">
        <v>2200</v>
      </c>
      <c r="E975" t="s">
        <v>4026</v>
      </c>
    </row>
    <row r="976" spans="1:5" x14ac:dyDescent="0.25">
      <c r="A976" t="s">
        <v>1425</v>
      </c>
      <c r="B976" t="s">
        <v>4092</v>
      </c>
      <c r="C976" t="s">
        <v>4093</v>
      </c>
      <c r="D976" t="s">
        <v>2200</v>
      </c>
      <c r="E976" t="s">
        <v>4042</v>
      </c>
    </row>
    <row r="977" spans="1:5" x14ac:dyDescent="0.25">
      <c r="A977" t="s">
        <v>1425</v>
      </c>
      <c r="B977" t="s">
        <v>4094</v>
      </c>
      <c r="C977" t="s">
        <v>4095</v>
      </c>
      <c r="D977" t="s">
        <v>2200</v>
      </c>
      <c r="E977" t="s">
        <v>4042</v>
      </c>
    </row>
    <row r="978" spans="1:5" x14ac:dyDescent="0.25">
      <c r="A978" t="s">
        <v>1425</v>
      </c>
      <c r="B978" t="s">
        <v>4096</v>
      </c>
      <c r="C978" t="s">
        <v>1799</v>
      </c>
      <c r="D978" t="s">
        <v>2200</v>
      </c>
      <c r="E978" t="s">
        <v>4034</v>
      </c>
    </row>
    <row r="979" spans="1:5" x14ac:dyDescent="0.25">
      <c r="A979" t="s">
        <v>1425</v>
      </c>
      <c r="B979" t="s">
        <v>4097</v>
      </c>
      <c r="C979" t="s">
        <v>4098</v>
      </c>
      <c r="D979" t="s">
        <v>2200</v>
      </c>
      <c r="E979" t="s">
        <v>4038</v>
      </c>
    </row>
    <row r="980" spans="1:5" x14ac:dyDescent="0.25">
      <c r="A980" t="s">
        <v>1425</v>
      </c>
      <c r="B980" t="s">
        <v>4099</v>
      </c>
      <c r="C980" t="s">
        <v>4100</v>
      </c>
      <c r="D980" t="s">
        <v>2200</v>
      </c>
      <c r="E980" t="s">
        <v>4032</v>
      </c>
    </row>
    <row r="981" spans="1:5" x14ac:dyDescent="0.25">
      <c r="A981" t="s">
        <v>1425</v>
      </c>
      <c r="B981" t="s">
        <v>4101</v>
      </c>
      <c r="C981" t="s">
        <v>1380</v>
      </c>
      <c r="D981" t="s">
        <v>2200</v>
      </c>
      <c r="E981" t="s">
        <v>4030</v>
      </c>
    </row>
    <row r="982" spans="1:5" x14ac:dyDescent="0.25">
      <c r="A982" t="s">
        <v>1425</v>
      </c>
      <c r="B982" t="s">
        <v>4102</v>
      </c>
      <c r="C982" t="s">
        <v>4103</v>
      </c>
      <c r="D982" t="s">
        <v>2200</v>
      </c>
      <c r="E982" t="s">
        <v>4028</v>
      </c>
    </row>
    <row r="983" spans="1:5" x14ac:dyDescent="0.25">
      <c r="A983" t="s">
        <v>1425</v>
      </c>
      <c r="B983" t="s">
        <v>4104</v>
      </c>
      <c r="C983" t="s">
        <v>1424</v>
      </c>
      <c r="D983" t="s">
        <v>2200</v>
      </c>
      <c r="E983" t="s">
        <v>4040</v>
      </c>
    </row>
    <row r="984" spans="1:5" x14ac:dyDescent="0.25">
      <c r="A984" t="s">
        <v>1425</v>
      </c>
      <c r="B984" t="s">
        <v>4105</v>
      </c>
      <c r="C984" t="s">
        <v>4106</v>
      </c>
      <c r="D984" t="s">
        <v>2200</v>
      </c>
      <c r="E984" t="s">
        <v>4028</v>
      </c>
    </row>
    <row r="985" spans="1:5" x14ac:dyDescent="0.25">
      <c r="A985" t="s">
        <v>1428</v>
      </c>
      <c r="B985" t="s">
        <v>4107</v>
      </c>
      <c r="C985" t="s">
        <v>4108</v>
      </c>
      <c r="D985" t="s">
        <v>2200</v>
      </c>
      <c r="E985" t="s">
        <v>2170</v>
      </c>
    </row>
    <row r="986" spans="1:5" x14ac:dyDescent="0.25">
      <c r="A986" t="s">
        <v>1428</v>
      </c>
      <c r="B986" t="s">
        <v>4109</v>
      </c>
      <c r="C986" t="s">
        <v>4110</v>
      </c>
      <c r="D986" t="s">
        <v>2200</v>
      </c>
      <c r="E986" t="s">
        <v>2170</v>
      </c>
    </row>
    <row r="987" spans="1:5" x14ac:dyDescent="0.25">
      <c r="A987" t="s">
        <v>1428</v>
      </c>
      <c r="B987" t="s">
        <v>4111</v>
      </c>
      <c r="C987" t="s">
        <v>4112</v>
      </c>
      <c r="D987" t="s">
        <v>2200</v>
      </c>
      <c r="E987" t="s">
        <v>2170</v>
      </c>
    </row>
    <row r="988" spans="1:5" x14ac:dyDescent="0.25">
      <c r="A988" t="s">
        <v>1428</v>
      </c>
      <c r="B988" t="s">
        <v>4113</v>
      </c>
      <c r="C988" t="s">
        <v>4114</v>
      </c>
      <c r="D988" t="s">
        <v>2200</v>
      </c>
      <c r="E988" t="s">
        <v>2170</v>
      </c>
    </row>
    <row r="989" spans="1:5" x14ac:dyDescent="0.25">
      <c r="A989" t="s">
        <v>1428</v>
      </c>
      <c r="B989" t="s">
        <v>4115</v>
      </c>
      <c r="C989" t="s">
        <v>4116</v>
      </c>
      <c r="D989" t="s">
        <v>2200</v>
      </c>
      <c r="E989" t="s">
        <v>2170</v>
      </c>
    </row>
    <row r="990" spans="1:5" x14ac:dyDescent="0.25">
      <c r="A990" t="s">
        <v>1428</v>
      </c>
      <c r="B990" t="s">
        <v>4117</v>
      </c>
      <c r="C990" t="s">
        <v>4118</v>
      </c>
      <c r="D990" t="s">
        <v>2200</v>
      </c>
      <c r="E990" t="s">
        <v>2170</v>
      </c>
    </row>
    <row r="991" spans="1:5" x14ac:dyDescent="0.25">
      <c r="A991" t="s">
        <v>1428</v>
      </c>
      <c r="B991" t="s">
        <v>4119</v>
      </c>
      <c r="C991" t="s">
        <v>4120</v>
      </c>
      <c r="D991" t="s">
        <v>2200</v>
      </c>
      <c r="E991" t="s">
        <v>2170</v>
      </c>
    </row>
    <row r="992" spans="1:5" x14ac:dyDescent="0.25">
      <c r="A992" t="s">
        <v>1428</v>
      </c>
      <c r="B992" t="s">
        <v>4121</v>
      </c>
      <c r="C992" t="s">
        <v>4122</v>
      </c>
      <c r="D992" t="s">
        <v>2200</v>
      </c>
      <c r="E992" t="s">
        <v>2170</v>
      </c>
    </row>
    <row r="993" spans="1:5" x14ac:dyDescent="0.25">
      <c r="A993" t="s">
        <v>1428</v>
      </c>
      <c r="B993" t="s">
        <v>4123</v>
      </c>
      <c r="C993" t="s">
        <v>4124</v>
      </c>
      <c r="D993" t="s">
        <v>2200</v>
      </c>
      <c r="E993" t="s">
        <v>2170</v>
      </c>
    </row>
    <row r="994" spans="1:5" x14ac:dyDescent="0.25">
      <c r="A994" t="s">
        <v>1428</v>
      </c>
      <c r="B994" t="s">
        <v>4125</v>
      </c>
      <c r="C994" t="s">
        <v>4126</v>
      </c>
      <c r="D994" t="s">
        <v>2200</v>
      </c>
      <c r="E994" t="s">
        <v>2170</v>
      </c>
    </row>
    <row r="995" spans="1:5" x14ac:dyDescent="0.25">
      <c r="A995" t="s">
        <v>1428</v>
      </c>
      <c r="B995" t="s">
        <v>4127</v>
      </c>
      <c r="C995" t="s">
        <v>4128</v>
      </c>
      <c r="D995" t="s">
        <v>2200</v>
      </c>
      <c r="E995" t="s">
        <v>2170</v>
      </c>
    </row>
    <row r="996" spans="1:5" x14ac:dyDescent="0.25">
      <c r="A996" t="s">
        <v>1428</v>
      </c>
      <c r="B996" t="s">
        <v>4129</v>
      </c>
      <c r="C996" t="s">
        <v>4130</v>
      </c>
      <c r="D996" t="s">
        <v>2200</v>
      </c>
      <c r="E996" t="s">
        <v>2170</v>
      </c>
    </row>
    <row r="997" spans="1:5" x14ac:dyDescent="0.25">
      <c r="A997" t="s">
        <v>1428</v>
      </c>
      <c r="B997" t="s">
        <v>4131</v>
      </c>
      <c r="C997" t="s">
        <v>4132</v>
      </c>
      <c r="D997" t="s">
        <v>2200</v>
      </c>
      <c r="E997" t="s">
        <v>2170</v>
      </c>
    </row>
    <row r="998" spans="1:5" x14ac:dyDescent="0.25">
      <c r="A998" t="s">
        <v>1428</v>
      </c>
      <c r="B998" t="s">
        <v>4133</v>
      </c>
      <c r="C998" t="s">
        <v>4134</v>
      </c>
      <c r="D998" t="s">
        <v>2200</v>
      </c>
      <c r="E998" t="s">
        <v>2170</v>
      </c>
    </row>
    <row r="999" spans="1:5" x14ac:dyDescent="0.25">
      <c r="A999" t="s">
        <v>1428</v>
      </c>
      <c r="B999" t="s">
        <v>4135</v>
      </c>
      <c r="C999" t="s">
        <v>4136</v>
      </c>
      <c r="D999" t="s">
        <v>2200</v>
      </c>
      <c r="E999" t="s">
        <v>2170</v>
      </c>
    </row>
    <row r="1000" spans="1:5" x14ac:dyDescent="0.25">
      <c r="A1000" t="s">
        <v>1428</v>
      </c>
      <c r="B1000" t="s">
        <v>4137</v>
      </c>
      <c r="C1000" t="s">
        <v>4138</v>
      </c>
      <c r="D1000" t="s">
        <v>2200</v>
      </c>
      <c r="E1000" t="s">
        <v>2170</v>
      </c>
    </row>
    <row r="1001" spans="1:5" x14ac:dyDescent="0.25">
      <c r="A1001" t="s">
        <v>1428</v>
      </c>
      <c r="B1001" t="s">
        <v>4139</v>
      </c>
      <c r="C1001" t="s">
        <v>4140</v>
      </c>
      <c r="D1001" t="s">
        <v>2200</v>
      </c>
      <c r="E1001" t="s">
        <v>2170</v>
      </c>
    </row>
    <row r="1002" spans="1:5" x14ac:dyDescent="0.25">
      <c r="A1002" t="s">
        <v>1428</v>
      </c>
      <c r="B1002" t="s">
        <v>4141</v>
      </c>
      <c r="C1002" t="s">
        <v>4142</v>
      </c>
      <c r="D1002" t="s">
        <v>2200</v>
      </c>
      <c r="E1002" t="s">
        <v>2170</v>
      </c>
    </row>
    <row r="1003" spans="1:5" x14ac:dyDescent="0.25">
      <c r="A1003" t="s">
        <v>1428</v>
      </c>
      <c r="B1003" t="s">
        <v>4143</v>
      </c>
      <c r="C1003" t="s">
        <v>4144</v>
      </c>
      <c r="D1003" t="s">
        <v>2200</v>
      </c>
      <c r="E1003" t="s">
        <v>2170</v>
      </c>
    </row>
    <row r="1004" spans="1:5" x14ac:dyDescent="0.25">
      <c r="A1004" t="s">
        <v>1428</v>
      </c>
      <c r="B1004" t="s">
        <v>4145</v>
      </c>
      <c r="C1004" t="s">
        <v>4146</v>
      </c>
      <c r="D1004" t="s">
        <v>2200</v>
      </c>
      <c r="E1004" t="s">
        <v>2170</v>
      </c>
    </row>
    <row r="1005" spans="1:5" x14ac:dyDescent="0.25">
      <c r="A1005" t="s">
        <v>1428</v>
      </c>
      <c r="B1005" t="s">
        <v>4147</v>
      </c>
      <c r="C1005" t="s">
        <v>4148</v>
      </c>
      <c r="D1005" t="s">
        <v>2200</v>
      </c>
      <c r="E1005" t="s">
        <v>2170</v>
      </c>
    </row>
    <row r="1006" spans="1:5" x14ac:dyDescent="0.25">
      <c r="A1006" t="s">
        <v>1428</v>
      </c>
      <c r="B1006" t="s">
        <v>4149</v>
      </c>
      <c r="C1006" t="s">
        <v>4150</v>
      </c>
      <c r="D1006" t="s">
        <v>2200</v>
      </c>
      <c r="E1006" t="s">
        <v>2170</v>
      </c>
    </row>
    <row r="1007" spans="1:5" x14ac:dyDescent="0.25">
      <c r="A1007" t="s">
        <v>1428</v>
      </c>
      <c r="B1007" t="s">
        <v>4151</v>
      </c>
      <c r="C1007" t="s">
        <v>4152</v>
      </c>
      <c r="D1007" t="s">
        <v>2200</v>
      </c>
      <c r="E1007" t="s">
        <v>2170</v>
      </c>
    </row>
    <row r="1008" spans="1:5" x14ac:dyDescent="0.25">
      <c r="A1008" t="s">
        <v>1428</v>
      </c>
      <c r="B1008" t="s">
        <v>4153</v>
      </c>
      <c r="C1008" t="s">
        <v>4154</v>
      </c>
      <c r="D1008" t="s">
        <v>2200</v>
      </c>
      <c r="E1008" t="s">
        <v>2170</v>
      </c>
    </row>
    <row r="1009" spans="1:5" x14ac:dyDescent="0.25">
      <c r="A1009" t="s">
        <v>1428</v>
      </c>
      <c r="B1009" t="s">
        <v>4155</v>
      </c>
      <c r="C1009" t="s">
        <v>4156</v>
      </c>
      <c r="D1009" t="s">
        <v>2200</v>
      </c>
      <c r="E1009" t="s">
        <v>2170</v>
      </c>
    </row>
    <row r="1010" spans="1:5" x14ac:dyDescent="0.25">
      <c r="A1010" t="s">
        <v>1428</v>
      </c>
      <c r="B1010" t="s">
        <v>4157</v>
      </c>
      <c r="C1010" t="s">
        <v>4158</v>
      </c>
      <c r="D1010" t="s">
        <v>2200</v>
      </c>
      <c r="E1010" t="s">
        <v>2170</v>
      </c>
    </row>
    <row r="1011" spans="1:5" x14ac:dyDescent="0.25">
      <c r="A1011" t="s">
        <v>1428</v>
      </c>
      <c r="B1011" t="s">
        <v>4159</v>
      </c>
      <c r="C1011" t="s">
        <v>4160</v>
      </c>
      <c r="D1011" t="s">
        <v>2200</v>
      </c>
      <c r="E1011" t="s">
        <v>2170</v>
      </c>
    </row>
    <row r="1012" spans="1:5" x14ac:dyDescent="0.25">
      <c r="A1012" t="s">
        <v>1428</v>
      </c>
      <c r="B1012" t="s">
        <v>4161</v>
      </c>
      <c r="C1012" t="s">
        <v>4162</v>
      </c>
      <c r="D1012" t="s">
        <v>2200</v>
      </c>
      <c r="E1012" t="s">
        <v>2170</v>
      </c>
    </row>
    <row r="1013" spans="1:5" x14ac:dyDescent="0.25">
      <c r="A1013" t="s">
        <v>1428</v>
      </c>
      <c r="B1013" t="s">
        <v>4163</v>
      </c>
      <c r="C1013" t="s">
        <v>4164</v>
      </c>
      <c r="D1013" t="s">
        <v>2200</v>
      </c>
      <c r="E1013" t="s">
        <v>2170</v>
      </c>
    </row>
    <row r="1014" spans="1:5" x14ac:dyDescent="0.25">
      <c r="A1014" t="s">
        <v>1428</v>
      </c>
      <c r="B1014" t="s">
        <v>4165</v>
      </c>
      <c r="C1014" t="s">
        <v>4166</v>
      </c>
      <c r="D1014" t="s">
        <v>2200</v>
      </c>
      <c r="E1014" t="s">
        <v>2170</v>
      </c>
    </row>
    <row r="1015" spans="1:5" x14ac:dyDescent="0.25">
      <c r="A1015" t="s">
        <v>1428</v>
      </c>
      <c r="B1015" t="s">
        <v>4167</v>
      </c>
      <c r="C1015" t="s">
        <v>4168</v>
      </c>
      <c r="D1015" t="s">
        <v>2200</v>
      </c>
      <c r="E1015" t="s">
        <v>2170</v>
      </c>
    </row>
    <row r="1016" spans="1:5" x14ac:dyDescent="0.25">
      <c r="A1016" t="s">
        <v>1428</v>
      </c>
      <c r="B1016" t="s">
        <v>4169</v>
      </c>
      <c r="C1016" t="s">
        <v>4170</v>
      </c>
      <c r="D1016" t="s">
        <v>2200</v>
      </c>
      <c r="E1016" t="s">
        <v>2170</v>
      </c>
    </row>
    <row r="1017" spans="1:5" x14ac:dyDescent="0.25">
      <c r="A1017" t="s">
        <v>1428</v>
      </c>
      <c r="B1017" t="s">
        <v>4171</v>
      </c>
      <c r="C1017" t="s">
        <v>4172</v>
      </c>
      <c r="D1017" t="s">
        <v>2200</v>
      </c>
      <c r="E1017" t="s">
        <v>2170</v>
      </c>
    </row>
    <row r="1018" spans="1:5" x14ac:dyDescent="0.25">
      <c r="A1018" t="s">
        <v>1428</v>
      </c>
      <c r="B1018" t="s">
        <v>4173</v>
      </c>
      <c r="C1018" t="s">
        <v>4174</v>
      </c>
      <c r="D1018" t="s">
        <v>2200</v>
      </c>
      <c r="E1018" t="s">
        <v>2170</v>
      </c>
    </row>
    <row r="1019" spans="1:5" x14ac:dyDescent="0.25">
      <c r="A1019" t="s">
        <v>1428</v>
      </c>
      <c r="B1019" t="s">
        <v>4175</v>
      </c>
      <c r="C1019" t="s">
        <v>4176</v>
      </c>
      <c r="D1019" t="s">
        <v>2200</v>
      </c>
      <c r="E1019" t="s">
        <v>2170</v>
      </c>
    </row>
    <row r="1020" spans="1:5" x14ac:dyDescent="0.25">
      <c r="A1020" t="s">
        <v>1428</v>
      </c>
      <c r="B1020" t="s">
        <v>4177</v>
      </c>
      <c r="C1020" t="s">
        <v>4178</v>
      </c>
      <c r="D1020" t="s">
        <v>2200</v>
      </c>
      <c r="E1020" t="s">
        <v>2170</v>
      </c>
    </row>
    <row r="1021" spans="1:5" x14ac:dyDescent="0.25">
      <c r="A1021" t="s">
        <v>1428</v>
      </c>
      <c r="B1021" t="s">
        <v>4179</v>
      </c>
      <c r="C1021" t="s">
        <v>4180</v>
      </c>
      <c r="D1021" t="s">
        <v>2200</v>
      </c>
      <c r="E1021" t="s">
        <v>2170</v>
      </c>
    </row>
    <row r="1022" spans="1:5" x14ac:dyDescent="0.25">
      <c r="A1022" t="s">
        <v>1428</v>
      </c>
      <c r="B1022" t="s">
        <v>4181</v>
      </c>
      <c r="C1022" t="s">
        <v>4182</v>
      </c>
      <c r="D1022" t="s">
        <v>2200</v>
      </c>
      <c r="E1022" t="s">
        <v>2170</v>
      </c>
    </row>
    <row r="1023" spans="1:5" x14ac:dyDescent="0.25">
      <c r="A1023" t="s">
        <v>1428</v>
      </c>
      <c r="B1023" t="s">
        <v>4183</v>
      </c>
      <c r="C1023" t="s">
        <v>4184</v>
      </c>
      <c r="D1023" t="s">
        <v>2200</v>
      </c>
      <c r="E1023" t="s">
        <v>2170</v>
      </c>
    </row>
    <row r="1024" spans="1:5" x14ac:dyDescent="0.25">
      <c r="A1024" t="s">
        <v>1428</v>
      </c>
      <c r="B1024" t="s">
        <v>4185</v>
      </c>
      <c r="C1024" t="s">
        <v>4186</v>
      </c>
      <c r="D1024" t="s">
        <v>2200</v>
      </c>
      <c r="E1024" t="s">
        <v>2170</v>
      </c>
    </row>
    <row r="1025" spans="1:5" x14ac:dyDescent="0.25">
      <c r="A1025" t="s">
        <v>1428</v>
      </c>
      <c r="B1025" t="s">
        <v>4187</v>
      </c>
      <c r="C1025" t="s">
        <v>4188</v>
      </c>
      <c r="D1025" t="s">
        <v>2200</v>
      </c>
      <c r="E1025" t="s">
        <v>2170</v>
      </c>
    </row>
    <row r="1026" spans="1:5" x14ac:dyDescent="0.25">
      <c r="A1026" t="s">
        <v>1428</v>
      </c>
      <c r="B1026" t="s">
        <v>4189</v>
      </c>
      <c r="C1026" t="s">
        <v>4190</v>
      </c>
      <c r="D1026" t="s">
        <v>2200</v>
      </c>
      <c r="E1026" t="s">
        <v>2170</v>
      </c>
    </row>
    <row r="1027" spans="1:5" x14ac:dyDescent="0.25">
      <c r="A1027" t="s">
        <v>1428</v>
      </c>
      <c r="B1027" t="s">
        <v>4191</v>
      </c>
      <c r="C1027" t="s">
        <v>4192</v>
      </c>
      <c r="D1027" t="s">
        <v>2200</v>
      </c>
      <c r="E1027" t="s">
        <v>2170</v>
      </c>
    </row>
    <row r="1028" spans="1:5" x14ac:dyDescent="0.25">
      <c r="A1028" t="s">
        <v>1428</v>
      </c>
      <c r="B1028" t="s">
        <v>4193</v>
      </c>
      <c r="C1028" t="s">
        <v>4194</v>
      </c>
      <c r="D1028" t="s">
        <v>2200</v>
      </c>
      <c r="E1028" t="s">
        <v>2170</v>
      </c>
    </row>
    <row r="1029" spans="1:5" x14ac:dyDescent="0.25">
      <c r="A1029" t="s">
        <v>1428</v>
      </c>
      <c r="B1029" t="s">
        <v>4195</v>
      </c>
      <c r="C1029" t="s">
        <v>4196</v>
      </c>
      <c r="D1029" t="s">
        <v>2200</v>
      </c>
      <c r="E1029" t="s">
        <v>2170</v>
      </c>
    </row>
    <row r="1030" spans="1:5" x14ac:dyDescent="0.25">
      <c r="A1030" t="s">
        <v>1428</v>
      </c>
      <c r="B1030" t="s">
        <v>4197</v>
      </c>
      <c r="C1030" t="s">
        <v>4198</v>
      </c>
      <c r="D1030" t="s">
        <v>2200</v>
      </c>
      <c r="E1030" t="s">
        <v>2170</v>
      </c>
    </row>
    <row r="1031" spans="1:5" x14ac:dyDescent="0.25">
      <c r="A1031" t="s">
        <v>1428</v>
      </c>
      <c r="B1031" t="s">
        <v>4199</v>
      </c>
      <c r="C1031" t="s">
        <v>4200</v>
      </c>
      <c r="D1031" t="s">
        <v>2200</v>
      </c>
      <c r="E1031" t="s">
        <v>2170</v>
      </c>
    </row>
    <row r="1032" spans="1:5" x14ac:dyDescent="0.25">
      <c r="A1032" t="s">
        <v>1428</v>
      </c>
      <c r="B1032" t="s">
        <v>4201</v>
      </c>
      <c r="C1032" t="s">
        <v>4202</v>
      </c>
      <c r="D1032" t="s">
        <v>2200</v>
      </c>
      <c r="E1032" t="s">
        <v>2170</v>
      </c>
    </row>
    <row r="1033" spans="1:5" x14ac:dyDescent="0.25">
      <c r="A1033" t="s">
        <v>1428</v>
      </c>
      <c r="B1033" t="s">
        <v>4203</v>
      </c>
      <c r="C1033" t="s">
        <v>4204</v>
      </c>
      <c r="D1033" t="s">
        <v>2200</v>
      </c>
      <c r="E1033" t="s">
        <v>2170</v>
      </c>
    </row>
    <row r="1034" spans="1:5" x14ac:dyDescent="0.25">
      <c r="A1034" t="s">
        <v>1428</v>
      </c>
      <c r="B1034" t="s">
        <v>4205</v>
      </c>
      <c r="C1034" t="s">
        <v>4206</v>
      </c>
      <c r="D1034" t="s">
        <v>2200</v>
      </c>
      <c r="E1034" t="s">
        <v>2170</v>
      </c>
    </row>
    <row r="1035" spans="1:5" x14ac:dyDescent="0.25">
      <c r="A1035" t="s">
        <v>1428</v>
      </c>
      <c r="B1035" t="s">
        <v>4207</v>
      </c>
      <c r="C1035" t="s">
        <v>4208</v>
      </c>
      <c r="D1035" t="s">
        <v>2200</v>
      </c>
      <c r="E1035" t="s">
        <v>2170</v>
      </c>
    </row>
    <row r="1036" spans="1:5" x14ac:dyDescent="0.25">
      <c r="A1036" t="s">
        <v>1428</v>
      </c>
      <c r="B1036" t="s">
        <v>4209</v>
      </c>
      <c r="C1036" t="s">
        <v>4210</v>
      </c>
      <c r="D1036" t="s">
        <v>2200</v>
      </c>
      <c r="E1036" t="s">
        <v>2170</v>
      </c>
    </row>
    <row r="1037" spans="1:5" x14ac:dyDescent="0.25">
      <c r="A1037" t="s">
        <v>1428</v>
      </c>
      <c r="B1037" t="s">
        <v>4211</v>
      </c>
      <c r="C1037" t="s">
        <v>4212</v>
      </c>
      <c r="D1037" t="s">
        <v>2200</v>
      </c>
      <c r="E1037" t="s">
        <v>2170</v>
      </c>
    </row>
    <row r="1038" spans="1:5" x14ac:dyDescent="0.25">
      <c r="A1038" t="s">
        <v>1428</v>
      </c>
      <c r="B1038" t="s">
        <v>4213</v>
      </c>
      <c r="C1038" t="s">
        <v>4214</v>
      </c>
      <c r="D1038" t="s">
        <v>2200</v>
      </c>
      <c r="E1038" t="s">
        <v>2170</v>
      </c>
    </row>
    <row r="1039" spans="1:5" x14ac:dyDescent="0.25">
      <c r="A1039" t="s">
        <v>1428</v>
      </c>
      <c r="B1039" t="s">
        <v>4215</v>
      </c>
      <c r="C1039" t="s">
        <v>4216</v>
      </c>
      <c r="D1039" t="s">
        <v>2200</v>
      </c>
      <c r="E1039" t="s">
        <v>2170</v>
      </c>
    </row>
    <row r="1040" spans="1:5" x14ac:dyDescent="0.25">
      <c r="A1040" t="s">
        <v>1428</v>
      </c>
      <c r="B1040" t="s">
        <v>4217</v>
      </c>
      <c r="C1040" t="s">
        <v>4218</v>
      </c>
      <c r="D1040" t="s">
        <v>2200</v>
      </c>
      <c r="E1040" t="s">
        <v>2170</v>
      </c>
    </row>
    <row r="1041" spans="1:5" x14ac:dyDescent="0.25">
      <c r="A1041" t="s">
        <v>1428</v>
      </c>
      <c r="B1041" t="s">
        <v>4219</v>
      </c>
      <c r="C1041" t="s">
        <v>4220</v>
      </c>
      <c r="D1041" t="s">
        <v>2200</v>
      </c>
      <c r="E1041" t="s">
        <v>2170</v>
      </c>
    </row>
    <row r="1042" spans="1:5" x14ac:dyDescent="0.25">
      <c r="A1042" t="s">
        <v>1428</v>
      </c>
      <c r="B1042" t="s">
        <v>4221</v>
      </c>
      <c r="C1042" t="s">
        <v>4222</v>
      </c>
      <c r="D1042" t="s">
        <v>2200</v>
      </c>
      <c r="E1042" t="s">
        <v>2170</v>
      </c>
    </row>
    <row r="1043" spans="1:5" x14ac:dyDescent="0.25">
      <c r="A1043" t="s">
        <v>1431</v>
      </c>
      <c r="B1043" t="s">
        <v>4223</v>
      </c>
      <c r="C1043" t="s">
        <v>4224</v>
      </c>
      <c r="D1043" t="s">
        <v>2200</v>
      </c>
      <c r="E1043" t="s">
        <v>2170</v>
      </c>
    </row>
    <row r="1044" spans="1:5" x14ac:dyDescent="0.25">
      <c r="A1044" t="s">
        <v>1431</v>
      </c>
      <c r="B1044" t="s">
        <v>4225</v>
      </c>
      <c r="C1044" t="s">
        <v>3619</v>
      </c>
      <c r="D1044" t="s">
        <v>2200</v>
      </c>
      <c r="E1044" t="s">
        <v>2170</v>
      </c>
    </row>
    <row r="1045" spans="1:5" x14ac:dyDescent="0.25">
      <c r="A1045" t="s">
        <v>1431</v>
      </c>
      <c r="B1045" t="s">
        <v>4226</v>
      </c>
      <c r="C1045" t="s">
        <v>4227</v>
      </c>
      <c r="D1045" t="s">
        <v>2200</v>
      </c>
      <c r="E1045" t="s">
        <v>2170</v>
      </c>
    </row>
    <row r="1046" spans="1:5" x14ac:dyDescent="0.25">
      <c r="A1046" t="s">
        <v>1431</v>
      </c>
      <c r="B1046" t="s">
        <v>4228</v>
      </c>
      <c r="C1046" t="s">
        <v>4229</v>
      </c>
      <c r="D1046" t="s">
        <v>2200</v>
      </c>
      <c r="E1046" t="s">
        <v>2170</v>
      </c>
    </row>
    <row r="1047" spans="1:5" x14ac:dyDescent="0.25">
      <c r="A1047" t="s">
        <v>1431</v>
      </c>
      <c r="B1047" t="s">
        <v>4230</v>
      </c>
      <c r="C1047" t="s">
        <v>4231</v>
      </c>
      <c r="D1047" t="s">
        <v>2200</v>
      </c>
      <c r="E1047" t="s">
        <v>2170</v>
      </c>
    </row>
    <row r="1048" spans="1:5" x14ac:dyDescent="0.25">
      <c r="A1048" t="s">
        <v>1431</v>
      </c>
      <c r="B1048" t="s">
        <v>4232</v>
      </c>
      <c r="C1048" t="s">
        <v>4233</v>
      </c>
      <c r="D1048" t="s">
        <v>2200</v>
      </c>
      <c r="E1048" t="s">
        <v>2170</v>
      </c>
    </row>
    <row r="1049" spans="1:5" x14ac:dyDescent="0.25">
      <c r="A1049" t="s">
        <v>1431</v>
      </c>
      <c r="B1049" t="s">
        <v>4234</v>
      </c>
      <c r="C1049" t="s">
        <v>4235</v>
      </c>
      <c r="D1049" t="s">
        <v>2200</v>
      </c>
      <c r="E1049" t="s">
        <v>2170</v>
      </c>
    </row>
    <row r="1050" spans="1:5" x14ac:dyDescent="0.25">
      <c r="A1050" t="s">
        <v>1431</v>
      </c>
      <c r="B1050" t="s">
        <v>4236</v>
      </c>
      <c r="C1050" t="s">
        <v>4237</v>
      </c>
      <c r="D1050" t="s">
        <v>2200</v>
      </c>
      <c r="E1050" t="s">
        <v>2170</v>
      </c>
    </row>
    <row r="1051" spans="1:5" x14ac:dyDescent="0.25">
      <c r="A1051" t="s">
        <v>1431</v>
      </c>
      <c r="B1051" t="s">
        <v>4238</v>
      </c>
      <c r="C1051" t="s">
        <v>4239</v>
      </c>
      <c r="D1051" t="s">
        <v>2200</v>
      </c>
      <c r="E1051" t="s">
        <v>2170</v>
      </c>
    </row>
    <row r="1052" spans="1:5" x14ac:dyDescent="0.25">
      <c r="A1052" t="s">
        <v>1431</v>
      </c>
      <c r="B1052" t="s">
        <v>4240</v>
      </c>
      <c r="C1052" t="s">
        <v>4241</v>
      </c>
      <c r="D1052" t="s">
        <v>2200</v>
      </c>
      <c r="E1052" t="s">
        <v>2170</v>
      </c>
    </row>
    <row r="1053" spans="1:5" x14ac:dyDescent="0.25">
      <c r="A1053" t="s">
        <v>1431</v>
      </c>
      <c r="B1053" t="s">
        <v>4242</v>
      </c>
      <c r="C1053" t="s">
        <v>4243</v>
      </c>
      <c r="D1053" t="s">
        <v>2200</v>
      </c>
      <c r="E1053" t="s">
        <v>2170</v>
      </c>
    </row>
    <row r="1054" spans="1:5" x14ac:dyDescent="0.25">
      <c r="A1054" t="s">
        <v>1431</v>
      </c>
      <c r="B1054" t="s">
        <v>4244</v>
      </c>
      <c r="C1054" t="s">
        <v>4245</v>
      </c>
      <c r="D1054" t="s">
        <v>2200</v>
      </c>
      <c r="E1054" t="s">
        <v>2170</v>
      </c>
    </row>
    <row r="1055" spans="1:5" x14ac:dyDescent="0.25">
      <c r="A1055" t="s">
        <v>1431</v>
      </c>
      <c r="B1055" t="s">
        <v>4246</v>
      </c>
      <c r="C1055" t="s">
        <v>3510</v>
      </c>
      <c r="D1055" t="s">
        <v>2200</v>
      </c>
      <c r="E1055" t="s">
        <v>2170</v>
      </c>
    </row>
    <row r="1056" spans="1:5" x14ac:dyDescent="0.25">
      <c r="A1056" t="s">
        <v>1431</v>
      </c>
      <c r="B1056" t="s">
        <v>4247</v>
      </c>
      <c r="C1056" t="s">
        <v>4248</v>
      </c>
      <c r="D1056" t="s">
        <v>2200</v>
      </c>
      <c r="E1056" t="s">
        <v>2170</v>
      </c>
    </row>
    <row r="1057" spans="1:5" x14ac:dyDescent="0.25">
      <c r="A1057" t="s">
        <v>1431</v>
      </c>
      <c r="B1057" t="s">
        <v>4249</v>
      </c>
      <c r="C1057" t="s">
        <v>4250</v>
      </c>
      <c r="D1057" t="s">
        <v>2200</v>
      </c>
      <c r="E1057" t="s">
        <v>2170</v>
      </c>
    </row>
    <row r="1058" spans="1:5" x14ac:dyDescent="0.25">
      <c r="A1058" t="s">
        <v>1431</v>
      </c>
      <c r="B1058" t="s">
        <v>4251</v>
      </c>
      <c r="C1058" t="s">
        <v>4252</v>
      </c>
      <c r="D1058" t="s">
        <v>2200</v>
      </c>
      <c r="E1058" t="s">
        <v>2170</v>
      </c>
    </row>
    <row r="1059" spans="1:5" x14ac:dyDescent="0.25">
      <c r="A1059" t="s">
        <v>1431</v>
      </c>
      <c r="B1059" t="s">
        <v>4253</v>
      </c>
      <c r="C1059" t="s">
        <v>4254</v>
      </c>
      <c r="D1059" t="s">
        <v>2200</v>
      </c>
      <c r="E1059" t="s">
        <v>2170</v>
      </c>
    </row>
    <row r="1060" spans="1:5" x14ac:dyDescent="0.25">
      <c r="A1060" t="s">
        <v>1431</v>
      </c>
      <c r="B1060" t="s">
        <v>4255</v>
      </c>
      <c r="C1060" t="s">
        <v>4256</v>
      </c>
      <c r="D1060" t="s">
        <v>2200</v>
      </c>
      <c r="E1060" t="s">
        <v>2170</v>
      </c>
    </row>
    <row r="1061" spans="1:5" x14ac:dyDescent="0.25">
      <c r="A1061" t="s">
        <v>1431</v>
      </c>
      <c r="B1061" t="s">
        <v>4257</v>
      </c>
      <c r="C1061" t="s">
        <v>4258</v>
      </c>
      <c r="D1061" t="s">
        <v>2200</v>
      </c>
      <c r="E1061" t="s">
        <v>2170</v>
      </c>
    </row>
    <row r="1062" spans="1:5" x14ac:dyDescent="0.25">
      <c r="A1062" t="s">
        <v>1431</v>
      </c>
      <c r="B1062" t="s">
        <v>4259</v>
      </c>
      <c r="C1062" t="s">
        <v>4260</v>
      </c>
      <c r="D1062" t="s">
        <v>2200</v>
      </c>
      <c r="E1062" t="s">
        <v>2170</v>
      </c>
    </row>
    <row r="1063" spans="1:5" x14ac:dyDescent="0.25">
      <c r="A1063" t="s">
        <v>1431</v>
      </c>
      <c r="B1063" t="s">
        <v>4261</v>
      </c>
      <c r="C1063" t="s">
        <v>4262</v>
      </c>
      <c r="D1063" t="s">
        <v>2200</v>
      </c>
      <c r="E1063" t="s">
        <v>2170</v>
      </c>
    </row>
    <row r="1064" spans="1:5" x14ac:dyDescent="0.25">
      <c r="A1064" t="s">
        <v>1431</v>
      </c>
      <c r="B1064" t="s">
        <v>4263</v>
      </c>
      <c r="C1064" t="s">
        <v>4264</v>
      </c>
      <c r="D1064" t="s">
        <v>2200</v>
      </c>
      <c r="E1064" t="s">
        <v>2170</v>
      </c>
    </row>
    <row r="1065" spans="1:5" x14ac:dyDescent="0.25">
      <c r="A1065" t="s">
        <v>1431</v>
      </c>
      <c r="B1065" t="s">
        <v>4265</v>
      </c>
      <c r="C1065" t="s">
        <v>4266</v>
      </c>
      <c r="D1065" t="s">
        <v>2200</v>
      </c>
      <c r="E1065" t="s">
        <v>2170</v>
      </c>
    </row>
    <row r="1066" spans="1:5" x14ac:dyDescent="0.25">
      <c r="A1066" t="s">
        <v>1431</v>
      </c>
      <c r="B1066" t="s">
        <v>4267</v>
      </c>
      <c r="C1066" t="s">
        <v>4268</v>
      </c>
      <c r="D1066" t="s">
        <v>2200</v>
      </c>
      <c r="E1066" t="s">
        <v>2170</v>
      </c>
    </row>
    <row r="1067" spans="1:5" x14ac:dyDescent="0.25">
      <c r="A1067" t="s">
        <v>1434</v>
      </c>
      <c r="B1067" t="s">
        <v>4269</v>
      </c>
      <c r="C1067" t="s">
        <v>4270</v>
      </c>
      <c r="D1067" t="s">
        <v>2286</v>
      </c>
      <c r="E1067" t="s">
        <v>2170</v>
      </c>
    </row>
    <row r="1068" spans="1:5" x14ac:dyDescent="0.25">
      <c r="A1068" t="s">
        <v>1434</v>
      </c>
      <c r="B1068" t="s">
        <v>4271</v>
      </c>
      <c r="C1068" t="s">
        <v>4272</v>
      </c>
      <c r="D1068" t="s">
        <v>2286</v>
      </c>
      <c r="E1068" t="s">
        <v>2170</v>
      </c>
    </row>
    <row r="1069" spans="1:5" x14ac:dyDescent="0.25">
      <c r="A1069" t="s">
        <v>1434</v>
      </c>
      <c r="B1069" t="s">
        <v>4273</v>
      </c>
      <c r="C1069" t="s">
        <v>4274</v>
      </c>
      <c r="D1069" t="s">
        <v>2286</v>
      </c>
      <c r="E1069" t="s">
        <v>2170</v>
      </c>
    </row>
    <row r="1070" spans="1:5" x14ac:dyDescent="0.25">
      <c r="A1070" t="s">
        <v>1434</v>
      </c>
      <c r="B1070" t="s">
        <v>4275</v>
      </c>
      <c r="C1070" t="s">
        <v>4276</v>
      </c>
      <c r="D1070" t="s">
        <v>2286</v>
      </c>
      <c r="E1070" t="s">
        <v>2170</v>
      </c>
    </row>
    <row r="1071" spans="1:5" x14ac:dyDescent="0.25">
      <c r="A1071" t="s">
        <v>1434</v>
      </c>
      <c r="B1071" t="s">
        <v>4277</v>
      </c>
      <c r="C1071" t="s">
        <v>4278</v>
      </c>
      <c r="D1071" t="s">
        <v>2286</v>
      </c>
      <c r="E1071" t="s">
        <v>2170</v>
      </c>
    </row>
    <row r="1072" spans="1:5" x14ac:dyDescent="0.25">
      <c r="A1072" t="s">
        <v>1434</v>
      </c>
      <c r="B1072" t="s">
        <v>4279</v>
      </c>
      <c r="C1072" t="s">
        <v>4280</v>
      </c>
      <c r="D1072" t="s">
        <v>2286</v>
      </c>
      <c r="E1072" t="s">
        <v>2170</v>
      </c>
    </row>
    <row r="1073" spans="1:5" x14ac:dyDescent="0.25">
      <c r="A1073" t="s">
        <v>1434</v>
      </c>
      <c r="B1073" t="s">
        <v>4281</v>
      </c>
      <c r="C1073" t="s">
        <v>4282</v>
      </c>
      <c r="D1073" t="s">
        <v>2286</v>
      </c>
      <c r="E1073" t="s">
        <v>2170</v>
      </c>
    </row>
    <row r="1074" spans="1:5" x14ac:dyDescent="0.25">
      <c r="A1074" t="s">
        <v>1434</v>
      </c>
      <c r="B1074" t="s">
        <v>4283</v>
      </c>
      <c r="C1074" t="s">
        <v>4284</v>
      </c>
      <c r="D1074" t="s">
        <v>2286</v>
      </c>
      <c r="E1074" t="s">
        <v>2170</v>
      </c>
    </row>
    <row r="1075" spans="1:5" x14ac:dyDescent="0.25">
      <c r="A1075" t="s">
        <v>1434</v>
      </c>
      <c r="B1075" t="s">
        <v>4285</v>
      </c>
      <c r="C1075" t="s">
        <v>4286</v>
      </c>
      <c r="D1075" t="s">
        <v>2286</v>
      </c>
      <c r="E1075" t="s">
        <v>2170</v>
      </c>
    </row>
    <row r="1076" spans="1:5" x14ac:dyDescent="0.25">
      <c r="A1076" t="s">
        <v>1434</v>
      </c>
      <c r="B1076" t="s">
        <v>4287</v>
      </c>
      <c r="C1076" t="s">
        <v>4288</v>
      </c>
      <c r="D1076" t="s">
        <v>2286</v>
      </c>
      <c r="E1076" t="s">
        <v>2170</v>
      </c>
    </row>
    <row r="1077" spans="1:5" x14ac:dyDescent="0.25">
      <c r="A1077" t="s">
        <v>1434</v>
      </c>
      <c r="B1077" t="s">
        <v>4289</v>
      </c>
      <c r="C1077" t="s">
        <v>4290</v>
      </c>
      <c r="D1077" t="s">
        <v>2286</v>
      </c>
      <c r="E1077" t="s">
        <v>2170</v>
      </c>
    </row>
    <row r="1078" spans="1:5" x14ac:dyDescent="0.25">
      <c r="A1078" t="s">
        <v>1434</v>
      </c>
      <c r="B1078" t="s">
        <v>4291</v>
      </c>
      <c r="C1078" t="s">
        <v>4292</v>
      </c>
      <c r="D1078" t="s">
        <v>2286</v>
      </c>
      <c r="E1078" t="s">
        <v>2170</v>
      </c>
    </row>
    <row r="1079" spans="1:5" x14ac:dyDescent="0.25">
      <c r="A1079" t="s">
        <v>1434</v>
      </c>
      <c r="B1079" t="s">
        <v>4293</v>
      </c>
      <c r="C1079" t="s">
        <v>4294</v>
      </c>
      <c r="D1079" t="s">
        <v>2286</v>
      </c>
      <c r="E1079" t="s">
        <v>2170</v>
      </c>
    </row>
    <row r="1080" spans="1:5" x14ac:dyDescent="0.25">
      <c r="A1080" t="s">
        <v>1434</v>
      </c>
      <c r="B1080" t="s">
        <v>4295</v>
      </c>
      <c r="C1080" t="s">
        <v>4296</v>
      </c>
      <c r="D1080" t="s">
        <v>2286</v>
      </c>
      <c r="E1080" t="s">
        <v>2170</v>
      </c>
    </row>
    <row r="1081" spans="1:5" x14ac:dyDescent="0.25">
      <c r="A1081" t="s">
        <v>1434</v>
      </c>
      <c r="B1081" t="s">
        <v>4297</v>
      </c>
      <c r="C1081" t="s">
        <v>4298</v>
      </c>
      <c r="D1081" t="s">
        <v>2286</v>
      </c>
      <c r="E1081" t="s">
        <v>2170</v>
      </c>
    </row>
    <row r="1082" spans="1:5" x14ac:dyDescent="0.25">
      <c r="A1082" t="s">
        <v>1434</v>
      </c>
      <c r="B1082" t="s">
        <v>4299</v>
      </c>
      <c r="C1082" t="s">
        <v>4300</v>
      </c>
      <c r="D1082" t="s">
        <v>4301</v>
      </c>
      <c r="E1082" t="s">
        <v>4273</v>
      </c>
    </row>
    <row r="1083" spans="1:5" x14ac:dyDescent="0.25">
      <c r="A1083" t="s">
        <v>1434</v>
      </c>
      <c r="B1083" t="s">
        <v>4302</v>
      </c>
      <c r="C1083" t="s">
        <v>4303</v>
      </c>
      <c r="D1083" t="s">
        <v>4301</v>
      </c>
      <c r="E1083" t="s">
        <v>4269</v>
      </c>
    </row>
    <row r="1084" spans="1:5" x14ac:dyDescent="0.25">
      <c r="A1084" t="s">
        <v>1434</v>
      </c>
      <c r="B1084" t="s">
        <v>4304</v>
      </c>
      <c r="C1084" t="s">
        <v>4305</v>
      </c>
      <c r="D1084" t="s">
        <v>4301</v>
      </c>
      <c r="E1084" t="s">
        <v>4297</v>
      </c>
    </row>
    <row r="1085" spans="1:5" x14ac:dyDescent="0.25">
      <c r="A1085" t="s">
        <v>1434</v>
      </c>
      <c r="B1085" t="s">
        <v>4306</v>
      </c>
      <c r="C1085" t="s">
        <v>4307</v>
      </c>
      <c r="D1085" t="s">
        <v>4301</v>
      </c>
      <c r="E1085" t="s">
        <v>4291</v>
      </c>
    </row>
    <row r="1086" spans="1:5" x14ac:dyDescent="0.25">
      <c r="A1086" t="s">
        <v>1434</v>
      </c>
      <c r="B1086" t="s">
        <v>4308</v>
      </c>
      <c r="C1086" t="s">
        <v>4309</v>
      </c>
      <c r="D1086" t="s">
        <v>4310</v>
      </c>
      <c r="E1086" t="s">
        <v>4281</v>
      </c>
    </row>
    <row r="1087" spans="1:5" x14ac:dyDescent="0.25">
      <c r="A1087" t="s">
        <v>1434</v>
      </c>
      <c r="B1087" t="s">
        <v>4311</v>
      </c>
      <c r="C1087" t="s">
        <v>4312</v>
      </c>
      <c r="D1087" t="s">
        <v>4301</v>
      </c>
      <c r="E1087" t="s">
        <v>4279</v>
      </c>
    </row>
    <row r="1088" spans="1:5" x14ac:dyDescent="0.25">
      <c r="A1088" t="s">
        <v>1434</v>
      </c>
      <c r="B1088" t="s">
        <v>4313</v>
      </c>
      <c r="C1088" t="s">
        <v>4314</v>
      </c>
      <c r="D1088" t="s">
        <v>4301</v>
      </c>
      <c r="E1088" t="s">
        <v>4269</v>
      </c>
    </row>
    <row r="1089" spans="1:5" x14ac:dyDescent="0.25">
      <c r="A1089" t="s">
        <v>1434</v>
      </c>
      <c r="B1089" t="s">
        <v>4315</v>
      </c>
      <c r="C1089" t="s">
        <v>4272</v>
      </c>
      <c r="D1089" t="s">
        <v>4301</v>
      </c>
      <c r="E1089" t="s">
        <v>4271</v>
      </c>
    </row>
    <row r="1090" spans="1:5" x14ac:dyDescent="0.25">
      <c r="A1090" t="s">
        <v>1434</v>
      </c>
      <c r="B1090" t="s">
        <v>4316</v>
      </c>
      <c r="C1090" t="s">
        <v>4317</v>
      </c>
      <c r="D1090" t="s">
        <v>4301</v>
      </c>
      <c r="E1090" t="s">
        <v>4285</v>
      </c>
    </row>
    <row r="1091" spans="1:5" x14ac:dyDescent="0.25">
      <c r="A1091" t="s">
        <v>1434</v>
      </c>
      <c r="B1091" t="s">
        <v>4318</v>
      </c>
      <c r="C1091" t="s">
        <v>4319</v>
      </c>
      <c r="D1091" t="s">
        <v>4301</v>
      </c>
      <c r="E1091" t="s">
        <v>4269</v>
      </c>
    </row>
    <row r="1092" spans="1:5" x14ac:dyDescent="0.25">
      <c r="A1092" t="s">
        <v>1434</v>
      </c>
      <c r="B1092" t="s">
        <v>4320</v>
      </c>
      <c r="C1092" t="s">
        <v>4321</v>
      </c>
      <c r="D1092" t="s">
        <v>4301</v>
      </c>
      <c r="E1092" t="s">
        <v>4275</v>
      </c>
    </row>
    <row r="1093" spans="1:5" x14ac:dyDescent="0.25">
      <c r="A1093" t="s">
        <v>1434</v>
      </c>
      <c r="B1093" t="s">
        <v>4322</v>
      </c>
      <c r="C1093" t="s">
        <v>4323</v>
      </c>
      <c r="D1093" t="s">
        <v>4301</v>
      </c>
      <c r="E1093" t="s">
        <v>4273</v>
      </c>
    </row>
    <row r="1094" spans="1:5" x14ac:dyDescent="0.25">
      <c r="A1094" t="s">
        <v>1434</v>
      </c>
      <c r="B1094" t="s">
        <v>4324</v>
      </c>
      <c r="C1094" t="s">
        <v>4325</v>
      </c>
      <c r="D1094" t="s">
        <v>4301</v>
      </c>
      <c r="E1094" t="s">
        <v>4277</v>
      </c>
    </row>
    <row r="1095" spans="1:5" x14ac:dyDescent="0.25">
      <c r="A1095" t="s">
        <v>1434</v>
      </c>
      <c r="B1095" t="s">
        <v>4326</v>
      </c>
      <c r="C1095" t="s">
        <v>4327</v>
      </c>
      <c r="D1095" t="s">
        <v>4301</v>
      </c>
      <c r="E1095" t="s">
        <v>4279</v>
      </c>
    </row>
    <row r="1096" spans="1:5" x14ac:dyDescent="0.25">
      <c r="A1096" t="s">
        <v>1434</v>
      </c>
      <c r="B1096" t="s">
        <v>4328</v>
      </c>
      <c r="C1096" t="s">
        <v>4329</v>
      </c>
      <c r="D1096" t="s">
        <v>4301</v>
      </c>
      <c r="E1096" t="s">
        <v>4291</v>
      </c>
    </row>
    <row r="1097" spans="1:5" x14ac:dyDescent="0.25">
      <c r="A1097" t="s">
        <v>1434</v>
      </c>
      <c r="B1097" t="s">
        <v>4330</v>
      </c>
      <c r="C1097" t="s">
        <v>4331</v>
      </c>
      <c r="D1097" t="s">
        <v>4301</v>
      </c>
      <c r="E1097" t="s">
        <v>4283</v>
      </c>
    </row>
    <row r="1098" spans="1:5" x14ac:dyDescent="0.25">
      <c r="A1098" t="s">
        <v>1434</v>
      </c>
      <c r="B1098" t="s">
        <v>4332</v>
      </c>
      <c r="C1098" t="s">
        <v>4333</v>
      </c>
      <c r="D1098" t="s">
        <v>4301</v>
      </c>
      <c r="E1098" t="s">
        <v>4291</v>
      </c>
    </row>
    <row r="1099" spans="1:5" x14ac:dyDescent="0.25">
      <c r="A1099" t="s">
        <v>1434</v>
      </c>
      <c r="B1099" t="s">
        <v>4334</v>
      </c>
      <c r="C1099" t="s">
        <v>4335</v>
      </c>
      <c r="D1099" t="s">
        <v>4301</v>
      </c>
      <c r="E1099" t="s">
        <v>4287</v>
      </c>
    </row>
    <row r="1100" spans="1:5" x14ac:dyDescent="0.25">
      <c r="A1100" t="s">
        <v>1434</v>
      </c>
      <c r="B1100" t="s">
        <v>4336</v>
      </c>
      <c r="C1100" t="s">
        <v>4337</v>
      </c>
      <c r="D1100" t="s">
        <v>4310</v>
      </c>
      <c r="E1100" t="s">
        <v>4269</v>
      </c>
    </row>
    <row r="1101" spans="1:5" x14ac:dyDescent="0.25">
      <c r="A1101" t="s">
        <v>1434</v>
      </c>
      <c r="B1101" t="s">
        <v>4338</v>
      </c>
      <c r="C1101" t="s">
        <v>4339</v>
      </c>
      <c r="D1101" t="s">
        <v>4301</v>
      </c>
      <c r="E1101" t="s">
        <v>4285</v>
      </c>
    </row>
    <row r="1102" spans="1:5" x14ac:dyDescent="0.25">
      <c r="A1102" t="s">
        <v>1434</v>
      </c>
      <c r="B1102" t="s">
        <v>4340</v>
      </c>
      <c r="C1102" t="s">
        <v>4341</v>
      </c>
      <c r="D1102" t="s">
        <v>4301</v>
      </c>
      <c r="E1102" t="s">
        <v>4269</v>
      </c>
    </row>
    <row r="1103" spans="1:5" x14ac:dyDescent="0.25">
      <c r="A1103" t="s">
        <v>1434</v>
      </c>
      <c r="B1103" t="s">
        <v>4342</v>
      </c>
      <c r="C1103" t="s">
        <v>4343</v>
      </c>
      <c r="D1103" t="s">
        <v>4301</v>
      </c>
      <c r="E1103" t="s">
        <v>4287</v>
      </c>
    </row>
    <row r="1104" spans="1:5" x14ac:dyDescent="0.25">
      <c r="A1104" t="s">
        <v>1434</v>
      </c>
      <c r="B1104" t="s">
        <v>4344</v>
      </c>
      <c r="C1104" t="s">
        <v>4345</v>
      </c>
      <c r="D1104" t="s">
        <v>4310</v>
      </c>
      <c r="E1104" t="s">
        <v>4273</v>
      </c>
    </row>
    <row r="1105" spans="1:5" x14ac:dyDescent="0.25">
      <c r="A1105" t="s">
        <v>1434</v>
      </c>
      <c r="B1105" t="s">
        <v>4346</v>
      </c>
      <c r="C1105" t="s">
        <v>4347</v>
      </c>
      <c r="D1105" t="s">
        <v>4301</v>
      </c>
      <c r="E1105" t="s">
        <v>4269</v>
      </c>
    </row>
    <row r="1106" spans="1:5" x14ac:dyDescent="0.25">
      <c r="A1106" t="s">
        <v>1434</v>
      </c>
      <c r="B1106" t="s">
        <v>4348</v>
      </c>
      <c r="C1106" t="s">
        <v>4349</v>
      </c>
      <c r="D1106" t="s">
        <v>4301</v>
      </c>
      <c r="E1106" t="s">
        <v>4269</v>
      </c>
    </row>
    <row r="1107" spans="1:5" x14ac:dyDescent="0.25">
      <c r="A1107" t="s">
        <v>1434</v>
      </c>
      <c r="B1107" t="s">
        <v>4350</v>
      </c>
      <c r="C1107" t="s">
        <v>4351</v>
      </c>
      <c r="D1107" t="s">
        <v>4310</v>
      </c>
      <c r="E1107" t="s">
        <v>4269</v>
      </c>
    </row>
    <row r="1108" spans="1:5" x14ac:dyDescent="0.25">
      <c r="A1108" t="s">
        <v>1434</v>
      </c>
      <c r="B1108" t="s">
        <v>4352</v>
      </c>
      <c r="C1108" t="s">
        <v>4353</v>
      </c>
      <c r="D1108" t="s">
        <v>4301</v>
      </c>
      <c r="E1108" t="s">
        <v>4291</v>
      </c>
    </row>
    <row r="1109" spans="1:5" x14ac:dyDescent="0.25">
      <c r="A1109" t="s">
        <v>1434</v>
      </c>
      <c r="B1109" t="s">
        <v>4354</v>
      </c>
      <c r="C1109" t="s">
        <v>4355</v>
      </c>
      <c r="D1109" t="s">
        <v>4301</v>
      </c>
      <c r="E1109" t="s">
        <v>4269</v>
      </c>
    </row>
    <row r="1110" spans="1:5" x14ac:dyDescent="0.25">
      <c r="A1110" t="s">
        <v>1434</v>
      </c>
      <c r="B1110" t="s">
        <v>4356</v>
      </c>
      <c r="C1110" t="s">
        <v>4357</v>
      </c>
      <c r="D1110" t="s">
        <v>4301</v>
      </c>
      <c r="E1110" t="s">
        <v>4281</v>
      </c>
    </row>
    <row r="1111" spans="1:5" x14ac:dyDescent="0.25">
      <c r="A1111" t="s">
        <v>1434</v>
      </c>
      <c r="B1111" t="s">
        <v>4358</v>
      </c>
      <c r="C1111" t="s">
        <v>4359</v>
      </c>
      <c r="D1111" t="s">
        <v>4301</v>
      </c>
      <c r="E1111" t="s">
        <v>4285</v>
      </c>
    </row>
    <row r="1112" spans="1:5" x14ac:dyDescent="0.25">
      <c r="A1112" t="s">
        <v>1434</v>
      </c>
      <c r="B1112" t="s">
        <v>4360</v>
      </c>
      <c r="C1112" t="s">
        <v>4361</v>
      </c>
      <c r="D1112" t="s">
        <v>4301</v>
      </c>
      <c r="E1112" t="s">
        <v>4273</v>
      </c>
    </row>
    <row r="1113" spans="1:5" x14ac:dyDescent="0.25">
      <c r="A1113" t="s">
        <v>1434</v>
      </c>
      <c r="B1113" t="s">
        <v>4362</v>
      </c>
      <c r="C1113" t="s">
        <v>4363</v>
      </c>
      <c r="D1113" t="s">
        <v>4310</v>
      </c>
      <c r="E1113" t="s">
        <v>4269</v>
      </c>
    </row>
    <row r="1114" spans="1:5" x14ac:dyDescent="0.25">
      <c r="A1114" t="s">
        <v>1434</v>
      </c>
      <c r="B1114" t="s">
        <v>4364</v>
      </c>
      <c r="C1114" t="s">
        <v>4365</v>
      </c>
      <c r="D1114" t="s">
        <v>4301</v>
      </c>
      <c r="E1114" t="s">
        <v>4289</v>
      </c>
    </row>
    <row r="1115" spans="1:5" x14ac:dyDescent="0.25">
      <c r="A1115" t="s">
        <v>1434</v>
      </c>
      <c r="B1115" t="s">
        <v>4366</v>
      </c>
      <c r="C1115" t="s">
        <v>4367</v>
      </c>
      <c r="D1115" t="s">
        <v>4301</v>
      </c>
      <c r="E1115" t="s">
        <v>4295</v>
      </c>
    </row>
    <row r="1116" spans="1:5" x14ac:dyDescent="0.25">
      <c r="A1116" t="s">
        <v>1434</v>
      </c>
      <c r="B1116" t="s">
        <v>4368</v>
      </c>
      <c r="C1116" t="s">
        <v>4369</v>
      </c>
      <c r="D1116" t="s">
        <v>4301</v>
      </c>
      <c r="E1116" t="s">
        <v>4275</v>
      </c>
    </row>
    <row r="1117" spans="1:5" x14ac:dyDescent="0.25">
      <c r="A1117" t="s">
        <v>1434</v>
      </c>
      <c r="B1117" t="s">
        <v>4370</v>
      </c>
      <c r="C1117" t="s">
        <v>4371</v>
      </c>
      <c r="D1117" t="s">
        <v>4301</v>
      </c>
      <c r="E1117" t="s">
        <v>4287</v>
      </c>
    </row>
    <row r="1118" spans="1:5" x14ac:dyDescent="0.25">
      <c r="A1118" t="s">
        <v>1434</v>
      </c>
      <c r="B1118" t="s">
        <v>4372</v>
      </c>
      <c r="C1118" t="s">
        <v>4373</v>
      </c>
      <c r="D1118" t="s">
        <v>4310</v>
      </c>
      <c r="E1118" t="s">
        <v>4273</v>
      </c>
    </row>
    <row r="1119" spans="1:5" x14ac:dyDescent="0.25">
      <c r="A1119" t="s">
        <v>1434</v>
      </c>
      <c r="B1119" t="s">
        <v>4374</v>
      </c>
      <c r="C1119" t="s">
        <v>4375</v>
      </c>
      <c r="D1119" t="s">
        <v>4310</v>
      </c>
      <c r="E1119" t="s">
        <v>4273</v>
      </c>
    </row>
    <row r="1120" spans="1:5" x14ac:dyDescent="0.25">
      <c r="A1120" t="s">
        <v>1434</v>
      </c>
      <c r="B1120" t="s">
        <v>4376</v>
      </c>
      <c r="C1120" t="s">
        <v>4377</v>
      </c>
      <c r="D1120" t="s">
        <v>4301</v>
      </c>
      <c r="E1120" t="s">
        <v>4291</v>
      </c>
    </row>
    <row r="1121" spans="1:5" x14ac:dyDescent="0.25">
      <c r="A1121" t="s">
        <v>1434</v>
      </c>
      <c r="B1121" t="s">
        <v>4378</v>
      </c>
      <c r="C1121" t="s">
        <v>4379</v>
      </c>
      <c r="D1121" t="s">
        <v>4301</v>
      </c>
      <c r="E1121" t="s">
        <v>4293</v>
      </c>
    </row>
    <row r="1122" spans="1:5" x14ac:dyDescent="0.25">
      <c r="A1122" t="s">
        <v>1434</v>
      </c>
      <c r="B1122" t="s">
        <v>4380</v>
      </c>
      <c r="C1122" t="s">
        <v>4381</v>
      </c>
      <c r="D1122" t="s">
        <v>4310</v>
      </c>
      <c r="E1122" t="s">
        <v>4277</v>
      </c>
    </row>
    <row r="1123" spans="1:5" x14ac:dyDescent="0.25">
      <c r="A1123" t="s">
        <v>1434</v>
      </c>
      <c r="B1123" t="s">
        <v>4382</v>
      </c>
      <c r="C1123" t="s">
        <v>4383</v>
      </c>
      <c r="D1123" t="s">
        <v>4301</v>
      </c>
      <c r="E1123" t="s">
        <v>4291</v>
      </c>
    </row>
    <row r="1124" spans="1:5" x14ac:dyDescent="0.25">
      <c r="A1124" t="s">
        <v>1434</v>
      </c>
      <c r="B1124" t="s">
        <v>4384</v>
      </c>
      <c r="C1124" t="s">
        <v>4385</v>
      </c>
      <c r="D1124" t="s">
        <v>4301</v>
      </c>
      <c r="E1124" t="s">
        <v>4285</v>
      </c>
    </row>
    <row r="1125" spans="1:5" x14ac:dyDescent="0.25">
      <c r="A1125" t="s">
        <v>1434</v>
      </c>
      <c r="B1125" t="s">
        <v>4386</v>
      </c>
      <c r="C1125" t="s">
        <v>4387</v>
      </c>
      <c r="D1125" t="s">
        <v>4301</v>
      </c>
      <c r="E1125" t="s">
        <v>4295</v>
      </c>
    </row>
    <row r="1126" spans="1:5" x14ac:dyDescent="0.25">
      <c r="A1126" t="s">
        <v>1434</v>
      </c>
      <c r="B1126" t="s">
        <v>4388</v>
      </c>
      <c r="C1126" t="s">
        <v>4389</v>
      </c>
      <c r="D1126" t="s">
        <v>4301</v>
      </c>
      <c r="E1126" t="s">
        <v>4275</v>
      </c>
    </row>
    <row r="1127" spans="1:5" x14ac:dyDescent="0.25">
      <c r="A1127" t="s">
        <v>1434</v>
      </c>
      <c r="B1127" t="s">
        <v>4390</v>
      </c>
      <c r="C1127" t="s">
        <v>4391</v>
      </c>
      <c r="D1127" t="s">
        <v>4301</v>
      </c>
      <c r="E1127" t="s">
        <v>4283</v>
      </c>
    </row>
    <row r="1128" spans="1:5" x14ac:dyDescent="0.25">
      <c r="A1128" t="s">
        <v>1434</v>
      </c>
      <c r="B1128" t="s">
        <v>4392</v>
      </c>
      <c r="C1128" t="s">
        <v>4393</v>
      </c>
      <c r="D1128" t="s">
        <v>4310</v>
      </c>
      <c r="E1128" t="s">
        <v>4285</v>
      </c>
    </row>
    <row r="1129" spans="1:5" x14ac:dyDescent="0.25">
      <c r="A1129" t="s">
        <v>1434</v>
      </c>
      <c r="B1129" t="s">
        <v>4394</v>
      </c>
      <c r="C1129" t="s">
        <v>4395</v>
      </c>
      <c r="D1129" t="s">
        <v>4301</v>
      </c>
      <c r="E1129" t="s">
        <v>4269</v>
      </c>
    </row>
    <row r="1130" spans="1:5" x14ac:dyDescent="0.25">
      <c r="A1130" t="s">
        <v>1434</v>
      </c>
      <c r="B1130" t="s">
        <v>4396</v>
      </c>
      <c r="C1130" t="s">
        <v>4397</v>
      </c>
      <c r="D1130" t="s">
        <v>4301</v>
      </c>
      <c r="E1130" t="s">
        <v>4269</v>
      </c>
    </row>
    <row r="1131" spans="1:5" x14ac:dyDescent="0.25">
      <c r="A1131" t="s">
        <v>1434</v>
      </c>
      <c r="B1131" t="s">
        <v>4398</v>
      </c>
      <c r="C1131" t="s">
        <v>4399</v>
      </c>
      <c r="D1131" t="s">
        <v>4301</v>
      </c>
      <c r="E1131" t="s">
        <v>4279</v>
      </c>
    </row>
    <row r="1132" spans="1:5" x14ac:dyDescent="0.25">
      <c r="A1132" t="s">
        <v>1434</v>
      </c>
      <c r="B1132" t="s">
        <v>4400</v>
      </c>
      <c r="C1132" t="s">
        <v>4399</v>
      </c>
      <c r="D1132" t="s">
        <v>4310</v>
      </c>
      <c r="E1132" t="s">
        <v>4279</v>
      </c>
    </row>
    <row r="1133" spans="1:5" x14ac:dyDescent="0.25">
      <c r="A1133" t="s">
        <v>1434</v>
      </c>
      <c r="B1133" t="s">
        <v>4401</v>
      </c>
      <c r="C1133" t="s">
        <v>4402</v>
      </c>
      <c r="D1133" t="s">
        <v>4301</v>
      </c>
      <c r="E1133" t="s">
        <v>4287</v>
      </c>
    </row>
    <row r="1134" spans="1:5" x14ac:dyDescent="0.25">
      <c r="A1134" t="s">
        <v>1434</v>
      </c>
      <c r="B1134" t="s">
        <v>4403</v>
      </c>
      <c r="C1134" t="s">
        <v>4404</v>
      </c>
      <c r="D1134" t="s">
        <v>4301</v>
      </c>
      <c r="E1134" t="s">
        <v>4289</v>
      </c>
    </row>
    <row r="1135" spans="1:5" x14ac:dyDescent="0.25">
      <c r="A1135" t="s">
        <v>1434</v>
      </c>
      <c r="B1135" t="s">
        <v>4405</v>
      </c>
      <c r="C1135" t="s">
        <v>4406</v>
      </c>
      <c r="D1135" t="s">
        <v>4301</v>
      </c>
      <c r="E1135" t="s">
        <v>4297</v>
      </c>
    </row>
    <row r="1136" spans="1:5" x14ac:dyDescent="0.25">
      <c r="A1136" t="s">
        <v>1434</v>
      </c>
      <c r="B1136" t="s">
        <v>4407</v>
      </c>
      <c r="C1136" t="s">
        <v>4408</v>
      </c>
      <c r="D1136" t="s">
        <v>4301</v>
      </c>
      <c r="E1136" t="s">
        <v>4283</v>
      </c>
    </row>
    <row r="1137" spans="1:5" x14ac:dyDescent="0.25">
      <c r="A1137" t="s">
        <v>1434</v>
      </c>
      <c r="B1137" t="s">
        <v>4409</v>
      </c>
      <c r="C1137" t="s">
        <v>4410</v>
      </c>
      <c r="D1137" t="s">
        <v>4301</v>
      </c>
      <c r="E1137" t="s">
        <v>4285</v>
      </c>
    </row>
    <row r="1138" spans="1:5" x14ac:dyDescent="0.25">
      <c r="A1138" t="s">
        <v>1434</v>
      </c>
      <c r="B1138" t="s">
        <v>4411</v>
      </c>
      <c r="C1138" t="s">
        <v>4290</v>
      </c>
      <c r="D1138" t="s">
        <v>4301</v>
      </c>
      <c r="E1138" t="s">
        <v>4289</v>
      </c>
    </row>
    <row r="1139" spans="1:5" x14ac:dyDescent="0.25">
      <c r="A1139" t="s">
        <v>1434</v>
      </c>
      <c r="B1139" t="s">
        <v>4412</v>
      </c>
      <c r="C1139" t="s">
        <v>4413</v>
      </c>
      <c r="D1139" t="s">
        <v>4301</v>
      </c>
      <c r="E1139" t="s">
        <v>4269</v>
      </c>
    </row>
    <row r="1140" spans="1:5" x14ac:dyDescent="0.25">
      <c r="A1140" t="s">
        <v>1434</v>
      </c>
      <c r="B1140" t="s">
        <v>4414</v>
      </c>
      <c r="C1140" t="s">
        <v>4415</v>
      </c>
      <c r="D1140" t="s">
        <v>4301</v>
      </c>
      <c r="E1140" t="s">
        <v>4269</v>
      </c>
    </row>
    <row r="1141" spans="1:5" x14ac:dyDescent="0.25">
      <c r="A1141" t="s">
        <v>1434</v>
      </c>
      <c r="B1141" t="s">
        <v>4416</v>
      </c>
      <c r="C1141" t="s">
        <v>4417</v>
      </c>
      <c r="D1141" t="s">
        <v>4301</v>
      </c>
      <c r="E1141" t="s">
        <v>4297</v>
      </c>
    </row>
    <row r="1142" spans="1:5" x14ac:dyDescent="0.25">
      <c r="A1142" t="s">
        <v>1434</v>
      </c>
      <c r="B1142" t="s">
        <v>4418</v>
      </c>
      <c r="C1142" t="s">
        <v>4419</v>
      </c>
      <c r="D1142" t="s">
        <v>4310</v>
      </c>
      <c r="E1142" t="s">
        <v>4273</v>
      </c>
    </row>
    <row r="1143" spans="1:5" x14ac:dyDescent="0.25">
      <c r="A1143" t="s">
        <v>1434</v>
      </c>
      <c r="B1143" t="s">
        <v>4420</v>
      </c>
      <c r="C1143" t="s">
        <v>1433</v>
      </c>
      <c r="D1143" t="s">
        <v>4310</v>
      </c>
      <c r="E1143" t="s">
        <v>4269</v>
      </c>
    </row>
    <row r="1144" spans="1:5" x14ac:dyDescent="0.25">
      <c r="A1144" t="s">
        <v>1434</v>
      </c>
      <c r="B1144" t="s">
        <v>4421</v>
      </c>
      <c r="C1144" t="s">
        <v>4422</v>
      </c>
      <c r="D1144" t="s">
        <v>4301</v>
      </c>
      <c r="E1144" t="s">
        <v>4279</v>
      </c>
    </row>
    <row r="1145" spans="1:5" x14ac:dyDescent="0.25">
      <c r="A1145" t="s">
        <v>1434</v>
      </c>
      <c r="B1145" t="s">
        <v>4423</v>
      </c>
      <c r="C1145" t="s">
        <v>4424</v>
      </c>
      <c r="D1145" t="s">
        <v>4301</v>
      </c>
      <c r="E1145" t="s">
        <v>4291</v>
      </c>
    </row>
    <row r="1146" spans="1:5" x14ac:dyDescent="0.25">
      <c r="A1146" t="s">
        <v>1434</v>
      </c>
      <c r="B1146" t="s">
        <v>4425</v>
      </c>
      <c r="C1146" t="s">
        <v>4424</v>
      </c>
      <c r="D1146" t="s">
        <v>4310</v>
      </c>
      <c r="E1146" t="s">
        <v>4291</v>
      </c>
    </row>
    <row r="1147" spans="1:5" x14ac:dyDescent="0.25">
      <c r="A1147" t="s">
        <v>1434</v>
      </c>
      <c r="B1147" t="s">
        <v>4426</v>
      </c>
      <c r="C1147" t="s">
        <v>4427</v>
      </c>
      <c r="D1147" t="s">
        <v>4301</v>
      </c>
      <c r="E1147" t="s">
        <v>4273</v>
      </c>
    </row>
    <row r="1148" spans="1:5" x14ac:dyDescent="0.25">
      <c r="A1148" t="s">
        <v>1434</v>
      </c>
      <c r="B1148" t="s">
        <v>4428</v>
      </c>
      <c r="C1148" t="s">
        <v>4429</v>
      </c>
      <c r="D1148" t="s">
        <v>4301</v>
      </c>
      <c r="E1148" t="s">
        <v>4285</v>
      </c>
    </row>
    <row r="1149" spans="1:5" x14ac:dyDescent="0.25">
      <c r="A1149" t="s">
        <v>1434</v>
      </c>
      <c r="B1149" t="s">
        <v>4430</v>
      </c>
      <c r="C1149" t="s">
        <v>4431</v>
      </c>
      <c r="D1149" t="s">
        <v>4301</v>
      </c>
      <c r="E1149" t="s">
        <v>4293</v>
      </c>
    </row>
    <row r="1150" spans="1:5" x14ac:dyDescent="0.25">
      <c r="A1150" t="s">
        <v>1434</v>
      </c>
      <c r="B1150" t="s">
        <v>4432</v>
      </c>
      <c r="C1150" t="s">
        <v>4433</v>
      </c>
      <c r="D1150" t="s">
        <v>4301</v>
      </c>
      <c r="E1150" t="s">
        <v>4277</v>
      </c>
    </row>
    <row r="1151" spans="1:5" x14ac:dyDescent="0.25">
      <c r="A1151" t="s">
        <v>1434</v>
      </c>
      <c r="B1151" t="s">
        <v>4434</v>
      </c>
      <c r="C1151" t="s">
        <v>4435</v>
      </c>
      <c r="D1151" t="s">
        <v>4301</v>
      </c>
      <c r="E1151" t="s">
        <v>4293</v>
      </c>
    </row>
    <row r="1152" spans="1:5" x14ac:dyDescent="0.25">
      <c r="A1152" t="s">
        <v>1434</v>
      </c>
      <c r="B1152" t="s">
        <v>4436</v>
      </c>
      <c r="C1152" t="s">
        <v>4437</v>
      </c>
      <c r="D1152" t="s">
        <v>4301</v>
      </c>
      <c r="E1152" t="s">
        <v>4269</v>
      </c>
    </row>
    <row r="1153" spans="1:5" x14ac:dyDescent="0.25">
      <c r="A1153" t="s">
        <v>1434</v>
      </c>
      <c r="B1153" t="s">
        <v>4438</v>
      </c>
      <c r="C1153" t="s">
        <v>4439</v>
      </c>
      <c r="D1153" t="s">
        <v>4301</v>
      </c>
      <c r="E1153" t="s">
        <v>4295</v>
      </c>
    </row>
    <row r="1154" spans="1:5" x14ac:dyDescent="0.25">
      <c r="A1154" t="s">
        <v>1434</v>
      </c>
      <c r="B1154" t="s">
        <v>4440</v>
      </c>
      <c r="C1154" t="s">
        <v>4439</v>
      </c>
      <c r="D1154" t="s">
        <v>4310</v>
      </c>
      <c r="E1154" t="s">
        <v>4295</v>
      </c>
    </row>
    <row r="1155" spans="1:5" x14ac:dyDescent="0.25">
      <c r="A1155" t="s">
        <v>1434</v>
      </c>
      <c r="B1155" t="s">
        <v>4441</v>
      </c>
      <c r="C1155" t="s">
        <v>4442</v>
      </c>
      <c r="D1155" t="s">
        <v>4301</v>
      </c>
      <c r="E1155" t="s">
        <v>4279</v>
      </c>
    </row>
    <row r="1156" spans="1:5" x14ac:dyDescent="0.25">
      <c r="A1156" t="s">
        <v>1434</v>
      </c>
      <c r="B1156" t="s">
        <v>4443</v>
      </c>
      <c r="C1156" t="s">
        <v>4444</v>
      </c>
      <c r="D1156" t="s">
        <v>4301</v>
      </c>
      <c r="E1156" t="s">
        <v>4279</v>
      </c>
    </row>
    <row r="1157" spans="1:5" x14ac:dyDescent="0.25">
      <c r="A1157" t="s">
        <v>1434</v>
      </c>
      <c r="B1157" t="s">
        <v>4445</v>
      </c>
      <c r="C1157" t="s">
        <v>4446</v>
      </c>
      <c r="D1157" t="s">
        <v>4301</v>
      </c>
      <c r="E1157" t="s">
        <v>4281</v>
      </c>
    </row>
    <row r="1158" spans="1:5" x14ac:dyDescent="0.25">
      <c r="A1158" t="s">
        <v>1434</v>
      </c>
      <c r="B1158" t="s">
        <v>4447</v>
      </c>
      <c r="C1158" t="s">
        <v>4448</v>
      </c>
      <c r="D1158" t="s">
        <v>4301</v>
      </c>
      <c r="E1158" t="s">
        <v>4297</v>
      </c>
    </row>
    <row r="1159" spans="1:5" x14ac:dyDescent="0.25">
      <c r="A1159" t="s">
        <v>1434</v>
      </c>
      <c r="B1159" t="s">
        <v>4449</v>
      </c>
      <c r="C1159" t="s">
        <v>4448</v>
      </c>
      <c r="D1159" t="s">
        <v>4310</v>
      </c>
      <c r="E1159" t="s">
        <v>4297</v>
      </c>
    </row>
    <row r="1160" spans="1:5" x14ac:dyDescent="0.25">
      <c r="A1160" t="s">
        <v>1434</v>
      </c>
      <c r="B1160" t="s">
        <v>4450</v>
      </c>
      <c r="C1160" t="s">
        <v>4451</v>
      </c>
      <c r="D1160" t="s">
        <v>4301</v>
      </c>
      <c r="E1160" t="s">
        <v>4279</v>
      </c>
    </row>
    <row r="1161" spans="1:5" x14ac:dyDescent="0.25">
      <c r="A1161" t="s">
        <v>1437</v>
      </c>
      <c r="B1161" t="s">
        <v>4452</v>
      </c>
      <c r="C1161" t="s">
        <v>4453</v>
      </c>
      <c r="D1161" t="s">
        <v>2963</v>
      </c>
      <c r="E1161" t="s">
        <v>2170</v>
      </c>
    </row>
    <row r="1162" spans="1:5" x14ac:dyDescent="0.25">
      <c r="A1162" t="s">
        <v>1437</v>
      </c>
      <c r="B1162" t="s">
        <v>4454</v>
      </c>
      <c r="C1162" t="s">
        <v>4455</v>
      </c>
      <c r="D1162" t="s">
        <v>2963</v>
      </c>
      <c r="E1162" t="s">
        <v>2170</v>
      </c>
    </row>
    <row r="1163" spans="1:5" x14ac:dyDescent="0.25">
      <c r="A1163" t="s">
        <v>1437</v>
      </c>
      <c r="B1163" t="s">
        <v>4456</v>
      </c>
      <c r="C1163" t="s">
        <v>4457</v>
      </c>
      <c r="D1163" t="s">
        <v>2963</v>
      </c>
      <c r="E1163" t="s">
        <v>2170</v>
      </c>
    </row>
    <row r="1164" spans="1:5" x14ac:dyDescent="0.25">
      <c r="A1164" t="s">
        <v>1437</v>
      </c>
      <c r="B1164" t="s">
        <v>4458</v>
      </c>
      <c r="C1164" t="s">
        <v>4459</v>
      </c>
      <c r="D1164" t="s">
        <v>2963</v>
      </c>
      <c r="E1164" t="s">
        <v>2170</v>
      </c>
    </row>
    <row r="1165" spans="1:5" x14ac:dyDescent="0.25">
      <c r="A1165" t="s">
        <v>1437</v>
      </c>
      <c r="B1165" t="s">
        <v>4460</v>
      </c>
      <c r="C1165" t="s">
        <v>4461</v>
      </c>
      <c r="D1165" t="s">
        <v>2963</v>
      </c>
      <c r="E1165" t="s">
        <v>2170</v>
      </c>
    </row>
    <row r="1166" spans="1:5" x14ac:dyDescent="0.25">
      <c r="A1166" t="s">
        <v>1437</v>
      </c>
      <c r="B1166" t="s">
        <v>4462</v>
      </c>
      <c r="C1166" t="s">
        <v>4463</v>
      </c>
      <c r="D1166" t="s">
        <v>2963</v>
      </c>
      <c r="E1166" t="s">
        <v>2170</v>
      </c>
    </row>
    <row r="1167" spans="1:5" x14ac:dyDescent="0.25">
      <c r="A1167" t="s">
        <v>1437</v>
      </c>
      <c r="B1167" t="s">
        <v>4464</v>
      </c>
      <c r="C1167" t="s">
        <v>4465</v>
      </c>
      <c r="D1167" t="s">
        <v>2963</v>
      </c>
      <c r="E1167" t="s">
        <v>2170</v>
      </c>
    </row>
    <row r="1168" spans="1:5" x14ac:dyDescent="0.25">
      <c r="A1168" t="s">
        <v>1437</v>
      </c>
      <c r="B1168" t="s">
        <v>4466</v>
      </c>
      <c r="C1168" t="s">
        <v>4467</v>
      </c>
      <c r="D1168" t="s">
        <v>2963</v>
      </c>
      <c r="E1168" t="s">
        <v>2170</v>
      </c>
    </row>
    <row r="1169" spans="1:5" x14ac:dyDescent="0.25">
      <c r="A1169" t="s">
        <v>1437</v>
      </c>
      <c r="B1169" t="s">
        <v>4468</v>
      </c>
      <c r="C1169" t="s">
        <v>4469</v>
      </c>
      <c r="D1169" t="s">
        <v>2963</v>
      </c>
      <c r="E1169" t="s">
        <v>2170</v>
      </c>
    </row>
    <row r="1170" spans="1:5" x14ac:dyDescent="0.25">
      <c r="A1170" t="s">
        <v>1437</v>
      </c>
      <c r="B1170" t="s">
        <v>4470</v>
      </c>
      <c r="C1170" t="s">
        <v>4471</v>
      </c>
      <c r="D1170" t="s">
        <v>2963</v>
      </c>
      <c r="E1170" t="s">
        <v>2170</v>
      </c>
    </row>
    <row r="1171" spans="1:5" x14ac:dyDescent="0.25">
      <c r="A1171" t="s">
        <v>1437</v>
      </c>
      <c r="B1171" t="s">
        <v>4472</v>
      </c>
      <c r="C1171" t="s">
        <v>4473</v>
      </c>
      <c r="D1171" t="s">
        <v>2963</v>
      </c>
      <c r="E1171" t="s">
        <v>2170</v>
      </c>
    </row>
    <row r="1172" spans="1:5" x14ac:dyDescent="0.25">
      <c r="A1172" t="s">
        <v>1437</v>
      </c>
      <c r="B1172" t="s">
        <v>4474</v>
      </c>
      <c r="C1172" t="s">
        <v>4475</v>
      </c>
      <c r="D1172" t="s">
        <v>2963</v>
      </c>
      <c r="E1172" t="s">
        <v>2170</v>
      </c>
    </row>
    <row r="1173" spans="1:5" x14ac:dyDescent="0.25">
      <c r="A1173" t="s">
        <v>1437</v>
      </c>
      <c r="B1173" t="s">
        <v>4476</v>
      </c>
      <c r="C1173" t="s">
        <v>4477</v>
      </c>
      <c r="D1173" t="s">
        <v>2963</v>
      </c>
      <c r="E1173" t="s">
        <v>2170</v>
      </c>
    </row>
    <row r="1174" spans="1:5" x14ac:dyDescent="0.25">
      <c r="A1174" t="s">
        <v>1437</v>
      </c>
      <c r="B1174" t="s">
        <v>4478</v>
      </c>
      <c r="C1174" t="s">
        <v>4479</v>
      </c>
      <c r="D1174" t="s">
        <v>2963</v>
      </c>
      <c r="E1174" t="s">
        <v>2170</v>
      </c>
    </row>
    <row r="1175" spans="1:5" x14ac:dyDescent="0.25">
      <c r="A1175" t="s">
        <v>1437</v>
      </c>
      <c r="B1175" t="s">
        <v>4480</v>
      </c>
      <c r="C1175" t="s">
        <v>4481</v>
      </c>
      <c r="D1175" t="s">
        <v>2963</v>
      </c>
      <c r="E1175" t="s">
        <v>2170</v>
      </c>
    </row>
    <row r="1176" spans="1:5" x14ac:dyDescent="0.25">
      <c r="A1176" t="s">
        <v>1437</v>
      </c>
      <c r="B1176" t="s">
        <v>4482</v>
      </c>
      <c r="C1176" t="s">
        <v>4483</v>
      </c>
      <c r="D1176" t="s">
        <v>2963</v>
      </c>
      <c r="E1176" t="s">
        <v>2170</v>
      </c>
    </row>
    <row r="1177" spans="1:5" x14ac:dyDescent="0.25">
      <c r="A1177" t="s">
        <v>1437</v>
      </c>
      <c r="B1177" t="s">
        <v>4484</v>
      </c>
      <c r="C1177" t="s">
        <v>4485</v>
      </c>
      <c r="D1177" t="s">
        <v>2963</v>
      </c>
      <c r="E1177" t="s">
        <v>2170</v>
      </c>
    </row>
    <row r="1178" spans="1:5" x14ac:dyDescent="0.25">
      <c r="A1178" t="s">
        <v>1437</v>
      </c>
      <c r="B1178" t="s">
        <v>4486</v>
      </c>
      <c r="C1178" t="s">
        <v>4487</v>
      </c>
      <c r="D1178" t="s">
        <v>2963</v>
      </c>
      <c r="E1178" t="s">
        <v>2170</v>
      </c>
    </row>
    <row r="1179" spans="1:5" x14ac:dyDescent="0.25">
      <c r="A1179" t="s">
        <v>1437</v>
      </c>
      <c r="B1179" t="s">
        <v>4488</v>
      </c>
      <c r="C1179" t="s">
        <v>4489</v>
      </c>
      <c r="D1179" t="s">
        <v>2963</v>
      </c>
      <c r="E1179" t="s">
        <v>2170</v>
      </c>
    </row>
    <row r="1180" spans="1:5" x14ac:dyDescent="0.25">
      <c r="A1180" t="s">
        <v>1437</v>
      </c>
      <c r="B1180" t="s">
        <v>4490</v>
      </c>
      <c r="C1180" t="s">
        <v>4491</v>
      </c>
      <c r="D1180" t="s">
        <v>2963</v>
      </c>
      <c r="E1180" t="s">
        <v>2170</v>
      </c>
    </row>
    <row r="1181" spans="1:5" x14ac:dyDescent="0.25">
      <c r="A1181" t="s">
        <v>1437</v>
      </c>
      <c r="B1181" t="s">
        <v>4492</v>
      </c>
      <c r="C1181" t="s">
        <v>4493</v>
      </c>
      <c r="D1181" t="s">
        <v>2963</v>
      </c>
      <c r="E1181" t="s">
        <v>2170</v>
      </c>
    </row>
    <row r="1182" spans="1:5" x14ac:dyDescent="0.25">
      <c r="A1182" t="s">
        <v>1437</v>
      </c>
      <c r="B1182" t="s">
        <v>4494</v>
      </c>
      <c r="C1182" t="s">
        <v>4495</v>
      </c>
      <c r="D1182" t="s">
        <v>2963</v>
      </c>
      <c r="E1182" t="s">
        <v>2170</v>
      </c>
    </row>
    <row r="1183" spans="1:5" x14ac:dyDescent="0.25">
      <c r="A1183" t="s">
        <v>1437</v>
      </c>
      <c r="B1183" t="s">
        <v>4496</v>
      </c>
      <c r="C1183" t="s">
        <v>4497</v>
      </c>
      <c r="D1183" t="s">
        <v>2963</v>
      </c>
      <c r="E1183" t="s">
        <v>2170</v>
      </c>
    </row>
    <row r="1184" spans="1:5" x14ac:dyDescent="0.25">
      <c r="A1184" t="s">
        <v>1437</v>
      </c>
      <c r="B1184" t="s">
        <v>4498</v>
      </c>
      <c r="C1184" t="s">
        <v>4499</v>
      </c>
      <c r="D1184" t="s">
        <v>2963</v>
      </c>
      <c r="E1184" t="s">
        <v>2170</v>
      </c>
    </row>
    <row r="1185" spans="1:5" x14ac:dyDescent="0.25">
      <c r="A1185" t="s">
        <v>1437</v>
      </c>
      <c r="B1185" t="s">
        <v>4500</v>
      </c>
      <c r="C1185" t="s">
        <v>4501</v>
      </c>
      <c r="D1185" t="s">
        <v>2963</v>
      </c>
      <c r="E1185" t="s">
        <v>2170</v>
      </c>
    </row>
    <row r="1186" spans="1:5" x14ac:dyDescent="0.25">
      <c r="A1186" t="s">
        <v>1437</v>
      </c>
      <c r="B1186" t="s">
        <v>4502</v>
      </c>
      <c r="C1186" t="s">
        <v>4503</v>
      </c>
      <c r="D1186" t="s">
        <v>2963</v>
      </c>
      <c r="E1186" t="s">
        <v>2170</v>
      </c>
    </row>
    <row r="1187" spans="1:5" x14ac:dyDescent="0.25">
      <c r="A1187" t="s">
        <v>1437</v>
      </c>
      <c r="B1187" t="s">
        <v>4504</v>
      </c>
      <c r="C1187" t="s">
        <v>4505</v>
      </c>
      <c r="D1187" t="s">
        <v>2963</v>
      </c>
      <c r="E1187" t="s">
        <v>2170</v>
      </c>
    </row>
    <row r="1188" spans="1:5" x14ac:dyDescent="0.25">
      <c r="A1188" t="s">
        <v>1445</v>
      </c>
      <c r="B1188" t="s">
        <v>4506</v>
      </c>
      <c r="C1188" t="s">
        <v>4507</v>
      </c>
      <c r="D1188" t="s">
        <v>2311</v>
      </c>
      <c r="E1188" t="s">
        <v>2170</v>
      </c>
    </row>
    <row r="1189" spans="1:5" x14ac:dyDescent="0.25">
      <c r="A1189" t="s">
        <v>1445</v>
      </c>
      <c r="B1189" t="s">
        <v>4508</v>
      </c>
      <c r="C1189" t="s">
        <v>4509</v>
      </c>
      <c r="D1189" t="s">
        <v>2311</v>
      </c>
      <c r="E1189" t="s">
        <v>2170</v>
      </c>
    </row>
    <row r="1190" spans="1:5" x14ac:dyDescent="0.25">
      <c r="A1190" t="s">
        <v>1445</v>
      </c>
      <c r="B1190" t="s">
        <v>4510</v>
      </c>
      <c r="C1190" t="s">
        <v>4511</v>
      </c>
      <c r="D1190" t="s">
        <v>2311</v>
      </c>
      <c r="E1190" t="s">
        <v>2170</v>
      </c>
    </row>
    <row r="1191" spans="1:5" x14ac:dyDescent="0.25">
      <c r="A1191" t="s">
        <v>1445</v>
      </c>
      <c r="B1191" t="s">
        <v>4512</v>
      </c>
      <c r="C1191" t="s">
        <v>4513</v>
      </c>
      <c r="D1191" t="s">
        <v>2311</v>
      </c>
      <c r="E1191" t="s">
        <v>2170</v>
      </c>
    </row>
    <row r="1192" spans="1:5" x14ac:dyDescent="0.25">
      <c r="A1192" t="s">
        <v>1445</v>
      </c>
      <c r="B1192" t="s">
        <v>4514</v>
      </c>
      <c r="C1192" t="s">
        <v>4515</v>
      </c>
      <c r="D1192" t="s">
        <v>2311</v>
      </c>
      <c r="E1192" t="s">
        <v>2170</v>
      </c>
    </row>
    <row r="1193" spans="1:5" x14ac:dyDescent="0.25">
      <c r="A1193" t="s">
        <v>1445</v>
      </c>
      <c r="B1193" t="s">
        <v>4516</v>
      </c>
      <c r="C1193" t="s">
        <v>4517</v>
      </c>
      <c r="D1193" t="s">
        <v>2311</v>
      </c>
      <c r="E1193" t="s">
        <v>2170</v>
      </c>
    </row>
    <row r="1194" spans="1:5" x14ac:dyDescent="0.25">
      <c r="A1194" t="s">
        <v>1448</v>
      </c>
      <c r="B1194" t="s">
        <v>4518</v>
      </c>
      <c r="C1194" t="s">
        <v>4519</v>
      </c>
      <c r="D1194" t="s">
        <v>4520</v>
      </c>
      <c r="E1194" t="s">
        <v>2170</v>
      </c>
    </row>
    <row r="1195" spans="1:5" x14ac:dyDescent="0.25">
      <c r="A1195" t="s">
        <v>1448</v>
      </c>
      <c r="B1195" t="s">
        <v>4521</v>
      </c>
      <c r="C1195" t="s">
        <v>4522</v>
      </c>
      <c r="D1195" t="s">
        <v>4520</v>
      </c>
      <c r="E1195" t="s">
        <v>2170</v>
      </c>
    </row>
    <row r="1196" spans="1:5" x14ac:dyDescent="0.25">
      <c r="A1196" t="s">
        <v>1448</v>
      </c>
      <c r="B1196" t="s">
        <v>4523</v>
      </c>
      <c r="C1196" t="s">
        <v>4524</v>
      </c>
      <c r="D1196" t="s">
        <v>4520</v>
      </c>
      <c r="E1196" t="s">
        <v>2170</v>
      </c>
    </row>
    <row r="1197" spans="1:5" x14ac:dyDescent="0.25">
      <c r="A1197" t="s">
        <v>1448</v>
      </c>
      <c r="B1197" t="s">
        <v>4525</v>
      </c>
      <c r="C1197" t="s">
        <v>2023</v>
      </c>
      <c r="D1197" t="s">
        <v>4520</v>
      </c>
      <c r="E1197" t="s">
        <v>2170</v>
      </c>
    </row>
    <row r="1198" spans="1:5" x14ac:dyDescent="0.25">
      <c r="A1198" t="s">
        <v>1448</v>
      </c>
      <c r="B1198" t="s">
        <v>4526</v>
      </c>
      <c r="C1198" t="s">
        <v>4527</v>
      </c>
      <c r="D1198" t="s">
        <v>4520</v>
      </c>
      <c r="E1198" t="s">
        <v>2170</v>
      </c>
    </row>
    <row r="1199" spans="1:5" x14ac:dyDescent="0.25">
      <c r="A1199" t="s">
        <v>1448</v>
      </c>
      <c r="B1199" t="s">
        <v>4528</v>
      </c>
      <c r="C1199" t="s">
        <v>4529</v>
      </c>
      <c r="D1199" t="s">
        <v>4520</v>
      </c>
      <c r="E1199" t="s">
        <v>2170</v>
      </c>
    </row>
    <row r="1200" spans="1:5" x14ac:dyDescent="0.25">
      <c r="A1200" t="s">
        <v>1448</v>
      </c>
      <c r="B1200" t="s">
        <v>4530</v>
      </c>
      <c r="C1200" t="s">
        <v>4531</v>
      </c>
      <c r="D1200" t="s">
        <v>4520</v>
      </c>
      <c r="E1200" t="s">
        <v>2170</v>
      </c>
    </row>
    <row r="1201" spans="1:5" x14ac:dyDescent="0.25">
      <c r="A1201" t="s">
        <v>1448</v>
      </c>
      <c r="B1201" t="s">
        <v>4532</v>
      </c>
      <c r="C1201" t="s">
        <v>4533</v>
      </c>
      <c r="D1201" t="s">
        <v>4520</v>
      </c>
      <c r="E1201" t="s">
        <v>2170</v>
      </c>
    </row>
    <row r="1202" spans="1:5" x14ac:dyDescent="0.25">
      <c r="A1202" t="s">
        <v>1448</v>
      </c>
      <c r="B1202" t="s">
        <v>4534</v>
      </c>
      <c r="C1202" t="s">
        <v>4535</v>
      </c>
      <c r="D1202" t="s">
        <v>4536</v>
      </c>
      <c r="E1202" t="s">
        <v>2170</v>
      </c>
    </row>
    <row r="1203" spans="1:5" x14ac:dyDescent="0.25">
      <c r="A1203" t="s">
        <v>1448</v>
      </c>
      <c r="B1203" t="s">
        <v>4537</v>
      </c>
      <c r="C1203" t="s">
        <v>4538</v>
      </c>
      <c r="D1203" t="s">
        <v>4520</v>
      </c>
      <c r="E1203" t="s">
        <v>2170</v>
      </c>
    </row>
    <row r="1204" spans="1:5" x14ac:dyDescent="0.25">
      <c r="A1204" t="s">
        <v>1448</v>
      </c>
      <c r="B1204" t="s">
        <v>4539</v>
      </c>
      <c r="C1204" t="s">
        <v>4540</v>
      </c>
      <c r="D1204" t="s">
        <v>4520</v>
      </c>
      <c r="E1204" t="s">
        <v>2170</v>
      </c>
    </row>
    <row r="1205" spans="1:5" x14ac:dyDescent="0.25">
      <c r="A1205" t="s">
        <v>1448</v>
      </c>
      <c r="B1205" t="s">
        <v>4541</v>
      </c>
      <c r="C1205" t="s">
        <v>4542</v>
      </c>
      <c r="D1205" t="s">
        <v>4520</v>
      </c>
      <c r="E1205" t="s">
        <v>2170</v>
      </c>
    </row>
    <row r="1206" spans="1:5" x14ac:dyDescent="0.25">
      <c r="A1206" t="s">
        <v>1448</v>
      </c>
      <c r="B1206" t="s">
        <v>4543</v>
      </c>
      <c r="C1206" t="s">
        <v>2390</v>
      </c>
      <c r="D1206" t="s">
        <v>4520</v>
      </c>
      <c r="E1206" t="s">
        <v>2170</v>
      </c>
    </row>
    <row r="1207" spans="1:5" x14ac:dyDescent="0.25">
      <c r="A1207" t="s">
        <v>1448</v>
      </c>
      <c r="B1207" t="s">
        <v>4544</v>
      </c>
      <c r="C1207" t="s">
        <v>4545</v>
      </c>
      <c r="D1207" t="s">
        <v>4520</v>
      </c>
      <c r="E1207" t="s">
        <v>2170</v>
      </c>
    </row>
    <row r="1208" spans="1:5" x14ac:dyDescent="0.25">
      <c r="A1208" t="s">
        <v>1448</v>
      </c>
      <c r="B1208" t="s">
        <v>4546</v>
      </c>
      <c r="C1208" t="s">
        <v>4547</v>
      </c>
      <c r="D1208" t="s">
        <v>4536</v>
      </c>
      <c r="E1208" t="s">
        <v>2170</v>
      </c>
    </row>
    <row r="1209" spans="1:5" x14ac:dyDescent="0.25">
      <c r="A1209" t="s">
        <v>1448</v>
      </c>
      <c r="B1209" t="s">
        <v>4548</v>
      </c>
      <c r="C1209" t="s">
        <v>4549</v>
      </c>
      <c r="D1209" t="s">
        <v>4520</v>
      </c>
      <c r="E1209" t="s">
        <v>2170</v>
      </c>
    </row>
    <row r="1210" spans="1:5" x14ac:dyDescent="0.25">
      <c r="A1210" t="s">
        <v>1448</v>
      </c>
      <c r="B1210" t="s">
        <v>4550</v>
      </c>
      <c r="C1210" t="s">
        <v>4551</v>
      </c>
      <c r="D1210" t="s">
        <v>4520</v>
      </c>
      <c r="E1210" t="s">
        <v>2170</v>
      </c>
    </row>
    <row r="1211" spans="1:5" x14ac:dyDescent="0.25">
      <c r="A1211" t="s">
        <v>1448</v>
      </c>
      <c r="B1211" t="s">
        <v>4552</v>
      </c>
      <c r="C1211" t="s">
        <v>4553</v>
      </c>
      <c r="D1211" t="s">
        <v>4520</v>
      </c>
      <c r="E1211" t="s">
        <v>2170</v>
      </c>
    </row>
    <row r="1212" spans="1:5" x14ac:dyDescent="0.25">
      <c r="A1212" t="s">
        <v>1448</v>
      </c>
      <c r="B1212" t="s">
        <v>4554</v>
      </c>
      <c r="C1212" t="s">
        <v>4555</v>
      </c>
      <c r="D1212" t="s">
        <v>4520</v>
      </c>
      <c r="E1212" t="s">
        <v>2170</v>
      </c>
    </row>
    <row r="1213" spans="1:5" x14ac:dyDescent="0.25">
      <c r="A1213" t="s">
        <v>1448</v>
      </c>
      <c r="B1213" t="s">
        <v>4556</v>
      </c>
      <c r="C1213" t="s">
        <v>4557</v>
      </c>
      <c r="D1213" t="s">
        <v>2200</v>
      </c>
      <c r="E1213" t="s">
        <v>4539</v>
      </c>
    </row>
    <row r="1214" spans="1:5" x14ac:dyDescent="0.25">
      <c r="A1214" t="s">
        <v>1448</v>
      </c>
      <c r="B1214" t="s">
        <v>4558</v>
      </c>
      <c r="C1214" t="s">
        <v>4559</v>
      </c>
      <c r="D1214" t="s">
        <v>2200</v>
      </c>
      <c r="E1214" t="s">
        <v>4552</v>
      </c>
    </row>
    <row r="1215" spans="1:5" x14ac:dyDescent="0.25">
      <c r="A1215" t="s">
        <v>1448</v>
      </c>
      <c r="B1215" t="s">
        <v>4560</v>
      </c>
      <c r="C1215" t="s">
        <v>4561</v>
      </c>
      <c r="D1215" t="s">
        <v>2200</v>
      </c>
      <c r="E1215" t="s">
        <v>4530</v>
      </c>
    </row>
    <row r="1216" spans="1:5" x14ac:dyDescent="0.25">
      <c r="A1216" t="s">
        <v>1448</v>
      </c>
      <c r="B1216" t="s">
        <v>4562</v>
      </c>
      <c r="C1216" t="s">
        <v>4563</v>
      </c>
      <c r="D1216" t="s">
        <v>2200</v>
      </c>
      <c r="E1216" t="s">
        <v>4554</v>
      </c>
    </row>
    <row r="1217" spans="1:5" x14ac:dyDescent="0.25">
      <c r="A1217" t="s">
        <v>1448</v>
      </c>
      <c r="B1217" t="s">
        <v>4564</v>
      </c>
      <c r="C1217" t="s">
        <v>4565</v>
      </c>
      <c r="D1217" t="s">
        <v>2200</v>
      </c>
      <c r="E1217" t="s">
        <v>4518</v>
      </c>
    </row>
    <row r="1218" spans="1:5" x14ac:dyDescent="0.25">
      <c r="A1218" t="s">
        <v>1448</v>
      </c>
      <c r="B1218" t="s">
        <v>4566</v>
      </c>
      <c r="C1218" t="s">
        <v>4567</v>
      </c>
      <c r="D1218" t="s">
        <v>2200</v>
      </c>
      <c r="E1218" t="s">
        <v>4523</v>
      </c>
    </row>
    <row r="1219" spans="1:5" x14ac:dyDescent="0.25">
      <c r="A1219" t="s">
        <v>1448</v>
      </c>
      <c r="B1219" t="s">
        <v>4568</v>
      </c>
      <c r="C1219" t="s">
        <v>4569</v>
      </c>
      <c r="D1219" t="s">
        <v>2200</v>
      </c>
      <c r="E1219" t="s">
        <v>4528</v>
      </c>
    </row>
    <row r="1220" spans="1:5" x14ac:dyDescent="0.25">
      <c r="A1220" t="s">
        <v>1448</v>
      </c>
      <c r="B1220" t="s">
        <v>4570</v>
      </c>
      <c r="C1220" t="s">
        <v>4571</v>
      </c>
      <c r="D1220" t="s">
        <v>2200</v>
      </c>
      <c r="E1220" t="s">
        <v>4537</v>
      </c>
    </row>
    <row r="1221" spans="1:5" x14ac:dyDescent="0.25">
      <c r="A1221" t="s">
        <v>1448</v>
      </c>
      <c r="B1221" t="s">
        <v>4572</v>
      </c>
      <c r="C1221" t="s">
        <v>4573</v>
      </c>
      <c r="D1221" t="s">
        <v>2200</v>
      </c>
      <c r="E1221" t="s">
        <v>4532</v>
      </c>
    </row>
    <row r="1222" spans="1:5" x14ac:dyDescent="0.25">
      <c r="A1222" t="s">
        <v>1448</v>
      </c>
      <c r="B1222" t="s">
        <v>4574</v>
      </c>
      <c r="C1222" t="s">
        <v>4575</v>
      </c>
      <c r="D1222" t="s">
        <v>2200</v>
      </c>
      <c r="E1222" t="s">
        <v>4552</v>
      </c>
    </row>
    <row r="1223" spans="1:5" x14ac:dyDescent="0.25">
      <c r="A1223" t="s">
        <v>1448</v>
      </c>
      <c r="B1223" t="s">
        <v>4576</v>
      </c>
      <c r="C1223" t="s">
        <v>4577</v>
      </c>
      <c r="D1223" t="s">
        <v>2200</v>
      </c>
      <c r="E1223" t="s">
        <v>4528</v>
      </c>
    </row>
    <row r="1224" spans="1:5" x14ac:dyDescent="0.25">
      <c r="A1224" t="s">
        <v>1448</v>
      </c>
      <c r="B1224" t="s">
        <v>4578</v>
      </c>
      <c r="C1224" t="s">
        <v>4579</v>
      </c>
      <c r="D1224" t="s">
        <v>2200</v>
      </c>
      <c r="E1224" t="s">
        <v>4537</v>
      </c>
    </row>
    <row r="1225" spans="1:5" x14ac:dyDescent="0.25">
      <c r="A1225" t="s">
        <v>1448</v>
      </c>
      <c r="B1225" t="s">
        <v>4580</v>
      </c>
      <c r="C1225" t="s">
        <v>4581</v>
      </c>
      <c r="D1225" t="s">
        <v>2200</v>
      </c>
      <c r="E1225" t="s">
        <v>4518</v>
      </c>
    </row>
    <row r="1226" spans="1:5" x14ac:dyDescent="0.25">
      <c r="A1226" t="s">
        <v>1448</v>
      </c>
      <c r="B1226" t="s">
        <v>4582</v>
      </c>
      <c r="C1226" t="s">
        <v>4527</v>
      </c>
      <c r="D1226" t="s">
        <v>2200</v>
      </c>
      <c r="E1226" t="s">
        <v>4526</v>
      </c>
    </row>
    <row r="1227" spans="1:5" x14ac:dyDescent="0.25">
      <c r="A1227" t="s">
        <v>1448</v>
      </c>
      <c r="B1227" t="s">
        <v>4583</v>
      </c>
      <c r="C1227" t="s">
        <v>4584</v>
      </c>
      <c r="D1227" t="s">
        <v>2200</v>
      </c>
      <c r="E1227" t="s">
        <v>4554</v>
      </c>
    </row>
    <row r="1228" spans="1:5" x14ac:dyDescent="0.25">
      <c r="A1228" t="s">
        <v>1448</v>
      </c>
      <c r="B1228" t="s">
        <v>4585</v>
      </c>
      <c r="C1228" t="s">
        <v>4586</v>
      </c>
      <c r="D1228" t="s">
        <v>2200</v>
      </c>
      <c r="E1228" t="s">
        <v>4530</v>
      </c>
    </row>
    <row r="1229" spans="1:5" x14ac:dyDescent="0.25">
      <c r="A1229" t="s">
        <v>1448</v>
      </c>
      <c r="B1229" t="s">
        <v>4587</v>
      </c>
      <c r="C1229" t="s">
        <v>2378</v>
      </c>
      <c r="D1229" t="s">
        <v>2200</v>
      </c>
      <c r="E1229" t="s">
        <v>4518</v>
      </c>
    </row>
    <row r="1230" spans="1:5" x14ac:dyDescent="0.25">
      <c r="A1230" t="s">
        <v>1448</v>
      </c>
      <c r="B1230" t="s">
        <v>4588</v>
      </c>
      <c r="C1230" t="s">
        <v>4589</v>
      </c>
      <c r="D1230" t="s">
        <v>2200</v>
      </c>
      <c r="E1230" t="s">
        <v>4530</v>
      </c>
    </row>
    <row r="1231" spans="1:5" x14ac:dyDescent="0.25">
      <c r="A1231" t="s">
        <v>1448</v>
      </c>
      <c r="B1231" t="s">
        <v>4590</v>
      </c>
      <c r="C1231" t="s">
        <v>4591</v>
      </c>
      <c r="D1231" t="s">
        <v>2200</v>
      </c>
      <c r="E1231" t="s">
        <v>4552</v>
      </c>
    </row>
    <row r="1232" spans="1:5" x14ac:dyDescent="0.25">
      <c r="A1232" t="s">
        <v>1448</v>
      </c>
      <c r="B1232" t="s">
        <v>4592</v>
      </c>
      <c r="C1232" t="s">
        <v>4593</v>
      </c>
      <c r="D1232" t="s">
        <v>2200</v>
      </c>
      <c r="E1232" t="s">
        <v>4532</v>
      </c>
    </row>
    <row r="1233" spans="1:5" x14ac:dyDescent="0.25">
      <c r="A1233" t="s">
        <v>1448</v>
      </c>
      <c r="B1233" t="s">
        <v>4594</v>
      </c>
      <c r="C1233" t="s">
        <v>4595</v>
      </c>
      <c r="D1233" t="s">
        <v>2200</v>
      </c>
      <c r="E1233" t="s">
        <v>4518</v>
      </c>
    </row>
    <row r="1234" spans="1:5" x14ac:dyDescent="0.25">
      <c r="A1234" t="s">
        <v>1448</v>
      </c>
      <c r="B1234" t="s">
        <v>4596</v>
      </c>
      <c r="C1234" t="s">
        <v>4597</v>
      </c>
      <c r="D1234" t="s">
        <v>2200</v>
      </c>
      <c r="E1234" t="s">
        <v>4530</v>
      </c>
    </row>
    <row r="1235" spans="1:5" x14ac:dyDescent="0.25">
      <c r="A1235" t="s">
        <v>1448</v>
      </c>
      <c r="B1235" t="s">
        <v>4598</v>
      </c>
      <c r="C1235" t="s">
        <v>4599</v>
      </c>
      <c r="D1235" t="s">
        <v>2200</v>
      </c>
      <c r="E1235" t="s">
        <v>4518</v>
      </c>
    </row>
    <row r="1236" spans="1:5" x14ac:dyDescent="0.25">
      <c r="A1236" t="s">
        <v>1448</v>
      </c>
      <c r="B1236" t="s">
        <v>4600</v>
      </c>
      <c r="C1236" t="s">
        <v>4601</v>
      </c>
      <c r="D1236" t="s">
        <v>2200</v>
      </c>
      <c r="E1236" t="s">
        <v>4521</v>
      </c>
    </row>
    <row r="1237" spans="1:5" x14ac:dyDescent="0.25">
      <c r="A1237" t="s">
        <v>1448</v>
      </c>
      <c r="B1237" t="s">
        <v>4602</v>
      </c>
      <c r="C1237" t="s">
        <v>4542</v>
      </c>
      <c r="D1237" t="s">
        <v>2200</v>
      </c>
      <c r="E1237" t="s">
        <v>4541</v>
      </c>
    </row>
    <row r="1238" spans="1:5" x14ac:dyDescent="0.25">
      <c r="A1238" t="s">
        <v>1448</v>
      </c>
      <c r="B1238" t="s">
        <v>4603</v>
      </c>
      <c r="C1238" t="s">
        <v>4604</v>
      </c>
      <c r="D1238" t="s">
        <v>2200</v>
      </c>
      <c r="E1238" t="s">
        <v>4518</v>
      </c>
    </row>
    <row r="1239" spans="1:5" x14ac:dyDescent="0.25">
      <c r="A1239" t="s">
        <v>1448</v>
      </c>
      <c r="B1239" t="s">
        <v>4605</v>
      </c>
      <c r="C1239" t="s">
        <v>2390</v>
      </c>
      <c r="D1239" t="s">
        <v>2200</v>
      </c>
      <c r="E1239" t="s">
        <v>4543</v>
      </c>
    </row>
    <row r="1240" spans="1:5" x14ac:dyDescent="0.25">
      <c r="A1240" t="s">
        <v>1448</v>
      </c>
      <c r="B1240" t="s">
        <v>4606</v>
      </c>
      <c r="C1240" t="s">
        <v>4607</v>
      </c>
      <c r="D1240" t="s">
        <v>2200</v>
      </c>
      <c r="E1240" t="s">
        <v>4525</v>
      </c>
    </row>
    <row r="1241" spans="1:5" x14ac:dyDescent="0.25">
      <c r="A1241" t="s">
        <v>1448</v>
      </c>
      <c r="B1241" t="s">
        <v>4608</v>
      </c>
      <c r="C1241" t="s">
        <v>4609</v>
      </c>
      <c r="D1241" t="s">
        <v>2200</v>
      </c>
      <c r="E1241" t="s">
        <v>4528</v>
      </c>
    </row>
    <row r="1242" spans="1:5" x14ac:dyDescent="0.25">
      <c r="A1242" t="s">
        <v>1448</v>
      </c>
      <c r="B1242" t="s">
        <v>4610</v>
      </c>
      <c r="C1242" t="s">
        <v>4611</v>
      </c>
      <c r="D1242" t="s">
        <v>2200</v>
      </c>
      <c r="E1242" t="s">
        <v>4532</v>
      </c>
    </row>
    <row r="1243" spans="1:5" x14ac:dyDescent="0.25">
      <c r="A1243" t="s">
        <v>1448</v>
      </c>
      <c r="B1243" t="s">
        <v>4612</v>
      </c>
      <c r="C1243" t="s">
        <v>4613</v>
      </c>
      <c r="D1243" t="s">
        <v>2200</v>
      </c>
      <c r="E1243" t="s">
        <v>4539</v>
      </c>
    </row>
    <row r="1244" spans="1:5" x14ac:dyDescent="0.25">
      <c r="A1244" t="s">
        <v>1448</v>
      </c>
      <c r="B1244" t="s">
        <v>4614</v>
      </c>
      <c r="C1244" t="s">
        <v>1447</v>
      </c>
      <c r="D1244" t="s">
        <v>2200</v>
      </c>
      <c r="E1244" t="s">
        <v>4544</v>
      </c>
    </row>
    <row r="1245" spans="1:5" x14ac:dyDescent="0.25">
      <c r="A1245" t="s">
        <v>1448</v>
      </c>
      <c r="B1245" t="s">
        <v>4615</v>
      </c>
      <c r="C1245" t="s">
        <v>4616</v>
      </c>
      <c r="D1245" t="s">
        <v>2200</v>
      </c>
      <c r="E1245" t="s">
        <v>4518</v>
      </c>
    </row>
    <row r="1246" spans="1:5" x14ac:dyDescent="0.25">
      <c r="A1246" t="s">
        <v>1448</v>
      </c>
      <c r="B1246" t="s">
        <v>4617</v>
      </c>
      <c r="C1246" t="s">
        <v>4618</v>
      </c>
      <c r="D1246" t="s">
        <v>2200</v>
      </c>
      <c r="E1246" t="s">
        <v>4548</v>
      </c>
    </row>
    <row r="1247" spans="1:5" x14ac:dyDescent="0.25">
      <c r="A1247" t="s">
        <v>1448</v>
      </c>
      <c r="B1247" t="s">
        <v>4619</v>
      </c>
      <c r="C1247" t="s">
        <v>4620</v>
      </c>
      <c r="D1247" t="s">
        <v>2200</v>
      </c>
      <c r="E1247" t="s">
        <v>4550</v>
      </c>
    </row>
    <row r="1248" spans="1:5" x14ac:dyDescent="0.25">
      <c r="A1248" t="s">
        <v>1448</v>
      </c>
      <c r="B1248" t="s">
        <v>4621</v>
      </c>
      <c r="C1248" t="s">
        <v>4622</v>
      </c>
      <c r="D1248" t="s">
        <v>2200</v>
      </c>
      <c r="E1248" t="s">
        <v>4539</v>
      </c>
    </row>
    <row r="1249" spans="1:5" x14ac:dyDescent="0.25">
      <c r="A1249" t="s">
        <v>1448</v>
      </c>
      <c r="B1249" t="s">
        <v>4623</v>
      </c>
      <c r="C1249" t="s">
        <v>4624</v>
      </c>
      <c r="D1249" t="s">
        <v>2200</v>
      </c>
      <c r="E1249" t="s">
        <v>4528</v>
      </c>
    </row>
    <row r="1250" spans="1:5" x14ac:dyDescent="0.25">
      <c r="A1250" t="s">
        <v>1448</v>
      </c>
      <c r="B1250" t="s">
        <v>4625</v>
      </c>
      <c r="C1250" t="s">
        <v>4626</v>
      </c>
      <c r="D1250" t="s">
        <v>2200</v>
      </c>
      <c r="E1250" t="s">
        <v>4539</v>
      </c>
    </row>
    <row r="1251" spans="1:5" x14ac:dyDescent="0.25">
      <c r="A1251" t="s">
        <v>1448</v>
      </c>
      <c r="B1251" t="s">
        <v>4627</v>
      </c>
      <c r="C1251" t="s">
        <v>4628</v>
      </c>
      <c r="D1251" t="s">
        <v>2200</v>
      </c>
      <c r="E1251" t="s">
        <v>4528</v>
      </c>
    </row>
    <row r="1252" spans="1:5" x14ac:dyDescent="0.25">
      <c r="A1252" t="s">
        <v>1448</v>
      </c>
      <c r="B1252" t="s">
        <v>4629</v>
      </c>
      <c r="C1252" t="s">
        <v>4630</v>
      </c>
      <c r="D1252" t="s">
        <v>2200</v>
      </c>
      <c r="E1252" t="s">
        <v>4525</v>
      </c>
    </row>
    <row r="1253" spans="1:5" x14ac:dyDescent="0.25">
      <c r="A1253" t="s">
        <v>1448</v>
      </c>
      <c r="B1253" t="s">
        <v>4631</v>
      </c>
      <c r="C1253" t="s">
        <v>4632</v>
      </c>
      <c r="D1253" t="s">
        <v>2200</v>
      </c>
      <c r="E1253" t="s">
        <v>4528</v>
      </c>
    </row>
    <row r="1254" spans="1:5" x14ac:dyDescent="0.25">
      <c r="A1254" t="s">
        <v>1448</v>
      </c>
      <c r="B1254" t="s">
        <v>4633</v>
      </c>
      <c r="C1254" t="s">
        <v>4634</v>
      </c>
      <c r="D1254" t="s">
        <v>2200</v>
      </c>
      <c r="E1254" t="s">
        <v>4518</v>
      </c>
    </row>
    <row r="1255" spans="1:5" x14ac:dyDescent="0.25">
      <c r="A1255" t="s">
        <v>1448</v>
      </c>
      <c r="B1255" t="s">
        <v>4635</v>
      </c>
      <c r="C1255" t="s">
        <v>4636</v>
      </c>
      <c r="D1255" t="s">
        <v>2200</v>
      </c>
      <c r="E1255" t="s">
        <v>4528</v>
      </c>
    </row>
    <row r="1256" spans="1:5" x14ac:dyDescent="0.25">
      <c r="A1256" t="s">
        <v>1448</v>
      </c>
      <c r="B1256" t="s">
        <v>4637</v>
      </c>
      <c r="C1256" t="s">
        <v>4638</v>
      </c>
      <c r="D1256" t="s">
        <v>2200</v>
      </c>
      <c r="E1256" t="s">
        <v>4532</v>
      </c>
    </row>
    <row r="1257" spans="1:5" x14ac:dyDescent="0.25">
      <c r="A1257" t="s">
        <v>1448</v>
      </c>
      <c r="B1257" t="s">
        <v>4639</v>
      </c>
      <c r="C1257" t="s">
        <v>4640</v>
      </c>
      <c r="D1257" t="s">
        <v>2200</v>
      </c>
      <c r="E1257" t="s">
        <v>4521</v>
      </c>
    </row>
    <row r="1258" spans="1:5" x14ac:dyDescent="0.25">
      <c r="A1258" t="s">
        <v>1448</v>
      </c>
      <c r="B1258" t="s">
        <v>4641</v>
      </c>
      <c r="C1258" t="s">
        <v>3276</v>
      </c>
      <c r="D1258" t="s">
        <v>2200</v>
      </c>
      <c r="E1258" t="s">
        <v>4530</v>
      </c>
    </row>
    <row r="1259" spans="1:5" x14ac:dyDescent="0.25">
      <c r="A1259" t="s">
        <v>1448</v>
      </c>
      <c r="B1259" t="s">
        <v>4642</v>
      </c>
      <c r="C1259" t="s">
        <v>4643</v>
      </c>
      <c r="D1259" t="s">
        <v>2200</v>
      </c>
      <c r="E1259" t="s">
        <v>4554</v>
      </c>
    </row>
    <row r="1260" spans="1:5" x14ac:dyDescent="0.25">
      <c r="A1260" t="s">
        <v>1448</v>
      </c>
      <c r="B1260" t="s">
        <v>4644</v>
      </c>
      <c r="C1260" t="s">
        <v>4645</v>
      </c>
      <c r="D1260" t="s">
        <v>2200</v>
      </c>
      <c r="E1260" t="s">
        <v>4528</v>
      </c>
    </row>
    <row r="1261" spans="1:5" x14ac:dyDescent="0.25">
      <c r="A1261" t="s">
        <v>1448</v>
      </c>
      <c r="B1261" t="s">
        <v>4646</v>
      </c>
      <c r="C1261" t="s">
        <v>4647</v>
      </c>
      <c r="D1261" t="s">
        <v>2200</v>
      </c>
      <c r="E1261" t="s">
        <v>4528</v>
      </c>
    </row>
    <row r="1262" spans="1:5" x14ac:dyDescent="0.25">
      <c r="A1262" t="s">
        <v>1448</v>
      </c>
      <c r="B1262" t="s">
        <v>4648</v>
      </c>
      <c r="C1262" t="s">
        <v>4649</v>
      </c>
      <c r="D1262" t="s">
        <v>2200</v>
      </c>
      <c r="E1262" t="s">
        <v>4521</v>
      </c>
    </row>
    <row r="1263" spans="1:5" x14ac:dyDescent="0.25">
      <c r="A1263" t="s">
        <v>1452</v>
      </c>
      <c r="B1263" t="s">
        <v>4650</v>
      </c>
      <c r="C1263" t="s">
        <v>4651</v>
      </c>
      <c r="D1263" t="s">
        <v>4652</v>
      </c>
      <c r="E1263" t="s">
        <v>2170</v>
      </c>
    </row>
    <row r="1264" spans="1:5" x14ac:dyDescent="0.25">
      <c r="A1264" t="s">
        <v>1452</v>
      </c>
      <c r="B1264" t="s">
        <v>4653</v>
      </c>
      <c r="C1264" t="s">
        <v>4654</v>
      </c>
      <c r="D1264" t="s">
        <v>4655</v>
      </c>
      <c r="E1264" t="s">
        <v>2170</v>
      </c>
    </row>
    <row r="1265" spans="1:5" x14ac:dyDescent="0.25">
      <c r="A1265" t="s">
        <v>1452</v>
      </c>
      <c r="B1265" t="s">
        <v>4656</v>
      </c>
      <c r="C1265" t="s">
        <v>4657</v>
      </c>
      <c r="D1265" t="s">
        <v>4655</v>
      </c>
      <c r="E1265" t="s">
        <v>2170</v>
      </c>
    </row>
    <row r="1266" spans="1:5" x14ac:dyDescent="0.25">
      <c r="A1266" t="s">
        <v>1452</v>
      </c>
      <c r="B1266" t="s">
        <v>4658</v>
      </c>
      <c r="C1266" t="s">
        <v>4659</v>
      </c>
      <c r="D1266" t="s">
        <v>4655</v>
      </c>
      <c r="E1266" t="s">
        <v>2170</v>
      </c>
    </row>
    <row r="1267" spans="1:5" x14ac:dyDescent="0.25">
      <c r="A1267" t="s">
        <v>1452</v>
      </c>
      <c r="B1267" t="s">
        <v>4660</v>
      </c>
      <c r="C1267" t="s">
        <v>4661</v>
      </c>
      <c r="D1267" t="s">
        <v>4652</v>
      </c>
      <c r="E1267" t="s">
        <v>2170</v>
      </c>
    </row>
    <row r="1268" spans="1:5" x14ac:dyDescent="0.25">
      <c r="A1268" t="s">
        <v>1452</v>
      </c>
      <c r="B1268" t="s">
        <v>4662</v>
      </c>
      <c r="C1268" t="s">
        <v>4663</v>
      </c>
      <c r="D1268" t="s">
        <v>4655</v>
      </c>
      <c r="E1268" t="s">
        <v>2170</v>
      </c>
    </row>
    <row r="1269" spans="1:5" x14ac:dyDescent="0.25">
      <c r="A1269" t="s">
        <v>1452</v>
      </c>
      <c r="B1269" t="s">
        <v>4664</v>
      </c>
      <c r="C1269" t="s">
        <v>4665</v>
      </c>
      <c r="D1269" t="s">
        <v>4655</v>
      </c>
      <c r="E1269" t="s">
        <v>2170</v>
      </c>
    </row>
    <row r="1270" spans="1:5" x14ac:dyDescent="0.25">
      <c r="A1270" t="s">
        <v>1452</v>
      </c>
      <c r="B1270" t="s">
        <v>4666</v>
      </c>
      <c r="C1270" t="s">
        <v>4667</v>
      </c>
      <c r="D1270" t="s">
        <v>4655</v>
      </c>
      <c r="E1270" t="s">
        <v>2170</v>
      </c>
    </row>
    <row r="1271" spans="1:5" x14ac:dyDescent="0.25">
      <c r="A1271" t="s">
        <v>1452</v>
      </c>
      <c r="B1271" t="s">
        <v>4668</v>
      </c>
      <c r="C1271" t="s">
        <v>4669</v>
      </c>
      <c r="D1271" t="s">
        <v>4655</v>
      </c>
      <c r="E1271" t="s">
        <v>2170</v>
      </c>
    </row>
    <row r="1272" spans="1:5" x14ac:dyDescent="0.25">
      <c r="A1272" t="s">
        <v>1452</v>
      </c>
      <c r="B1272" t="s">
        <v>4670</v>
      </c>
      <c r="C1272" t="s">
        <v>4671</v>
      </c>
      <c r="D1272" t="s">
        <v>4655</v>
      </c>
      <c r="E1272" t="s">
        <v>2170</v>
      </c>
    </row>
    <row r="1273" spans="1:5" x14ac:dyDescent="0.25">
      <c r="A1273" t="s">
        <v>1452</v>
      </c>
      <c r="B1273" t="s">
        <v>4672</v>
      </c>
      <c r="C1273" t="s">
        <v>4673</v>
      </c>
      <c r="D1273" t="s">
        <v>4655</v>
      </c>
      <c r="E1273" t="s">
        <v>2170</v>
      </c>
    </row>
    <row r="1274" spans="1:5" x14ac:dyDescent="0.25">
      <c r="A1274" t="s">
        <v>1452</v>
      </c>
      <c r="B1274" t="s">
        <v>4674</v>
      </c>
      <c r="C1274" t="s">
        <v>4675</v>
      </c>
      <c r="D1274" t="s">
        <v>4655</v>
      </c>
      <c r="E1274" t="s">
        <v>2170</v>
      </c>
    </row>
    <row r="1275" spans="1:5" x14ac:dyDescent="0.25">
      <c r="A1275" t="s">
        <v>1452</v>
      </c>
      <c r="B1275" t="s">
        <v>4676</v>
      </c>
      <c r="C1275" t="s">
        <v>4677</v>
      </c>
      <c r="D1275" t="s">
        <v>4655</v>
      </c>
      <c r="E1275" t="s">
        <v>2170</v>
      </c>
    </row>
    <row r="1276" spans="1:5" x14ac:dyDescent="0.25">
      <c r="A1276" t="s">
        <v>1287</v>
      </c>
      <c r="B1276" t="s">
        <v>4678</v>
      </c>
      <c r="C1276" t="s">
        <v>4679</v>
      </c>
      <c r="D1276" t="s">
        <v>2311</v>
      </c>
      <c r="E1276" t="s">
        <v>2170</v>
      </c>
    </row>
    <row r="1277" spans="1:5" x14ac:dyDescent="0.25">
      <c r="A1277" t="s">
        <v>1287</v>
      </c>
      <c r="B1277" t="s">
        <v>4680</v>
      </c>
      <c r="C1277" t="s">
        <v>4681</v>
      </c>
      <c r="D1277" t="s">
        <v>2311</v>
      </c>
      <c r="E1277" t="s">
        <v>2170</v>
      </c>
    </row>
    <row r="1278" spans="1:5" x14ac:dyDescent="0.25">
      <c r="A1278" t="s">
        <v>1287</v>
      </c>
      <c r="B1278" t="s">
        <v>4682</v>
      </c>
      <c r="C1278" t="s">
        <v>4683</v>
      </c>
      <c r="D1278" t="s">
        <v>2311</v>
      </c>
      <c r="E1278" t="s">
        <v>2170</v>
      </c>
    </row>
    <row r="1279" spans="1:5" x14ac:dyDescent="0.25">
      <c r="A1279" t="s">
        <v>1287</v>
      </c>
      <c r="B1279" t="s">
        <v>4684</v>
      </c>
      <c r="C1279" t="s">
        <v>4685</v>
      </c>
      <c r="D1279" t="s">
        <v>2311</v>
      </c>
      <c r="E1279" t="s">
        <v>2170</v>
      </c>
    </row>
    <row r="1280" spans="1:5" x14ac:dyDescent="0.25">
      <c r="A1280" t="s">
        <v>1287</v>
      </c>
      <c r="B1280" t="s">
        <v>4686</v>
      </c>
      <c r="C1280" t="s">
        <v>4687</v>
      </c>
      <c r="D1280" t="s">
        <v>2311</v>
      </c>
      <c r="E1280" t="s">
        <v>2170</v>
      </c>
    </row>
    <row r="1281" spans="1:5" x14ac:dyDescent="0.25">
      <c r="A1281" t="s">
        <v>1287</v>
      </c>
      <c r="B1281" t="s">
        <v>4688</v>
      </c>
      <c r="C1281" t="s">
        <v>4689</v>
      </c>
      <c r="D1281" t="s">
        <v>2311</v>
      </c>
      <c r="E1281" t="s">
        <v>2170</v>
      </c>
    </row>
    <row r="1282" spans="1:5" x14ac:dyDescent="0.25">
      <c r="A1282" t="s">
        <v>1287</v>
      </c>
      <c r="B1282" t="s">
        <v>4690</v>
      </c>
      <c r="C1282" t="s">
        <v>4691</v>
      </c>
      <c r="D1282" t="s">
        <v>2311</v>
      </c>
      <c r="E1282" t="s">
        <v>2170</v>
      </c>
    </row>
    <row r="1283" spans="1:5" x14ac:dyDescent="0.25">
      <c r="A1283" t="s">
        <v>1287</v>
      </c>
      <c r="B1283" t="s">
        <v>4692</v>
      </c>
      <c r="C1283" t="s">
        <v>4693</v>
      </c>
      <c r="D1283" t="s">
        <v>2311</v>
      </c>
      <c r="E1283" t="s">
        <v>2170</v>
      </c>
    </row>
    <row r="1284" spans="1:5" x14ac:dyDescent="0.25">
      <c r="A1284" t="s">
        <v>1287</v>
      </c>
      <c r="B1284" t="s">
        <v>4694</v>
      </c>
      <c r="C1284" t="s">
        <v>4695</v>
      </c>
      <c r="D1284" t="s">
        <v>2311</v>
      </c>
      <c r="E1284" t="s">
        <v>2170</v>
      </c>
    </row>
    <row r="1285" spans="1:5" x14ac:dyDescent="0.25">
      <c r="A1285" t="s">
        <v>1287</v>
      </c>
      <c r="B1285" t="s">
        <v>4696</v>
      </c>
      <c r="C1285" t="s">
        <v>4697</v>
      </c>
      <c r="D1285" t="s">
        <v>2311</v>
      </c>
      <c r="E1285" t="s">
        <v>2170</v>
      </c>
    </row>
    <row r="1286" spans="1:5" x14ac:dyDescent="0.25">
      <c r="A1286" t="s">
        <v>1287</v>
      </c>
      <c r="B1286" t="s">
        <v>4698</v>
      </c>
      <c r="C1286" t="s">
        <v>4699</v>
      </c>
      <c r="D1286" t="s">
        <v>2311</v>
      </c>
      <c r="E1286" t="s">
        <v>2170</v>
      </c>
    </row>
    <row r="1287" spans="1:5" x14ac:dyDescent="0.25">
      <c r="A1287" t="s">
        <v>1287</v>
      </c>
      <c r="B1287" t="s">
        <v>4700</v>
      </c>
      <c r="C1287" t="s">
        <v>4701</v>
      </c>
      <c r="D1287" t="s">
        <v>2311</v>
      </c>
      <c r="E1287" t="s">
        <v>2170</v>
      </c>
    </row>
    <row r="1288" spans="1:5" x14ac:dyDescent="0.25">
      <c r="A1288" t="s">
        <v>1287</v>
      </c>
      <c r="B1288" t="s">
        <v>4702</v>
      </c>
      <c r="C1288" t="s">
        <v>4703</v>
      </c>
      <c r="D1288" t="s">
        <v>2311</v>
      </c>
      <c r="E1288" t="s">
        <v>2170</v>
      </c>
    </row>
    <row r="1289" spans="1:5" x14ac:dyDescent="0.25">
      <c r="A1289" t="s">
        <v>1287</v>
      </c>
      <c r="B1289" t="s">
        <v>4704</v>
      </c>
      <c r="C1289" t="s">
        <v>4705</v>
      </c>
      <c r="D1289" t="s">
        <v>2311</v>
      </c>
      <c r="E1289" t="s">
        <v>2170</v>
      </c>
    </row>
    <row r="1290" spans="1:5" x14ac:dyDescent="0.25">
      <c r="A1290" t="s">
        <v>1287</v>
      </c>
      <c r="B1290" t="s">
        <v>4706</v>
      </c>
      <c r="C1290" t="s">
        <v>4707</v>
      </c>
      <c r="D1290" t="s">
        <v>2311</v>
      </c>
      <c r="E1290" t="s">
        <v>2170</v>
      </c>
    </row>
    <row r="1291" spans="1:5" x14ac:dyDescent="0.25">
      <c r="A1291" t="s">
        <v>1287</v>
      </c>
      <c r="B1291" t="s">
        <v>4708</v>
      </c>
      <c r="C1291" t="s">
        <v>4709</v>
      </c>
      <c r="D1291" t="s">
        <v>2311</v>
      </c>
      <c r="E1291" t="s">
        <v>2170</v>
      </c>
    </row>
    <row r="1292" spans="1:5" x14ac:dyDescent="0.25">
      <c r="A1292" t="s">
        <v>1287</v>
      </c>
      <c r="B1292" t="s">
        <v>4710</v>
      </c>
      <c r="C1292" t="s">
        <v>4711</v>
      </c>
      <c r="D1292" t="s">
        <v>2311</v>
      </c>
      <c r="E1292" t="s">
        <v>2170</v>
      </c>
    </row>
    <row r="1293" spans="1:5" x14ac:dyDescent="0.25">
      <c r="A1293" t="s">
        <v>1287</v>
      </c>
      <c r="B1293" t="s">
        <v>4712</v>
      </c>
      <c r="C1293" t="s">
        <v>4713</v>
      </c>
      <c r="D1293" t="s">
        <v>2311</v>
      </c>
      <c r="E1293" t="s">
        <v>2170</v>
      </c>
    </row>
    <row r="1294" spans="1:5" x14ac:dyDescent="0.25">
      <c r="A1294" t="s">
        <v>1287</v>
      </c>
      <c r="B1294" t="s">
        <v>4714</v>
      </c>
      <c r="C1294" t="s">
        <v>4715</v>
      </c>
      <c r="D1294" t="s">
        <v>2311</v>
      </c>
      <c r="E1294" t="s">
        <v>2170</v>
      </c>
    </row>
    <row r="1295" spans="1:5" x14ac:dyDescent="0.25">
      <c r="A1295" t="s">
        <v>1457</v>
      </c>
      <c r="B1295" t="s">
        <v>4716</v>
      </c>
      <c r="C1295" t="s">
        <v>3220</v>
      </c>
      <c r="D1295" t="s">
        <v>2630</v>
      </c>
      <c r="E1295" t="s">
        <v>2170</v>
      </c>
    </row>
    <row r="1296" spans="1:5" x14ac:dyDescent="0.25">
      <c r="A1296" t="s">
        <v>1457</v>
      </c>
      <c r="B1296" t="s">
        <v>4717</v>
      </c>
      <c r="C1296" t="s">
        <v>4718</v>
      </c>
      <c r="D1296" t="s">
        <v>2630</v>
      </c>
      <c r="E1296" t="s">
        <v>2170</v>
      </c>
    </row>
    <row r="1297" spans="1:5" x14ac:dyDescent="0.25">
      <c r="A1297" t="s">
        <v>1457</v>
      </c>
      <c r="B1297" t="s">
        <v>4719</v>
      </c>
      <c r="C1297" t="s">
        <v>4720</v>
      </c>
      <c r="D1297" t="s">
        <v>2630</v>
      </c>
      <c r="E1297" t="s">
        <v>2170</v>
      </c>
    </row>
    <row r="1298" spans="1:5" x14ac:dyDescent="0.25">
      <c r="A1298" t="s">
        <v>1457</v>
      </c>
      <c r="B1298" t="s">
        <v>4721</v>
      </c>
      <c r="C1298" t="s">
        <v>4722</v>
      </c>
      <c r="D1298" t="s">
        <v>2630</v>
      </c>
      <c r="E1298" t="s">
        <v>2170</v>
      </c>
    </row>
    <row r="1299" spans="1:5" x14ac:dyDescent="0.25">
      <c r="A1299" t="s">
        <v>1457</v>
      </c>
      <c r="B1299" t="s">
        <v>4723</v>
      </c>
      <c r="C1299" t="s">
        <v>4724</v>
      </c>
      <c r="D1299" t="s">
        <v>2281</v>
      </c>
      <c r="E1299" t="s">
        <v>2170</v>
      </c>
    </row>
    <row r="1300" spans="1:5" x14ac:dyDescent="0.25">
      <c r="A1300" t="s">
        <v>1457</v>
      </c>
      <c r="B1300" t="s">
        <v>4725</v>
      </c>
      <c r="C1300" t="s">
        <v>4726</v>
      </c>
      <c r="D1300" t="s">
        <v>2200</v>
      </c>
      <c r="E1300" t="s">
        <v>4721</v>
      </c>
    </row>
    <row r="1301" spans="1:5" x14ac:dyDescent="0.25">
      <c r="A1301" t="s">
        <v>1457</v>
      </c>
      <c r="B1301" t="s">
        <v>4727</v>
      </c>
      <c r="C1301" t="s">
        <v>4728</v>
      </c>
      <c r="D1301" t="s">
        <v>2200</v>
      </c>
      <c r="E1301" t="s">
        <v>4719</v>
      </c>
    </row>
    <row r="1302" spans="1:5" x14ac:dyDescent="0.25">
      <c r="A1302" t="s">
        <v>1457</v>
      </c>
      <c r="B1302" t="s">
        <v>4729</v>
      </c>
      <c r="C1302" t="s">
        <v>4730</v>
      </c>
      <c r="D1302" t="s">
        <v>2200</v>
      </c>
      <c r="E1302" t="s">
        <v>4719</v>
      </c>
    </row>
    <row r="1303" spans="1:5" x14ac:dyDescent="0.25">
      <c r="A1303" t="s">
        <v>1457</v>
      </c>
      <c r="B1303" t="s">
        <v>4731</v>
      </c>
      <c r="C1303" t="s">
        <v>4732</v>
      </c>
      <c r="D1303" t="s">
        <v>2200</v>
      </c>
      <c r="E1303" t="s">
        <v>4717</v>
      </c>
    </row>
    <row r="1304" spans="1:5" x14ac:dyDescent="0.25">
      <c r="A1304" t="s">
        <v>1457</v>
      </c>
      <c r="B1304" t="s">
        <v>4733</v>
      </c>
      <c r="C1304" t="s">
        <v>4734</v>
      </c>
      <c r="D1304" t="s">
        <v>2200</v>
      </c>
      <c r="E1304" t="s">
        <v>4717</v>
      </c>
    </row>
    <row r="1305" spans="1:5" x14ac:dyDescent="0.25">
      <c r="A1305" t="s">
        <v>1457</v>
      </c>
      <c r="B1305" t="s">
        <v>4735</v>
      </c>
      <c r="C1305" t="s">
        <v>4736</v>
      </c>
      <c r="D1305" t="s">
        <v>2200</v>
      </c>
      <c r="E1305" t="s">
        <v>4717</v>
      </c>
    </row>
    <row r="1306" spans="1:5" x14ac:dyDescent="0.25">
      <c r="A1306" t="s">
        <v>1457</v>
      </c>
      <c r="B1306" t="s">
        <v>4737</v>
      </c>
      <c r="C1306" t="s">
        <v>4738</v>
      </c>
      <c r="D1306" t="s">
        <v>2200</v>
      </c>
      <c r="E1306" t="s">
        <v>4719</v>
      </c>
    </row>
    <row r="1307" spans="1:5" x14ac:dyDescent="0.25">
      <c r="A1307" t="s">
        <v>1457</v>
      </c>
      <c r="B1307" t="s">
        <v>4739</v>
      </c>
      <c r="C1307" t="s">
        <v>4740</v>
      </c>
      <c r="D1307" t="s">
        <v>2200</v>
      </c>
      <c r="E1307" t="s">
        <v>4721</v>
      </c>
    </row>
    <row r="1308" spans="1:5" x14ac:dyDescent="0.25">
      <c r="A1308" t="s">
        <v>1457</v>
      </c>
      <c r="B1308" t="s">
        <v>4741</v>
      </c>
      <c r="C1308" t="s">
        <v>4742</v>
      </c>
      <c r="D1308" t="s">
        <v>2200</v>
      </c>
      <c r="E1308" t="s">
        <v>4716</v>
      </c>
    </row>
    <row r="1309" spans="1:5" x14ac:dyDescent="0.25">
      <c r="A1309" t="s">
        <v>1457</v>
      </c>
      <c r="B1309" t="s">
        <v>4743</v>
      </c>
      <c r="C1309" t="s">
        <v>4744</v>
      </c>
      <c r="D1309" t="s">
        <v>2200</v>
      </c>
      <c r="E1309" t="s">
        <v>4716</v>
      </c>
    </row>
    <row r="1310" spans="1:5" x14ac:dyDescent="0.25">
      <c r="A1310" t="s">
        <v>1457</v>
      </c>
      <c r="B1310" t="s">
        <v>4745</v>
      </c>
      <c r="C1310" t="s">
        <v>4746</v>
      </c>
      <c r="D1310" t="s">
        <v>2200</v>
      </c>
      <c r="E1310" t="s">
        <v>4721</v>
      </c>
    </row>
    <row r="1311" spans="1:5" x14ac:dyDescent="0.25">
      <c r="A1311" t="s">
        <v>1457</v>
      </c>
      <c r="B1311" t="s">
        <v>4747</v>
      </c>
      <c r="C1311" t="s">
        <v>4748</v>
      </c>
      <c r="D1311" t="s">
        <v>2200</v>
      </c>
      <c r="E1311" t="s">
        <v>4716</v>
      </c>
    </row>
    <row r="1312" spans="1:5" x14ac:dyDescent="0.25">
      <c r="A1312" t="s">
        <v>1457</v>
      </c>
      <c r="B1312" t="s">
        <v>4749</v>
      </c>
      <c r="C1312" t="s">
        <v>4750</v>
      </c>
      <c r="D1312" t="s">
        <v>2200</v>
      </c>
      <c r="E1312" t="s">
        <v>4716</v>
      </c>
    </row>
    <row r="1313" spans="1:5" x14ac:dyDescent="0.25">
      <c r="A1313" t="s">
        <v>1457</v>
      </c>
      <c r="B1313" t="s">
        <v>4751</v>
      </c>
      <c r="C1313" t="s">
        <v>4752</v>
      </c>
      <c r="D1313" t="s">
        <v>2200</v>
      </c>
      <c r="E1313" t="s">
        <v>4716</v>
      </c>
    </row>
    <row r="1314" spans="1:5" x14ac:dyDescent="0.25">
      <c r="A1314" t="s">
        <v>1463</v>
      </c>
      <c r="B1314" t="s">
        <v>4753</v>
      </c>
      <c r="C1314" t="s">
        <v>4754</v>
      </c>
      <c r="D1314" t="s">
        <v>2415</v>
      </c>
      <c r="E1314" t="s">
        <v>2170</v>
      </c>
    </row>
    <row r="1315" spans="1:5" x14ac:dyDescent="0.25">
      <c r="A1315" t="s">
        <v>1463</v>
      </c>
      <c r="B1315" t="s">
        <v>4755</v>
      </c>
      <c r="C1315" t="s">
        <v>4756</v>
      </c>
      <c r="D1315" t="s">
        <v>2415</v>
      </c>
      <c r="E1315" t="s">
        <v>2170</v>
      </c>
    </row>
    <row r="1316" spans="1:5" x14ac:dyDescent="0.25">
      <c r="A1316" t="s">
        <v>1463</v>
      </c>
      <c r="B1316" t="s">
        <v>4757</v>
      </c>
      <c r="C1316" t="s">
        <v>4758</v>
      </c>
      <c r="D1316" t="s">
        <v>2415</v>
      </c>
      <c r="E1316" t="s">
        <v>2170</v>
      </c>
    </row>
    <row r="1317" spans="1:5" x14ac:dyDescent="0.25">
      <c r="A1317" t="s">
        <v>1463</v>
      </c>
      <c r="B1317" t="s">
        <v>4759</v>
      </c>
      <c r="C1317" t="s">
        <v>4760</v>
      </c>
      <c r="D1317" t="s">
        <v>2415</v>
      </c>
      <c r="E1317" t="s">
        <v>2170</v>
      </c>
    </row>
    <row r="1318" spans="1:5" x14ac:dyDescent="0.25">
      <c r="A1318" t="s">
        <v>1471</v>
      </c>
      <c r="B1318" t="s">
        <v>4761</v>
      </c>
      <c r="C1318" t="s">
        <v>4762</v>
      </c>
      <c r="D1318" t="s">
        <v>4763</v>
      </c>
      <c r="E1318" t="s">
        <v>2170</v>
      </c>
    </row>
    <row r="1319" spans="1:5" x14ac:dyDescent="0.25">
      <c r="A1319" t="s">
        <v>1471</v>
      </c>
      <c r="B1319" t="s">
        <v>4764</v>
      </c>
      <c r="C1319" t="s">
        <v>4765</v>
      </c>
      <c r="D1319" t="s">
        <v>4763</v>
      </c>
      <c r="E1319" t="s">
        <v>2170</v>
      </c>
    </row>
    <row r="1320" spans="1:5" x14ac:dyDescent="0.25">
      <c r="A1320" t="s">
        <v>1471</v>
      </c>
      <c r="B1320" t="s">
        <v>4766</v>
      </c>
      <c r="C1320" t="s">
        <v>4767</v>
      </c>
      <c r="D1320" t="s">
        <v>4763</v>
      </c>
      <c r="E1320" t="s">
        <v>2170</v>
      </c>
    </row>
    <row r="1321" spans="1:5" x14ac:dyDescent="0.25">
      <c r="A1321" t="s">
        <v>1471</v>
      </c>
      <c r="B1321" t="s">
        <v>4768</v>
      </c>
      <c r="C1321" t="s">
        <v>4769</v>
      </c>
      <c r="D1321" t="s">
        <v>4763</v>
      </c>
      <c r="E1321" t="s">
        <v>2170</v>
      </c>
    </row>
    <row r="1322" spans="1:5" x14ac:dyDescent="0.25">
      <c r="A1322" t="s">
        <v>1471</v>
      </c>
      <c r="B1322" t="s">
        <v>4770</v>
      </c>
      <c r="C1322" t="s">
        <v>4771</v>
      </c>
      <c r="D1322" t="s">
        <v>4772</v>
      </c>
      <c r="E1322" t="s">
        <v>2170</v>
      </c>
    </row>
    <row r="1323" spans="1:5" x14ac:dyDescent="0.25">
      <c r="A1323" t="s">
        <v>1471</v>
      </c>
      <c r="B1323" t="s">
        <v>4773</v>
      </c>
      <c r="C1323" t="s">
        <v>4774</v>
      </c>
      <c r="D1323" t="s">
        <v>4763</v>
      </c>
      <c r="E1323" t="s">
        <v>2170</v>
      </c>
    </row>
    <row r="1324" spans="1:5" x14ac:dyDescent="0.25">
      <c r="A1324" t="s">
        <v>1471</v>
      </c>
      <c r="B1324" t="s">
        <v>4775</v>
      </c>
      <c r="C1324" t="s">
        <v>4776</v>
      </c>
      <c r="D1324" t="s">
        <v>4763</v>
      </c>
      <c r="E1324" t="s">
        <v>2170</v>
      </c>
    </row>
    <row r="1325" spans="1:5" x14ac:dyDescent="0.25">
      <c r="A1325" t="s">
        <v>1471</v>
      </c>
      <c r="B1325" t="s">
        <v>4777</v>
      </c>
      <c r="C1325" t="s">
        <v>4778</v>
      </c>
      <c r="D1325" t="s">
        <v>4763</v>
      </c>
      <c r="E1325" t="s">
        <v>2170</v>
      </c>
    </row>
    <row r="1326" spans="1:5" x14ac:dyDescent="0.25">
      <c r="A1326" t="s">
        <v>1471</v>
      </c>
      <c r="B1326" t="s">
        <v>4779</v>
      </c>
      <c r="C1326" t="s">
        <v>4780</v>
      </c>
      <c r="D1326" t="s">
        <v>4763</v>
      </c>
      <c r="E1326" t="s">
        <v>2170</v>
      </c>
    </row>
    <row r="1327" spans="1:5" x14ac:dyDescent="0.25">
      <c r="A1327" t="s">
        <v>1471</v>
      </c>
      <c r="B1327" t="s">
        <v>4781</v>
      </c>
      <c r="C1327" t="s">
        <v>4782</v>
      </c>
      <c r="D1327" t="s">
        <v>4763</v>
      </c>
      <c r="E1327" t="s">
        <v>2170</v>
      </c>
    </row>
    <row r="1328" spans="1:5" x14ac:dyDescent="0.25">
      <c r="A1328" t="s">
        <v>1471</v>
      </c>
      <c r="B1328" t="s">
        <v>4783</v>
      </c>
      <c r="C1328" t="s">
        <v>4784</v>
      </c>
      <c r="D1328" t="s">
        <v>4763</v>
      </c>
      <c r="E1328" t="s">
        <v>2170</v>
      </c>
    </row>
    <row r="1329" spans="1:5" x14ac:dyDescent="0.25">
      <c r="A1329" t="s">
        <v>1471</v>
      </c>
      <c r="B1329" t="s">
        <v>4785</v>
      </c>
      <c r="C1329" t="s">
        <v>4786</v>
      </c>
      <c r="D1329" t="s">
        <v>4763</v>
      </c>
      <c r="E1329" t="s">
        <v>2170</v>
      </c>
    </row>
    <row r="1330" spans="1:5" x14ac:dyDescent="0.25">
      <c r="A1330" t="s">
        <v>1471</v>
      </c>
      <c r="B1330" t="s">
        <v>4787</v>
      </c>
      <c r="C1330" t="s">
        <v>4788</v>
      </c>
      <c r="D1330" t="s">
        <v>4763</v>
      </c>
      <c r="E1330" t="s">
        <v>2170</v>
      </c>
    </row>
    <row r="1331" spans="1:5" x14ac:dyDescent="0.25">
      <c r="A1331" t="s">
        <v>1471</v>
      </c>
      <c r="B1331" t="s">
        <v>4789</v>
      </c>
      <c r="C1331" t="s">
        <v>4790</v>
      </c>
      <c r="D1331" t="s">
        <v>4791</v>
      </c>
      <c r="E1331" t="s">
        <v>4761</v>
      </c>
    </row>
    <row r="1332" spans="1:5" x14ac:dyDescent="0.25">
      <c r="A1332" t="s">
        <v>1471</v>
      </c>
      <c r="B1332" t="s">
        <v>4792</v>
      </c>
      <c r="C1332" t="s">
        <v>4793</v>
      </c>
      <c r="D1332" t="s">
        <v>4791</v>
      </c>
      <c r="E1332" t="s">
        <v>4775</v>
      </c>
    </row>
    <row r="1333" spans="1:5" x14ac:dyDescent="0.25">
      <c r="A1333" t="s">
        <v>1471</v>
      </c>
      <c r="B1333" t="s">
        <v>4794</v>
      </c>
      <c r="C1333" t="s">
        <v>4795</v>
      </c>
      <c r="D1333" t="s">
        <v>4791</v>
      </c>
      <c r="E1333" t="s">
        <v>4761</v>
      </c>
    </row>
    <row r="1334" spans="1:5" x14ac:dyDescent="0.25">
      <c r="A1334" t="s">
        <v>1471</v>
      </c>
      <c r="B1334" t="s">
        <v>4796</v>
      </c>
      <c r="C1334" t="s">
        <v>4797</v>
      </c>
      <c r="D1334" t="s">
        <v>4791</v>
      </c>
      <c r="E1334" t="s">
        <v>4787</v>
      </c>
    </row>
    <row r="1335" spans="1:5" x14ac:dyDescent="0.25">
      <c r="A1335" t="s">
        <v>1471</v>
      </c>
      <c r="B1335" t="s">
        <v>4798</v>
      </c>
      <c r="C1335" t="s">
        <v>4799</v>
      </c>
      <c r="D1335" t="s">
        <v>4791</v>
      </c>
      <c r="E1335" t="s">
        <v>4787</v>
      </c>
    </row>
    <row r="1336" spans="1:5" x14ac:dyDescent="0.25">
      <c r="A1336" t="s">
        <v>1471</v>
      </c>
      <c r="B1336" t="s">
        <v>4800</v>
      </c>
      <c r="C1336" t="s">
        <v>4801</v>
      </c>
      <c r="D1336" t="s">
        <v>4802</v>
      </c>
      <c r="E1336" t="s">
        <v>4773</v>
      </c>
    </row>
    <row r="1337" spans="1:5" x14ac:dyDescent="0.25">
      <c r="A1337" t="s">
        <v>1471</v>
      </c>
      <c r="B1337" t="s">
        <v>4803</v>
      </c>
      <c r="C1337" t="s">
        <v>4804</v>
      </c>
      <c r="D1337" t="s">
        <v>4791</v>
      </c>
      <c r="E1337" t="s">
        <v>4761</v>
      </c>
    </row>
    <row r="1338" spans="1:5" x14ac:dyDescent="0.25">
      <c r="A1338" t="s">
        <v>1471</v>
      </c>
      <c r="B1338" t="s">
        <v>4805</v>
      </c>
      <c r="C1338" t="s">
        <v>4806</v>
      </c>
      <c r="D1338" t="s">
        <v>4791</v>
      </c>
      <c r="E1338" t="s">
        <v>4773</v>
      </c>
    </row>
    <row r="1339" spans="1:5" x14ac:dyDescent="0.25">
      <c r="A1339" t="s">
        <v>1471</v>
      </c>
      <c r="B1339" t="s">
        <v>4807</v>
      </c>
      <c r="C1339" t="s">
        <v>4808</v>
      </c>
      <c r="D1339" t="s">
        <v>4791</v>
      </c>
      <c r="E1339" t="s">
        <v>4783</v>
      </c>
    </row>
    <row r="1340" spans="1:5" x14ac:dyDescent="0.25">
      <c r="A1340" t="s">
        <v>1471</v>
      </c>
      <c r="B1340" t="s">
        <v>4809</v>
      </c>
      <c r="C1340" t="s">
        <v>4810</v>
      </c>
      <c r="D1340" t="s">
        <v>4791</v>
      </c>
      <c r="E1340" t="s">
        <v>4773</v>
      </c>
    </row>
    <row r="1341" spans="1:5" x14ac:dyDescent="0.25">
      <c r="A1341" t="s">
        <v>1471</v>
      </c>
      <c r="B1341" t="s">
        <v>4811</v>
      </c>
      <c r="C1341" t="s">
        <v>4812</v>
      </c>
      <c r="D1341" t="s">
        <v>4791</v>
      </c>
      <c r="E1341" t="s">
        <v>4783</v>
      </c>
    </row>
    <row r="1342" spans="1:5" x14ac:dyDescent="0.25">
      <c r="A1342" t="s">
        <v>1471</v>
      </c>
      <c r="B1342" t="s">
        <v>4813</v>
      </c>
      <c r="C1342" t="s">
        <v>4814</v>
      </c>
      <c r="D1342" t="s">
        <v>4791</v>
      </c>
      <c r="E1342" t="s">
        <v>4783</v>
      </c>
    </row>
    <row r="1343" spans="1:5" x14ac:dyDescent="0.25">
      <c r="A1343" t="s">
        <v>1471</v>
      </c>
      <c r="B1343" t="s">
        <v>4815</v>
      </c>
      <c r="C1343" t="s">
        <v>4816</v>
      </c>
      <c r="D1343" t="s">
        <v>4791</v>
      </c>
      <c r="E1343" t="s">
        <v>4787</v>
      </c>
    </row>
    <row r="1344" spans="1:5" x14ac:dyDescent="0.25">
      <c r="A1344" t="s">
        <v>1471</v>
      </c>
      <c r="B1344" t="s">
        <v>4817</v>
      </c>
      <c r="C1344" t="s">
        <v>4818</v>
      </c>
      <c r="D1344" t="s">
        <v>4791</v>
      </c>
      <c r="E1344" t="s">
        <v>4779</v>
      </c>
    </row>
    <row r="1345" spans="1:5" x14ac:dyDescent="0.25">
      <c r="A1345" t="s">
        <v>1471</v>
      </c>
      <c r="B1345" t="s">
        <v>4819</v>
      </c>
      <c r="C1345" t="s">
        <v>4820</v>
      </c>
      <c r="D1345" t="s">
        <v>4791</v>
      </c>
      <c r="E1345" t="s">
        <v>4761</v>
      </c>
    </row>
    <row r="1346" spans="1:5" x14ac:dyDescent="0.25">
      <c r="A1346" t="s">
        <v>1471</v>
      </c>
      <c r="B1346" t="s">
        <v>4821</v>
      </c>
      <c r="C1346" t="s">
        <v>4822</v>
      </c>
      <c r="D1346" t="s">
        <v>4791</v>
      </c>
      <c r="E1346" t="s">
        <v>4781</v>
      </c>
    </row>
    <row r="1347" spans="1:5" x14ac:dyDescent="0.25">
      <c r="A1347" t="s">
        <v>1471</v>
      </c>
      <c r="B1347" t="s">
        <v>4823</v>
      </c>
      <c r="C1347" t="s">
        <v>4824</v>
      </c>
      <c r="D1347" t="s">
        <v>4791</v>
      </c>
      <c r="E1347" t="s">
        <v>4781</v>
      </c>
    </row>
    <row r="1348" spans="1:5" x14ac:dyDescent="0.25">
      <c r="A1348" t="s">
        <v>1471</v>
      </c>
      <c r="B1348" t="s">
        <v>4825</v>
      </c>
      <c r="C1348" t="s">
        <v>4826</v>
      </c>
      <c r="D1348" t="s">
        <v>4791</v>
      </c>
      <c r="E1348" t="s">
        <v>4768</v>
      </c>
    </row>
    <row r="1349" spans="1:5" x14ac:dyDescent="0.25">
      <c r="A1349" t="s">
        <v>1471</v>
      </c>
      <c r="B1349" t="s">
        <v>4827</v>
      </c>
      <c r="C1349" t="s">
        <v>4828</v>
      </c>
      <c r="D1349" t="s">
        <v>4791</v>
      </c>
      <c r="E1349" t="s">
        <v>4781</v>
      </c>
    </row>
    <row r="1350" spans="1:5" x14ac:dyDescent="0.25">
      <c r="A1350" t="s">
        <v>1471</v>
      </c>
      <c r="B1350" t="s">
        <v>4829</v>
      </c>
      <c r="C1350" t="s">
        <v>4830</v>
      </c>
      <c r="D1350" t="s">
        <v>4791</v>
      </c>
      <c r="E1350" t="s">
        <v>4770</v>
      </c>
    </row>
    <row r="1351" spans="1:5" x14ac:dyDescent="0.25">
      <c r="A1351" t="s">
        <v>1471</v>
      </c>
      <c r="B1351" t="s">
        <v>4831</v>
      </c>
      <c r="C1351" t="s">
        <v>4832</v>
      </c>
      <c r="D1351" t="s">
        <v>4791</v>
      </c>
      <c r="E1351" t="s">
        <v>4764</v>
      </c>
    </row>
    <row r="1352" spans="1:5" x14ac:dyDescent="0.25">
      <c r="A1352" t="s">
        <v>1471</v>
      </c>
      <c r="B1352" t="s">
        <v>4833</v>
      </c>
      <c r="C1352" t="s">
        <v>4834</v>
      </c>
      <c r="D1352" t="s">
        <v>4791</v>
      </c>
      <c r="E1352" t="s">
        <v>4766</v>
      </c>
    </row>
    <row r="1353" spans="1:5" x14ac:dyDescent="0.25">
      <c r="A1353" t="s">
        <v>1471</v>
      </c>
      <c r="B1353" t="s">
        <v>4835</v>
      </c>
      <c r="C1353" t="s">
        <v>4836</v>
      </c>
      <c r="D1353" t="s">
        <v>4791</v>
      </c>
      <c r="E1353" t="s">
        <v>4781</v>
      </c>
    </row>
    <row r="1354" spans="1:5" x14ac:dyDescent="0.25">
      <c r="A1354" t="s">
        <v>1471</v>
      </c>
      <c r="B1354" t="s">
        <v>4837</v>
      </c>
      <c r="C1354" t="s">
        <v>4838</v>
      </c>
      <c r="D1354" t="s">
        <v>4791</v>
      </c>
      <c r="E1354" t="s">
        <v>4781</v>
      </c>
    </row>
    <row r="1355" spans="1:5" x14ac:dyDescent="0.25">
      <c r="A1355" t="s">
        <v>1471</v>
      </c>
      <c r="B1355" t="s">
        <v>4839</v>
      </c>
      <c r="C1355" t="s">
        <v>4840</v>
      </c>
      <c r="D1355" t="s">
        <v>4791</v>
      </c>
      <c r="E1355" t="s">
        <v>4781</v>
      </c>
    </row>
    <row r="1356" spans="1:5" x14ac:dyDescent="0.25">
      <c r="A1356" t="s">
        <v>1471</v>
      </c>
      <c r="B1356" t="s">
        <v>4841</v>
      </c>
      <c r="C1356" t="s">
        <v>4842</v>
      </c>
      <c r="D1356" t="s">
        <v>4791</v>
      </c>
      <c r="E1356" t="s">
        <v>4764</v>
      </c>
    </row>
    <row r="1357" spans="1:5" x14ac:dyDescent="0.25">
      <c r="A1357" t="s">
        <v>1471</v>
      </c>
      <c r="B1357" t="s">
        <v>4843</v>
      </c>
      <c r="C1357" t="s">
        <v>4844</v>
      </c>
      <c r="D1357" t="s">
        <v>4791</v>
      </c>
      <c r="E1357" t="s">
        <v>4761</v>
      </c>
    </row>
    <row r="1358" spans="1:5" x14ac:dyDescent="0.25">
      <c r="A1358" t="s">
        <v>1471</v>
      </c>
      <c r="B1358" t="s">
        <v>4845</v>
      </c>
      <c r="C1358" t="s">
        <v>4846</v>
      </c>
      <c r="D1358" t="s">
        <v>4791</v>
      </c>
      <c r="E1358" t="s">
        <v>4777</v>
      </c>
    </row>
    <row r="1359" spans="1:5" x14ac:dyDescent="0.25">
      <c r="A1359" t="s">
        <v>1471</v>
      </c>
      <c r="B1359" t="s">
        <v>4847</v>
      </c>
      <c r="C1359" t="s">
        <v>4848</v>
      </c>
      <c r="D1359" t="s">
        <v>4791</v>
      </c>
      <c r="E1359" t="s">
        <v>4779</v>
      </c>
    </row>
    <row r="1360" spans="1:5" x14ac:dyDescent="0.25">
      <c r="A1360" t="s">
        <v>1471</v>
      </c>
      <c r="B1360" t="s">
        <v>4849</v>
      </c>
      <c r="C1360" t="s">
        <v>4850</v>
      </c>
      <c r="D1360" t="s">
        <v>4791</v>
      </c>
      <c r="E1360" t="s">
        <v>4768</v>
      </c>
    </row>
    <row r="1361" spans="1:5" x14ac:dyDescent="0.25">
      <c r="A1361" t="s">
        <v>1471</v>
      </c>
      <c r="B1361" t="s">
        <v>4851</v>
      </c>
      <c r="C1361" t="s">
        <v>4852</v>
      </c>
      <c r="D1361" t="s">
        <v>4791</v>
      </c>
      <c r="E1361" t="s">
        <v>4766</v>
      </c>
    </row>
    <row r="1362" spans="1:5" x14ac:dyDescent="0.25">
      <c r="A1362" t="s">
        <v>1471</v>
      </c>
      <c r="B1362" t="s">
        <v>4853</v>
      </c>
      <c r="C1362" t="s">
        <v>4854</v>
      </c>
      <c r="D1362" t="s">
        <v>4791</v>
      </c>
      <c r="E1362" t="s">
        <v>4783</v>
      </c>
    </row>
    <row r="1363" spans="1:5" x14ac:dyDescent="0.25">
      <c r="A1363" t="s">
        <v>1471</v>
      </c>
      <c r="B1363" t="s">
        <v>4855</v>
      </c>
      <c r="C1363" t="s">
        <v>4856</v>
      </c>
      <c r="D1363" t="s">
        <v>4791</v>
      </c>
      <c r="E1363" t="s">
        <v>4783</v>
      </c>
    </row>
    <row r="1364" spans="1:5" x14ac:dyDescent="0.25">
      <c r="A1364" t="s">
        <v>1471</v>
      </c>
      <c r="B1364" t="s">
        <v>4857</v>
      </c>
      <c r="C1364" t="s">
        <v>4858</v>
      </c>
      <c r="D1364" t="s">
        <v>4791</v>
      </c>
      <c r="E1364" t="s">
        <v>4781</v>
      </c>
    </row>
    <row r="1365" spans="1:5" x14ac:dyDescent="0.25">
      <c r="A1365" t="s">
        <v>1471</v>
      </c>
      <c r="B1365" t="s">
        <v>12078</v>
      </c>
      <c r="C1365" t="s">
        <v>1213</v>
      </c>
      <c r="D1365" t="s">
        <v>4859</v>
      </c>
      <c r="E1365" t="s">
        <v>2170</v>
      </c>
    </row>
    <row r="1366" spans="1:5" x14ac:dyDescent="0.25">
      <c r="A1366" t="s">
        <v>1471</v>
      </c>
      <c r="B1366" t="s">
        <v>12077</v>
      </c>
      <c r="C1366" t="s">
        <v>1208</v>
      </c>
      <c r="D1366" t="s">
        <v>4860</v>
      </c>
      <c r="E1366" t="s">
        <v>2170</v>
      </c>
    </row>
    <row r="1367" spans="1:5" x14ac:dyDescent="0.25">
      <c r="A1367" t="s">
        <v>1471</v>
      </c>
      <c r="B1367" t="s">
        <v>4861</v>
      </c>
      <c r="C1367" t="s">
        <v>4862</v>
      </c>
      <c r="D1367" t="s">
        <v>4791</v>
      </c>
      <c r="E1367" t="s">
        <v>4770</v>
      </c>
    </row>
    <row r="1368" spans="1:5" x14ac:dyDescent="0.25">
      <c r="A1368" t="s">
        <v>1471</v>
      </c>
      <c r="B1368" t="s">
        <v>4863</v>
      </c>
      <c r="C1368" t="s">
        <v>4864</v>
      </c>
      <c r="D1368" t="s">
        <v>4791</v>
      </c>
      <c r="E1368" t="s">
        <v>4783</v>
      </c>
    </row>
    <row r="1369" spans="1:5" x14ac:dyDescent="0.25">
      <c r="A1369" t="s">
        <v>1471</v>
      </c>
      <c r="B1369" t="s">
        <v>4865</v>
      </c>
      <c r="C1369" t="s">
        <v>4866</v>
      </c>
      <c r="D1369" t="s">
        <v>4791</v>
      </c>
      <c r="E1369" t="s">
        <v>4761</v>
      </c>
    </row>
    <row r="1370" spans="1:5" x14ac:dyDescent="0.25">
      <c r="A1370" t="s">
        <v>1471</v>
      </c>
      <c r="B1370" t="s">
        <v>4867</v>
      </c>
      <c r="C1370" t="s">
        <v>4868</v>
      </c>
      <c r="D1370" t="s">
        <v>4791</v>
      </c>
      <c r="E1370" t="s">
        <v>4773</v>
      </c>
    </row>
    <row r="1371" spans="1:5" x14ac:dyDescent="0.25">
      <c r="A1371" t="s">
        <v>1471</v>
      </c>
      <c r="B1371" t="s">
        <v>4869</v>
      </c>
      <c r="C1371" t="s">
        <v>4870</v>
      </c>
      <c r="D1371" t="s">
        <v>4791</v>
      </c>
      <c r="E1371" t="s">
        <v>4764</v>
      </c>
    </row>
    <row r="1372" spans="1:5" x14ac:dyDescent="0.25">
      <c r="A1372" t="s">
        <v>1471</v>
      </c>
      <c r="B1372" t="s">
        <v>4871</v>
      </c>
      <c r="C1372" t="s">
        <v>4872</v>
      </c>
      <c r="D1372" t="s">
        <v>4791</v>
      </c>
      <c r="E1372" t="s">
        <v>4761</v>
      </c>
    </row>
    <row r="1373" spans="1:5" x14ac:dyDescent="0.25">
      <c r="A1373" t="s">
        <v>1471</v>
      </c>
      <c r="B1373" t="s">
        <v>4873</v>
      </c>
      <c r="C1373" t="s">
        <v>4874</v>
      </c>
      <c r="D1373" t="s">
        <v>4791</v>
      </c>
      <c r="E1373" t="s">
        <v>4781</v>
      </c>
    </row>
    <row r="1374" spans="1:5" x14ac:dyDescent="0.25">
      <c r="A1374" t="s">
        <v>1471</v>
      </c>
      <c r="B1374" t="s">
        <v>4875</v>
      </c>
      <c r="C1374" t="s">
        <v>4876</v>
      </c>
      <c r="D1374" t="s">
        <v>4791</v>
      </c>
      <c r="E1374" t="s">
        <v>4787</v>
      </c>
    </row>
    <row r="1375" spans="1:5" x14ac:dyDescent="0.25">
      <c r="A1375" t="s">
        <v>1471</v>
      </c>
      <c r="B1375" t="s">
        <v>4877</v>
      </c>
      <c r="C1375" t="s">
        <v>4878</v>
      </c>
      <c r="D1375" t="s">
        <v>4791</v>
      </c>
      <c r="E1375" t="s">
        <v>4783</v>
      </c>
    </row>
    <row r="1376" spans="1:5" x14ac:dyDescent="0.25">
      <c r="A1376" t="s">
        <v>1471</v>
      </c>
      <c r="B1376" t="s">
        <v>4879</v>
      </c>
      <c r="C1376" t="s">
        <v>4880</v>
      </c>
      <c r="D1376" t="s">
        <v>4791</v>
      </c>
      <c r="E1376" t="s">
        <v>4777</v>
      </c>
    </row>
    <row r="1377" spans="1:5" x14ac:dyDescent="0.25">
      <c r="A1377" t="s">
        <v>1471</v>
      </c>
      <c r="B1377" t="s">
        <v>4881</v>
      </c>
      <c r="C1377" t="s">
        <v>4882</v>
      </c>
      <c r="D1377" t="s">
        <v>4791</v>
      </c>
      <c r="E1377" t="s">
        <v>4783</v>
      </c>
    </row>
    <row r="1378" spans="1:5" x14ac:dyDescent="0.25">
      <c r="A1378" t="s">
        <v>1471</v>
      </c>
      <c r="B1378" t="s">
        <v>4883</v>
      </c>
      <c r="C1378" t="s">
        <v>4884</v>
      </c>
      <c r="D1378" t="s">
        <v>4791</v>
      </c>
      <c r="E1378" t="s">
        <v>4766</v>
      </c>
    </row>
    <row r="1379" spans="1:5" x14ac:dyDescent="0.25">
      <c r="A1379" t="s">
        <v>1471</v>
      </c>
      <c r="B1379" t="s">
        <v>4885</v>
      </c>
      <c r="C1379" t="s">
        <v>4886</v>
      </c>
      <c r="D1379" t="s">
        <v>4791</v>
      </c>
      <c r="E1379" t="s">
        <v>4768</v>
      </c>
    </row>
    <row r="1380" spans="1:5" x14ac:dyDescent="0.25">
      <c r="A1380" t="s">
        <v>1471</v>
      </c>
      <c r="B1380" t="s">
        <v>4887</v>
      </c>
      <c r="C1380" t="s">
        <v>4888</v>
      </c>
      <c r="D1380" t="s">
        <v>4791</v>
      </c>
      <c r="E1380" t="s">
        <v>4768</v>
      </c>
    </row>
    <row r="1381" spans="1:5" x14ac:dyDescent="0.25">
      <c r="A1381" t="s">
        <v>1471</v>
      </c>
      <c r="B1381" t="s">
        <v>4889</v>
      </c>
      <c r="C1381" t="s">
        <v>4890</v>
      </c>
      <c r="D1381" t="s">
        <v>4791</v>
      </c>
      <c r="E1381" t="s">
        <v>4761</v>
      </c>
    </row>
    <row r="1382" spans="1:5" x14ac:dyDescent="0.25">
      <c r="A1382" t="s">
        <v>1471</v>
      </c>
      <c r="B1382" t="s">
        <v>4891</v>
      </c>
      <c r="C1382" t="s">
        <v>3434</v>
      </c>
      <c r="D1382" t="s">
        <v>4791</v>
      </c>
      <c r="E1382" t="s">
        <v>4764</v>
      </c>
    </row>
    <row r="1383" spans="1:5" x14ac:dyDescent="0.25">
      <c r="A1383" t="s">
        <v>1471</v>
      </c>
      <c r="B1383" t="s">
        <v>12074</v>
      </c>
      <c r="C1383" t="s">
        <v>4892</v>
      </c>
      <c r="D1383" t="s">
        <v>4859</v>
      </c>
      <c r="E1383" t="s">
        <v>2170</v>
      </c>
    </row>
    <row r="1384" spans="1:5" x14ac:dyDescent="0.25">
      <c r="A1384" t="s">
        <v>1471</v>
      </c>
      <c r="B1384" t="s">
        <v>4893</v>
      </c>
      <c r="C1384" t="s">
        <v>4894</v>
      </c>
      <c r="D1384" t="s">
        <v>4791</v>
      </c>
      <c r="E1384" t="s">
        <v>4781</v>
      </c>
    </row>
    <row r="1385" spans="1:5" x14ac:dyDescent="0.25">
      <c r="A1385" t="s">
        <v>1471</v>
      </c>
      <c r="B1385" t="s">
        <v>4895</v>
      </c>
      <c r="C1385" t="s">
        <v>4896</v>
      </c>
      <c r="D1385" t="s">
        <v>4791</v>
      </c>
      <c r="E1385" t="s">
        <v>4768</v>
      </c>
    </row>
    <row r="1386" spans="1:5" x14ac:dyDescent="0.25">
      <c r="A1386" t="s">
        <v>1471</v>
      </c>
      <c r="B1386" t="s">
        <v>4897</v>
      </c>
      <c r="C1386" t="s">
        <v>4898</v>
      </c>
      <c r="D1386" t="s">
        <v>4791</v>
      </c>
      <c r="E1386" t="s">
        <v>4761</v>
      </c>
    </row>
    <row r="1387" spans="1:5" x14ac:dyDescent="0.25">
      <c r="A1387" t="s">
        <v>1471</v>
      </c>
      <c r="B1387" t="s">
        <v>4899</v>
      </c>
      <c r="C1387" t="s">
        <v>4900</v>
      </c>
      <c r="D1387" t="s">
        <v>4791</v>
      </c>
      <c r="E1387" t="s">
        <v>4785</v>
      </c>
    </row>
    <row r="1388" spans="1:5" x14ac:dyDescent="0.25">
      <c r="A1388" t="s">
        <v>1471</v>
      </c>
      <c r="B1388" t="s">
        <v>4901</v>
      </c>
      <c r="C1388" t="s">
        <v>4902</v>
      </c>
      <c r="D1388" t="s">
        <v>4791</v>
      </c>
      <c r="E1388" t="s">
        <v>4768</v>
      </c>
    </row>
    <row r="1389" spans="1:5" x14ac:dyDescent="0.25">
      <c r="A1389" t="s">
        <v>1471</v>
      </c>
      <c r="B1389" t="s">
        <v>4903</v>
      </c>
      <c r="C1389" t="s">
        <v>4904</v>
      </c>
      <c r="D1389" t="s">
        <v>4791</v>
      </c>
      <c r="E1389" t="s">
        <v>4783</v>
      </c>
    </row>
    <row r="1390" spans="1:5" x14ac:dyDescent="0.25">
      <c r="A1390" t="s">
        <v>1471</v>
      </c>
      <c r="B1390" t="s">
        <v>4905</v>
      </c>
      <c r="C1390" t="s">
        <v>4906</v>
      </c>
      <c r="D1390" t="s">
        <v>4791</v>
      </c>
      <c r="E1390" t="s">
        <v>4781</v>
      </c>
    </row>
    <row r="1391" spans="1:5" x14ac:dyDescent="0.25">
      <c r="A1391" t="s">
        <v>1471</v>
      </c>
      <c r="B1391" t="s">
        <v>4907</v>
      </c>
      <c r="C1391" t="s">
        <v>4908</v>
      </c>
      <c r="D1391" t="s">
        <v>4791</v>
      </c>
      <c r="E1391" t="s">
        <v>4783</v>
      </c>
    </row>
    <row r="1392" spans="1:5" x14ac:dyDescent="0.25">
      <c r="A1392" t="s">
        <v>1471</v>
      </c>
      <c r="B1392" t="s">
        <v>4909</v>
      </c>
      <c r="C1392" t="s">
        <v>4910</v>
      </c>
      <c r="D1392" t="s">
        <v>4791</v>
      </c>
      <c r="E1392" t="s">
        <v>4785</v>
      </c>
    </row>
    <row r="1393" spans="1:5" x14ac:dyDescent="0.25">
      <c r="A1393" t="s">
        <v>1471</v>
      </c>
      <c r="B1393" t="s">
        <v>4911</v>
      </c>
      <c r="C1393" t="s">
        <v>4912</v>
      </c>
      <c r="D1393" t="s">
        <v>4791</v>
      </c>
      <c r="E1393" t="s">
        <v>4779</v>
      </c>
    </row>
    <row r="1394" spans="1:5" x14ac:dyDescent="0.25">
      <c r="A1394" t="s">
        <v>1471</v>
      </c>
      <c r="B1394" t="s">
        <v>4913</v>
      </c>
      <c r="C1394" t="s">
        <v>4914</v>
      </c>
      <c r="D1394" t="s">
        <v>4791</v>
      </c>
      <c r="E1394" t="s">
        <v>4773</v>
      </c>
    </row>
    <row r="1395" spans="1:5" x14ac:dyDescent="0.25">
      <c r="A1395" t="s">
        <v>1471</v>
      </c>
      <c r="B1395" t="s">
        <v>12075</v>
      </c>
      <c r="C1395" t="s">
        <v>1220</v>
      </c>
      <c r="D1395" t="s">
        <v>4860</v>
      </c>
      <c r="E1395" t="s">
        <v>2170</v>
      </c>
    </row>
    <row r="1396" spans="1:5" x14ac:dyDescent="0.25">
      <c r="A1396" t="s">
        <v>1471</v>
      </c>
      <c r="B1396" t="s">
        <v>4915</v>
      </c>
      <c r="C1396" t="s">
        <v>4916</v>
      </c>
      <c r="D1396" t="s">
        <v>4791</v>
      </c>
      <c r="E1396" t="s">
        <v>4785</v>
      </c>
    </row>
    <row r="1397" spans="1:5" x14ac:dyDescent="0.25">
      <c r="A1397" t="s">
        <v>1471</v>
      </c>
      <c r="B1397" t="s">
        <v>12076</v>
      </c>
      <c r="C1397" t="s">
        <v>1221</v>
      </c>
      <c r="D1397" t="s">
        <v>4859</v>
      </c>
      <c r="E1397" t="s">
        <v>2170</v>
      </c>
    </row>
    <row r="1398" spans="1:5" x14ac:dyDescent="0.25">
      <c r="A1398" t="s">
        <v>1471</v>
      </c>
      <c r="B1398" t="s">
        <v>4917</v>
      </c>
      <c r="C1398" t="s">
        <v>4918</v>
      </c>
      <c r="D1398" t="s">
        <v>4772</v>
      </c>
      <c r="E1398" t="s">
        <v>4761</v>
      </c>
    </row>
    <row r="1399" spans="1:5" x14ac:dyDescent="0.25">
      <c r="A1399" t="s">
        <v>1471</v>
      </c>
      <c r="B1399" t="s">
        <v>4919</v>
      </c>
      <c r="C1399" t="s">
        <v>4920</v>
      </c>
      <c r="D1399" t="s">
        <v>4791</v>
      </c>
      <c r="E1399" t="s">
        <v>4773</v>
      </c>
    </row>
    <row r="1400" spans="1:5" x14ac:dyDescent="0.25">
      <c r="A1400" t="s">
        <v>1471</v>
      </c>
      <c r="B1400" t="s">
        <v>4921</v>
      </c>
      <c r="C1400" t="s">
        <v>4922</v>
      </c>
      <c r="D1400" t="s">
        <v>4791</v>
      </c>
      <c r="E1400" t="s">
        <v>4773</v>
      </c>
    </row>
    <row r="1401" spans="1:5" x14ac:dyDescent="0.25">
      <c r="A1401" t="s">
        <v>1471</v>
      </c>
      <c r="B1401" t="s">
        <v>4923</v>
      </c>
      <c r="C1401" t="s">
        <v>4924</v>
      </c>
      <c r="D1401" t="s">
        <v>4791</v>
      </c>
      <c r="E1401" t="s">
        <v>4766</v>
      </c>
    </row>
    <row r="1402" spans="1:5" x14ac:dyDescent="0.25">
      <c r="A1402" t="s">
        <v>1471</v>
      </c>
      <c r="B1402" t="s">
        <v>4925</v>
      </c>
      <c r="C1402" t="s">
        <v>4926</v>
      </c>
      <c r="D1402" t="s">
        <v>4791</v>
      </c>
      <c r="E1402" t="s">
        <v>4773</v>
      </c>
    </row>
    <row r="1403" spans="1:5" x14ac:dyDescent="0.25">
      <c r="A1403" t="s">
        <v>1471</v>
      </c>
      <c r="B1403" t="s">
        <v>4927</v>
      </c>
      <c r="C1403" t="s">
        <v>4928</v>
      </c>
      <c r="D1403" t="s">
        <v>4791</v>
      </c>
      <c r="E1403" t="s">
        <v>4764</v>
      </c>
    </row>
    <row r="1404" spans="1:5" x14ac:dyDescent="0.25">
      <c r="A1404" t="s">
        <v>1471</v>
      </c>
      <c r="B1404" t="s">
        <v>4929</v>
      </c>
      <c r="C1404" t="s">
        <v>2810</v>
      </c>
      <c r="D1404" t="s">
        <v>4791</v>
      </c>
      <c r="E1404" t="s">
        <v>4775</v>
      </c>
    </row>
    <row r="1405" spans="1:5" x14ac:dyDescent="0.25">
      <c r="A1405" t="s">
        <v>1471</v>
      </c>
      <c r="B1405" t="s">
        <v>4930</v>
      </c>
      <c r="C1405" t="s">
        <v>4931</v>
      </c>
      <c r="D1405" t="s">
        <v>4791</v>
      </c>
      <c r="E1405" t="s">
        <v>4775</v>
      </c>
    </row>
    <row r="1406" spans="1:5" x14ac:dyDescent="0.25">
      <c r="A1406" t="s">
        <v>1471</v>
      </c>
      <c r="B1406" t="s">
        <v>4932</v>
      </c>
      <c r="C1406" t="s">
        <v>4933</v>
      </c>
      <c r="D1406" t="s">
        <v>4791</v>
      </c>
      <c r="E1406" t="s">
        <v>4779</v>
      </c>
    </row>
    <row r="1407" spans="1:5" x14ac:dyDescent="0.25">
      <c r="A1407" t="s">
        <v>1471</v>
      </c>
      <c r="B1407" t="s">
        <v>4934</v>
      </c>
      <c r="C1407" t="s">
        <v>1470</v>
      </c>
      <c r="D1407" t="s">
        <v>4772</v>
      </c>
      <c r="E1407" t="s">
        <v>4777</v>
      </c>
    </row>
    <row r="1408" spans="1:5" x14ac:dyDescent="0.25">
      <c r="A1408" t="s">
        <v>1471</v>
      </c>
      <c r="B1408" t="s">
        <v>4935</v>
      </c>
      <c r="C1408" t="s">
        <v>4936</v>
      </c>
      <c r="D1408" t="s">
        <v>4791</v>
      </c>
      <c r="E1408" t="s">
        <v>4775</v>
      </c>
    </row>
    <row r="1409" spans="1:5" x14ac:dyDescent="0.25">
      <c r="A1409" t="s">
        <v>1471</v>
      </c>
      <c r="B1409" t="s">
        <v>4937</v>
      </c>
      <c r="C1409" t="s">
        <v>4938</v>
      </c>
      <c r="D1409" t="s">
        <v>4791</v>
      </c>
      <c r="E1409" t="s">
        <v>4761</v>
      </c>
    </row>
    <row r="1410" spans="1:5" x14ac:dyDescent="0.25">
      <c r="A1410" t="s">
        <v>1471</v>
      </c>
      <c r="B1410" t="s">
        <v>4939</v>
      </c>
      <c r="C1410" t="s">
        <v>4940</v>
      </c>
      <c r="D1410" t="s">
        <v>4791</v>
      </c>
      <c r="E1410" t="s">
        <v>4781</v>
      </c>
    </row>
    <row r="1411" spans="1:5" x14ac:dyDescent="0.25">
      <c r="A1411" t="s">
        <v>1471</v>
      </c>
      <c r="B1411" t="s">
        <v>4941</v>
      </c>
      <c r="C1411" t="s">
        <v>4942</v>
      </c>
      <c r="D1411" t="s">
        <v>4791</v>
      </c>
      <c r="E1411" t="s">
        <v>4783</v>
      </c>
    </row>
    <row r="1412" spans="1:5" x14ac:dyDescent="0.25">
      <c r="A1412" t="s">
        <v>1471</v>
      </c>
      <c r="B1412" t="s">
        <v>4943</v>
      </c>
      <c r="C1412" t="s">
        <v>4944</v>
      </c>
      <c r="D1412" t="s">
        <v>4791</v>
      </c>
      <c r="E1412" t="s">
        <v>4761</v>
      </c>
    </row>
    <row r="1413" spans="1:5" x14ac:dyDescent="0.25">
      <c r="A1413" t="s">
        <v>1471</v>
      </c>
      <c r="B1413" t="s">
        <v>4945</v>
      </c>
      <c r="C1413" t="s">
        <v>4946</v>
      </c>
      <c r="D1413" t="s">
        <v>4791</v>
      </c>
      <c r="E1413" t="s">
        <v>4764</v>
      </c>
    </row>
    <row r="1414" spans="1:5" x14ac:dyDescent="0.25">
      <c r="A1414" t="s">
        <v>1471</v>
      </c>
      <c r="B1414" t="s">
        <v>4947</v>
      </c>
      <c r="C1414" t="s">
        <v>4948</v>
      </c>
      <c r="D1414" t="s">
        <v>4791</v>
      </c>
      <c r="E1414" t="s">
        <v>4785</v>
      </c>
    </row>
    <row r="1415" spans="1:5" x14ac:dyDescent="0.25">
      <c r="A1415" t="s">
        <v>1471</v>
      </c>
      <c r="B1415" t="s">
        <v>4949</v>
      </c>
      <c r="C1415" t="s">
        <v>4950</v>
      </c>
      <c r="D1415" t="s">
        <v>4791</v>
      </c>
      <c r="E1415" t="s">
        <v>4761</v>
      </c>
    </row>
    <row r="1416" spans="1:5" x14ac:dyDescent="0.25">
      <c r="A1416" t="s">
        <v>1471</v>
      </c>
      <c r="B1416" t="s">
        <v>4951</v>
      </c>
      <c r="C1416" t="s">
        <v>4952</v>
      </c>
      <c r="D1416" t="s">
        <v>4791</v>
      </c>
      <c r="E1416" t="s">
        <v>4777</v>
      </c>
    </row>
    <row r="1417" spans="1:5" x14ac:dyDescent="0.25">
      <c r="A1417" t="s">
        <v>1471</v>
      </c>
      <c r="B1417" t="s">
        <v>4953</v>
      </c>
      <c r="C1417" t="s">
        <v>4954</v>
      </c>
      <c r="D1417" t="s">
        <v>4791</v>
      </c>
      <c r="E1417" t="s">
        <v>4779</v>
      </c>
    </row>
    <row r="1418" spans="1:5" x14ac:dyDescent="0.25">
      <c r="A1418" t="s">
        <v>1471</v>
      </c>
      <c r="B1418" t="s">
        <v>4955</v>
      </c>
      <c r="C1418" t="s">
        <v>4956</v>
      </c>
      <c r="D1418" t="s">
        <v>4791</v>
      </c>
      <c r="E1418" t="s">
        <v>4777</v>
      </c>
    </row>
    <row r="1419" spans="1:5" x14ac:dyDescent="0.25">
      <c r="A1419" t="s">
        <v>1471</v>
      </c>
      <c r="B1419" t="s">
        <v>4957</v>
      </c>
      <c r="C1419" t="s">
        <v>4958</v>
      </c>
      <c r="D1419" t="s">
        <v>4791</v>
      </c>
      <c r="E1419" t="s">
        <v>4775</v>
      </c>
    </row>
    <row r="1420" spans="1:5" x14ac:dyDescent="0.25">
      <c r="A1420" t="s">
        <v>1471</v>
      </c>
      <c r="B1420" t="s">
        <v>4959</v>
      </c>
      <c r="C1420" t="s">
        <v>4960</v>
      </c>
      <c r="D1420" t="s">
        <v>4791</v>
      </c>
      <c r="E1420" t="s">
        <v>4783</v>
      </c>
    </row>
    <row r="1421" spans="1:5" x14ac:dyDescent="0.25">
      <c r="A1421" t="s">
        <v>1471</v>
      </c>
      <c r="B1421" t="s">
        <v>4961</v>
      </c>
      <c r="C1421" t="s">
        <v>4962</v>
      </c>
      <c r="D1421" t="s">
        <v>4791</v>
      </c>
      <c r="E1421" t="s">
        <v>4783</v>
      </c>
    </row>
    <row r="1422" spans="1:5" x14ac:dyDescent="0.25">
      <c r="A1422" t="s">
        <v>1471</v>
      </c>
      <c r="B1422" t="s">
        <v>4963</v>
      </c>
      <c r="C1422" t="s">
        <v>4964</v>
      </c>
      <c r="D1422" t="s">
        <v>4791</v>
      </c>
      <c r="E1422" t="s">
        <v>4764</v>
      </c>
    </row>
    <row r="1423" spans="1:5" x14ac:dyDescent="0.25">
      <c r="A1423" t="s">
        <v>1471</v>
      </c>
      <c r="B1423" t="s">
        <v>4965</v>
      </c>
      <c r="C1423" t="s">
        <v>4966</v>
      </c>
      <c r="D1423" t="s">
        <v>4791</v>
      </c>
      <c r="E1423" t="s">
        <v>4777</v>
      </c>
    </row>
    <row r="1424" spans="1:5" x14ac:dyDescent="0.25">
      <c r="A1424" t="s">
        <v>1471</v>
      </c>
      <c r="B1424" t="s">
        <v>4967</v>
      </c>
      <c r="C1424" t="s">
        <v>4968</v>
      </c>
      <c r="D1424" t="s">
        <v>4791</v>
      </c>
      <c r="E1424" t="s">
        <v>4777</v>
      </c>
    </row>
    <row r="1425" spans="1:5" x14ac:dyDescent="0.25">
      <c r="A1425" t="s">
        <v>1471</v>
      </c>
      <c r="B1425" t="s">
        <v>4969</v>
      </c>
      <c r="C1425" t="s">
        <v>4970</v>
      </c>
      <c r="D1425" t="s">
        <v>4791</v>
      </c>
      <c r="E1425" t="s">
        <v>4787</v>
      </c>
    </row>
    <row r="1426" spans="1:5" x14ac:dyDescent="0.25">
      <c r="A1426" t="s">
        <v>1471</v>
      </c>
      <c r="B1426" t="s">
        <v>4971</v>
      </c>
      <c r="C1426" t="s">
        <v>4972</v>
      </c>
      <c r="D1426" t="s">
        <v>4791</v>
      </c>
      <c r="E1426" t="s">
        <v>4787</v>
      </c>
    </row>
    <row r="1427" spans="1:5" x14ac:dyDescent="0.25">
      <c r="A1427" t="s">
        <v>1471</v>
      </c>
      <c r="B1427" t="s">
        <v>4973</v>
      </c>
      <c r="C1427" t="s">
        <v>4974</v>
      </c>
      <c r="D1427" t="s">
        <v>4791</v>
      </c>
      <c r="E1427" t="s">
        <v>4785</v>
      </c>
    </row>
    <row r="1428" spans="1:5" x14ac:dyDescent="0.25">
      <c r="A1428" t="s">
        <v>1471</v>
      </c>
      <c r="B1428" t="s">
        <v>4975</v>
      </c>
      <c r="C1428" t="s">
        <v>4976</v>
      </c>
      <c r="D1428" t="s">
        <v>4791</v>
      </c>
      <c r="E1428" t="s">
        <v>4781</v>
      </c>
    </row>
    <row r="1429" spans="1:5" x14ac:dyDescent="0.25">
      <c r="A1429" t="s">
        <v>1471</v>
      </c>
      <c r="B1429" t="s">
        <v>4977</v>
      </c>
      <c r="C1429" t="s">
        <v>4978</v>
      </c>
      <c r="D1429" t="s">
        <v>4791</v>
      </c>
      <c r="E1429" t="s">
        <v>4773</v>
      </c>
    </row>
    <row r="1430" spans="1:5" x14ac:dyDescent="0.25">
      <c r="A1430" t="s">
        <v>1471</v>
      </c>
      <c r="B1430" t="s">
        <v>4979</v>
      </c>
      <c r="C1430" t="s">
        <v>4980</v>
      </c>
      <c r="D1430" t="s">
        <v>4791</v>
      </c>
      <c r="E1430" t="s">
        <v>4764</v>
      </c>
    </row>
    <row r="1431" spans="1:5" x14ac:dyDescent="0.25">
      <c r="A1431" t="s">
        <v>1471</v>
      </c>
      <c r="B1431" t="s">
        <v>4981</v>
      </c>
      <c r="C1431" t="s">
        <v>4982</v>
      </c>
      <c r="D1431" t="s">
        <v>4791</v>
      </c>
      <c r="E1431" t="s">
        <v>4777</v>
      </c>
    </row>
    <row r="1432" spans="1:5" x14ac:dyDescent="0.25">
      <c r="A1432" t="s">
        <v>1471</v>
      </c>
      <c r="B1432" t="s">
        <v>4983</v>
      </c>
      <c r="C1432" t="s">
        <v>4984</v>
      </c>
      <c r="D1432" t="s">
        <v>4791</v>
      </c>
      <c r="E1432" t="s">
        <v>4800</v>
      </c>
    </row>
    <row r="1433" spans="1:5" x14ac:dyDescent="0.25">
      <c r="A1433" t="s">
        <v>1471</v>
      </c>
      <c r="B1433" t="s">
        <v>4985</v>
      </c>
      <c r="C1433" t="s">
        <v>4986</v>
      </c>
      <c r="D1433" t="s">
        <v>4791</v>
      </c>
      <c r="E1433" t="s">
        <v>4800</v>
      </c>
    </row>
    <row r="1434" spans="1:5" x14ac:dyDescent="0.25">
      <c r="A1434" t="s">
        <v>1471</v>
      </c>
      <c r="B1434" t="s">
        <v>4987</v>
      </c>
      <c r="C1434" t="s">
        <v>4988</v>
      </c>
      <c r="D1434" t="s">
        <v>2281</v>
      </c>
      <c r="E1434" t="s">
        <v>2170</v>
      </c>
    </row>
    <row r="1435" spans="1:5" x14ac:dyDescent="0.25">
      <c r="A1435" t="s">
        <v>1471</v>
      </c>
      <c r="B1435" t="s">
        <v>4989</v>
      </c>
      <c r="C1435" t="s">
        <v>1224</v>
      </c>
      <c r="D1435" t="s">
        <v>4990</v>
      </c>
      <c r="E1435" t="s">
        <v>2170</v>
      </c>
    </row>
    <row r="1436" spans="1:5" x14ac:dyDescent="0.25">
      <c r="A1436" t="s">
        <v>1471</v>
      </c>
      <c r="B1436" t="s">
        <v>4991</v>
      </c>
      <c r="C1436" t="s">
        <v>1209</v>
      </c>
      <c r="D1436" t="s">
        <v>4992</v>
      </c>
      <c r="E1436" t="s">
        <v>2170</v>
      </c>
    </row>
    <row r="1437" spans="1:5" x14ac:dyDescent="0.25">
      <c r="A1437" t="s">
        <v>1471</v>
      </c>
      <c r="B1437" t="s">
        <v>4993</v>
      </c>
      <c r="C1437" t="s">
        <v>12073</v>
      </c>
      <c r="D1437" t="s">
        <v>4992</v>
      </c>
      <c r="E1437" t="s">
        <v>2170</v>
      </c>
    </row>
    <row r="1438" spans="1:5" x14ac:dyDescent="0.25">
      <c r="A1438" t="s">
        <v>1471</v>
      </c>
      <c r="B1438" t="s">
        <v>4994</v>
      </c>
      <c r="C1438" t="s">
        <v>12072</v>
      </c>
      <c r="D1438" t="s">
        <v>4992</v>
      </c>
      <c r="E1438" t="s">
        <v>2170</v>
      </c>
    </row>
    <row r="1439" spans="1:5" x14ac:dyDescent="0.25">
      <c r="A1439" t="s">
        <v>1471</v>
      </c>
      <c r="B1439" t="s">
        <v>4995</v>
      </c>
      <c r="C1439" t="s">
        <v>4996</v>
      </c>
      <c r="D1439" t="s">
        <v>4992</v>
      </c>
      <c r="E1439" t="s">
        <v>2170</v>
      </c>
    </row>
    <row r="1440" spans="1:5" x14ac:dyDescent="0.25">
      <c r="A1440" t="s">
        <v>1471</v>
      </c>
      <c r="B1440" t="s">
        <v>4997</v>
      </c>
      <c r="C1440" t="s">
        <v>1210</v>
      </c>
      <c r="D1440" t="s">
        <v>4998</v>
      </c>
      <c r="E1440" t="s">
        <v>2170</v>
      </c>
    </row>
    <row r="1441" spans="1:5" x14ac:dyDescent="0.25">
      <c r="A1441" t="s">
        <v>1471</v>
      </c>
      <c r="B1441" t="s">
        <v>4999</v>
      </c>
      <c r="C1441" t="s">
        <v>5000</v>
      </c>
      <c r="D1441" t="s">
        <v>4992</v>
      </c>
      <c r="E1441" t="s">
        <v>2170</v>
      </c>
    </row>
    <row r="1442" spans="1:5" x14ac:dyDescent="0.25">
      <c r="A1442" t="s">
        <v>1474</v>
      </c>
      <c r="B1442" t="s">
        <v>5001</v>
      </c>
      <c r="C1442" t="s">
        <v>5002</v>
      </c>
      <c r="D1442" t="s">
        <v>2200</v>
      </c>
      <c r="E1442" t="s">
        <v>2170</v>
      </c>
    </row>
    <row r="1443" spans="1:5" x14ac:dyDescent="0.25">
      <c r="A1443" t="s">
        <v>1474</v>
      </c>
      <c r="B1443" t="s">
        <v>5003</v>
      </c>
      <c r="C1443" t="s">
        <v>5004</v>
      </c>
      <c r="D1443" t="s">
        <v>2200</v>
      </c>
      <c r="E1443" t="s">
        <v>2170</v>
      </c>
    </row>
    <row r="1444" spans="1:5" x14ac:dyDescent="0.25">
      <c r="A1444" t="s">
        <v>1474</v>
      </c>
      <c r="B1444" t="s">
        <v>5005</v>
      </c>
      <c r="C1444" t="s">
        <v>5006</v>
      </c>
      <c r="D1444" t="s">
        <v>2200</v>
      </c>
      <c r="E1444" t="s">
        <v>2170</v>
      </c>
    </row>
    <row r="1445" spans="1:5" x14ac:dyDescent="0.25">
      <c r="A1445" t="s">
        <v>1474</v>
      </c>
      <c r="B1445" t="s">
        <v>5007</v>
      </c>
      <c r="C1445" t="s">
        <v>5008</v>
      </c>
      <c r="D1445" t="s">
        <v>2200</v>
      </c>
      <c r="E1445" t="s">
        <v>2170</v>
      </c>
    </row>
    <row r="1446" spans="1:5" x14ac:dyDescent="0.25">
      <c r="A1446" t="s">
        <v>1474</v>
      </c>
      <c r="B1446" t="s">
        <v>5009</v>
      </c>
      <c r="C1446" t="s">
        <v>5010</v>
      </c>
      <c r="D1446" t="s">
        <v>2200</v>
      </c>
      <c r="E1446" t="s">
        <v>2170</v>
      </c>
    </row>
    <row r="1447" spans="1:5" x14ac:dyDescent="0.25">
      <c r="A1447" t="s">
        <v>1474</v>
      </c>
      <c r="B1447" t="s">
        <v>5011</v>
      </c>
      <c r="C1447" t="s">
        <v>5012</v>
      </c>
      <c r="D1447" t="s">
        <v>2200</v>
      </c>
      <c r="E1447" t="s">
        <v>2170</v>
      </c>
    </row>
    <row r="1448" spans="1:5" x14ac:dyDescent="0.25">
      <c r="A1448" t="s">
        <v>1474</v>
      </c>
      <c r="B1448" t="s">
        <v>5013</v>
      </c>
      <c r="C1448" t="s">
        <v>5014</v>
      </c>
      <c r="D1448" t="s">
        <v>2200</v>
      </c>
      <c r="E1448" t="s">
        <v>2170</v>
      </c>
    </row>
    <row r="1449" spans="1:5" x14ac:dyDescent="0.25">
      <c r="A1449" t="s">
        <v>1474</v>
      </c>
      <c r="B1449" t="s">
        <v>5015</v>
      </c>
      <c r="C1449" t="s">
        <v>5016</v>
      </c>
      <c r="D1449" t="s">
        <v>2200</v>
      </c>
      <c r="E1449" t="s">
        <v>2170</v>
      </c>
    </row>
    <row r="1450" spans="1:5" x14ac:dyDescent="0.25">
      <c r="A1450" t="s">
        <v>1474</v>
      </c>
      <c r="B1450" t="s">
        <v>5017</v>
      </c>
      <c r="C1450" t="s">
        <v>5018</v>
      </c>
      <c r="D1450" t="s">
        <v>2200</v>
      </c>
      <c r="E1450" t="s">
        <v>2170</v>
      </c>
    </row>
    <row r="1451" spans="1:5" x14ac:dyDescent="0.25">
      <c r="A1451" t="s">
        <v>1478</v>
      </c>
      <c r="B1451" t="s">
        <v>5019</v>
      </c>
      <c r="C1451" t="s">
        <v>5020</v>
      </c>
      <c r="D1451" t="s">
        <v>2165</v>
      </c>
      <c r="E1451" t="s">
        <v>2170</v>
      </c>
    </row>
    <row r="1452" spans="1:5" x14ac:dyDescent="0.25">
      <c r="A1452" t="s">
        <v>1478</v>
      </c>
      <c r="B1452" t="s">
        <v>5021</v>
      </c>
      <c r="C1452" t="s">
        <v>5022</v>
      </c>
      <c r="D1452" t="s">
        <v>2200</v>
      </c>
      <c r="E1452" t="s">
        <v>2170</v>
      </c>
    </row>
    <row r="1453" spans="1:5" x14ac:dyDescent="0.25">
      <c r="A1453" t="s">
        <v>1478</v>
      </c>
      <c r="B1453" t="s">
        <v>5023</v>
      </c>
      <c r="C1453" t="s">
        <v>5024</v>
      </c>
      <c r="D1453" t="s">
        <v>2165</v>
      </c>
      <c r="E1453" t="s">
        <v>2170</v>
      </c>
    </row>
    <row r="1454" spans="1:5" x14ac:dyDescent="0.25">
      <c r="A1454" t="s">
        <v>1478</v>
      </c>
      <c r="B1454" t="s">
        <v>5025</v>
      </c>
      <c r="C1454" t="s">
        <v>5026</v>
      </c>
      <c r="D1454" t="s">
        <v>2165</v>
      </c>
      <c r="E1454" t="s">
        <v>2170</v>
      </c>
    </row>
    <row r="1455" spans="1:5" x14ac:dyDescent="0.25">
      <c r="A1455" t="s">
        <v>1478</v>
      </c>
      <c r="B1455" t="s">
        <v>5027</v>
      </c>
      <c r="C1455" t="s">
        <v>5028</v>
      </c>
      <c r="D1455" t="s">
        <v>5029</v>
      </c>
      <c r="E1455" t="s">
        <v>5019</v>
      </c>
    </row>
    <row r="1456" spans="1:5" x14ac:dyDescent="0.25">
      <c r="A1456" t="s">
        <v>1478</v>
      </c>
      <c r="B1456" t="s">
        <v>5030</v>
      </c>
      <c r="C1456" t="s">
        <v>5031</v>
      </c>
      <c r="D1456" t="s">
        <v>5029</v>
      </c>
      <c r="E1456" t="s">
        <v>5019</v>
      </c>
    </row>
    <row r="1457" spans="1:5" x14ac:dyDescent="0.25">
      <c r="A1457" t="s">
        <v>1478</v>
      </c>
      <c r="B1457" t="s">
        <v>5032</v>
      </c>
      <c r="C1457" t="s">
        <v>5033</v>
      </c>
      <c r="D1457" t="s">
        <v>5029</v>
      </c>
      <c r="E1457" t="s">
        <v>5019</v>
      </c>
    </row>
    <row r="1458" spans="1:5" x14ac:dyDescent="0.25">
      <c r="A1458" t="s">
        <v>1478</v>
      </c>
      <c r="B1458" t="s">
        <v>5034</v>
      </c>
      <c r="C1458" t="s">
        <v>5035</v>
      </c>
      <c r="D1458" t="s">
        <v>5029</v>
      </c>
      <c r="E1458" t="s">
        <v>5019</v>
      </c>
    </row>
    <row r="1459" spans="1:5" x14ac:dyDescent="0.25">
      <c r="A1459" t="s">
        <v>1478</v>
      </c>
      <c r="B1459" t="s">
        <v>5036</v>
      </c>
      <c r="C1459" t="s">
        <v>5037</v>
      </c>
      <c r="D1459" t="s">
        <v>5029</v>
      </c>
      <c r="E1459" t="s">
        <v>5019</v>
      </c>
    </row>
    <row r="1460" spans="1:5" x14ac:dyDescent="0.25">
      <c r="A1460" t="s">
        <v>1478</v>
      </c>
      <c r="B1460" t="s">
        <v>5038</v>
      </c>
      <c r="C1460" t="s">
        <v>5039</v>
      </c>
      <c r="D1460" t="s">
        <v>5029</v>
      </c>
      <c r="E1460" t="s">
        <v>5019</v>
      </c>
    </row>
    <row r="1461" spans="1:5" x14ac:dyDescent="0.25">
      <c r="A1461" t="s">
        <v>1478</v>
      </c>
      <c r="B1461" t="s">
        <v>5040</v>
      </c>
      <c r="C1461" t="s">
        <v>5041</v>
      </c>
      <c r="D1461" t="s">
        <v>5029</v>
      </c>
      <c r="E1461" t="s">
        <v>5019</v>
      </c>
    </row>
    <row r="1462" spans="1:5" x14ac:dyDescent="0.25">
      <c r="A1462" t="s">
        <v>1478</v>
      </c>
      <c r="B1462" t="s">
        <v>5042</v>
      </c>
      <c r="C1462" t="s">
        <v>5043</v>
      </c>
      <c r="D1462" t="s">
        <v>5029</v>
      </c>
      <c r="E1462" t="s">
        <v>5019</v>
      </c>
    </row>
    <row r="1463" spans="1:5" x14ac:dyDescent="0.25">
      <c r="A1463" t="s">
        <v>1478</v>
      </c>
      <c r="B1463" t="s">
        <v>5044</v>
      </c>
      <c r="C1463" t="s">
        <v>5045</v>
      </c>
      <c r="D1463" t="s">
        <v>5029</v>
      </c>
      <c r="E1463" t="s">
        <v>5019</v>
      </c>
    </row>
    <row r="1464" spans="1:5" x14ac:dyDescent="0.25">
      <c r="A1464" t="s">
        <v>1478</v>
      </c>
      <c r="B1464" t="s">
        <v>5046</v>
      </c>
      <c r="C1464" t="s">
        <v>5047</v>
      </c>
      <c r="D1464" t="s">
        <v>5029</v>
      </c>
      <c r="E1464" t="s">
        <v>5019</v>
      </c>
    </row>
    <row r="1465" spans="1:5" x14ac:dyDescent="0.25">
      <c r="A1465" t="s">
        <v>1478</v>
      </c>
      <c r="B1465" t="s">
        <v>5048</v>
      </c>
      <c r="C1465" t="s">
        <v>5049</v>
      </c>
      <c r="D1465" t="s">
        <v>5029</v>
      </c>
      <c r="E1465" t="s">
        <v>5019</v>
      </c>
    </row>
    <row r="1466" spans="1:5" x14ac:dyDescent="0.25">
      <c r="A1466" t="s">
        <v>1478</v>
      </c>
      <c r="B1466" t="s">
        <v>5050</v>
      </c>
      <c r="C1466" t="s">
        <v>5051</v>
      </c>
      <c r="D1466" t="s">
        <v>5029</v>
      </c>
      <c r="E1466" t="s">
        <v>5019</v>
      </c>
    </row>
    <row r="1467" spans="1:5" x14ac:dyDescent="0.25">
      <c r="A1467" t="s">
        <v>1478</v>
      </c>
      <c r="B1467" t="s">
        <v>5052</v>
      </c>
      <c r="C1467" t="s">
        <v>5053</v>
      </c>
      <c r="D1467" t="s">
        <v>5029</v>
      </c>
      <c r="E1467" t="s">
        <v>5019</v>
      </c>
    </row>
    <row r="1468" spans="1:5" x14ac:dyDescent="0.25">
      <c r="A1468" t="s">
        <v>1478</v>
      </c>
      <c r="B1468" t="s">
        <v>5054</v>
      </c>
      <c r="C1468" t="s">
        <v>5055</v>
      </c>
      <c r="D1468" t="s">
        <v>5029</v>
      </c>
      <c r="E1468" t="s">
        <v>5019</v>
      </c>
    </row>
    <row r="1469" spans="1:5" x14ac:dyDescent="0.25">
      <c r="A1469" t="s">
        <v>1478</v>
      </c>
      <c r="B1469" t="s">
        <v>5056</v>
      </c>
      <c r="C1469" t="s">
        <v>5057</v>
      </c>
      <c r="D1469" t="s">
        <v>5029</v>
      </c>
      <c r="E1469" t="s">
        <v>5019</v>
      </c>
    </row>
    <row r="1470" spans="1:5" x14ac:dyDescent="0.25">
      <c r="A1470" t="s">
        <v>1478</v>
      </c>
      <c r="B1470" t="s">
        <v>5058</v>
      </c>
      <c r="C1470" t="s">
        <v>5059</v>
      </c>
      <c r="D1470" t="s">
        <v>5029</v>
      </c>
      <c r="E1470" t="s">
        <v>5019</v>
      </c>
    </row>
    <row r="1471" spans="1:5" x14ac:dyDescent="0.25">
      <c r="A1471" t="s">
        <v>1478</v>
      </c>
      <c r="B1471" t="s">
        <v>5060</v>
      </c>
      <c r="C1471" t="s">
        <v>5061</v>
      </c>
      <c r="D1471" t="s">
        <v>5029</v>
      </c>
      <c r="E1471" t="s">
        <v>5019</v>
      </c>
    </row>
    <row r="1472" spans="1:5" x14ac:dyDescent="0.25">
      <c r="A1472" t="s">
        <v>1478</v>
      </c>
      <c r="B1472" t="s">
        <v>5062</v>
      </c>
      <c r="C1472" t="s">
        <v>5063</v>
      </c>
      <c r="D1472" t="s">
        <v>5029</v>
      </c>
      <c r="E1472" t="s">
        <v>5019</v>
      </c>
    </row>
    <row r="1473" spans="1:5" x14ac:dyDescent="0.25">
      <c r="A1473" t="s">
        <v>1478</v>
      </c>
      <c r="B1473" t="s">
        <v>5064</v>
      </c>
      <c r="C1473" t="s">
        <v>5065</v>
      </c>
      <c r="D1473" t="s">
        <v>5029</v>
      </c>
      <c r="E1473" t="s">
        <v>5019</v>
      </c>
    </row>
    <row r="1474" spans="1:5" x14ac:dyDescent="0.25">
      <c r="A1474" t="s">
        <v>1478</v>
      </c>
      <c r="B1474" t="s">
        <v>5066</v>
      </c>
      <c r="C1474" t="s">
        <v>5067</v>
      </c>
      <c r="D1474" t="s">
        <v>5029</v>
      </c>
      <c r="E1474" t="s">
        <v>5019</v>
      </c>
    </row>
    <row r="1475" spans="1:5" x14ac:dyDescent="0.25">
      <c r="A1475" t="s">
        <v>1478</v>
      </c>
      <c r="B1475" t="s">
        <v>5068</v>
      </c>
      <c r="C1475" t="s">
        <v>5069</v>
      </c>
      <c r="D1475" t="s">
        <v>5029</v>
      </c>
      <c r="E1475" t="s">
        <v>5019</v>
      </c>
    </row>
    <row r="1476" spans="1:5" x14ac:dyDescent="0.25">
      <c r="A1476" t="s">
        <v>1478</v>
      </c>
      <c r="B1476" t="s">
        <v>5070</v>
      </c>
      <c r="C1476" t="s">
        <v>5071</v>
      </c>
      <c r="D1476" t="s">
        <v>5029</v>
      </c>
      <c r="E1476" t="s">
        <v>5019</v>
      </c>
    </row>
    <row r="1477" spans="1:5" x14ac:dyDescent="0.25">
      <c r="A1477" t="s">
        <v>1478</v>
      </c>
      <c r="B1477" t="s">
        <v>5072</v>
      </c>
      <c r="C1477" t="s">
        <v>5073</v>
      </c>
      <c r="D1477" t="s">
        <v>5029</v>
      </c>
      <c r="E1477" t="s">
        <v>5019</v>
      </c>
    </row>
    <row r="1478" spans="1:5" x14ac:dyDescent="0.25">
      <c r="A1478" t="s">
        <v>1478</v>
      </c>
      <c r="B1478" t="s">
        <v>5074</v>
      </c>
      <c r="C1478" t="s">
        <v>5075</v>
      </c>
      <c r="D1478" t="s">
        <v>5029</v>
      </c>
      <c r="E1478" t="s">
        <v>5019</v>
      </c>
    </row>
    <row r="1479" spans="1:5" x14ac:dyDescent="0.25">
      <c r="A1479" t="s">
        <v>1478</v>
      </c>
      <c r="B1479" t="s">
        <v>5076</v>
      </c>
      <c r="C1479" t="s">
        <v>5077</v>
      </c>
      <c r="D1479" t="s">
        <v>5029</v>
      </c>
      <c r="E1479" t="s">
        <v>5019</v>
      </c>
    </row>
    <row r="1480" spans="1:5" x14ac:dyDescent="0.25">
      <c r="A1480" t="s">
        <v>1478</v>
      </c>
      <c r="B1480" t="s">
        <v>5078</v>
      </c>
      <c r="C1480" t="s">
        <v>5079</v>
      </c>
      <c r="D1480" t="s">
        <v>5080</v>
      </c>
      <c r="E1480" t="s">
        <v>5019</v>
      </c>
    </row>
    <row r="1481" spans="1:5" x14ac:dyDescent="0.25">
      <c r="A1481" t="s">
        <v>1478</v>
      </c>
      <c r="B1481" t="s">
        <v>5081</v>
      </c>
      <c r="C1481" t="s">
        <v>5082</v>
      </c>
      <c r="D1481" t="s">
        <v>5083</v>
      </c>
      <c r="E1481" t="s">
        <v>5019</v>
      </c>
    </row>
    <row r="1482" spans="1:5" x14ac:dyDescent="0.25">
      <c r="A1482" t="s">
        <v>1478</v>
      </c>
      <c r="B1482" t="s">
        <v>5084</v>
      </c>
      <c r="C1482" t="s">
        <v>5085</v>
      </c>
      <c r="D1482" t="s">
        <v>5083</v>
      </c>
      <c r="E1482" t="s">
        <v>5019</v>
      </c>
    </row>
    <row r="1483" spans="1:5" x14ac:dyDescent="0.25">
      <c r="A1483" t="s">
        <v>1478</v>
      </c>
      <c r="B1483" t="s">
        <v>5086</v>
      </c>
      <c r="C1483" t="s">
        <v>5087</v>
      </c>
      <c r="D1483" t="s">
        <v>5083</v>
      </c>
      <c r="E1483" t="s">
        <v>5019</v>
      </c>
    </row>
    <row r="1484" spans="1:5" x14ac:dyDescent="0.25">
      <c r="A1484" t="s">
        <v>1478</v>
      </c>
      <c r="B1484" t="s">
        <v>5088</v>
      </c>
      <c r="C1484" t="s">
        <v>5089</v>
      </c>
      <c r="D1484" t="s">
        <v>5083</v>
      </c>
      <c r="E1484" t="s">
        <v>5019</v>
      </c>
    </row>
    <row r="1485" spans="1:5" x14ac:dyDescent="0.25">
      <c r="A1485" t="s">
        <v>1478</v>
      </c>
      <c r="B1485" t="s">
        <v>5090</v>
      </c>
      <c r="C1485" t="s">
        <v>5091</v>
      </c>
      <c r="D1485" t="s">
        <v>5083</v>
      </c>
      <c r="E1485" t="s">
        <v>5019</v>
      </c>
    </row>
    <row r="1486" spans="1:5" x14ac:dyDescent="0.25">
      <c r="A1486" t="s">
        <v>1478</v>
      </c>
      <c r="B1486" t="s">
        <v>5092</v>
      </c>
      <c r="C1486" t="s">
        <v>5093</v>
      </c>
      <c r="D1486" t="s">
        <v>5083</v>
      </c>
      <c r="E1486" t="s">
        <v>5019</v>
      </c>
    </row>
    <row r="1487" spans="1:5" x14ac:dyDescent="0.25">
      <c r="A1487" t="s">
        <v>1478</v>
      </c>
      <c r="B1487" t="s">
        <v>5094</v>
      </c>
      <c r="C1487" t="s">
        <v>5095</v>
      </c>
      <c r="D1487" t="s">
        <v>5083</v>
      </c>
      <c r="E1487" t="s">
        <v>5019</v>
      </c>
    </row>
    <row r="1488" spans="1:5" x14ac:dyDescent="0.25">
      <c r="A1488" t="s">
        <v>1478</v>
      </c>
      <c r="B1488" t="s">
        <v>5096</v>
      </c>
      <c r="C1488" t="s">
        <v>5097</v>
      </c>
      <c r="D1488" t="s">
        <v>5083</v>
      </c>
      <c r="E1488" t="s">
        <v>5019</v>
      </c>
    </row>
    <row r="1489" spans="1:5" x14ac:dyDescent="0.25">
      <c r="A1489" t="s">
        <v>1478</v>
      </c>
      <c r="B1489" t="s">
        <v>5098</v>
      </c>
      <c r="C1489" t="s">
        <v>5099</v>
      </c>
      <c r="D1489" t="s">
        <v>5083</v>
      </c>
      <c r="E1489" t="s">
        <v>5019</v>
      </c>
    </row>
    <row r="1490" spans="1:5" x14ac:dyDescent="0.25">
      <c r="A1490" t="s">
        <v>1478</v>
      </c>
      <c r="B1490" t="s">
        <v>5100</v>
      </c>
      <c r="C1490" t="s">
        <v>5101</v>
      </c>
      <c r="D1490" t="s">
        <v>5083</v>
      </c>
      <c r="E1490" t="s">
        <v>5019</v>
      </c>
    </row>
    <row r="1491" spans="1:5" x14ac:dyDescent="0.25">
      <c r="A1491" t="s">
        <v>1478</v>
      </c>
      <c r="B1491" t="s">
        <v>5102</v>
      </c>
      <c r="C1491" t="s">
        <v>5103</v>
      </c>
      <c r="D1491" t="s">
        <v>5083</v>
      </c>
      <c r="E1491" t="s">
        <v>5019</v>
      </c>
    </row>
    <row r="1492" spans="1:5" x14ac:dyDescent="0.25">
      <c r="A1492" t="s">
        <v>1478</v>
      </c>
      <c r="B1492" t="s">
        <v>5104</v>
      </c>
      <c r="C1492" t="s">
        <v>5105</v>
      </c>
      <c r="D1492" t="s">
        <v>5083</v>
      </c>
      <c r="E1492" t="s">
        <v>5019</v>
      </c>
    </row>
    <row r="1493" spans="1:5" x14ac:dyDescent="0.25">
      <c r="A1493" t="s">
        <v>1478</v>
      </c>
      <c r="B1493" t="s">
        <v>5106</v>
      </c>
      <c r="C1493" t="s">
        <v>5107</v>
      </c>
      <c r="D1493" t="s">
        <v>5083</v>
      </c>
      <c r="E1493" t="s">
        <v>5019</v>
      </c>
    </row>
    <row r="1494" spans="1:5" x14ac:dyDescent="0.25">
      <c r="A1494" t="s">
        <v>1478</v>
      </c>
      <c r="B1494" t="s">
        <v>5108</v>
      </c>
      <c r="C1494" t="s">
        <v>5109</v>
      </c>
      <c r="D1494" t="s">
        <v>5083</v>
      </c>
      <c r="E1494" t="s">
        <v>5019</v>
      </c>
    </row>
    <row r="1495" spans="1:5" x14ac:dyDescent="0.25">
      <c r="A1495" t="s">
        <v>1478</v>
      </c>
      <c r="B1495" t="s">
        <v>5110</v>
      </c>
      <c r="C1495" t="s">
        <v>5111</v>
      </c>
      <c r="D1495" t="s">
        <v>5083</v>
      </c>
      <c r="E1495" t="s">
        <v>5019</v>
      </c>
    </row>
    <row r="1496" spans="1:5" x14ac:dyDescent="0.25">
      <c r="A1496" t="s">
        <v>1478</v>
      </c>
      <c r="B1496" t="s">
        <v>5112</v>
      </c>
      <c r="C1496" t="s">
        <v>5113</v>
      </c>
      <c r="D1496" t="s">
        <v>5083</v>
      </c>
      <c r="E1496" t="s">
        <v>5019</v>
      </c>
    </row>
    <row r="1497" spans="1:5" x14ac:dyDescent="0.25">
      <c r="A1497" t="s">
        <v>1478</v>
      </c>
      <c r="B1497" t="s">
        <v>5114</v>
      </c>
      <c r="C1497" t="s">
        <v>5115</v>
      </c>
      <c r="D1497" t="s">
        <v>5083</v>
      </c>
      <c r="E1497" t="s">
        <v>5019</v>
      </c>
    </row>
    <row r="1498" spans="1:5" x14ac:dyDescent="0.25">
      <c r="A1498" t="s">
        <v>1478</v>
      </c>
      <c r="B1498" t="s">
        <v>5116</v>
      </c>
      <c r="C1498" t="s">
        <v>5117</v>
      </c>
      <c r="D1498" t="s">
        <v>5083</v>
      </c>
      <c r="E1498" t="s">
        <v>5019</v>
      </c>
    </row>
    <row r="1499" spans="1:5" x14ac:dyDescent="0.25">
      <c r="A1499" t="s">
        <v>1478</v>
      </c>
      <c r="B1499" t="s">
        <v>5118</v>
      </c>
      <c r="C1499" t="s">
        <v>5119</v>
      </c>
      <c r="D1499" t="s">
        <v>5083</v>
      </c>
      <c r="E1499" t="s">
        <v>5019</v>
      </c>
    </row>
    <row r="1500" spans="1:5" x14ac:dyDescent="0.25">
      <c r="A1500" t="s">
        <v>1478</v>
      </c>
      <c r="B1500" t="s">
        <v>5120</v>
      </c>
      <c r="C1500" t="s">
        <v>5121</v>
      </c>
      <c r="D1500" t="s">
        <v>5083</v>
      </c>
      <c r="E1500" t="s">
        <v>5019</v>
      </c>
    </row>
    <row r="1501" spans="1:5" x14ac:dyDescent="0.25">
      <c r="A1501" t="s">
        <v>1478</v>
      </c>
      <c r="B1501" t="s">
        <v>5122</v>
      </c>
      <c r="C1501" t="s">
        <v>5123</v>
      </c>
      <c r="D1501" t="s">
        <v>5083</v>
      </c>
      <c r="E1501" t="s">
        <v>5019</v>
      </c>
    </row>
    <row r="1502" spans="1:5" x14ac:dyDescent="0.25">
      <c r="A1502" t="s">
        <v>1478</v>
      </c>
      <c r="B1502" t="s">
        <v>5124</v>
      </c>
      <c r="C1502" t="s">
        <v>5125</v>
      </c>
      <c r="D1502" t="s">
        <v>5083</v>
      </c>
      <c r="E1502" t="s">
        <v>5019</v>
      </c>
    </row>
    <row r="1503" spans="1:5" x14ac:dyDescent="0.25">
      <c r="A1503" t="s">
        <v>1478</v>
      </c>
      <c r="B1503" t="s">
        <v>5126</v>
      </c>
      <c r="C1503" t="s">
        <v>5127</v>
      </c>
      <c r="D1503" t="s">
        <v>5083</v>
      </c>
      <c r="E1503" t="s">
        <v>5019</v>
      </c>
    </row>
    <row r="1504" spans="1:5" x14ac:dyDescent="0.25">
      <c r="A1504" t="s">
        <v>1478</v>
      </c>
      <c r="B1504" t="s">
        <v>5128</v>
      </c>
      <c r="C1504" t="s">
        <v>5129</v>
      </c>
      <c r="D1504" t="s">
        <v>5083</v>
      </c>
      <c r="E1504" t="s">
        <v>5019</v>
      </c>
    </row>
    <row r="1505" spans="1:5" x14ac:dyDescent="0.25">
      <c r="A1505" t="s">
        <v>1478</v>
      </c>
      <c r="B1505" t="s">
        <v>5130</v>
      </c>
      <c r="C1505" t="s">
        <v>5131</v>
      </c>
      <c r="D1505" t="s">
        <v>5083</v>
      </c>
      <c r="E1505" t="s">
        <v>5019</v>
      </c>
    </row>
    <row r="1506" spans="1:5" x14ac:dyDescent="0.25">
      <c r="A1506" t="s">
        <v>1478</v>
      </c>
      <c r="B1506" t="s">
        <v>5132</v>
      </c>
      <c r="C1506" t="s">
        <v>5133</v>
      </c>
      <c r="D1506" t="s">
        <v>5083</v>
      </c>
      <c r="E1506" t="s">
        <v>5019</v>
      </c>
    </row>
    <row r="1507" spans="1:5" x14ac:dyDescent="0.25">
      <c r="A1507" t="s">
        <v>1478</v>
      </c>
      <c r="B1507" t="s">
        <v>5134</v>
      </c>
      <c r="C1507" t="s">
        <v>5135</v>
      </c>
      <c r="D1507" t="s">
        <v>5083</v>
      </c>
      <c r="E1507" t="s">
        <v>5019</v>
      </c>
    </row>
    <row r="1508" spans="1:5" x14ac:dyDescent="0.25">
      <c r="A1508" t="s">
        <v>1478</v>
      </c>
      <c r="B1508" t="s">
        <v>5136</v>
      </c>
      <c r="C1508" t="s">
        <v>5137</v>
      </c>
      <c r="D1508" t="s">
        <v>5083</v>
      </c>
      <c r="E1508" t="s">
        <v>5019</v>
      </c>
    </row>
    <row r="1509" spans="1:5" x14ac:dyDescent="0.25">
      <c r="A1509" t="s">
        <v>1478</v>
      </c>
      <c r="B1509" t="s">
        <v>5138</v>
      </c>
      <c r="C1509" t="s">
        <v>5139</v>
      </c>
      <c r="D1509" t="s">
        <v>5083</v>
      </c>
      <c r="E1509" t="s">
        <v>5019</v>
      </c>
    </row>
    <row r="1510" spans="1:5" x14ac:dyDescent="0.25">
      <c r="A1510" t="s">
        <v>1478</v>
      </c>
      <c r="B1510" t="s">
        <v>5140</v>
      </c>
      <c r="C1510" t="s">
        <v>5141</v>
      </c>
      <c r="D1510" t="s">
        <v>5083</v>
      </c>
      <c r="E1510" t="s">
        <v>5019</v>
      </c>
    </row>
    <row r="1511" spans="1:5" x14ac:dyDescent="0.25">
      <c r="A1511" t="s">
        <v>1478</v>
      </c>
      <c r="B1511" t="s">
        <v>5142</v>
      </c>
      <c r="C1511" t="s">
        <v>5143</v>
      </c>
      <c r="D1511" t="s">
        <v>5083</v>
      </c>
      <c r="E1511" t="s">
        <v>5019</v>
      </c>
    </row>
    <row r="1512" spans="1:5" x14ac:dyDescent="0.25">
      <c r="A1512" t="s">
        <v>1478</v>
      </c>
      <c r="B1512" t="s">
        <v>5144</v>
      </c>
      <c r="C1512" t="s">
        <v>5145</v>
      </c>
      <c r="D1512" t="s">
        <v>5083</v>
      </c>
      <c r="E1512" t="s">
        <v>5019</v>
      </c>
    </row>
    <row r="1513" spans="1:5" x14ac:dyDescent="0.25">
      <c r="A1513" t="s">
        <v>1478</v>
      </c>
      <c r="B1513" t="s">
        <v>5146</v>
      </c>
      <c r="C1513" t="s">
        <v>5147</v>
      </c>
      <c r="D1513" t="s">
        <v>5148</v>
      </c>
      <c r="E1513" t="s">
        <v>5019</v>
      </c>
    </row>
    <row r="1514" spans="1:5" x14ac:dyDescent="0.25">
      <c r="A1514" t="s">
        <v>1478</v>
      </c>
      <c r="B1514" t="s">
        <v>5149</v>
      </c>
      <c r="C1514" t="s">
        <v>5150</v>
      </c>
      <c r="D1514" t="s">
        <v>5148</v>
      </c>
      <c r="E1514" t="s">
        <v>5019</v>
      </c>
    </row>
    <row r="1515" spans="1:5" x14ac:dyDescent="0.25">
      <c r="A1515" t="s">
        <v>1478</v>
      </c>
      <c r="B1515" t="s">
        <v>5151</v>
      </c>
      <c r="C1515" t="s">
        <v>5152</v>
      </c>
      <c r="D1515" t="s">
        <v>5148</v>
      </c>
      <c r="E1515" t="s">
        <v>5019</v>
      </c>
    </row>
    <row r="1516" spans="1:5" x14ac:dyDescent="0.25">
      <c r="A1516" t="s">
        <v>1478</v>
      </c>
      <c r="B1516" t="s">
        <v>5153</v>
      </c>
      <c r="C1516" t="s">
        <v>5154</v>
      </c>
      <c r="D1516" t="s">
        <v>5148</v>
      </c>
      <c r="E1516" t="s">
        <v>5019</v>
      </c>
    </row>
    <row r="1517" spans="1:5" x14ac:dyDescent="0.25">
      <c r="A1517" t="s">
        <v>1478</v>
      </c>
      <c r="B1517" t="s">
        <v>5155</v>
      </c>
      <c r="C1517" t="s">
        <v>5156</v>
      </c>
      <c r="D1517" t="s">
        <v>5148</v>
      </c>
      <c r="E1517" t="s">
        <v>5019</v>
      </c>
    </row>
    <row r="1518" spans="1:5" x14ac:dyDescent="0.25">
      <c r="A1518" t="s">
        <v>1478</v>
      </c>
      <c r="B1518" t="s">
        <v>5157</v>
      </c>
      <c r="C1518" t="s">
        <v>5158</v>
      </c>
      <c r="D1518" t="s">
        <v>5148</v>
      </c>
      <c r="E1518" t="s">
        <v>5019</v>
      </c>
    </row>
    <row r="1519" spans="1:5" x14ac:dyDescent="0.25">
      <c r="A1519" t="s">
        <v>1478</v>
      </c>
      <c r="B1519" t="s">
        <v>5159</v>
      </c>
      <c r="C1519" t="s">
        <v>5160</v>
      </c>
      <c r="D1519" t="s">
        <v>5148</v>
      </c>
      <c r="E1519" t="s">
        <v>5019</v>
      </c>
    </row>
    <row r="1520" spans="1:5" x14ac:dyDescent="0.25">
      <c r="A1520" t="s">
        <v>1478</v>
      </c>
      <c r="B1520" t="s">
        <v>5161</v>
      </c>
      <c r="C1520" t="s">
        <v>5162</v>
      </c>
      <c r="D1520" t="s">
        <v>5148</v>
      </c>
      <c r="E1520" t="s">
        <v>5019</v>
      </c>
    </row>
    <row r="1521" spans="1:5" x14ac:dyDescent="0.25">
      <c r="A1521" t="s">
        <v>1478</v>
      </c>
      <c r="B1521" t="s">
        <v>5163</v>
      </c>
      <c r="C1521" t="s">
        <v>5164</v>
      </c>
      <c r="D1521" t="s">
        <v>5148</v>
      </c>
      <c r="E1521" t="s">
        <v>5019</v>
      </c>
    </row>
    <row r="1522" spans="1:5" x14ac:dyDescent="0.25">
      <c r="A1522" t="s">
        <v>1478</v>
      </c>
      <c r="B1522" t="s">
        <v>5165</v>
      </c>
      <c r="C1522" t="s">
        <v>5166</v>
      </c>
      <c r="D1522" t="s">
        <v>5148</v>
      </c>
      <c r="E1522" t="s">
        <v>5019</v>
      </c>
    </row>
    <row r="1523" spans="1:5" x14ac:dyDescent="0.25">
      <c r="A1523" t="s">
        <v>1478</v>
      </c>
      <c r="B1523" t="s">
        <v>5167</v>
      </c>
      <c r="C1523" t="s">
        <v>5168</v>
      </c>
      <c r="D1523" t="s">
        <v>5148</v>
      </c>
      <c r="E1523" t="s">
        <v>5019</v>
      </c>
    </row>
    <row r="1524" spans="1:5" x14ac:dyDescent="0.25">
      <c r="A1524" t="s">
        <v>1478</v>
      </c>
      <c r="B1524" t="s">
        <v>5169</v>
      </c>
      <c r="C1524" t="s">
        <v>5170</v>
      </c>
      <c r="D1524" t="s">
        <v>5148</v>
      </c>
      <c r="E1524" t="s">
        <v>5019</v>
      </c>
    </row>
    <row r="1525" spans="1:5" x14ac:dyDescent="0.25">
      <c r="A1525" t="s">
        <v>1478</v>
      </c>
      <c r="B1525" t="s">
        <v>5171</v>
      </c>
      <c r="C1525" t="s">
        <v>5172</v>
      </c>
      <c r="D1525" t="s">
        <v>5148</v>
      </c>
      <c r="E1525" t="s">
        <v>5019</v>
      </c>
    </row>
    <row r="1526" spans="1:5" x14ac:dyDescent="0.25">
      <c r="A1526" t="s">
        <v>1478</v>
      </c>
      <c r="B1526" t="s">
        <v>5173</v>
      </c>
      <c r="C1526" t="s">
        <v>5174</v>
      </c>
      <c r="D1526" t="s">
        <v>5148</v>
      </c>
      <c r="E1526" t="s">
        <v>5019</v>
      </c>
    </row>
    <row r="1527" spans="1:5" x14ac:dyDescent="0.25">
      <c r="A1527" t="s">
        <v>1478</v>
      </c>
      <c r="B1527" t="s">
        <v>5175</v>
      </c>
      <c r="C1527" t="s">
        <v>5176</v>
      </c>
      <c r="D1527" t="s">
        <v>5148</v>
      </c>
      <c r="E1527" t="s">
        <v>5019</v>
      </c>
    </row>
    <row r="1528" spans="1:5" x14ac:dyDescent="0.25">
      <c r="A1528" t="s">
        <v>1478</v>
      </c>
      <c r="B1528" t="s">
        <v>5177</v>
      </c>
      <c r="C1528" t="s">
        <v>5178</v>
      </c>
      <c r="D1528" t="s">
        <v>5148</v>
      </c>
      <c r="E1528" t="s">
        <v>5019</v>
      </c>
    </row>
    <row r="1529" spans="1:5" x14ac:dyDescent="0.25">
      <c r="A1529" t="s">
        <v>1478</v>
      </c>
      <c r="B1529" t="s">
        <v>5179</v>
      </c>
      <c r="C1529" t="s">
        <v>5180</v>
      </c>
      <c r="D1529" t="s">
        <v>5148</v>
      </c>
      <c r="E1529" t="s">
        <v>5019</v>
      </c>
    </row>
    <row r="1530" spans="1:5" x14ac:dyDescent="0.25">
      <c r="A1530" t="s">
        <v>1478</v>
      </c>
      <c r="B1530" t="s">
        <v>5181</v>
      </c>
      <c r="C1530" t="s">
        <v>5182</v>
      </c>
      <c r="D1530" t="s">
        <v>5148</v>
      </c>
      <c r="E1530" t="s">
        <v>5019</v>
      </c>
    </row>
    <row r="1531" spans="1:5" x14ac:dyDescent="0.25">
      <c r="A1531" t="s">
        <v>1478</v>
      </c>
      <c r="B1531" t="s">
        <v>5183</v>
      </c>
      <c r="C1531" t="s">
        <v>5184</v>
      </c>
      <c r="D1531" t="s">
        <v>5148</v>
      </c>
      <c r="E1531" t="s">
        <v>5019</v>
      </c>
    </row>
    <row r="1532" spans="1:5" x14ac:dyDescent="0.25">
      <c r="A1532" t="s">
        <v>1478</v>
      </c>
      <c r="B1532" t="s">
        <v>5185</v>
      </c>
      <c r="C1532" t="s">
        <v>5186</v>
      </c>
      <c r="D1532" t="s">
        <v>5148</v>
      </c>
      <c r="E1532" t="s">
        <v>5019</v>
      </c>
    </row>
    <row r="1533" spans="1:5" x14ac:dyDescent="0.25">
      <c r="A1533" t="s">
        <v>1478</v>
      </c>
      <c r="B1533" t="s">
        <v>5187</v>
      </c>
      <c r="C1533" t="s">
        <v>5188</v>
      </c>
      <c r="D1533" t="s">
        <v>5148</v>
      </c>
      <c r="E1533" t="s">
        <v>5019</v>
      </c>
    </row>
    <row r="1534" spans="1:5" x14ac:dyDescent="0.25">
      <c r="A1534" t="s">
        <v>1478</v>
      </c>
      <c r="B1534" t="s">
        <v>5189</v>
      </c>
      <c r="C1534" t="s">
        <v>5190</v>
      </c>
      <c r="D1534" t="s">
        <v>5148</v>
      </c>
      <c r="E1534" t="s">
        <v>5019</v>
      </c>
    </row>
    <row r="1535" spans="1:5" x14ac:dyDescent="0.25">
      <c r="A1535" t="s">
        <v>1478</v>
      </c>
      <c r="B1535" t="s">
        <v>5191</v>
      </c>
      <c r="C1535" t="s">
        <v>5192</v>
      </c>
      <c r="D1535" t="s">
        <v>5148</v>
      </c>
      <c r="E1535" t="s">
        <v>5019</v>
      </c>
    </row>
    <row r="1536" spans="1:5" x14ac:dyDescent="0.25">
      <c r="A1536" t="s">
        <v>1478</v>
      </c>
      <c r="B1536" t="s">
        <v>5193</v>
      </c>
      <c r="C1536" t="s">
        <v>5194</v>
      </c>
      <c r="D1536" t="s">
        <v>5148</v>
      </c>
      <c r="E1536" t="s">
        <v>5019</v>
      </c>
    </row>
    <row r="1537" spans="1:5" x14ac:dyDescent="0.25">
      <c r="A1537" t="s">
        <v>1478</v>
      </c>
      <c r="B1537" t="s">
        <v>5195</v>
      </c>
      <c r="C1537" t="s">
        <v>5196</v>
      </c>
      <c r="D1537" t="s">
        <v>5148</v>
      </c>
      <c r="E1537" t="s">
        <v>5019</v>
      </c>
    </row>
    <row r="1538" spans="1:5" x14ac:dyDescent="0.25">
      <c r="A1538" t="s">
        <v>1478</v>
      </c>
      <c r="B1538" t="s">
        <v>5197</v>
      </c>
      <c r="C1538" t="s">
        <v>5198</v>
      </c>
      <c r="D1538" t="s">
        <v>5148</v>
      </c>
      <c r="E1538" t="s">
        <v>5019</v>
      </c>
    </row>
    <row r="1539" spans="1:5" x14ac:dyDescent="0.25">
      <c r="A1539" t="s">
        <v>1478</v>
      </c>
      <c r="B1539" t="s">
        <v>5199</v>
      </c>
      <c r="C1539" t="s">
        <v>5200</v>
      </c>
      <c r="D1539" t="s">
        <v>5148</v>
      </c>
      <c r="E1539" t="s">
        <v>5019</v>
      </c>
    </row>
    <row r="1540" spans="1:5" x14ac:dyDescent="0.25">
      <c r="A1540" t="s">
        <v>1478</v>
      </c>
      <c r="B1540" t="s">
        <v>5201</v>
      </c>
      <c r="C1540" t="s">
        <v>5202</v>
      </c>
      <c r="D1540" t="s">
        <v>5148</v>
      </c>
      <c r="E1540" t="s">
        <v>5019</v>
      </c>
    </row>
    <row r="1541" spans="1:5" x14ac:dyDescent="0.25">
      <c r="A1541" t="s">
        <v>1478</v>
      </c>
      <c r="B1541" t="s">
        <v>5203</v>
      </c>
      <c r="C1541" t="s">
        <v>5204</v>
      </c>
      <c r="D1541" t="s">
        <v>5148</v>
      </c>
      <c r="E1541" t="s">
        <v>5019</v>
      </c>
    </row>
    <row r="1542" spans="1:5" x14ac:dyDescent="0.25">
      <c r="A1542" t="s">
        <v>1478</v>
      </c>
      <c r="B1542" t="s">
        <v>5205</v>
      </c>
      <c r="C1542" t="s">
        <v>5206</v>
      </c>
      <c r="D1542" t="s">
        <v>5148</v>
      </c>
      <c r="E1542" t="s">
        <v>5019</v>
      </c>
    </row>
    <row r="1543" spans="1:5" x14ac:dyDescent="0.25">
      <c r="A1543" t="s">
        <v>1478</v>
      </c>
      <c r="B1543" t="s">
        <v>5207</v>
      </c>
      <c r="C1543" t="s">
        <v>5208</v>
      </c>
      <c r="D1543" t="s">
        <v>5148</v>
      </c>
      <c r="E1543" t="s">
        <v>5019</v>
      </c>
    </row>
    <row r="1544" spans="1:5" x14ac:dyDescent="0.25">
      <c r="A1544" t="s">
        <v>1478</v>
      </c>
      <c r="B1544" t="s">
        <v>5209</v>
      </c>
      <c r="C1544" t="s">
        <v>5210</v>
      </c>
      <c r="D1544" t="s">
        <v>5148</v>
      </c>
      <c r="E1544" t="s">
        <v>5019</v>
      </c>
    </row>
    <row r="1545" spans="1:5" x14ac:dyDescent="0.25">
      <c r="A1545" t="s">
        <v>1478</v>
      </c>
      <c r="B1545" t="s">
        <v>5211</v>
      </c>
      <c r="C1545" t="s">
        <v>5212</v>
      </c>
      <c r="D1545" t="s">
        <v>5148</v>
      </c>
      <c r="E1545" t="s">
        <v>5019</v>
      </c>
    </row>
    <row r="1546" spans="1:5" x14ac:dyDescent="0.25">
      <c r="A1546" t="s">
        <v>1478</v>
      </c>
      <c r="B1546" t="s">
        <v>5213</v>
      </c>
      <c r="C1546" t="s">
        <v>5214</v>
      </c>
      <c r="D1546" t="s">
        <v>5148</v>
      </c>
      <c r="E1546" t="s">
        <v>5019</v>
      </c>
    </row>
    <row r="1547" spans="1:5" x14ac:dyDescent="0.25">
      <c r="A1547" t="s">
        <v>1478</v>
      </c>
      <c r="B1547" t="s">
        <v>5215</v>
      </c>
      <c r="C1547" t="s">
        <v>5216</v>
      </c>
      <c r="D1547" t="s">
        <v>5148</v>
      </c>
      <c r="E1547" t="s">
        <v>5019</v>
      </c>
    </row>
    <row r="1548" spans="1:5" x14ac:dyDescent="0.25">
      <c r="A1548" t="s">
        <v>1478</v>
      </c>
      <c r="B1548" t="s">
        <v>5217</v>
      </c>
      <c r="C1548" t="s">
        <v>5218</v>
      </c>
      <c r="D1548" t="s">
        <v>5148</v>
      </c>
      <c r="E1548" t="s">
        <v>5019</v>
      </c>
    </row>
    <row r="1549" spans="1:5" x14ac:dyDescent="0.25">
      <c r="A1549" t="s">
        <v>1478</v>
      </c>
      <c r="B1549" t="s">
        <v>5219</v>
      </c>
      <c r="C1549" t="s">
        <v>5220</v>
      </c>
      <c r="D1549" t="s">
        <v>5221</v>
      </c>
      <c r="E1549" t="s">
        <v>5019</v>
      </c>
    </row>
    <row r="1550" spans="1:5" x14ac:dyDescent="0.25">
      <c r="A1550" t="s">
        <v>1478</v>
      </c>
      <c r="B1550" t="s">
        <v>5222</v>
      </c>
      <c r="C1550" t="s">
        <v>5223</v>
      </c>
      <c r="D1550" t="s">
        <v>5221</v>
      </c>
      <c r="E1550" t="s">
        <v>5019</v>
      </c>
    </row>
    <row r="1551" spans="1:5" x14ac:dyDescent="0.25">
      <c r="A1551" t="s">
        <v>1478</v>
      </c>
      <c r="B1551" t="s">
        <v>5224</v>
      </c>
      <c r="C1551" t="s">
        <v>5225</v>
      </c>
      <c r="D1551" t="s">
        <v>5221</v>
      </c>
      <c r="E1551" t="s">
        <v>5019</v>
      </c>
    </row>
    <row r="1552" spans="1:5" x14ac:dyDescent="0.25">
      <c r="A1552" t="s">
        <v>1478</v>
      </c>
      <c r="B1552" t="s">
        <v>5226</v>
      </c>
      <c r="C1552" t="s">
        <v>5227</v>
      </c>
      <c r="D1552" t="s">
        <v>5221</v>
      </c>
      <c r="E1552" t="s">
        <v>5019</v>
      </c>
    </row>
    <row r="1553" spans="1:5" x14ac:dyDescent="0.25">
      <c r="A1553" t="s">
        <v>1478</v>
      </c>
      <c r="B1553" t="s">
        <v>5228</v>
      </c>
      <c r="C1553" t="s">
        <v>5229</v>
      </c>
      <c r="D1553" t="s">
        <v>5221</v>
      </c>
      <c r="E1553" t="s">
        <v>5019</v>
      </c>
    </row>
    <row r="1554" spans="1:5" x14ac:dyDescent="0.25">
      <c r="A1554" t="s">
        <v>1478</v>
      </c>
      <c r="B1554" t="s">
        <v>5230</v>
      </c>
      <c r="C1554" t="s">
        <v>5231</v>
      </c>
      <c r="D1554" t="s">
        <v>5221</v>
      </c>
      <c r="E1554" t="s">
        <v>5019</v>
      </c>
    </row>
    <row r="1555" spans="1:5" x14ac:dyDescent="0.25">
      <c r="A1555" t="s">
        <v>1478</v>
      </c>
      <c r="B1555" t="s">
        <v>5232</v>
      </c>
      <c r="C1555" t="s">
        <v>5233</v>
      </c>
      <c r="D1555" t="s">
        <v>5221</v>
      </c>
      <c r="E1555" t="s">
        <v>5019</v>
      </c>
    </row>
    <row r="1556" spans="1:5" x14ac:dyDescent="0.25">
      <c r="A1556" t="s">
        <v>1478</v>
      </c>
      <c r="B1556" t="s">
        <v>5234</v>
      </c>
      <c r="C1556" t="s">
        <v>5235</v>
      </c>
      <c r="D1556" t="s">
        <v>5221</v>
      </c>
      <c r="E1556" t="s">
        <v>5019</v>
      </c>
    </row>
    <row r="1557" spans="1:5" x14ac:dyDescent="0.25">
      <c r="A1557" t="s">
        <v>1478</v>
      </c>
      <c r="B1557" t="s">
        <v>5236</v>
      </c>
      <c r="C1557" t="s">
        <v>5237</v>
      </c>
      <c r="D1557" t="s">
        <v>5221</v>
      </c>
      <c r="E1557" t="s">
        <v>5019</v>
      </c>
    </row>
    <row r="1558" spans="1:5" x14ac:dyDescent="0.25">
      <c r="A1558" t="s">
        <v>1478</v>
      </c>
      <c r="B1558" t="s">
        <v>5238</v>
      </c>
      <c r="C1558" t="s">
        <v>5239</v>
      </c>
      <c r="D1558" t="s">
        <v>5221</v>
      </c>
      <c r="E1558" t="s">
        <v>5019</v>
      </c>
    </row>
    <row r="1559" spans="1:5" x14ac:dyDescent="0.25">
      <c r="A1559" t="s">
        <v>1478</v>
      </c>
      <c r="B1559" t="s">
        <v>5240</v>
      </c>
      <c r="C1559" t="s">
        <v>5241</v>
      </c>
      <c r="D1559" t="s">
        <v>5221</v>
      </c>
      <c r="E1559" t="s">
        <v>5019</v>
      </c>
    </row>
    <row r="1560" spans="1:5" x14ac:dyDescent="0.25">
      <c r="A1560" t="s">
        <v>1478</v>
      </c>
      <c r="B1560" t="s">
        <v>5242</v>
      </c>
      <c r="C1560" t="s">
        <v>5243</v>
      </c>
      <c r="D1560" t="s">
        <v>5221</v>
      </c>
      <c r="E1560" t="s">
        <v>5019</v>
      </c>
    </row>
    <row r="1561" spans="1:5" x14ac:dyDescent="0.25">
      <c r="A1561" t="s">
        <v>1478</v>
      </c>
      <c r="B1561" t="s">
        <v>5244</v>
      </c>
      <c r="C1561" t="s">
        <v>5245</v>
      </c>
      <c r="D1561" t="s">
        <v>5221</v>
      </c>
      <c r="E1561" t="s">
        <v>5019</v>
      </c>
    </row>
    <row r="1562" spans="1:5" x14ac:dyDescent="0.25">
      <c r="A1562" t="s">
        <v>1478</v>
      </c>
      <c r="B1562" t="s">
        <v>5246</v>
      </c>
      <c r="C1562" t="s">
        <v>5247</v>
      </c>
      <c r="D1562" t="s">
        <v>5221</v>
      </c>
      <c r="E1562" t="s">
        <v>5019</v>
      </c>
    </row>
    <row r="1563" spans="1:5" x14ac:dyDescent="0.25">
      <c r="A1563" t="s">
        <v>1478</v>
      </c>
      <c r="B1563" t="s">
        <v>5248</v>
      </c>
      <c r="C1563" t="s">
        <v>5249</v>
      </c>
      <c r="D1563" t="s">
        <v>5221</v>
      </c>
      <c r="E1563" t="s">
        <v>5019</v>
      </c>
    </row>
    <row r="1564" spans="1:5" x14ac:dyDescent="0.25">
      <c r="A1564" t="s">
        <v>1478</v>
      </c>
      <c r="B1564" t="s">
        <v>5250</v>
      </c>
      <c r="C1564" t="s">
        <v>5251</v>
      </c>
      <c r="D1564" t="s">
        <v>5221</v>
      </c>
      <c r="E1564" t="s">
        <v>5019</v>
      </c>
    </row>
    <row r="1565" spans="1:5" x14ac:dyDescent="0.25">
      <c r="A1565" t="s">
        <v>1478</v>
      </c>
      <c r="B1565" t="s">
        <v>5252</v>
      </c>
      <c r="C1565" t="s">
        <v>5253</v>
      </c>
      <c r="D1565" t="s">
        <v>5221</v>
      </c>
      <c r="E1565" t="s">
        <v>5019</v>
      </c>
    </row>
    <row r="1566" spans="1:5" x14ac:dyDescent="0.25">
      <c r="A1566" t="s">
        <v>1478</v>
      </c>
      <c r="B1566" t="s">
        <v>5254</v>
      </c>
      <c r="C1566" t="s">
        <v>5255</v>
      </c>
      <c r="D1566" t="s">
        <v>5221</v>
      </c>
      <c r="E1566" t="s">
        <v>5019</v>
      </c>
    </row>
    <row r="1567" spans="1:5" x14ac:dyDescent="0.25">
      <c r="A1567" t="s">
        <v>1478</v>
      </c>
      <c r="B1567" t="s">
        <v>5256</v>
      </c>
      <c r="C1567" t="s">
        <v>5257</v>
      </c>
      <c r="D1567" t="s">
        <v>5221</v>
      </c>
      <c r="E1567" t="s">
        <v>5019</v>
      </c>
    </row>
    <row r="1568" spans="1:5" x14ac:dyDescent="0.25">
      <c r="A1568" t="s">
        <v>1478</v>
      </c>
      <c r="B1568" t="s">
        <v>5258</v>
      </c>
      <c r="C1568" t="s">
        <v>5259</v>
      </c>
      <c r="D1568" t="s">
        <v>5221</v>
      </c>
      <c r="E1568" t="s">
        <v>5019</v>
      </c>
    </row>
    <row r="1569" spans="1:5" x14ac:dyDescent="0.25">
      <c r="A1569" t="s">
        <v>1478</v>
      </c>
      <c r="B1569" t="s">
        <v>5260</v>
      </c>
      <c r="C1569" t="s">
        <v>5261</v>
      </c>
      <c r="D1569" t="s">
        <v>5221</v>
      </c>
      <c r="E1569" t="s">
        <v>5019</v>
      </c>
    </row>
    <row r="1570" spans="1:5" x14ac:dyDescent="0.25">
      <c r="A1570" t="s">
        <v>1478</v>
      </c>
      <c r="B1570" t="s">
        <v>5262</v>
      </c>
      <c r="C1570" t="s">
        <v>5263</v>
      </c>
      <c r="D1570" t="s">
        <v>5221</v>
      </c>
      <c r="E1570" t="s">
        <v>5019</v>
      </c>
    </row>
    <row r="1571" spans="1:5" x14ac:dyDescent="0.25">
      <c r="A1571" t="s">
        <v>1478</v>
      </c>
      <c r="B1571" t="s">
        <v>5264</v>
      </c>
      <c r="C1571" t="s">
        <v>5265</v>
      </c>
      <c r="D1571" t="s">
        <v>5221</v>
      </c>
      <c r="E1571" t="s">
        <v>5019</v>
      </c>
    </row>
    <row r="1572" spans="1:5" x14ac:dyDescent="0.25">
      <c r="A1572" t="s">
        <v>1478</v>
      </c>
      <c r="B1572" t="s">
        <v>5266</v>
      </c>
      <c r="C1572" t="s">
        <v>5267</v>
      </c>
      <c r="D1572" t="s">
        <v>5221</v>
      </c>
      <c r="E1572" t="s">
        <v>5019</v>
      </c>
    </row>
    <row r="1573" spans="1:5" x14ac:dyDescent="0.25">
      <c r="A1573" t="s">
        <v>1478</v>
      </c>
      <c r="B1573" t="s">
        <v>5268</v>
      </c>
      <c r="C1573" t="s">
        <v>5269</v>
      </c>
      <c r="D1573" t="s">
        <v>5221</v>
      </c>
      <c r="E1573" t="s">
        <v>5019</v>
      </c>
    </row>
    <row r="1574" spans="1:5" x14ac:dyDescent="0.25">
      <c r="A1574" t="s">
        <v>1478</v>
      </c>
      <c r="B1574" t="s">
        <v>5270</v>
      </c>
      <c r="C1574" t="s">
        <v>5271</v>
      </c>
      <c r="D1574" t="s">
        <v>5221</v>
      </c>
      <c r="E1574" t="s">
        <v>5019</v>
      </c>
    </row>
    <row r="1575" spans="1:5" x14ac:dyDescent="0.25">
      <c r="A1575" t="s">
        <v>1478</v>
      </c>
      <c r="B1575" t="s">
        <v>5272</v>
      </c>
      <c r="C1575" t="s">
        <v>5273</v>
      </c>
      <c r="D1575" t="s">
        <v>5221</v>
      </c>
      <c r="E1575" t="s">
        <v>5019</v>
      </c>
    </row>
    <row r="1576" spans="1:5" x14ac:dyDescent="0.25">
      <c r="A1576" t="s">
        <v>1478</v>
      </c>
      <c r="B1576" t="s">
        <v>5274</v>
      </c>
      <c r="C1576" t="s">
        <v>5275</v>
      </c>
      <c r="D1576" t="s">
        <v>5221</v>
      </c>
      <c r="E1576" t="s">
        <v>5019</v>
      </c>
    </row>
    <row r="1577" spans="1:5" x14ac:dyDescent="0.25">
      <c r="A1577" t="s">
        <v>1478</v>
      </c>
      <c r="B1577" t="s">
        <v>5276</v>
      </c>
      <c r="C1577" t="s">
        <v>5277</v>
      </c>
      <c r="D1577" t="s">
        <v>5221</v>
      </c>
      <c r="E1577" t="s">
        <v>5019</v>
      </c>
    </row>
    <row r="1578" spans="1:5" x14ac:dyDescent="0.25">
      <c r="A1578" t="s">
        <v>1478</v>
      </c>
      <c r="B1578" t="s">
        <v>5278</v>
      </c>
      <c r="C1578" t="s">
        <v>5279</v>
      </c>
      <c r="D1578" t="s">
        <v>5221</v>
      </c>
      <c r="E1578" t="s">
        <v>5019</v>
      </c>
    </row>
    <row r="1579" spans="1:5" x14ac:dyDescent="0.25">
      <c r="A1579" t="s">
        <v>1478</v>
      </c>
      <c r="B1579" t="s">
        <v>5280</v>
      </c>
      <c r="C1579" t="s">
        <v>5281</v>
      </c>
      <c r="D1579" t="s">
        <v>5221</v>
      </c>
      <c r="E1579" t="s">
        <v>5019</v>
      </c>
    </row>
    <row r="1580" spans="1:5" x14ac:dyDescent="0.25">
      <c r="A1580" t="s">
        <v>1478</v>
      </c>
      <c r="B1580" t="s">
        <v>5282</v>
      </c>
      <c r="C1580" t="s">
        <v>5283</v>
      </c>
      <c r="D1580" t="s">
        <v>5221</v>
      </c>
      <c r="E1580" t="s">
        <v>5019</v>
      </c>
    </row>
    <row r="1581" spans="1:5" x14ac:dyDescent="0.25">
      <c r="A1581" t="s">
        <v>1478</v>
      </c>
      <c r="B1581" t="s">
        <v>5284</v>
      </c>
      <c r="C1581" t="s">
        <v>5285</v>
      </c>
      <c r="D1581" t="s">
        <v>5221</v>
      </c>
      <c r="E1581" t="s">
        <v>5019</v>
      </c>
    </row>
    <row r="1582" spans="1:5" x14ac:dyDescent="0.25">
      <c r="A1582" t="s">
        <v>1478</v>
      </c>
      <c r="B1582" t="s">
        <v>5286</v>
      </c>
      <c r="C1582" t="s">
        <v>5287</v>
      </c>
      <c r="D1582" t="s">
        <v>5221</v>
      </c>
      <c r="E1582" t="s">
        <v>5019</v>
      </c>
    </row>
    <row r="1583" spans="1:5" x14ac:dyDescent="0.25">
      <c r="A1583" t="s">
        <v>1478</v>
      </c>
      <c r="B1583" t="s">
        <v>5288</v>
      </c>
      <c r="C1583" t="s">
        <v>5289</v>
      </c>
      <c r="D1583" t="s">
        <v>5221</v>
      </c>
      <c r="E1583" t="s">
        <v>5019</v>
      </c>
    </row>
    <row r="1584" spans="1:5" x14ac:dyDescent="0.25">
      <c r="A1584" t="s">
        <v>1478</v>
      </c>
      <c r="B1584" t="s">
        <v>5290</v>
      </c>
      <c r="C1584" t="s">
        <v>5291</v>
      </c>
      <c r="D1584" t="s">
        <v>5221</v>
      </c>
      <c r="E1584" t="s">
        <v>5019</v>
      </c>
    </row>
    <row r="1585" spans="1:5" x14ac:dyDescent="0.25">
      <c r="A1585" t="s">
        <v>1478</v>
      </c>
      <c r="B1585" t="s">
        <v>5292</v>
      </c>
      <c r="C1585" t="s">
        <v>5293</v>
      </c>
      <c r="D1585" t="s">
        <v>5221</v>
      </c>
      <c r="E1585" t="s">
        <v>5019</v>
      </c>
    </row>
    <row r="1586" spans="1:5" x14ac:dyDescent="0.25">
      <c r="A1586" t="s">
        <v>1478</v>
      </c>
      <c r="B1586" t="s">
        <v>5294</v>
      </c>
      <c r="C1586" t="s">
        <v>5295</v>
      </c>
      <c r="D1586" t="s">
        <v>5221</v>
      </c>
      <c r="E1586" t="s">
        <v>5019</v>
      </c>
    </row>
    <row r="1587" spans="1:5" x14ac:dyDescent="0.25">
      <c r="A1587" t="s">
        <v>1478</v>
      </c>
      <c r="B1587" t="s">
        <v>5296</v>
      </c>
      <c r="C1587" t="s">
        <v>5297</v>
      </c>
      <c r="D1587" t="s">
        <v>5221</v>
      </c>
      <c r="E1587" t="s">
        <v>5019</v>
      </c>
    </row>
    <row r="1588" spans="1:5" x14ac:dyDescent="0.25">
      <c r="A1588" t="s">
        <v>1478</v>
      </c>
      <c r="B1588" t="s">
        <v>5298</v>
      </c>
      <c r="C1588" t="s">
        <v>5299</v>
      </c>
      <c r="D1588" t="s">
        <v>5221</v>
      </c>
      <c r="E1588" t="s">
        <v>5019</v>
      </c>
    </row>
    <row r="1589" spans="1:5" x14ac:dyDescent="0.25">
      <c r="A1589" t="s">
        <v>1478</v>
      </c>
      <c r="B1589" t="s">
        <v>5300</v>
      </c>
      <c r="C1589" t="s">
        <v>5301</v>
      </c>
      <c r="D1589" t="s">
        <v>5221</v>
      </c>
      <c r="E1589" t="s">
        <v>5019</v>
      </c>
    </row>
    <row r="1590" spans="1:5" x14ac:dyDescent="0.25">
      <c r="A1590" t="s">
        <v>1478</v>
      </c>
      <c r="B1590" t="s">
        <v>5302</v>
      </c>
      <c r="C1590" t="s">
        <v>5303</v>
      </c>
      <c r="D1590" t="s">
        <v>5221</v>
      </c>
      <c r="E1590" t="s">
        <v>5019</v>
      </c>
    </row>
    <row r="1591" spans="1:5" x14ac:dyDescent="0.25">
      <c r="A1591" t="s">
        <v>1478</v>
      </c>
      <c r="B1591" t="s">
        <v>5304</v>
      </c>
      <c r="C1591" t="s">
        <v>5305</v>
      </c>
      <c r="D1591" t="s">
        <v>5221</v>
      </c>
      <c r="E1591" t="s">
        <v>5019</v>
      </c>
    </row>
    <row r="1592" spans="1:5" x14ac:dyDescent="0.25">
      <c r="A1592" t="s">
        <v>1478</v>
      </c>
      <c r="B1592" t="s">
        <v>5306</v>
      </c>
      <c r="C1592" t="s">
        <v>5307</v>
      </c>
      <c r="D1592" t="s">
        <v>5221</v>
      </c>
      <c r="E1592" t="s">
        <v>5019</v>
      </c>
    </row>
    <row r="1593" spans="1:5" x14ac:dyDescent="0.25">
      <c r="A1593" t="s">
        <v>1478</v>
      </c>
      <c r="B1593" t="s">
        <v>5308</v>
      </c>
      <c r="C1593" t="s">
        <v>5309</v>
      </c>
      <c r="D1593" t="s">
        <v>5221</v>
      </c>
      <c r="E1593" t="s">
        <v>5019</v>
      </c>
    </row>
    <row r="1594" spans="1:5" x14ac:dyDescent="0.25">
      <c r="A1594" t="s">
        <v>1478</v>
      </c>
      <c r="B1594" t="s">
        <v>5310</v>
      </c>
      <c r="C1594" t="s">
        <v>5311</v>
      </c>
      <c r="D1594" t="s">
        <v>5221</v>
      </c>
      <c r="E1594" t="s">
        <v>5019</v>
      </c>
    </row>
    <row r="1595" spans="1:5" x14ac:dyDescent="0.25">
      <c r="A1595" t="s">
        <v>1478</v>
      </c>
      <c r="B1595" t="s">
        <v>5312</v>
      </c>
      <c r="C1595" t="s">
        <v>5313</v>
      </c>
      <c r="D1595" t="s">
        <v>5221</v>
      </c>
      <c r="E1595" t="s">
        <v>5019</v>
      </c>
    </row>
    <row r="1596" spans="1:5" x14ac:dyDescent="0.25">
      <c r="A1596" t="s">
        <v>1478</v>
      </c>
      <c r="B1596" t="s">
        <v>5314</v>
      </c>
      <c r="C1596" t="s">
        <v>5315</v>
      </c>
      <c r="D1596" t="s">
        <v>5221</v>
      </c>
      <c r="E1596" t="s">
        <v>5019</v>
      </c>
    </row>
    <row r="1597" spans="1:5" x14ac:dyDescent="0.25">
      <c r="A1597" t="s">
        <v>1478</v>
      </c>
      <c r="B1597" t="s">
        <v>5316</v>
      </c>
      <c r="C1597" t="s">
        <v>5317</v>
      </c>
      <c r="D1597" t="s">
        <v>5221</v>
      </c>
      <c r="E1597" t="s">
        <v>5019</v>
      </c>
    </row>
    <row r="1598" spans="1:5" x14ac:dyDescent="0.25">
      <c r="A1598" t="s">
        <v>1478</v>
      </c>
      <c r="B1598" t="s">
        <v>5318</v>
      </c>
      <c r="C1598" t="s">
        <v>5319</v>
      </c>
      <c r="D1598" t="s">
        <v>5221</v>
      </c>
      <c r="E1598" t="s">
        <v>5019</v>
      </c>
    </row>
    <row r="1599" spans="1:5" x14ac:dyDescent="0.25">
      <c r="A1599" t="s">
        <v>1478</v>
      </c>
      <c r="B1599" t="s">
        <v>5320</v>
      </c>
      <c r="C1599" t="s">
        <v>5321</v>
      </c>
      <c r="D1599" t="s">
        <v>5221</v>
      </c>
      <c r="E1599" t="s">
        <v>5019</v>
      </c>
    </row>
    <row r="1600" spans="1:5" x14ac:dyDescent="0.25">
      <c r="A1600" t="s">
        <v>1478</v>
      </c>
      <c r="B1600" t="s">
        <v>5322</v>
      </c>
      <c r="C1600" t="s">
        <v>5323</v>
      </c>
      <c r="D1600" t="s">
        <v>5221</v>
      </c>
      <c r="E1600" t="s">
        <v>5019</v>
      </c>
    </row>
    <row r="1601" spans="1:5" x14ac:dyDescent="0.25">
      <c r="A1601" t="s">
        <v>1478</v>
      </c>
      <c r="B1601" t="s">
        <v>5324</v>
      </c>
      <c r="C1601" t="s">
        <v>5325</v>
      </c>
      <c r="D1601" t="s">
        <v>5221</v>
      </c>
      <c r="E1601" t="s">
        <v>5019</v>
      </c>
    </row>
    <row r="1602" spans="1:5" x14ac:dyDescent="0.25">
      <c r="A1602" t="s">
        <v>1478</v>
      </c>
      <c r="B1602" t="s">
        <v>5326</v>
      </c>
      <c r="C1602" t="s">
        <v>5327</v>
      </c>
      <c r="D1602" t="s">
        <v>5221</v>
      </c>
      <c r="E1602" t="s">
        <v>5019</v>
      </c>
    </row>
    <row r="1603" spans="1:5" x14ac:dyDescent="0.25">
      <c r="A1603" t="s">
        <v>1478</v>
      </c>
      <c r="B1603" t="s">
        <v>5328</v>
      </c>
      <c r="C1603" t="s">
        <v>5329</v>
      </c>
      <c r="D1603" t="s">
        <v>5221</v>
      </c>
      <c r="E1603" t="s">
        <v>5019</v>
      </c>
    </row>
    <row r="1604" spans="1:5" x14ac:dyDescent="0.25">
      <c r="A1604" t="s">
        <v>1478</v>
      </c>
      <c r="B1604" t="s">
        <v>5330</v>
      </c>
      <c r="C1604" t="s">
        <v>5331</v>
      </c>
      <c r="D1604" t="s">
        <v>5221</v>
      </c>
      <c r="E1604" t="s">
        <v>5019</v>
      </c>
    </row>
    <row r="1605" spans="1:5" x14ac:dyDescent="0.25">
      <c r="A1605" t="s">
        <v>1478</v>
      </c>
      <c r="B1605" t="s">
        <v>5332</v>
      </c>
      <c r="C1605" t="s">
        <v>5333</v>
      </c>
      <c r="D1605" t="s">
        <v>5221</v>
      </c>
      <c r="E1605" t="s">
        <v>5019</v>
      </c>
    </row>
    <row r="1606" spans="1:5" x14ac:dyDescent="0.25">
      <c r="A1606" t="s">
        <v>1478</v>
      </c>
      <c r="B1606" t="s">
        <v>5334</v>
      </c>
      <c r="C1606" t="s">
        <v>5335</v>
      </c>
      <c r="D1606" t="s">
        <v>5221</v>
      </c>
      <c r="E1606" t="s">
        <v>5019</v>
      </c>
    </row>
    <row r="1607" spans="1:5" x14ac:dyDescent="0.25">
      <c r="A1607" t="s">
        <v>1478</v>
      </c>
      <c r="B1607" t="s">
        <v>5336</v>
      </c>
      <c r="C1607" t="s">
        <v>5337</v>
      </c>
      <c r="D1607" t="s">
        <v>2646</v>
      </c>
      <c r="E1607" t="s">
        <v>5021</v>
      </c>
    </row>
    <row r="1608" spans="1:5" x14ac:dyDescent="0.25">
      <c r="A1608" t="s">
        <v>1478</v>
      </c>
      <c r="B1608" t="s">
        <v>5338</v>
      </c>
      <c r="C1608" t="s">
        <v>5339</v>
      </c>
      <c r="D1608" t="s">
        <v>2646</v>
      </c>
      <c r="E1608" t="s">
        <v>5021</v>
      </c>
    </row>
    <row r="1609" spans="1:5" x14ac:dyDescent="0.25">
      <c r="A1609" t="s">
        <v>1478</v>
      </c>
      <c r="B1609" t="s">
        <v>5340</v>
      </c>
      <c r="C1609" t="s">
        <v>5341</v>
      </c>
      <c r="D1609" t="s">
        <v>2646</v>
      </c>
      <c r="E1609" t="s">
        <v>5021</v>
      </c>
    </row>
    <row r="1610" spans="1:5" x14ac:dyDescent="0.25">
      <c r="A1610" t="s">
        <v>1478</v>
      </c>
      <c r="B1610" t="s">
        <v>5342</v>
      </c>
      <c r="C1610" t="s">
        <v>5343</v>
      </c>
      <c r="D1610" t="s">
        <v>2646</v>
      </c>
      <c r="E1610" t="s">
        <v>5021</v>
      </c>
    </row>
    <row r="1611" spans="1:5" x14ac:dyDescent="0.25">
      <c r="A1611" t="s">
        <v>1478</v>
      </c>
      <c r="B1611" t="s">
        <v>5344</v>
      </c>
      <c r="C1611" t="s">
        <v>5345</v>
      </c>
      <c r="D1611" t="s">
        <v>2646</v>
      </c>
      <c r="E1611" t="s">
        <v>5021</v>
      </c>
    </row>
    <row r="1612" spans="1:5" x14ac:dyDescent="0.25">
      <c r="A1612" t="s">
        <v>1478</v>
      </c>
      <c r="B1612" t="s">
        <v>5346</v>
      </c>
      <c r="C1612" t="s">
        <v>5347</v>
      </c>
      <c r="D1612" t="s">
        <v>2646</v>
      </c>
      <c r="E1612" t="s">
        <v>5021</v>
      </c>
    </row>
    <row r="1613" spans="1:5" x14ac:dyDescent="0.25">
      <c r="A1613" t="s">
        <v>1478</v>
      </c>
      <c r="B1613" t="s">
        <v>5348</v>
      </c>
      <c r="C1613" t="s">
        <v>5349</v>
      </c>
      <c r="D1613" t="s">
        <v>2646</v>
      </c>
      <c r="E1613" t="s">
        <v>5021</v>
      </c>
    </row>
    <row r="1614" spans="1:5" x14ac:dyDescent="0.25">
      <c r="A1614" t="s">
        <v>1478</v>
      </c>
      <c r="B1614" t="s">
        <v>5350</v>
      </c>
      <c r="C1614" t="s">
        <v>5351</v>
      </c>
      <c r="D1614" t="s">
        <v>2646</v>
      </c>
      <c r="E1614" t="s">
        <v>5021</v>
      </c>
    </row>
    <row r="1615" spans="1:5" x14ac:dyDescent="0.25">
      <c r="A1615" t="s">
        <v>1478</v>
      </c>
      <c r="B1615" t="s">
        <v>5352</v>
      </c>
      <c r="C1615" t="s">
        <v>5353</v>
      </c>
      <c r="D1615" t="s">
        <v>2646</v>
      </c>
      <c r="E1615" t="s">
        <v>5021</v>
      </c>
    </row>
    <row r="1616" spans="1:5" x14ac:dyDescent="0.25">
      <c r="A1616" t="s">
        <v>1478</v>
      </c>
      <c r="B1616" t="s">
        <v>5354</v>
      </c>
      <c r="C1616" t="s">
        <v>5355</v>
      </c>
      <c r="D1616" t="s">
        <v>2646</v>
      </c>
      <c r="E1616" t="s">
        <v>5021</v>
      </c>
    </row>
    <row r="1617" spans="1:5" x14ac:dyDescent="0.25">
      <c r="A1617" t="s">
        <v>1478</v>
      </c>
      <c r="B1617" t="s">
        <v>5356</v>
      </c>
      <c r="C1617" t="s">
        <v>5357</v>
      </c>
      <c r="D1617" t="s">
        <v>2646</v>
      </c>
      <c r="E1617" t="s">
        <v>5021</v>
      </c>
    </row>
    <row r="1618" spans="1:5" x14ac:dyDescent="0.25">
      <c r="A1618" t="s">
        <v>1478</v>
      </c>
      <c r="B1618" t="s">
        <v>5358</v>
      </c>
      <c r="C1618" t="s">
        <v>5359</v>
      </c>
      <c r="D1618" t="s">
        <v>5360</v>
      </c>
      <c r="E1618" t="s">
        <v>5023</v>
      </c>
    </row>
    <row r="1619" spans="1:5" x14ac:dyDescent="0.25">
      <c r="A1619" t="s">
        <v>1478</v>
      </c>
      <c r="B1619" t="s">
        <v>5361</v>
      </c>
      <c r="C1619" t="s">
        <v>5362</v>
      </c>
      <c r="D1619" t="s">
        <v>5360</v>
      </c>
      <c r="E1619" t="s">
        <v>5023</v>
      </c>
    </row>
    <row r="1620" spans="1:5" x14ac:dyDescent="0.25">
      <c r="A1620" t="s">
        <v>1478</v>
      </c>
      <c r="B1620" t="s">
        <v>5363</v>
      </c>
      <c r="C1620" t="s">
        <v>5364</v>
      </c>
      <c r="D1620" t="s">
        <v>5360</v>
      </c>
      <c r="E1620" t="s">
        <v>5023</v>
      </c>
    </row>
    <row r="1621" spans="1:5" x14ac:dyDescent="0.25">
      <c r="A1621" t="s">
        <v>1478</v>
      </c>
      <c r="B1621" t="s">
        <v>5365</v>
      </c>
      <c r="C1621" t="s">
        <v>5366</v>
      </c>
      <c r="D1621" t="s">
        <v>5360</v>
      </c>
      <c r="E1621" t="s">
        <v>5023</v>
      </c>
    </row>
    <row r="1622" spans="1:5" x14ac:dyDescent="0.25">
      <c r="A1622" t="s">
        <v>1478</v>
      </c>
      <c r="B1622" t="s">
        <v>5367</v>
      </c>
      <c r="C1622" t="s">
        <v>5368</v>
      </c>
      <c r="D1622" t="s">
        <v>5360</v>
      </c>
      <c r="E1622" t="s">
        <v>5023</v>
      </c>
    </row>
    <row r="1623" spans="1:5" x14ac:dyDescent="0.25">
      <c r="A1623" t="s">
        <v>1478</v>
      </c>
      <c r="B1623" t="s">
        <v>5369</v>
      </c>
      <c r="C1623" t="s">
        <v>5370</v>
      </c>
      <c r="D1623" t="s">
        <v>5360</v>
      </c>
      <c r="E1623" t="s">
        <v>5023</v>
      </c>
    </row>
    <row r="1624" spans="1:5" x14ac:dyDescent="0.25">
      <c r="A1624" t="s">
        <v>1478</v>
      </c>
      <c r="B1624" t="s">
        <v>5371</v>
      </c>
      <c r="C1624" t="s">
        <v>5372</v>
      </c>
      <c r="D1624" t="s">
        <v>5360</v>
      </c>
      <c r="E1624" t="s">
        <v>5023</v>
      </c>
    </row>
    <row r="1625" spans="1:5" x14ac:dyDescent="0.25">
      <c r="A1625" t="s">
        <v>1478</v>
      </c>
      <c r="B1625" t="s">
        <v>5373</v>
      </c>
      <c r="C1625" t="s">
        <v>5374</v>
      </c>
      <c r="D1625" t="s">
        <v>5360</v>
      </c>
      <c r="E1625" t="s">
        <v>5023</v>
      </c>
    </row>
    <row r="1626" spans="1:5" x14ac:dyDescent="0.25">
      <c r="A1626" t="s">
        <v>1478</v>
      </c>
      <c r="B1626" t="s">
        <v>5375</v>
      </c>
      <c r="C1626" t="s">
        <v>5376</v>
      </c>
      <c r="D1626" t="s">
        <v>5360</v>
      </c>
      <c r="E1626" t="s">
        <v>5023</v>
      </c>
    </row>
    <row r="1627" spans="1:5" x14ac:dyDescent="0.25">
      <c r="A1627" t="s">
        <v>1478</v>
      </c>
      <c r="B1627" t="s">
        <v>5377</v>
      </c>
      <c r="C1627" t="s">
        <v>5378</v>
      </c>
      <c r="D1627" t="s">
        <v>5360</v>
      </c>
      <c r="E1627" t="s">
        <v>5023</v>
      </c>
    </row>
    <row r="1628" spans="1:5" x14ac:dyDescent="0.25">
      <c r="A1628" t="s">
        <v>1478</v>
      </c>
      <c r="B1628" t="s">
        <v>5379</v>
      </c>
      <c r="C1628" t="s">
        <v>5380</v>
      </c>
      <c r="D1628" t="s">
        <v>5360</v>
      </c>
      <c r="E1628" t="s">
        <v>5023</v>
      </c>
    </row>
    <row r="1629" spans="1:5" x14ac:dyDescent="0.25">
      <c r="A1629" t="s">
        <v>1478</v>
      </c>
      <c r="B1629" t="s">
        <v>5381</v>
      </c>
      <c r="C1629" t="s">
        <v>5382</v>
      </c>
      <c r="D1629" t="s">
        <v>5360</v>
      </c>
      <c r="E1629" t="s">
        <v>5023</v>
      </c>
    </row>
    <row r="1630" spans="1:5" x14ac:dyDescent="0.25">
      <c r="A1630" t="s">
        <v>1478</v>
      </c>
      <c r="B1630" t="s">
        <v>5383</v>
      </c>
      <c r="C1630" t="s">
        <v>5384</v>
      </c>
      <c r="D1630" t="s">
        <v>5360</v>
      </c>
      <c r="E1630" t="s">
        <v>5023</v>
      </c>
    </row>
    <row r="1631" spans="1:5" x14ac:dyDescent="0.25">
      <c r="A1631" t="s">
        <v>1478</v>
      </c>
      <c r="B1631" t="s">
        <v>5385</v>
      </c>
      <c r="C1631" t="s">
        <v>5386</v>
      </c>
      <c r="D1631" t="s">
        <v>5360</v>
      </c>
      <c r="E1631" t="s">
        <v>5023</v>
      </c>
    </row>
    <row r="1632" spans="1:5" x14ac:dyDescent="0.25">
      <c r="A1632" t="s">
        <v>1478</v>
      </c>
      <c r="B1632" t="s">
        <v>5387</v>
      </c>
      <c r="C1632" t="s">
        <v>5388</v>
      </c>
      <c r="D1632" t="s">
        <v>5360</v>
      </c>
      <c r="E1632" t="s">
        <v>5023</v>
      </c>
    </row>
    <row r="1633" spans="1:5" x14ac:dyDescent="0.25">
      <c r="A1633" t="s">
        <v>1478</v>
      </c>
      <c r="B1633" t="s">
        <v>5389</v>
      </c>
      <c r="C1633" t="s">
        <v>5390</v>
      </c>
      <c r="D1633" t="s">
        <v>5360</v>
      </c>
      <c r="E1633" t="s">
        <v>5023</v>
      </c>
    </row>
    <row r="1634" spans="1:5" x14ac:dyDescent="0.25">
      <c r="A1634" t="s">
        <v>1478</v>
      </c>
      <c r="B1634" t="s">
        <v>5391</v>
      </c>
      <c r="C1634" t="s">
        <v>5392</v>
      </c>
      <c r="D1634" t="s">
        <v>5360</v>
      </c>
      <c r="E1634" t="s">
        <v>5023</v>
      </c>
    </row>
    <row r="1635" spans="1:5" x14ac:dyDescent="0.25">
      <c r="A1635" t="s">
        <v>1478</v>
      </c>
      <c r="B1635" t="s">
        <v>5393</v>
      </c>
      <c r="C1635" t="s">
        <v>5394</v>
      </c>
      <c r="D1635" t="s">
        <v>5360</v>
      </c>
      <c r="E1635" t="s">
        <v>5023</v>
      </c>
    </row>
    <row r="1636" spans="1:5" x14ac:dyDescent="0.25">
      <c r="A1636" t="s">
        <v>1478</v>
      </c>
      <c r="B1636" t="s">
        <v>5395</v>
      </c>
      <c r="C1636" t="s">
        <v>5396</v>
      </c>
      <c r="D1636" t="s">
        <v>5360</v>
      </c>
      <c r="E1636" t="s">
        <v>5023</v>
      </c>
    </row>
    <row r="1637" spans="1:5" x14ac:dyDescent="0.25">
      <c r="A1637" t="s">
        <v>1478</v>
      </c>
      <c r="B1637" t="s">
        <v>5397</v>
      </c>
      <c r="C1637" t="s">
        <v>5398</v>
      </c>
      <c r="D1637" t="s">
        <v>5360</v>
      </c>
      <c r="E1637" t="s">
        <v>5023</v>
      </c>
    </row>
    <row r="1638" spans="1:5" x14ac:dyDescent="0.25">
      <c r="A1638" t="s">
        <v>1478</v>
      </c>
      <c r="B1638" t="s">
        <v>5399</v>
      </c>
      <c r="C1638" t="s">
        <v>5400</v>
      </c>
      <c r="D1638" t="s">
        <v>5360</v>
      </c>
      <c r="E1638" t="s">
        <v>5023</v>
      </c>
    </row>
    <row r="1639" spans="1:5" x14ac:dyDescent="0.25">
      <c r="A1639" t="s">
        <v>1478</v>
      </c>
      <c r="B1639" t="s">
        <v>5401</v>
      </c>
      <c r="C1639" t="s">
        <v>5402</v>
      </c>
      <c r="D1639" t="s">
        <v>5360</v>
      </c>
      <c r="E1639" t="s">
        <v>5023</v>
      </c>
    </row>
    <row r="1640" spans="1:5" x14ac:dyDescent="0.25">
      <c r="A1640" t="s">
        <v>1478</v>
      </c>
      <c r="B1640" t="s">
        <v>5403</v>
      </c>
      <c r="C1640" t="s">
        <v>5404</v>
      </c>
      <c r="D1640" t="s">
        <v>5360</v>
      </c>
      <c r="E1640" t="s">
        <v>5023</v>
      </c>
    </row>
    <row r="1641" spans="1:5" x14ac:dyDescent="0.25">
      <c r="A1641" t="s">
        <v>1478</v>
      </c>
      <c r="B1641" t="s">
        <v>5405</v>
      </c>
      <c r="C1641" t="s">
        <v>5406</v>
      </c>
      <c r="D1641" t="s">
        <v>5360</v>
      </c>
      <c r="E1641" t="s">
        <v>5023</v>
      </c>
    </row>
    <row r="1642" spans="1:5" x14ac:dyDescent="0.25">
      <c r="A1642" t="s">
        <v>1478</v>
      </c>
      <c r="B1642" t="s">
        <v>5407</v>
      </c>
      <c r="C1642" t="s">
        <v>5408</v>
      </c>
      <c r="D1642" t="s">
        <v>5360</v>
      </c>
      <c r="E1642" t="s">
        <v>5023</v>
      </c>
    </row>
    <row r="1643" spans="1:5" x14ac:dyDescent="0.25">
      <c r="A1643" t="s">
        <v>1478</v>
      </c>
      <c r="B1643" t="s">
        <v>5409</v>
      </c>
      <c r="C1643" t="s">
        <v>5410</v>
      </c>
      <c r="D1643" t="s">
        <v>5360</v>
      </c>
      <c r="E1643" t="s">
        <v>5023</v>
      </c>
    </row>
    <row r="1644" spans="1:5" x14ac:dyDescent="0.25">
      <c r="A1644" t="s">
        <v>1478</v>
      </c>
      <c r="B1644" t="s">
        <v>5411</v>
      </c>
      <c r="C1644" t="s">
        <v>5412</v>
      </c>
      <c r="D1644" t="s">
        <v>5360</v>
      </c>
      <c r="E1644" t="s">
        <v>5023</v>
      </c>
    </row>
    <row r="1645" spans="1:5" x14ac:dyDescent="0.25">
      <c r="A1645" t="s">
        <v>1478</v>
      </c>
      <c r="B1645" t="s">
        <v>5413</v>
      </c>
      <c r="C1645" t="s">
        <v>5414</v>
      </c>
      <c r="D1645" t="s">
        <v>5360</v>
      </c>
      <c r="E1645" t="s">
        <v>5023</v>
      </c>
    </row>
    <row r="1646" spans="1:5" x14ac:dyDescent="0.25">
      <c r="A1646" t="s">
        <v>1478</v>
      </c>
      <c r="B1646" t="s">
        <v>5415</v>
      </c>
      <c r="C1646" t="s">
        <v>5416</v>
      </c>
      <c r="D1646" t="s">
        <v>5360</v>
      </c>
      <c r="E1646" t="s">
        <v>5023</v>
      </c>
    </row>
    <row r="1647" spans="1:5" x14ac:dyDescent="0.25">
      <c r="A1647" t="s">
        <v>1478</v>
      </c>
      <c r="B1647" t="s">
        <v>5417</v>
      </c>
      <c r="C1647" t="s">
        <v>5418</v>
      </c>
      <c r="D1647" t="s">
        <v>5360</v>
      </c>
      <c r="E1647" t="s">
        <v>5023</v>
      </c>
    </row>
    <row r="1648" spans="1:5" x14ac:dyDescent="0.25">
      <c r="A1648" t="s">
        <v>1478</v>
      </c>
      <c r="B1648" t="s">
        <v>5419</v>
      </c>
      <c r="C1648" t="s">
        <v>5420</v>
      </c>
      <c r="D1648" t="s">
        <v>5360</v>
      </c>
      <c r="E1648" t="s">
        <v>5023</v>
      </c>
    </row>
    <row r="1649" spans="1:5" x14ac:dyDescent="0.25">
      <c r="A1649" t="s">
        <v>1478</v>
      </c>
      <c r="B1649" t="s">
        <v>5421</v>
      </c>
      <c r="C1649" t="s">
        <v>5422</v>
      </c>
      <c r="D1649" t="s">
        <v>5360</v>
      </c>
      <c r="E1649" t="s">
        <v>5023</v>
      </c>
    </row>
    <row r="1650" spans="1:5" x14ac:dyDescent="0.25">
      <c r="A1650" t="s">
        <v>1478</v>
      </c>
      <c r="B1650" t="s">
        <v>5423</v>
      </c>
      <c r="C1650" t="s">
        <v>5424</v>
      </c>
      <c r="D1650" t="s">
        <v>5221</v>
      </c>
      <c r="E1650" t="s">
        <v>5025</v>
      </c>
    </row>
    <row r="1651" spans="1:5" x14ac:dyDescent="0.25">
      <c r="A1651" t="s">
        <v>1478</v>
      </c>
      <c r="B1651" t="s">
        <v>5425</v>
      </c>
      <c r="C1651" t="s">
        <v>5426</v>
      </c>
      <c r="D1651" t="s">
        <v>5221</v>
      </c>
      <c r="E1651" t="s">
        <v>5025</v>
      </c>
    </row>
    <row r="1652" spans="1:5" x14ac:dyDescent="0.25">
      <c r="A1652" t="s">
        <v>1478</v>
      </c>
      <c r="B1652" t="s">
        <v>5427</v>
      </c>
      <c r="C1652" t="s">
        <v>5428</v>
      </c>
      <c r="D1652" t="s">
        <v>5221</v>
      </c>
      <c r="E1652" t="s">
        <v>5025</v>
      </c>
    </row>
    <row r="1653" spans="1:5" x14ac:dyDescent="0.25">
      <c r="A1653" t="s">
        <v>1478</v>
      </c>
      <c r="B1653" t="s">
        <v>5429</v>
      </c>
      <c r="C1653" t="s">
        <v>5430</v>
      </c>
      <c r="D1653" t="s">
        <v>5221</v>
      </c>
      <c r="E1653" t="s">
        <v>5025</v>
      </c>
    </row>
    <row r="1654" spans="1:5" x14ac:dyDescent="0.25">
      <c r="A1654" t="s">
        <v>1478</v>
      </c>
      <c r="B1654" t="s">
        <v>5431</v>
      </c>
      <c r="C1654" t="s">
        <v>5432</v>
      </c>
      <c r="D1654" t="s">
        <v>5221</v>
      </c>
      <c r="E1654" t="s">
        <v>5025</v>
      </c>
    </row>
    <row r="1655" spans="1:5" x14ac:dyDescent="0.25">
      <c r="A1655" t="s">
        <v>1478</v>
      </c>
      <c r="B1655" t="s">
        <v>5433</v>
      </c>
      <c r="C1655" t="s">
        <v>5434</v>
      </c>
      <c r="D1655" t="s">
        <v>5221</v>
      </c>
      <c r="E1655" t="s">
        <v>5025</v>
      </c>
    </row>
    <row r="1656" spans="1:5" x14ac:dyDescent="0.25">
      <c r="A1656" t="s">
        <v>1478</v>
      </c>
      <c r="B1656" t="s">
        <v>5435</v>
      </c>
      <c r="C1656" t="s">
        <v>5436</v>
      </c>
      <c r="D1656" t="s">
        <v>5221</v>
      </c>
      <c r="E1656" t="s">
        <v>5025</v>
      </c>
    </row>
    <row r="1657" spans="1:5" x14ac:dyDescent="0.25">
      <c r="A1657" t="s">
        <v>1478</v>
      </c>
      <c r="B1657" t="s">
        <v>5437</v>
      </c>
      <c r="C1657" t="s">
        <v>5438</v>
      </c>
      <c r="D1657" t="s">
        <v>5221</v>
      </c>
      <c r="E1657" t="s">
        <v>5025</v>
      </c>
    </row>
    <row r="1658" spans="1:5" x14ac:dyDescent="0.25">
      <c r="A1658" t="s">
        <v>1478</v>
      </c>
      <c r="B1658" t="s">
        <v>5439</v>
      </c>
      <c r="C1658" t="s">
        <v>5440</v>
      </c>
      <c r="D1658" t="s">
        <v>5221</v>
      </c>
      <c r="E1658" t="s">
        <v>5025</v>
      </c>
    </row>
    <row r="1659" spans="1:5" x14ac:dyDescent="0.25">
      <c r="A1659" t="s">
        <v>1478</v>
      </c>
      <c r="B1659" t="s">
        <v>5441</v>
      </c>
      <c r="C1659" t="s">
        <v>5442</v>
      </c>
      <c r="D1659" t="s">
        <v>5221</v>
      </c>
      <c r="E1659" t="s">
        <v>5025</v>
      </c>
    </row>
    <row r="1660" spans="1:5" x14ac:dyDescent="0.25">
      <c r="A1660" t="s">
        <v>1478</v>
      </c>
      <c r="B1660" t="s">
        <v>5443</v>
      </c>
      <c r="C1660" t="s">
        <v>5444</v>
      </c>
      <c r="D1660" t="s">
        <v>5221</v>
      </c>
      <c r="E1660" t="s">
        <v>5025</v>
      </c>
    </row>
    <row r="1661" spans="1:5" x14ac:dyDescent="0.25">
      <c r="A1661" t="s">
        <v>1478</v>
      </c>
      <c r="B1661" t="s">
        <v>5445</v>
      </c>
      <c r="C1661" t="s">
        <v>5446</v>
      </c>
      <c r="D1661" t="s">
        <v>5221</v>
      </c>
      <c r="E1661" t="s">
        <v>5025</v>
      </c>
    </row>
    <row r="1662" spans="1:5" x14ac:dyDescent="0.25">
      <c r="A1662" t="s">
        <v>1478</v>
      </c>
      <c r="B1662" t="s">
        <v>5447</v>
      </c>
      <c r="C1662" t="s">
        <v>5448</v>
      </c>
      <c r="D1662" t="s">
        <v>5221</v>
      </c>
      <c r="E1662" t="s">
        <v>5025</v>
      </c>
    </row>
    <row r="1663" spans="1:5" x14ac:dyDescent="0.25">
      <c r="A1663" t="s">
        <v>1478</v>
      </c>
      <c r="B1663" t="s">
        <v>5449</v>
      </c>
      <c r="C1663" t="s">
        <v>5450</v>
      </c>
      <c r="D1663" t="s">
        <v>5221</v>
      </c>
      <c r="E1663" t="s">
        <v>5025</v>
      </c>
    </row>
    <row r="1664" spans="1:5" x14ac:dyDescent="0.25">
      <c r="A1664" t="s">
        <v>1478</v>
      </c>
      <c r="B1664" t="s">
        <v>5451</v>
      </c>
      <c r="C1664" t="s">
        <v>5452</v>
      </c>
      <c r="D1664" t="s">
        <v>5221</v>
      </c>
      <c r="E1664" t="s">
        <v>5025</v>
      </c>
    </row>
    <row r="1665" spans="1:5" x14ac:dyDescent="0.25">
      <c r="A1665" t="s">
        <v>1478</v>
      </c>
      <c r="B1665" t="s">
        <v>5453</v>
      </c>
      <c r="C1665" t="s">
        <v>5454</v>
      </c>
      <c r="D1665" t="s">
        <v>5221</v>
      </c>
      <c r="E1665" t="s">
        <v>5025</v>
      </c>
    </row>
    <row r="1666" spans="1:5" x14ac:dyDescent="0.25">
      <c r="A1666" t="s">
        <v>1478</v>
      </c>
      <c r="B1666" t="s">
        <v>5455</v>
      </c>
      <c r="C1666" t="s">
        <v>5456</v>
      </c>
      <c r="D1666" t="s">
        <v>5221</v>
      </c>
      <c r="E1666" t="s">
        <v>5025</v>
      </c>
    </row>
    <row r="1667" spans="1:5" x14ac:dyDescent="0.25">
      <c r="A1667" t="s">
        <v>1478</v>
      </c>
      <c r="B1667" t="s">
        <v>5457</v>
      </c>
      <c r="C1667" t="s">
        <v>5458</v>
      </c>
      <c r="D1667" t="s">
        <v>5221</v>
      </c>
      <c r="E1667" t="s">
        <v>5025</v>
      </c>
    </row>
    <row r="1668" spans="1:5" x14ac:dyDescent="0.25">
      <c r="A1668" t="s">
        <v>1478</v>
      </c>
      <c r="B1668" t="s">
        <v>5459</v>
      </c>
      <c r="C1668" t="s">
        <v>5460</v>
      </c>
      <c r="D1668" t="s">
        <v>5221</v>
      </c>
      <c r="E1668" t="s">
        <v>5025</v>
      </c>
    </row>
    <row r="1669" spans="1:5" x14ac:dyDescent="0.25">
      <c r="A1669" t="s">
        <v>1478</v>
      </c>
      <c r="B1669" t="s">
        <v>5461</v>
      </c>
      <c r="C1669" t="s">
        <v>5462</v>
      </c>
      <c r="D1669" t="s">
        <v>5221</v>
      </c>
      <c r="E1669" t="s">
        <v>5025</v>
      </c>
    </row>
    <row r="1670" spans="1:5" x14ac:dyDescent="0.25">
      <c r="A1670" t="s">
        <v>1478</v>
      </c>
      <c r="B1670" t="s">
        <v>5463</v>
      </c>
      <c r="C1670" t="s">
        <v>5464</v>
      </c>
      <c r="D1670" t="s">
        <v>5221</v>
      </c>
      <c r="E1670" t="s">
        <v>5025</v>
      </c>
    </row>
    <row r="1671" spans="1:5" x14ac:dyDescent="0.25">
      <c r="A1671" t="s">
        <v>1478</v>
      </c>
      <c r="B1671" t="s">
        <v>5465</v>
      </c>
      <c r="C1671" t="s">
        <v>5466</v>
      </c>
      <c r="D1671" t="s">
        <v>5221</v>
      </c>
      <c r="E1671" t="s">
        <v>5025</v>
      </c>
    </row>
    <row r="1672" spans="1:5" x14ac:dyDescent="0.25">
      <c r="A1672" t="s">
        <v>1484</v>
      </c>
      <c r="B1672" t="s">
        <v>5467</v>
      </c>
      <c r="C1672" t="s">
        <v>2613</v>
      </c>
      <c r="D1672" t="s">
        <v>2169</v>
      </c>
      <c r="E1672" t="s">
        <v>2170</v>
      </c>
    </row>
    <row r="1673" spans="1:5" x14ac:dyDescent="0.25">
      <c r="A1673" t="s">
        <v>1484</v>
      </c>
      <c r="B1673" t="s">
        <v>5468</v>
      </c>
      <c r="C1673" t="s">
        <v>4014</v>
      </c>
      <c r="D1673" t="s">
        <v>2169</v>
      </c>
      <c r="E1673" t="s">
        <v>2170</v>
      </c>
    </row>
    <row r="1674" spans="1:5" x14ac:dyDescent="0.25">
      <c r="A1674" t="s">
        <v>1484</v>
      </c>
      <c r="B1674" t="s">
        <v>5469</v>
      </c>
      <c r="C1674" t="s">
        <v>2268</v>
      </c>
      <c r="D1674" t="s">
        <v>2169</v>
      </c>
      <c r="E1674" t="s">
        <v>2170</v>
      </c>
    </row>
    <row r="1675" spans="1:5" x14ac:dyDescent="0.25">
      <c r="A1675" t="s">
        <v>1484</v>
      </c>
      <c r="B1675" t="s">
        <v>5470</v>
      </c>
      <c r="C1675" t="s">
        <v>2270</v>
      </c>
      <c r="D1675" t="s">
        <v>2169</v>
      </c>
      <c r="E1675" t="s">
        <v>2170</v>
      </c>
    </row>
    <row r="1676" spans="1:5" x14ac:dyDescent="0.25">
      <c r="A1676" t="s">
        <v>1484</v>
      </c>
      <c r="B1676" t="s">
        <v>5471</v>
      </c>
      <c r="C1676" t="s">
        <v>4021</v>
      </c>
      <c r="D1676" t="s">
        <v>2169</v>
      </c>
      <c r="E1676" t="s">
        <v>2170</v>
      </c>
    </row>
    <row r="1677" spans="1:5" x14ac:dyDescent="0.25">
      <c r="A1677" t="s">
        <v>1484</v>
      </c>
      <c r="B1677" t="s">
        <v>5472</v>
      </c>
      <c r="C1677" t="s">
        <v>4023</v>
      </c>
      <c r="D1677" t="s">
        <v>2169</v>
      </c>
      <c r="E1677" t="s">
        <v>2170</v>
      </c>
    </row>
    <row r="1678" spans="1:5" x14ac:dyDescent="0.25">
      <c r="A1678" t="s">
        <v>1484</v>
      </c>
      <c r="B1678" t="s">
        <v>5473</v>
      </c>
      <c r="C1678" t="s">
        <v>5474</v>
      </c>
      <c r="D1678" t="s">
        <v>2281</v>
      </c>
      <c r="E1678" t="s">
        <v>2170</v>
      </c>
    </row>
    <row r="1679" spans="1:5" x14ac:dyDescent="0.25">
      <c r="A1679" t="s">
        <v>1487</v>
      </c>
      <c r="B1679" t="s">
        <v>5475</v>
      </c>
      <c r="C1679" t="s">
        <v>5476</v>
      </c>
      <c r="D1679" t="s">
        <v>2449</v>
      </c>
      <c r="E1679" t="s">
        <v>2170</v>
      </c>
    </row>
    <row r="1680" spans="1:5" x14ac:dyDescent="0.25">
      <c r="A1680" t="s">
        <v>1487</v>
      </c>
      <c r="B1680" t="s">
        <v>5477</v>
      </c>
      <c r="C1680" t="s">
        <v>5478</v>
      </c>
      <c r="D1680" t="s">
        <v>2449</v>
      </c>
      <c r="E1680" t="s">
        <v>2170</v>
      </c>
    </row>
    <row r="1681" spans="1:5" x14ac:dyDescent="0.25">
      <c r="A1681" t="s">
        <v>1487</v>
      </c>
      <c r="B1681" t="s">
        <v>5479</v>
      </c>
      <c r="C1681" t="s">
        <v>5480</v>
      </c>
      <c r="D1681" t="s">
        <v>2311</v>
      </c>
      <c r="E1681" t="s">
        <v>2170</v>
      </c>
    </row>
    <row r="1682" spans="1:5" x14ac:dyDescent="0.25">
      <c r="A1682" t="s">
        <v>1487</v>
      </c>
      <c r="B1682" t="s">
        <v>5481</v>
      </c>
      <c r="C1682" t="s">
        <v>5482</v>
      </c>
      <c r="D1682" t="s">
        <v>2311</v>
      </c>
      <c r="E1682" t="s">
        <v>2170</v>
      </c>
    </row>
    <row r="1683" spans="1:5" x14ac:dyDescent="0.25">
      <c r="A1683" t="s">
        <v>1487</v>
      </c>
      <c r="B1683" t="s">
        <v>5483</v>
      </c>
      <c r="C1683" t="s">
        <v>5484</v>
      </c>
      <c r="D1683" t="s">
        <v>2311</v>
      </c>
      <c r="E1683" t="s">
        <v>2170</v>
      </c>
    </row>
    <row r="1684" spans="1:5" x14ac:dyDescent="0.25">
      <c r="A1684" t="s">
        <v>1487</v>
      </c>
      <c r="B1684" t="s">
        <v>5485</v>
      </c>
      <c r="C1684" t="s">
        <v>5486</v>
      </c>
      <c r="D1684" t="s">
        <v>2311</v>
      </c>
      <c r="E1684" t="s">
        <v>2170</v>
      </c>
    </row>
    <row r="1685" spans="1:5" x14ac:dyDescent="0.25">
      <c r="A1685" t="s">
        <v>1487</v>
      </c>
      <c r="B1685" t="s">
        <v>5487</v>
      </c>
      <c r="C1685" t="s">
        <v>5488</v>
      </c>
      <c r="D1685" t="s">
        <v>2311</v>
      </c>
      <c r="E1685" t="s">
        <v>2170</v>
      </c>
    </row>
    <row r="1686" spans="1:5" x14ac:dyDescent="0.25">
      <c r="A1686" t="s">
        <v>1487</v>
      </c>
      <c r="B1686" t="s">
        <v>5489</v>
      </c>
      <c r="C1686" t="s">
        <v>5490</v>
      </c>
      <c r="D1686" t="s">
        <v>2311</v>
      </c>
      <c r="E1686" t="s">
        <v>2170</v>
      </c>
    </row>
    <row r="1687" spans="1:5" x14ac:dyDescent="0.25">
      <c r="A1687" t="s">
        <v>1487</v>
      </c>
      <c r="B1687" t="s">
        <v>5491</v>
      </c>
      <c r="C1687" t="s">
        <v>5492</v>
      </c>
      <c r="D1687" t="s">
        <v>2311</v>
      </c>
      <c r="E1687" t="s">
        <v>2170</v>
      </c>
    </row>
    <row r="1688" spans="1:5" x14ac:dyDescent="0.25">
      <c r="A1688" t="s">
        <v>1487</v>
      </c>
      <c r="B1688" t="s">
        <v>5493</v>
      </c>
      <c r="C1688" t="s">
        <v>5494</v>
      </c>
      <c r="D1688" t="s">
        <v>2311</v>
      </c>
      <c r="E1688" t="s">
        <v>2170</v>
      </c>
    </row>
    <row r="1689" spans="1:5" x14ac:dyDescent="0.25">
      <c r="A1689" t="s">
        <v>1487</v>
      </c>
      <c r="B1689" t="s">
        <v>5495</v>
      </c>
      <c r="C1689" t="s">
        <v>5496</v>
      </c>
      <c r="D1689" t="s">
        <v>2311</v>
      </c>
      <c r="E1689" t="s">
        <v>2170</v>
      </c>
    </row>
    <row r="1690" spans="1:5" x14ac:dyDescent="0.25">
      <c r="A1690" t="s">
        <v>1487</v>
      </c>
      <c r="B1690" t="s">
        <v>5497</v>
      </c>
      <c r="C1690" t="s">
        <v>1486</v>
      </c>
      <c r="D1690" t="s">
        <v>2318</v>
      </c>
      <c r="E1690" t="s">
        <v>2170</v>
      </c>
    </row>
    <row r="1691" spans="1:5" x14ac:dyDescent="0.25">
      <c r="A1691" t="s">
        <v>1496</v>
      </c>
      <c r="B1691" t="s">
        <v>5498</v>
      </c>
      <c r="C1691" t="s">
        <v>5499</v>
      </c>
      <c r="D1691" t="s">
        <v>2311</v>
      </c>
      <c r="E1691" t="s">
        <v>2170</v>
      </c>
    </row>
    <row r="1692" spans="1:5" x14ac:dyDescent="0.25">
      <c r="A1692" t="s">
        <v>1496</v>
      </c>
      <c r="B1692" t="s">
        <v>5500</v>
      </c>
      <c r="C1692" t="s">
        <v>5501</v>
      </c>
      <c r="D1692" t="s">
        <v>2311</v>
      </c>
      <c r="E1692" t="s">
        <v>2170</v>
      </c>
    </row>
    <row r="1693" spans="1:5" x14ac:dyDescent="0.25">
      <c r="A1693" t="s">
        <v>1496</v>
      </c>
      <c r="B1693" t="s">
        <v>5502</v>
      </c>
      <c r="C1693" t="s">
        <v>5503</v>
      </c>
      <c r="D1693" t="s">
        <v>2311</v>
      </c>
      <c r="E1693" t="s">
        <v>2170</v>
      </c>
    </row>
    <row r="1694" spans="1:5" x14ac:dyDescent="0.25">
      <c r="A1694" t="s">
        <v>1496</v>
      </c>
      <c r="B1694" t="s">
        <v>5504</v>
      </c>
      <c r="C1694" t="s">
        <v>5505</v>
      </c>
      <c r="D1694" t="s">
        <v>2311</v>
      </c>
      <c r="E1694" t="s">
        <v>2170</v>
      </c>
    </row>
    <row r="1695" spans="1:5" x14ac:dyDescent="0.25">
      <c r="A1695" t="s">
        <v>1496</v>
      </c>
      <c r="B1695" t="s">
        <v>5506</v>
      </c>
      <c r="C1695" t="s">
        <v>3220</v>
      </c>
      <c r="D1695" t="s">
        <v>2311</v>
      </c>
      <c r="E1695" t="s">
        <v>2170</v>
      </c>
    </row>
    <row r="1696" spans="1:5" x14ac:dyDescent="0.25">
      <c r="A1696" t="s">
        <v>1496</v>
      </c>
      <c r="B1696" t="s">
        <v>5507</v>
      </c>
      <c r="C1696" t="s">
        <v>4718</v>
      </c>
      <c r="D1696" t="s">
        <v>2311</v>
      </c>
      <c r="E1696" t="s">
        <v>2170</v>
      </c>
    </row>
    <row r="1697" spans="1:5" x14ac:dyDescent="0.25">
      <c r="A1697" t="s">
        <v>1496</v>
      </c>
      <c r="B1697" t="s">
        <v>5508</v>
      </c>
      <c r="C1697" t="s">
        <v>5509</v>
      </c>
      <c r="D1697" t="s">
        <v>2311</v>
      </c>
      <c r="E1697" t="s">
        <v>2170</v>
      </c>
    </row>
    <row r="1698" spans="1:5" x14ac:dyDescent="0.25">
      <c r="A1698" t="s">
        <v>1496</v>
      </c>
      <c r="B1698" t="s">
        <v>5510</v>
      </c>
      <c r="C1698" t="s">
        <v>3240</v>
      </c>
      <c r="D1698" t="s">
        <v>2311</v>
      </c>
      <c r="E1698" t="s">
        <v>2170</v>
      </c>
    </row>
    <row r="1699" spans="1:5" x14ac:dyDescent="0.25">
      <c r="A1699" t="s">
        <v>1496</v>
      </c>
      <c r="B1699" t="s">
        <v>5511</v>
      </c>
      <c r="C1699" t="s">
        <v>4720</v>
      </c>
      <c r="D1699" t="s">
        <v>2311</v>
      </c>
      <c r="E1699" t="s">
        <v>2170</v>
      </c>
    </row>
    <row r="1700" spans="1:5" x14ac:dyDescent="0.25">
      <c r="A1700" t="s">
        <v>1496</v>
      </c>
      <c r="B1700" t="s">
        <v>5512</v>
      </c>
      <c r="C1700" t="s">
        <v>5513</v>
      </c>
      <c r="D1700" t="s">
        <v>2311</v>
      </c>
      <c r="E1700" t="s">
        <v>2170</v>
      </c>
    </row>
    <row r="1701" spans="1:5" x14ac:dyDescent="0.25">
      <c r="A1701" t="s">
        <v>1496</v>
      </c>
      <c r="B1701" t="s">
        <v>5514</v>
      </c>
      <c r="C1701" t="s">
        <v>5515</v>
      </c>
      <c r="D1701" t="s">
        <v>2311</v>
      </c>
      <c r="E1701" t="s">
        <v>2170</v>
      </c>
    </row>
    <row r="1702" spans="1:5" x14ac:dyDescent="0.25">
      <c r="A1702" t="s">
        <v>1496</v>
      </c>
      <c r="B1702" t="s">
        <v>5516</v>
      </c>
      <c r="C1702" t="s">
        <v>5517</v>
      </c>
      <c r="D1702" t="s">
        <v>2311</v>
      </c>
      <c r="E1702" t="s">
        <v>2170</v>
      </c>
    </row>
    <row r="1703" spans="1:5" x14ac:dyDescent="0.25">
      <c r="A1703" t="s">
        <v>1496</v>
      </c>
      <c r="B1703" t="s">
        <v>5518</v>
      </c>
      <c r="C1703" t="s">
        <v>5519</v>
      </c>
      <c r="D1703" t="s">
        <v>2311</v>
      </c>
      <c r="E1703" t="s">
        <v>2170</v>
      </c>
    </row>
    <row r="1704" spans="1:5" x14ac:dyDescent="0.25">
      <c r="A1704" t="s">
        <v>1496</v>
      </c>
      <c r="B1704" t="s">
        <v>5520</v>
      </c>
      <c r="C1704" t="s">
        <v>5521</v>
      </c>
      <c r="D1704" t="s">
        <v>2311</v>
      </c>
      <c r="E1704" t="s">
        <v>2170</v>
      </c>
    </row>
    <row r="1705" spans="1:5" x14ac:dyDescent="0.25">
      <c r="A1705" t="s">
        <v>1496</v>
      </c>
      <c r="B1705" t="s">
        <v>5522</v>
      </c>
      <c r="C1705" t="s">
        <v>4722</v>
      </c>
      <c r="D1705" t="s">
        <v>2311</v>
      </c>
      <c r="E1705" t="s">
        <v>2170</v>
      </c>
    </row>
    <row r="1706" spans="1:5" x14ac:dyDescent="0.25">
      <c r="A1706" t="s">
        <v>1496</v>
      </c>
      <c r="B1706" t="s">
        <v>5523</v>
      </c>
      <c r="C1706" t="s">
        <v>5524</v>
      </c>
      <c r="D1706" t="s">
        <v>2311</v>
      </c>
      <c r="E1706" t="s">
        <v>2170</v>
      </c>
    </row>
    <row r="1707" spans="1:5" x14ac:dyDescent="0.25">
      <c r="A1707" t="s">
        <v>1501</v>
      </c>
      <c r="B1707" t="s">
        <v>5525</v>
      </c>
      <c r="C1707" t="s">
        <v>5526</v>
      </c>
      <c r="D1707" t="s">
        <v>2469</v>
      </c>
      <c r="E1707" t="s">
        <v>2170</v>
      </c>
    </row>
    <row r="1708" spans="1:5" x14ac:dyDescent="0.25">
      <c r="A1708" t="s">
        <v>1501</v>
      </c>
      <c r="B1708" t="s">
        <v>5527</v>
      </c>
      <c r="C1708" t="s">
        <v>5528</v>
      </c>
      <c r="D1708" t="s">
        <v>2469</v>
      </c>
      <c r="E1708" t="s">
        <v>2170</v>
      </c>
    </row>
    <row r="1709" spans="1:5" x14ac:dyDescent="0.25">
      <c r="A1709" t="s">
        <v>1501</v>
      </c>
      <c r="B1709" t="s">
        <v>5529</v>
      </c>
      <c r="C1709" t="s">
        <v>5530</v>
      </c>
      <c r="D1709" t="s">
        <v>2469</v>
      </c>
      <c r="E1709" t="s">
        <v>2170</v>
      </c>
    </row>
    <row r="1710" spans="1:5" x14ac:dyDescent="0.25">
      <c r="A1710" t="s">
        <v>1501</v>
      </c>
      <c r="B1710" t="s">
        <v>5531</v>
      </c>
      <c r="C1710" t="s">
        <v>5532</v>
      </c>
      <c r="D1710" t="s">
        <v>2469</v>
      </c>
      <c r="E1710" t="s">
        <v>2170</v>
      </c>
    </row>
    <row r="1711" spans="1:5" x14ac:dyDescent="0.25">
      <c r="A1711" t="s">
        <v>1501</v>
      </c>
      <c r="B1711" t="s">
        <v>5533</v>
      </c>
      <c r="C1711" t="s">
        <v>5534</v>
      </c>
      <c r="D1711" t="s">
        <v>2469</v>
      </c>
      <c r="E1711" t="s">
        <v>2170</v>
      </c>
    </row>
    <row r="1712" spans="1:5" x14ac:dyDescent="0.25">
      <c r="A1712" t="s">
        <v>1504</v>
      </c>
      <c r="B1712" t="s">
        <v>5535</v>
      </c>
      <c r="C1712" t="s">
        <v>5536</v>
      </c>
      <c r="D1712" t="s">
        <v>2318</v>
      </c>
      <c r="E1712" t="s">
        <v>2170</v>
      </c>
    </row>
    <row r="1713" spans="1:5" x14ac:dyDescent="0.25">
      <c r="A1713" t="s">
        <v>1504</v>
      </c>
      <c r="B1713" t="s">
        <v>5537</v>
      </c>
      <c r="C1713" t="s">
        <v>5538</v>
      </c>
      <c r="D1713" t="s">
        <v>2630</v>
      </c>
      <c r="E1713" t="s">
        <v>2170</v>
      </c>
    </row>
    <row r="1714" spans="1:5" x14ac:dyDescent="0.25">
      <c r="A1714" t="s">
        <v>1504</v>
      </c>
      <c r="B1714" t="s">
        <v>5539</v>
      </c>
      <c r="C1714" t="s">
        <v>5540</v>
      </c>
      <c r="D1714" t="s">
        <v>2630</v>
      </c>
      <c r="E1714" t="s">
        <v>2170</v>
      </c>
    </row>
    <row r="1715" spans="1:5" x14ac:dyDescent="0.25">
      <c r="A1715" t="s">
        <v>1504</v>
      </c>
      <c r="B1715" t="s">
        <v>5541</v>
      </c>
      <c r="C1715" t="s">
        <v>5542</v>
      </c>
      <c r="D1715" t="s">
        <v>2630</v>
      </c>
      <c r="E1715" t="s">
        <v>2170</v>
      </c>
    </row>
    <row r="1716" spans="1:5" x14ac:dyDescent="0.25">
      <c r="A1716" t="s">
        <v>1504</v>
      </c>
      <c r="B1716" t="s">
        <v>5543</v>
      </c>
      <c r="C1716" t="s">
        <v>5544</v>
      </c>
      <c r="D1716" t="s">
        <v>2630</v>
      </c>
      <c r="E1716" t="s">
        <v>2170</v>
      </c>
    </row>
    <row r="1717" spans="1:5" x14ac:dyDescent="0.25">
      <c r="A1717" t="s">
        <v>1504</v>
      </c>
      <c r="B1717" t="s">
        <v>5545</v>
      </c>
      <c r="C1717" t="s">
        <v>4722</v>
      </c>
      <c r="D1717" t="s">
        <v>2630</v>
      </c>
      <c r="E1717" t="s">
        <v>2170</v>
      </c>
    </row>
    <row r="1718" spans="1:5" x14ac:dyDescent="0.25">
      <c r="A1718" t="s">
        <v>1508</v>
      </c>
      <c r="B1718" t="s">
        <v>5546</v>
      </c>
      <c r="C1718" t="s">
        <v>5547</v>
      </c>
      <c r="D1718" t="s">
        <v>5548</v>
      </c>
      <c r="E1718" t="s">
        <v>2170</v>
      </c>
    </row>
    <row r="1719" spans="1:5" x14ac:dyDescent="0.25">
      <c r="A1719" t="s">
        <v>1508</v>
      </c>
      <c r="B1719" t="s">
        <v>5549</v>
      </c>
      <c r="C1719" t="s">
        <v>5550</v>
      </c>
      <c r="D1719" t="s">
        <v>5548</v>
      </c>
      <c r="E1719" t="s">
        <v>2170</v>
      </c>
    </row>
    <row r="1720" spans="1:5" x14ac:dyDescent="0.25">
      <c r="A1720" t="s">
        <v>1508</v>
      </c>
      <c r="B1720" t="s">
        <v>5551</v>
      </c>
      <c r="C1720" t="s">
        <v>5552</v>
      </c>
      <c r="D1720" t="s">
        <v>5548</v>
      </c>
      <c r="E1720" t="s">
        <v>2170</v>
      </c>
    </row>
    <row r="1721" spans="1:5" x14ac:dyDescent="0.25">
      <c r="A1721" t="s">
        <v>1508</v>
      </c>
      <c r="B1721" t="s">
        <v>5553</v>
      </c>
      <c r="C1721" t="s">
        <v>5554</v>
      </c>
      <c r="D1721" t="s">
        <v>5548</v>
      </c>
      <c r="E1721" t="s">
        <v>2170</v>
      </c>
    </row>
    <row r="1722" spans="1:5" x14ac:dyDescent="0.25">
      <c r="A1722" t="s">
        <v>1508</v>
      </c>
      <c r="B1722" t="s">
        <v>5555</v>
      </c>
      <c r="C1722" t="s">
        <v>5556</v>
      </c>
      <c r="D1722" t="s">
        <v>5548</v>
      </c>
      <c r="E1722" t="s">
        <v>2170</v>
      </c>
    </row>
    <row r="1723" spans="1:5" x14ac:dyDescent="0.25">
      <c r="A1723" t="s">
        <v>1508</v>
      </c>
      <c r="B1723" t="s">
        <v>5557</v>
      </c>
      <c r="C1723" t="s">
        <v>5558</v>
      </c>
      <c r="D1723" t="s">
        <v>5548</v>
      </c>
      <c r="E1723" t="s">
        <v>2170</v>
      </c>
    </row>
    <row r="1724" spans="1:5" x14ac:dyDescent="0.25">
      <c r="A1724" t="s">
        <v>1508</v>
      </c>
      <c r="B1724" t="s">
        <v>5559</v>
      </c>
      <c r="C1724" t="s">
        <v>5560</v>
      </c>
      <c r="D1724" t="s">
        <v>5548</v>
      </c>
      <c r="E1724" t="s">
        <v>2170</v>
      </c>
    </row>
    <row r="1725" spans="1:5" x14ac:dyDescent="0.25">
      <c r="A1725" t="s">
        <v>1508</v>
      </c>
      <c r="B1725" t="s">
        <v>5561</v>
      </c>
      <c r="C1725" t="s">
        <v>5562</v>
      </c>
      <c r="D1725" t="s">
        <v>2963</v>
      </c>
      <c r="E1725" t="s">
        <v>2170</v>
      </c>
    </row>
    <row r="1726" spans="1:5" x14ac:dyDescent="0.25">
      <c r="A1726" t="s">
        <v>1508</v>
      </c>
      <c r="B1726" t="s">
        <v>5563</v>
      </c>
      <c r="C1726" t="s">
        <v>5564</v>
      </c>
      <c r="D1726" t="s">
        <v>3356</v>
      </c>
      <c r="E1726" t="s">
        <v>5559</v>
      </c>
    </row>
    <row r="1727" spans="1:5" x14ac:dyDescent="0.25">
      <c r="A1727" t="s">
        <v>1508</v>
      </c>
      <c r="B1727" t="s">
        <v>5565</v>
      </c>
      <c r="C1727" t="s">
        <v>5566</v>
      </c>
      <c r="D1727" t="s">
        <v>3356</v>
      </c>
      <c r="E1727" t="s">
        <v>5546</v>
      </c>
    </row>
    <row r="1728" spans="1:5" x14ac:dyDescent="0.25">
      <c r="A1728" t="s">
        <v>1508</v>
      </c>
      <c r="B1728" t="s">
        <v>5567</v>
      </c>
      <c r="C1728" t="s">
        <v>5547</v>
      </c>
      <c r="D1728" t="s">
        <v>3356</v>
      </c>
      <c r="E1728" t="s">
        <v>5546</v>
      </c>
    </row>
    <row r="1729" spans="1:5" x14ac:dyDescent="0.25">
      <c r="A1729" t="s">
        <v>1508</v>
      </c>
      <c r="B1729" t="s">
        <v>5568</v>
      </c>
      <c r="C1729" t="s">
        <v>5569</v>
      </c>
      <c r="D1729" t="s">
        <v>3356</v>
      </c>
      <c r="E1729" t="s">
        <v>5553</v>
      </c>
    </row>
    <row r="1730" spans="1:5" x14ac:dyDescent="0.25">
      <c r="A1730" t="s">
        <v>1508</v>
      </c>
      <c r="B1730" t="s">
        <v>5570</v>
      </c>
      <c r="C1730" t="s">
        <v>5571</v>
      </c>
      <c r="D1730" t="s">
        <v>3356</v>
      </c>
      <c r="E1730" t="s">
        <v>5549</v>
      </c>
    </row>
    <row r="1731" spans="1:5" x14ac:dyDescent="0.25">
      <c r="A1731" t="s">
        <v>1508</v>
      </c>
      <c r="B1731" t="s">
        <v>5572</v>
      </c>
      <c r="C1731" t="s">
        <v>5573</v>
      </c>
      <c r="D1731" t="s">
        <v>3356</v>
      </c>
      <c r="E1731" t="s">
        <v>5557</v>
      </c>
    </row>
    <row r="1732" spans="1:5" x14ac:dyDescent="0.25">
      <c r="A1732" t="s">
        <v>1508</v>
      </c>
      <c r="B1732" t="s">
        <v>5574</v>
      </c>
      <c r="C1732" t="s">
        <v>5575</v>
      </c>
      <c r="D1732" t="s">
        <v>3356</v>
      </c>
      <c r="E1732" t="s">
        <v>5549</v>
      </c>
    </row>
    <row r="1733" spans="1:5" x14ac:dyDescent="0.25">
      <c r="A1733" t="s">
        <v>1508</v>
      </c>
      <c r="B1733" t="s">
        <v>5576</v>
      </c>
      <c r="C1733" t="s">
        <v>5577</v>
      </c>
      <c r="D1733" t="s">
        <v>3356</v>
      </c>
      <c r="E1733" t="s">
        <v>5553</v>
      </c>
    </row>
    <row r="1734" spans="1:5" x14ac:dyDescent="0.25">
      <c r="A1734" t="s">
        <v>1508</v>
      </c>
      <c r="B1734" t="s">
        <v>5578</v>
      </c>
      <c r="C1734" t="s">
        <v>5550</v>
      </c>
      <c r="D1734" t="s">
        <v>3356</v>
      </c>
      <c r="E1734" t="s">
        <v>5549</v>
      </c>
    </row>
    <row r="1735" spans="1:5" x14ac:dyDescent="0.25">
      <c r="A1735" t="s">
        <v>1508</v>
      </c>
      <c r="B1735" t="s">
        <v>5579</v>
      </c>
      <c r="C1735" t="s">
        <v>5580</v>
      </c>
      <c r="D1735" t="s">
        <v>3356</v>
      </c>
      <c r="E1735" t="s">
        <v>5553</v>
      </c>
    </row>
    <row r="1736" spans="1:5" x14ac:dyDescent="0.25">
      <c r="A1736" t="s">
        <v>1508</v>
      </c>
      <c r="B1736" t="s">
        <v>5581</v>
      </c>
      <c r="C1736" t="s">
        <v>5582</v>
      </c>
      <c r="D1736" t="s">
        <v>3356</v>
      </c>
      <c r="E1736" t="s">
        <v>5546</v>
      </c>
    </row>
    <row r="1737" spans="1:5" x14ac:dyDescent="0.25">
      <c r="A1737" t="s">
        <v>1508</v>
      </c>
      <c r="B1737" t="s">
        <v>5583</v>
      </c>
      <c r="C1737" t="s">
        <v>5584</v>
      </c>
      <c r="D1737" t="s">
        <v>3356</v>
      </c>
      <c r="E1737" t="s">
        <v>5546</v>
      </c>
    </row>
    <row r="1738" spans="1:5" x14ac:dyDescent="0.25">
      <c r="A1738" t="s">
        <v>1508</v>
      </c>
      <c r="B1738" t="s">
        <v>5585</v>
      </c>
      <c r="C1738" t="s">
        <v>5586</v>
      </c>
      <c r="D1738" t="s">
        <v>3356</v>
      </c>
      <c r="E1738" t="s">
        <v>5559</v>
      </c>
    </row>
    <row r="1739" spans="1:5" x14ac:dyDescent="0.25">
      <c r="A1739" t="s">
        <v>1508</v>
      </c>
      <c r="B1739" t="s">
        <v>5587</v>
      </c>
      <c r="C1739" t="s">
        <v>5552</v>
      </c>
      <c r="D1739" t="s">
        <v>3356</v>
      </c>
      <c r="E1739" t="s">
        <v>5551</v>
      </c>
    </row>
    <row r="1740" spans="1:5" x14ac:dyDescent="0.25">
      <c r="A1740" t="s">
        <v>1508</v>
      </c>
      <c r="B1740" t="s">
        <v>5588</v>
      </c>
      <c r="C1740" t="s">
        <v>5589</v>
      </c>
      <c r="D1740" t="s">
        <v>3356</v>
      </c>
      <c r="E1740" t="s">
        <v>5551</v>
      </c>
    </row>
    <row r="1741" spans="1:5" x14ac:dyDescent="0.25">
      <c r="A1741" t="s">
        <v>1508</v>
      </c>
      <c r="B1741" t="s">
        <v>5590</v>
      </c>
      <c r="C1741" t="s">
        <v>5554</v>
      </c>
      <c r="D1741" t="s">
        <v>3356</v>
      </c>
      <c r="E1741" t="s">
        <v>5553</v>
      </c>
    </row>
    <row r="1742" spans="1:5" x14ac:dyDescent="0.25">
      <c r="A1742" t="s">
        <v>1508</v>
      </c>
      <c r="B1742" t="s">
        <v>5591</v>
      </c>
      <c r="C1742" t="s">
        <v>5592</v>
      </c>
      <c r="D1742" t="s">
        <v>3356</v>
      </c>
      <c r="E1742" t="s">
        <v>5549</v>
      </c>
    </row>
    <row r="1743" spans="1:5" x14ac:dyDescent="0.25">
      <c r="A1743" t="s">
        <v>1508</v>
      </c>
      <c r="B1743" t="s">
        <v>5593</v>
      </c>
      <c r="C1743" t="s">
        <v>5594</v>
      </c>
      <c r="D1743" t="s">
        <v>3356</v>
      </c>
      <c r="E1743" t="s">
        <v>5555</v>
      </c>
    </row>
    <row r="1744" spans="1:5" x14ac:dyDescent="0.25">
      <c r="A1744" t="s">
        <v>1508</v>
      </c>
      <c r="B1744" t="s">
        <v>5595</v>
      </c>
      <c r="C1744" t="s">
        <v>5596</v>
      </c>
      <c r="D1744" t="s">
        <v>3356</v>
      </c>
      <c r="E1744" t="s">
        <v>5546</v>
      </c>
    </row>
    <row r="1745" spans="1:5" x14ac:dyDescent="0.25">
      <c r="A1745" t="s">
        <v>1508</v>
      </c>
      <c r="B1745" t="s">
        <v>5597</v>
      </c>
      <c r="C1745" t="s">
        <v>5598</v>
      </c>
      <c r="D1745" t="s">
        <v>3356</v>
      </c>
      <c r="E1745" t="s">
        <v>5551</v>
      </c>
    </row>
    <row r="1746" spans="1:5" x14ac:dyDescent="0.25">
      <c r="A1746" t="s">
        <v>1508</v>
      </c>
      <c r="B1746" t="s">
        <v>5599</v>
      </c>
      <c r="C1746" t="s">
        <v>5556</v>
      </c>
      <c r="D1746" t="s">
        <v>3356</v>
      </c>
      <c r="E1746" t="s">
        <v>5555</v>
      </c>
    </row>
    <row r="1747" spans="1:5" x14ac:dyDescent="0.25">
      <c r="A1747" t="s">
        <v>1508</v>
      </c>
      <c r="B1747" t="s">
        <v>5600</v>
      </c>
      <c r="C1747" t="s">
        <v>5601</v>
      </c>
      <c r="D1747" t="s">
        <v>3356</v>
      </c>
      <c r="E1747" t="s">
        <v>5555</v>
      </c>
    </row>
    <row r="1748" spans="1:5" x14ac:dyDescent="0.25">
      <c r="A1748" t="s">
        <v>1508</v>
      </c>
      <c r="B1748" t="s">
        <v>5602</v>
      </c>
      <c r="C1748" t="s">
        <v>5603</v>
      </c>
      <c r="D1748" t="s">
        <v>3356</v>
      </c>
      <c r="E1748" t="s">
        <v>5559</v>
      </c>
    </row>
    <row r="1749" spans="1:5" x14ac:dyDescent="0.25">
      <c r="A1749" t="s">
        <v>1508</v>
      </c>
      <c r="B1749" t="s">
        <v>5604</v>
      </c>
      <c r="C1749" t="s">
        <v>5605</v>
      </c>
      <c r="D1749" t="s">
        <v>3356</v>
      </c>
      <c r="E1749" t="s">
        <v>5559</v>
      </c>
    </row>
    <row r="1750" spans="1:5" x14ac:dyDescent="0.25">
      <c r="A1750" t="s">
        <v>1508</v>
      </c>
      <c r="B1750" t="s">
        <v>5606</v>
      </c>
      <c r="C1750" t="s">
        <v>107</v>
      </c>
      <c r="D1750" t="s">
        <v>3356</v>
      </c>
      <c r="E1750" t="s">
        <v>5555</v>
      </c>
    </row>
    <row r="1751" spans="1:5" x14ac:dyDescent="0.25">
      <c r="A1751" t="s">
        <v>1508</v>
      </c>
      <c r="B1751" t="s">
        <v>5607</v>
      </c>
      <c r="C1751" t="s">
        <v>5558</v>
      </c>
      <c r="D1751" t="s">
        <v>3356</v>
      </c>
      <c r="E1751" t="s">
        <v>5557</v>
      </c>
    </row>
    <row r="1752" spans="1:5" x14ac:dyDescent="0.25">
      <c r="A1752" t="s">
        <v>1508</v>
      </c>
      <c r="B1752" t="s">
        <v>5608</v>
      </c>
      <c r="C1752" t="s">
        <v>5609</v>
      </c>
      <c r="D1752" t="s">
        <v>3356</v>
      </c>
      <c r="E1752" t="s">
        <v>5551</v>
      </c>
    </row>
    <row r="1753" spans="1:5" x14ac:dyDescent="0.25">
      <c r="A1753" t="s">
        <v>1508</v>
      </c>
      <c r="B1753" t="s">
        <v>5610</v>
      </c>
      <c r="C1753" t="s">
        <v>5560</v>
      </c>
      <c r="D1753" t="s">
        <v>3356</v>
      </c>
      <c r="E1753" t="s">
        <v>5559</v>
      </c>
    </row>
    <row r="1754" spans="1:5" x14ac:dyDescent="0.25">
      <c r="A1754" t="s">
        <v>1508</v>
      </c>
      <c r="B1754" t="s">
        <v>5611</v>
      </c>
      <c r="C1754" t="s">
        <v>5612</v>
      </c>
      <c r="D1754" t="s">
        <v>3356</v>
      </c>
      <c r="E1754" t="s">
        <v>5557</v>
      </c>
    </row>
    <row r="1755" spans="1:5" x14ac:dyDescent="0.25">
      <c r="A1755" t="s">
        <v>1508</v>
      </c>
      <c r="B1755" t="s">
        <v>5613</v>
      </c>
      <c r="C1755" t="s">
        <v>5614</v>
      </c>
      <c r="D1755" t="s">
        <v>3356</v>
      </c>
      <c r="E1755" t="s">
        <v>5551</v>
      </c>
    </row>
    <row r="1756" spans="1:5" x14ac:dyDescent="0.25">
      <c r="A1756" t="s">
        <v>1508</v>
      </c>
      <c r="B1756" t="s">
        <v>5615</v>
      </c>
      <c r="C1756" t="s">
        <v>5616</v>
      </c>
      <c r="D1756" t="s">
        <v>3356</v>
      </c>
      <c r="E1756" t="s">
        <v>5553</v>
      </c>
    </row>
    <row r="1757" spans="1:5" x14ac:dyDescent="0.25">
      <c r="A1757" t="s">
        <v>1508</v>
      </c>
      <c r="B1757" t="s">
        <v>5617</v>
      </c>
      <c r="C1757" t="s">
        <v>5618</v>
      </c>
      <c r="D1757" t="s">
        <v>3356</v>
      </c>
      <c r="E1757" t="s">
        <v>5555</v>
      </c>
    </row>
    <row r="1758" spans="1:5" x14ac:dyDescent="0.25">
      <c r="A1758" t="s">
        <v>1508</v>
      </c>
      <c r="B1758" t="s">
        <v>5619</v>
      </c>
      <c r="C1758" t="s">
        <v>5620</v>
      </c>
      <c r="D1758" t="s">
        <v>3356</v>
      </c>
      <c r="E1758" t="s">
        <v>5559</v>
      </c>
    </row>
    <row r="1759" spans="1:5" x14ac:dyDescent="0.25">
      <c r="A1759" t="s">
        <v>1514</v>
      </c>
      <c r="B1759" t="s">
        <v>5621</v>
      </c>
      <c r="C1759" t="s">
        <v>5622</v>
      </c>
      <c r="D1759" t="s">
        <v>2311</v>
      </c>
      <c r="E1759" t="s">
        <v>2170</v>
      </c>
    </row>
    <row r="1760" spans="1:5" x14ac:dyDescent="0.25">
      <c r="A1760" t="s">
        <v>1514</v>
      </c>
      <c r="B1760" t="s">
        <v>5623</v>
      </c>
      <c r="C1760" t="s">
        <v>5624</v>
      </c>
      <c r="D1760" t="s">
        <v>2311</v>
      </c>
      <c r="E1760" t="s">
        <v>2170</v>
      </c>
    </row>
    <row r="1761" spans="1:5" x14ac:dyDescent="0.25">
      <c r="A1761" t="s">
        <v>1514</v>
      </c>
      <c r="B1761" t="s">
        <v>5625</v>
      </c>
      <c r="C1761" t="s">
        <v>5626</v>
      </c>
      <c r="D1761" t="s">
        <v>2200</v>
      </c>
      <c r="E1761" t="s">
        <v>5623</v>
      </c>
    </row>
    <row r="1762" spans="1:5" x14ac:dyDescent="0.25">
      <c r="A1762" t="s">
        <v>1514</v>
      </c>
      <c r="B1762" t="s">
        <v>5627</v>
      </c>
      <c r="C1762" t="s">
        <v>5628</v>
      </c>
      <c r="D1762" t="s">
        <v>2200</v>
      </c>
      <c r="E1762" t="s">
        <v>5623</v>
      </c>
    </row>
    <row r="1763" spans="1:5" x14ac:dyDescent="0.25">
      <c r="A1763" t="s">
        <v>1514</v>
      </c>
      <c r="B1763" t="s">
        <v>5629</v>
      </c>
      <c r="C1763" t="s">
        <v>5630</v>
      </c>
      <c r="D1763" t="s">
        <v>2200</v>
      </c>
      <c r="E1763" t="s">
        <v>5623</v>
      </c>
    </row>
    <row r="1764" spans="1:5" x14ac:dyDescent="0.25">
      <c r="A1764" t="s">
        <v>1514</v>
      </c>
      <c r="B1764" t="s">
        <v>5631</v>
      </c>
      <c r="C1764" t="s">
        <v>5632</v>
      </c>
      <c r="D1764" t="s">
        <v>2200</v>
      </c>
      <c r="E1764" t="s">
        <v>5621</v>
      </c>
    </row>
    <row r="1765" spans="1:5" x14ac:dyDescent="0.25">
      <c r="A1765" t="s">
        <v>1514</v>
      </c>
      <c r="B1765" t="s">
        <v>5633</v>
      </c>
      <c r="C1765" t="s">
        <v>5634</v>
      </c>
      <c r="D1765" t="s">
        <v>2200</v>
      </c>
      <c r="E1765" t="s">
        <v>5621</v>
      </c>
    </row>
    <row r="1766" spans="1:5" x14ac:dyDescent="0.25">
      <c r="A1766" t="s">
        <v>1514</v>
      </c>
      <c r="B1766" t="s">
        <v>5635</v>
      </c>
      <c r="C1766" t="s">
        <v>5636</v>
      </c>
      <c r="D1766" t="s">
        <v>2200</v>
      </c>
      <c r="E1766" t="s">
        <v>5621</v>
      </c>
    </row>
    <row r="1767" spans="1:5" x14ac:dyDescent="0.25">
      <c r="A1767" t="s">
        <v>1514</v>
      </c>
      <c r="B1767" t="s">
        <v>5637</v>
      </c>
      <c r="C1767" t="s">
        <v>5638</v>
      </c>
      <c r="D1767" t="s">
        <v>2200</v>
      </c>
      <c r="E1767" t="s">
        <v>5621</v>
      </c>
    </row>
    <row r="1768" spans="1:5" x14ac:dyDescent="0.25">
      <c r="A1768" t="s">
        <v>1514</v>
      </c>
      <c r="B1768" t="s">
        <v>5639</v>
      </c>
      <c r="C1768" t="s">
        <v>5640</v>
      </c>
      <c r="D1768" t="s">
        <v>2200</v>
      </c>
      <c r="E1768" t="s">
        <v>5621</v>
      </c>
    </row>
    <row r="1769" spans="1:5" x14ac:dyDescent="0.25">
      <c r="A1769" t="s">
        <v>1517</v>
      </c>
      <c r="B1769" t="s">
        <v>5641</v>
      </c>
      <c r="C1769" t="s">
        <v>5642</v>
      </c>
      <c r="D1769" t="s">
        <v>5643</v>
      </c>
      <c r="E1769" t="s">
        <v>2170</v>
      </c>
    </row>
    <row r="1770" spans="1:5" x14ac:dyDescent="0.25">
      <c r="A1770" t="s">
        <v>1517</v>
      </c>
      <c r="B1770" t="s">
        <v>5644</v>
      </c>
      <c r="C1770" t="s">
        <v>5645</v>
      </c>
      <c r="D1770" t="s">
        <v>5548</v>
      </c>
      <c r="E1770" t="s">
        <v>2170</v>
      </c>
    </row>
    <row r="1771" spans="1:5" x14ac:dyDescent="0.25">
      <c r="A1771" t="s">
        <v>1517</v>
      </c>
      <c r="B1771" t="s">
        <v>5646</v>
      </c>
      <c r="C1771" t="s">
        <v>5647</v>
      </c>
      <c r="D1771" t="s">
        <v>5548</v>
      </c>
      <c r="E1771" t="s">
        <v>2170</v>
      </c>
    </row>
    <row r="1772" spans="1:5" x14ac:dyDescent="0.25">
      <c r="A1772" t="s">
        <v>1517</v>
      </c>
      <c r="B1772" t="s">
        <v>5648</v>
      </c>
      <c r="C1772" t="s">
        <v>5649</v>
      </c>
      <c r="D1772" t="s">
        <v>5548</v>
      </c>
      <c r="E1772" t="s">
        <v>2170</v>
      </c>
    </row>
    <row r="1773" spans="1:5" x14ac:dyDescent="0.25">
      <c r="A1773" t="s">
        <v>1517</v>
      </c>
      <c r="B1773" t="s">
        <v>5650</v>
      </c>
      <c r="C1773" t="s">
        <v>5651</v>
      </c>
      <c r="D1773" t="s">
        <v>5548</v>
      </c>
      <c r="E1773" t="s">
        <v>2170</v>
      </c>
    </row>
    <row r="1774" spans="1:5" x14ac:dyDescent="0.25">
      <c r="A1774" t="s">
        <v>1517</v>
      </c>
      <c r="B1774" t="s">
        <v>5652</v>
      </c>
      <c r="C1774" t="s">
        <v>5653</v>
      </c>
      <c r="D1774" t="s">
        <v>5548</v>
      </c>
      <c r="E1774" t="s">
        <v>2170</v>
      </c>
    </row>
    <row r="1775" spans="1:5" x14ac:dyDescent="0.25">
      <c r="A1775" t="s">
        <v>1517</v>
      </c>
      <c r="B1775" t="s">
        <v>5654</v>
      </c>
      <c r="C1775" t="s">
        <v>5655</v>
      </c>
      <c r="D1775" t="s">
        <v>5548</v>
      </c>
      <c r="E1775" t="s">
        <v>2170</v>
      </c>
    </row>
    <row r="1776" spans="1:5" x14ac:dyDescent="0.25">
      <c r="A1776" t="s">
        <v>1517</v>
      </c>
      <c r="B1776" t="s">
        <v>5656</v>
      </c>
      <c r="C1776" t="s">
        <v>5657</v>
      </c>
      <c r="D1776" t="s">
        <v>5548</v>
      </c>
      <c r="E1776" t="s">
        <v>2170</v>
      </c>
    </row>
    <row r="1777" spans="1:5" x14ac:dyDescent="0.25">
      <c r="A1777" t="s">
        <v>1517</v>
      </c>
      <c r="B1777" t="s">
        <v>5658</v>
      </c>
      <c r="C1777" t="s">
        <v>5659</v>
      </c>
      <c r="D1777" t="s">
        <v>5548</v>
      </c>
      <c r="E1777" t="s">
        <v>2170</v>
      </c>
    </row>
    <row r="1778" spans="1:5" x14ac:dyDescent="0.25">
      <c r="A1778" t="s">
        <v>1517</v>
      </c>
      <c r="B1778" t="s">
        <v>5660</v>
      </c>
      <c r="C1778" t="s">
        <v>5661</v>
      </c>
      <c r="D1778" t="s">
        <v>5548</v>
      </c>
      <c r="E1778" t="s">
        <v>2170</v>
      </c>
    </row>
    <row r="1779" spans="1:5" x14ac:dyDescent="0.25">
      <c r="A1779" t="s">
        <v>1517</v>
      </c>
      <c r="B1779" t="s">
        <v>5662</v>
      </c>
      <c r="C1779" t="s">
        <v>5663</v>
      </c>
      <c r="D1779" t="s">
        <v>5548</v>
      </c>
      <c r="E1779" t="s">
        <v>2170</v>
      </c>
    </row>
    <row r="1780" spans="1:5" x14ac:dyDescent="0.25">
      <c r="A1780" t="s">
        <v>1517</v>
      </c>
      <c r="B1780" t="s">
        <v>5664</v>
      </c>
      <c r="C1780" t="s">
        <v>5665</v>
      </c>
      <c r="D1780" t="s">
        <v>5548</v>
      </c>
      <c r="E1780" t="s">
        <v>2170</v>
      </c>
    </row>
    <row r="1781" spans="1:5" x14ac:dyDescent="0.25">
      <c r="A1781" t="s">
        <v>1517</v>
      </c>
      <c r="B1781" t="s">
        <v>5666</v>
      </c>
      <c r="C1781" t="s">
        <v>5667</v>
      </c>
      <c r="D1781" t="s">
        <v>5548</v>
      </c>
      <c r="E1781" t="s">
        <v>2170</v>
      </c>
    </row>
    <row r="1782" spans="1:5" x14ac:dyDescent="0.25">
      <c r="A1782" t="s">
        <v>1517</v>
      </c>
      <c r="B1782" t="s">
        <v>5668</v>
      </c>
      <c r="C1782" t="s">
        <v>5669</v>
      </c>
      <c r="D1782" t="s">
        <v>5548</v>
      </c>
      <c r="E1782" t="s">
        <v>2170</v>
      </c>
    </row>
    <row r="1783" spans="1:5" x14ac:dyDescent="0.25">
      <c r="A1783" t="s">
        <v>1524</v>
      </c>
      <c r="B1783" t="s">
        <v>5670</v>
      </c>
      <c r="C1783" t="s">
        <v>5671</v>
      </c>
      <c r="D1783" t="s">
        <v>3008</v>
      </c>
      <c r="E1783" t="s">
        <v>2170</v>
      </c>
    </row>
    <row r="1784" spans="1:5" x14ac:dyDescent="0.25">
      <c r="A1784" t="s">
        <v>1524</v>
      </c>
      <c r="B1784" t="s">
        <v>5672</v>
      </c>
      <c r="C1784" t="s">
        <v>5673</v>
      </c>
      <c r="D1784" t="s">
        <v>3008</v>
      </c>
      <c r="E1784" t="s">
        <v>2170</v>
      </c>
    </row>
    <row r="1785" spans="1:5" x14ac:dyDescent="0.25">
      <c r="A1785" t="s">
        <v>1524</v>
      </c>
      <c r="B1785" t="s">
        <v>5674</v>
      </c>
      <c r="C1785" t="s">
        <v>5675</v>
      </c>
      <c r="D1785" t="s">
        <v>3008</v>
      </c>
      <c r="E1785" t="s">
        <v>2170</v>
      </c>
    </row>
    <row r="1786" spans="1:5" x14ac:dyDescent="0.25">
      <c r="A1786" t="s">
        <v>1524</v>
      </c>
      <c r="B1786" t="s">
        <v>5676</v>
      </c>
      <c r="C1786" t="s">
        <v>5677</v>
      </c>
      <c r="D1786" t="s">
        <v>3008</v>
      </c>
      <c r="E1786" t="s">
        <v>2170</v>
      </c>
    </row>
    <row r="1787" spans="1:5" x14ac:dyDescent="0.25">
      <c r="A1787" t="s">
        <v>1524</v>
      </c>
      <c r="B1787" t="s">
        <v>5678</v>
      </c>
      <c r="C1787" t="s">
        <v>5679</v>
      </c>
      <c r="D1787" t="s">
        <v>3008</v>
      </c>
      <c r="E1787" t="s">
        <v>2170</v>
      </c>
    </row>
    <row r="1788" spans="1:5" x14ac:dyDescent="0.25">
      <c r="A1788" t="s">
        <v>1524</v>
      </c>
      <c r="B1788" t="s">
        <v>5680</v>
      </c>
      <c r="C1788" t="s">
        <v>5681</v>
      </c>
      <c r="D1788" t="s">
        <v>3008</v>
      </c>
      <c r="E1788" t="s">
        <v>2170</v>
      </c>
    </row>
    <row r="1789" spans="1:5" x14ac:dyDescent="0.25">
      <c r="A1789" t="s">
        <v>1524</v>
      </c>
      <c r="B1789" t="s">
        <v>5682</v>
      </c>
      <c r="C1789" t="s">
        <v>66</v>
      </c>
      <c r="D1789" t="s">
        <v>3008</v>
      </c>
      <c r="E1789" t="s">
        <v>2170</v>
      </c>
    </row>
    <row r="1790" spans="1:5" x14ac:dyDescent="0.25">
      <c r="A1790" t="s">
        <v>1524</v>
      </c>
      <c r="B1790" t="s">
        <v>5683</v>
      </c>
      <c r="C1790" t="s">
        <v>5684</v>
      </c>
      <c r="D1790" t="s">
        <v>3008</v>
      </c>
      <c r="E1790" t="s">
        <v>2170</v>
      </c>
    </row>
    <row r="1791" spans="1:5" x14ac:dyDescent="0.25">
      <c r="A1791" t="s">
        <v>1524</v>
      </c>
      <c r="B1791" t="s">
        <v>5685</v>
      </c>
      <c r="C1791" t="s">
        <v>5686</v>
      </c>
      <c r="D1791" t="s">
        <v>3008</v>
      </c>
      <c r="E1791" t="s">
        <v>2170</v>
      </c>
    </row>
    <row r="1792" spans="1:5" x14ac:dyDescent="0.25">
      <c r="A1792" t="s">
        <v>1524</v>
      </c>
      <c r="B1792" t="s">
        <v>5687</v>
      </c>
      <c r="C1792" t="s">
        <v>5688</v>
      </c>
      <c r="D1792" t="s">
        <v>3008</v>
      </c>
      <c r="E1792" t="s">
        <v>2170</v>
      </c>
    </row>
    <row r="1793" spans="1:5" x14ac:dyDescent="0.25">
      <c r="A1793" t="s">
        <v>1524</v>
      </c>
      <c r="B1793" t="s">
        <v>5689</v>
      </c>
      <c r="C1793" t="s">
        <v>5690</v>
      </c>
      <c r="D1793" t="s">
        <v>3008</v>
      </c>
      <c r="E1793" t="s">
        <v>2170</v>
      </c>
    </row>
    <row r="1794" spans="1:5" x14ac:dyDescent="0.25">
      <c r="A1794" t="s">
        <v>1524</v>
      </c>
      <c r="B1794" t="s">
        <v>5691</v>
      </c>
      <c r="C1794" t="s">
        <v>5692</v>
      </c>
      <c r="D1794" t="s">
        <v>3008</v>
      </c>
      <c r="E1794" t="s">
        <v>2170</v>
      </c>
    </row>
    <row r="1795" spans="1:5" x14ac:dyDescent="0.25">
      <c r="A1795" t="s">
        <v>1524</v>
      </c>
      <c r="B1795" t="s">
        <v>5693</v>
      </c>
      <c r="C1795" t="s">
        <v>5694</v>
      </c>
      <c r="D1795" t="s">
        <v>3008</v>
      </c>
      <c r="E1795" t="s">
        <v>2170</v>
      </c>
    </row>
    <row r="1796" spans="1:5" x14ac:dyDescent="0.25">
      <c r="A1796" t="s">
        <v>1524</v>
      </c>
      <c r="B1796" t="s">
        <v>5695</v>
      </c>
      <c r="C1796" t="s">
        <v>5696</v>
      </c>
      <c r="D1796" t="s">
        <v>3008</v>
      </c>
      <c r="E1796" t="s">
        <v>2170</v>
      </c>
    </row>
    <row r="1797" spans="1:5" x14ac:dyDescent="0.25">
      <c r="A1797" t="s">
        <v>1524</v>
      </c>
      <c r="B1797" t="s">
        <v>5697</v>
      </c>
      <c r="C1797" t="s">
        <v>5698</v>
      </c>
      <c r="D1797" t="s">
        <v>3008</v>
      </c>
      <c r="E1797" t="s">
        <v>2170</v>
      </c>
    </row>
    <row r="1798" spans="1:5" x14ac:dyDescent="0.25">
      <c r="A1798" t="s">
        <v>1524</v>
      </c>
      <c r="B1798" t="s">
        <v>5699</v>
      </c>
      <c r="C1798" t="s">
        <v>5700</v>
      </c>
      <c r="D1798" t="s">
        <v>3008</v>
      </c>
      <c r="E1798" t="s">
        <v>2170</v>
      </c>
    </row>
    <row r="1799" spans="1:5" x14ac:dyDescent="0.25">
      <c r="A1799" t="s">
        <v>1524</v>
      </c>
      <c r="B1799" t="s">
        <v>5701</v>
      </c>
      <c r="C1799" t="s">
        <v>5702</v>
      </c>
      <c r="D1799" t="s">
        <v>3008</v>
      </c>
      <c r="E1799" t="s">
        <v>2170</v>
      </c>
    </row>
    <row r="1800" spans="1:5" x14ac:dyDescent="0.25">
      <c r="A1800" t="s">
        <v>1524</v>
      </c>
      <c r="B1800" t="s">
        <v>5703</v>
      </c>
      <c r="C1800" t="s">
        <v>5704</v>
      </c>
      <c r="D1800" t="s">
        <v>3008</v>
      </c>
      <c r="E1800" t="s">
        <v>2170</v>
      </c>
    </row>
    <row r="1801" spans="1:5" x14ac:dyDescent="0.25">
      <c r="A1801" t="s">
        <v>1524</v>
      </c>
      <c r="B1801" t="s">
        <v>5705</v>
      </c>
      <c r="C1801" t="s">
        <v>5706</v>
      </c>
      <c r="D1801" t="s">
        <v>3008</v>
      </c>
      <c r="E1801" t="s">
        <v>2170</v>
      </c>
    </row>
    <row r="1802" spans="1:5" x14ac:dyDescent="0.25">
      <c r="A1802" t="s">
        <v>1524</v>
      </c>
      <c r="B1802" t="s">
        <v>5707</v>
      </c>
      <c r="C1802" t="s">
        <v>5708</v>
      </c>
      <c r="D1802" t="s">
        <v>3008</v>
      </c>
      <c r="E1802" t="s">
        <v>2170</v>
      </c>
    </row>
    <row r="1803" spans="1:5" x14ac:dyDescent="0.25">
      <c r="A1803" t="s">
        <v>1524</v>
      </c>
      <c r="B1803" t="s">
        <v>5709</v>
      </c>
      <c r="C1803" t="s">
        <v>5710</v>
      </c>
      <c r="D1803" t="s">
        <v>3008</v>
      </c>
      <c r="E1803" t="s">
        <v>2170</v>
      </c>
    </row>
    <row r="1804" spans="1:5" x14ac:dyDescent="0.25">
      <c r="A1804" t="s">
        <v>1524</v>
      </c>
      <c r="B1804" t="s">
        <v>5711</v>
      </c>
      <c r="C1804" t="s">
        <v>5712</v>
      </c>
      <c r="D1804" t="s">
        <v>3008</v>
      </c>
      <c r="E1804" t="s">
        <v>2170</v>
      </c>
    </row>
    <row r="1805" spans="1:5" x14ac:dyDescent="0.25">
      <c r="A1805" t="s">
        <v>1531</v>
      </c>
      <c r="B1805" t="s">
        <v>5713</v>
      </c>
      <c r="C1805" t="s">
        <v>5714</v>
      </c>
      <c r="D1805" t="s">
        <v>2200</v>
      </c>
      <c r="E1805" t="s">
        <v>2170</v>
      </c>
    </row>
    <row r="1806" spans="1:5" x14ac:dyDescent="0.25">
      <c r="A1806" t="s">
        <v>1531</v>
      </c>
      <c r="B1806" t="s">
        <v>5715</v>
      </c>
      <c r="C1806" t="s">
        <v>5716</v>
      </c>
      <c r="D1806" t="s">
        <v>2200</v>
      </c>
      <c r="E1806" t="s">
        <v>2170</v>
      </c>
    </row>
    <row r="1807" spans="1:5" x14ac:dyDescent="0.25">
      <c r="A1807" t="s">
        <v>1531</v>
      </c>
      <c r="B1807" t="s">
        <v>5717</v>
      </c>
      <c r="C1807" t="s">
        <v>5718</v>
      </c>
      <c r="D1807" t="s">
        <v>2200</v>
      </c>
      <c r="E1807" t="s">
        <v>2170</v>
      </c>
    </row>
    <row r="1808" spans="1:5" x14ac:dyDescent="0.25">
      <c r="A1808" t="s">
        <v>1531</v>
      </c>
      <c r="B1808" t="s">
        <v>5719</v>
      </c>
      <c r="C1808" t="s">
        <v>5720</v>
      </c>
      <c r="D1808" t="s">
        <v>2311</v>
      </c>
      <c r="E1808" t="s">
        <v>5713</v>
      </c>
    </row>
    <row r="1809" spans="1:5" x14ac:dyDescent="0.25">
      <c r="A1809" t="s">
        <v>1531</v>
      </c>
      <c r="B1809" t="s">
        <v>5721</v>
      </c>
      <c r="C1809" t="s">
        <v>5722</v>
      </c>
      <c r="D1809" t="s">
        <v>2311</v>
      </c>
      <c r="E1809" t="s">
        <v>5715</v>
      </c>
    </row>
    <row r="1810" spans="1:5" x14ac:dyDescent="0.25">
      <c r="A1810" t="s">
        <v>1531</v>
      </c>
      <c r="B1810" t="s">
        <v>5723</v>
      </c>
      <c r="C1810" t="s">
        <v>1530</v>
      </c>
      <c r="D1810" t="s">
        <v>5724</v>
      </c>
      <c r="E1810" t="s">
        <v>2170</v>
      </c>
    </row>
    <row r="1811" spans="1:5" x14ac:dyDescent="0.25">
      <c r="A1811" t="s">
        <v>1531</v>
      </c>
      <c r="B1811" t="s">
        <v>5725</v>
      </c>
      <c r="C1811" t="s">
        <v>5726</v>
      </c>
      <c r="D1811" t="s">
        <v>2311</v>
      </c>
      <c r="E1811" t="s">
        <v>5717</v>
      </c>
    </row>
    <row r="1812" spans="1:5" x14ac:dyDescent="0.25">
      <c r="A1812" t="s">
        <v>1531</v>
      </c>
      <c r="B1812" t="s">
        <v>5727</v>
      </c>
      <c r="C1812" t="s">
        <v>5728</v>
      </c>
      <c r="D1812" t="s">
        <v>2311</v>
      </c>
      <c r="E1812" t="s">
        <v>5715</v>
      </c>
    </row>
    <row r="1813" spans="1:5" x14ac:dyDescent="0.25">
      <c r="A1813" t="s">
        <v>1531</v>
      </c>
      <c r="B1813" t="s">
        <v>5729</v>
      </c>
      <c r="C1813" t="s">
        <v>5730</v>
      </c>
      <c r="D1813" t="s">
        <v>2311</v>
      </c>
      <c r="E1813" t="s">
        <v>5713</v>
      </c>
    </row>
    <row r="1814" spans="1:5" x14ac:dyDescent="0.25">
      <c r="A1814" t="s">
        <v>1531</v>
      </c>
      <c r="B1814" t="s">
        <v>5731</v>
      </c>
      <c r="C1814" t="s">
        <v>5732</v>
      </c>
      <c r="D1814" t="s">
        <v>2311</v>
      </c>
      <c r="E1814" t="s">
        <v>5715</v>
      </c>
    </row>
    <row r="1815" spans="1:5" x14ac:dyDescent="0.25">
      <c r="A1815" t="s">
        <v>1531</v>
      </c>
      <c r="B1815" t="s">
        <v>5733</v>
      </c>
      <c r="C1815" t="s">
        <v>5734</v>
      </c>
      <c r="D1815" t="s">
        <v>2311</v>
      </c>
      <c r="E1815" t="s">
        <v>5717</v>
      </c>
    </row>
    <row r="1816" spans="1:5" x14ac:dyDescent="0.25">
      <c r="A1816" t="s">
        <v>1531</v>
      </c>
      <c r="B1816" t="s">
        <v>5735</v>
      </c>
      <c r="C1816" t="s">
        <v>5736</v>
      </c>
      <c r="D1816" t="s">
        <v>2311</v>
      </c>
      <c r="E1816" t="s">
        <v>5717</v>
      </c>
    </row>
    <row r="1817" spans="1:5" x14ac:dyDescent="0.25">
      <c r="A1817" t="s">
        <v>1534</v>
      </c>
      <c r="B1817" t="s">
        <v>5737</v>
      </c>
      <c r="C1817" t="s">
        <v>5738</v>
      </c>
      <c r="D1817" t="s">
        <v>2311</v>
      </c>
      <c r="E1817" t="s">
        <v>2170</v>
      </c>
    </row>
    <row r="1818" spans="1:5" x14ac:dyDescent="0.25">
      <c r="A1818" t="s">
        <v>1534</v>
      </c>
      <c r="B1818" t="s">
        <v>5739</v>
      </c>
      <c r="C1818" t="s">
        <v>5740</v>
      </c>
      <c r="D1818" t="s">
        <v>2311</v>
      </c>
      <c r="E1818" t="s">
        <v>2170</v>
      </c>
    </row>
    <row r="1819" spans="1:5" x14ac:dyDescent="0.25">
      <c r="A1819" t="s">
        <v>1534</v>
      </c>
      <c r="B1819" t="s">
        <v>5741</v>
      </c>
      <c r="C1819" t="s">
        <v>5742</v>
      </c>
      <c r="D1819" t="s">
        <v>2311</v>
      </c>
      <c r="E1819" t="s">
        <v>2170</v>
      </c>
    </row>
    <row r="1820" spans="1:5" x14ac:dyDescent="0.25">
      <c r="A1820" t="s">
        <v>1534</v>
      </c>
      <c r="B1820" t="s">
        <v>5743</v>
      </c>
      <c r="C1820" t="s">
        <v>5744</v>
      </c>
      <c r="D1820" t="s">
        <v>2311</v>
      </c>
      <c r="E1820" t="s">
        <v>2170</v>
      </c>
    </row>
    <row r="1821" spans="1:5" x14ac:dyDescent="0.25">
      <c r="A1821" t="s">
        <v>1534</v>
      </c>
      <c r="B1821" t="s">
        <v>5745</v>
      </c>
      <c r="C1821" t="s">
        <v>5746</v>
      </c>
      <c r="D1821" t="s">
        <v>2311</v>
      </c>
      <c r="E1821" t="s">
        <v>2170</v>
      </c>
    </row>
    <row r="1822" spans="1:5" x14ac:dyDescent="0.25">
      <c r="A1822" t="s">
        <v>1534</v>
      </c>
      <c r="B1822" t="s">
        <v>5747</v>
      </c>
      <c r="C1822" t="s">
        <v>5748</v>
      </c>
      <c r="D1822" t="s">
        <v>2311</v>
      </c>
      <c r="E1822" t="s">
        <v>2170</v>
      </c>
    </row>
    <row r="1823" spans="1:5" x14ac:dyDescent="0.25">
      <c r="A1823" t="s">
        <v>1534</v>
      </c>
      <c r="B1823" t="s">
        <v>5749</v>
      </c>
      <c r="C1823" t="s">
        <v>5750</v>
      </c>
      <c r="D1823" t="s">
        <v>2311</v>
      </c>
      <c r="E1823" t="s">
        <v>2170</v>
      </c>
    </row>
    <row r="1824" spans="1:5" x14ac:dyDescent="0.25">
      <c r="A1824" t="s">
        <v>1534</v>
      </c>
      <c r="B1824" t="s">
        <v>5751</v>
      </c>
      <c r="C1824" t="s">
        <v>5752</v>
      </c>
      <c r="D1824" t="s">
        <v>2311</v>
      </c>
      <c r="E1824" t="s">
        <v>2170</v>
      </c>
    </row>
    <row r="1825" spans="1:5" x14ac:dyDescent="0.25">
      <c r="A1825" t="s">
        <v>1534</v>
      </c>
      <c r="B1825" t="s">
        <v>5753</v>
      </c>
      <c r="C1825" t="s">
        <v>5754</v>
      </c>
      <c r="D1825" t="s">
        <v>2311</v>
      </c>
      <c r="E1825" t="s">
        <v>2170</v>
      </c>
    </row>
    <row r="1826" spans="1:5" x14ac:dyDescent="0.25">
      <c r="A1826" t="s">
        <v>1534</v>
      </c>
      <c r="B1826" t="s">
        <v>5755</v>
      </c>
      <c r="C1826" t="s">
        <v>5756</v>
      </c>
      <c r="D1826" t="s">
        <v>2311</v>
      </c>
      <c r="E1826" t="s">
        <v>2170</v>
      </c>
    </row>
    <row r="1827" spans="1:5" x14ac:dyDescent="0.25">
      <c r="A1827" t="s">
        <v>1540</v>
      </c>
      <c r="B1827" t="s">
        <v>5757</v>
      </c>
      <c r="C1827" t="s">
        <v>5758</v>
      </c>
      <c r="D1827" t="s">
        <v>3008</v>
      </c>
      <c r="E1827" t="s">
        <v>2170</v>
      </c>
    </row>
    <row r="1828" spans="1:5" x14ac:dyDescent="0.25">
      <c r="A1828" t="s">
        <v>1540</v>
      </c>
      <c r="B1828" t="s">
        <v>5759</v>
      </c>
      <c r="C1828" t="s">
        <v>5760</v>
      </c>
      <c r="D1828" t="s">
        <v>3008</v>
      </c>
      <c r="E1828" t="s">
        <v>2170</v>
      </c>
    </row>
    <row r="1829" spans="1:5" x14ac:dyDescent="0.25">
      <c r="A1829" t="s">
        <v>1540</v>
      </c>
      <c r="B1829" t="s">
        <v>5761</v>
      </c>
      <c r="C1829" t="s">
        <v>5762</v>
      </c>
      <c r="D1829" t="s">
        <v>3008</v>
      </c>
      <c r="E1829" t="s">
        <v>2170</v>
      </c>
    </row>
    <row r="1830" spans="1:5" x14ac:dyDescent="0.25">
      <c r="A1830" t="s">
        <v>1540</v>
      </c>
      <c r="B1830" t="s">
        <v>5763</v>
      </c>
      <c r="C1830" t="s">
        <v>5764</v>
      </c>
      <c r="D1830" t="s">
        <v>3008</v>
      </c>
      <c r="E1830" t="s">
        <v>2170</v>
      </c>
    </row>
    <row r="1831" spans="1:5" x14ac:dyDescent="0.25">
      <c r="A1831" t="s">
        <v>1540</v>
      </c>
      <c r="B1831" t="s">
        <v>5765</v>
      </c>
      <c r="C1831" t="s">
        <v>5766</v>
      </c>
      <c r="D1831" t="s">
        <v>3008</v>
      </c>
      <c r="E1831" t="s">
        <v>2170</v>
      </c>
    </row>
    <row r="1832" spans="1:5" x14ac:dyDescent="0.25">
      <c r="A1832" t="s">
        <v>1540</v>
      </c>
      <c r="B1832" t="s">
        <v>5767</v>
      </c>
      <c r="C1832" t="s">
        <v>5768</v>
      </c>
      <c r="D1832" t="s">
        <v>3008</v>
      </c>
      <c r="E1832" t="s">
        <v>2170</v>
      </c>
    </row>
    <row r="1833" spans="1:5" x14ac:dyDescent="0.25">
      <c r="A1833" t="s">
        <v>1540</v>
      </c>
      <c r="B1833" t="s">
        <v>5769</v>
      </c>
      <c r="C1833" t="s">
        <v>5770</v>
      </c>
      <c r="D1833" t="s">
        <v>3008</v>
      </c>
      <c r="E1833" t="s">
        <v>2170</v>
      </c>
    </row>
    <row r="1834" spans="1:5" x14ac:dyDescent="0.25">
      <c r="A1834" t="s">
        <v>1540</v>
      </c>
      <c r="B1834" t="s">
        <v>5771</v>
      </c>
      <c r="C1834" t="s">
        <v>5772</v>
      </c>
      <c r="D1834" t="s">
        <v>3008</v>
      </c>
      <c r="E1834" t="s">
        <v>2170</v>
      </c>
    </row>
    <row r="1835" spans="1:5" x14ac:dyDescent="0.25">
      <c r="A1835" t="s">
        <v>1540</v>
      </c>
      <c r="B1835" t="s">
        <v>5773</v>
      </c>
      <c r="C1835" t="s">
        <v>5774</v>
      </c>
      <c r="D1835" t="s">
        <v>3008</v>
      </c>
      <c r="E1835" t="s">
        <v>2170</v>
      </c>
    </row>
    <row r="1836" spans="1:5" x14ac:dyDescent="0.25">
      <c r="A1836" t="s">
        <v>1540</v>
      </c>
      <c r="B1836" t="s">
        <v>5775</v>
      </c>
      <c r="C1836" t="s">
        <v>5776</v>
      </c>
      <c r="D1836" t="s">
        <v>3008</v>
      </c>
      <c r="E1836" t="s">
        <v>2170</v>
      </c>
    </row>
    <row r="1837" spans="1:5" x14ac:dyDescent="0.25">
      <c r="A1837" t="s">
        <v>1540</v>
      </c>
      <c r="B1837" t="s">
        <v>5777</v>
      </c>
      <c r="C1837" t="s">
        <v>5778</v>
      </c>
      <c r="D1837" t="s">
        <v>3008</v>
      </c>
      <c r="E1837" t="s">
        <v>2170</v>
      </c>
    </row>
    <row r="1838" spans="1:5" x14ac:dyDescent="0.25">
      <c r="A1838" t="s">
        <v>1540</v>
      </c>
      <c r="B1838" t="s">
        <v>5779</v>
      </c>
      <c r="C1838" t="s">
        <v>3046</v>
      </c>
      <c r="D1838" t="s">
        <v>3008</v>
      </c>
      <c r="E1838" t="s">
        <v>2170</v>
      </c>
    </row>
    <row r="1839" spans="1:5" x14ac:dyDescent="0.25">
      <c r="A1839" t="s">
        <v>1540</v>
      </c>
      <c r="B1839" t="s">
        <v>5780</v>
      </c>
      <c r="C1839" t="s">
        <v>5781</v>
      </c>
      <c r="D1839" t="s">
        <v>3008</v>
      </c>
      <c r="E1839" t="s">
        <v>2170</v>
      </c>
    </row>
    <row r="1840" spans="1:5" x14ac:dyDescent="0.25">
      <c r="A1840" t="s">
        <v>1540</v>
      </c>
      <c r="B1840" t="s">
        <v>5782</v>
      </c>
      <c r="C1840" t="s">
        <v>5783</v>
      </c>
      <c r="D1840" t="s">
        <v>3008</v>
      </c>
      <c r="E1840" t="s">
        <v>2170</v>
      </c>
    </row>
    <row r="1841" spans="1:5" x14ac:dyDescent="0.25">
      <c r="A1841" t="s">
        <v>1540</v>
      </c>
      <c r="B1841" t="s">
        <v>5784</v>
      </c>
      <c r="C1841" t="s">
        <v>5785</v>
      </c>
      <c r="D1841" t="s">
        <v>3008</v>
      </c>
      <c r="E1841" t="s">
        <v>2170</v>
      </c>
    </row>
    <row r="1842" spans="1:5" x14ac:dyDescent="0.25">
      <c r="A1842" t="s">
        <v>1540</v>
      </c>
      <c r="B1842" t="s">
        <v>5786</v>
      </c>
      <c r="C1842" t="s">
        <v>5787</v>
      </c>
      <c r="D1842" t="s">
        <v>3008</v>
      </c>
      <c r="E1842" t="s">
        <v>2170</v>
      </c>
    </row>
    <row r="1843" spans="1:5" x14ac:dyDescent="0.25">
      <c r="A1843" t="s">
        <v>1540</v>
      </c>
      <c r="B1843" t="s">
        <v>5788</v>
      </c>
      <c r="C1843" t="s">
        <v>5789</v>
      </c>
      <c r="D1843" t="s">
        <v>3008</v>
      </c>
      <c r="E1843" t="s">
        <v>2170</v>
      </c>
    </row>
    <row r="1844" spans="1:5" x14ac:dyDescent="0.25">
      <c r="A1844" t="s">
        <v>1540</v>
      </c>
      <c r="B1844" t="s">
        <v>5790</v>
      </c>
      <c r="C1844" t="s">
        <v>5791</v>
      </c>
      <c r="D1844" t="s">
        <v>3008</v>
      </c>
      <c r="E1844" t="s">
        <v>2170</v>
      </c>
    </row>
    <row r="1845" spans="1:5" x14ac:dyDescent="0.25">
      <c r="A1845" t="s">
        <v>1544</v>
      </c>
      <c r="B1845" t="s">
        <v>5792</v>
      </c>
      <c r="C1845" t="s">
        <v>5793</v>
      </c>
      <c r="D1845" t="s">
        <v>2286</v>
      </c>
      <c r="E1845" t="s">
        <v>2170</v>
      </c>
    </row>
    <row r="1846" spans="1:5" x14ac:dyDescent="0.25">
      <c r="A1846" t="s">
        <v>1544</v>
      </c>
      <c r="B1846" t="s">
        <v>5794</v>
      </c>
      <c r="C1846" t="s">
        <v>5795</v>
      </c>
      <c r="D1846" t="s">
        <v>2286</v>
      </c>
      <c r="E1846" t="s">
        <v>2170</v>
      </c>
    </row>
    <row r="1847" spans="1:5" x14ac:dyDescent="0.25">
      <c r="A1847" t="s">
        <v>1544</v>
      </c>
      <c r="B1847" t="s">
        <v>5796</v>
      </c>
      <c r="C1847" t="s">
        <v>5797</v>
      </c>
      <c r="D1847" t="s">
        <v>2286</v>
      </c>
      <c r="E1847" t="s">
        <v>2170</v>
      </c>
    </row>
    <row r="1848" spans="1:5" x14ac:dyDescent="0.25">
      <c r="A1848" t="s">
        <v>1544</v>
      </c>
      <c r="B1848" t="s">
        <v>5798</v>
      </c>
      <c r="C1848" t="s">
        <v>5799</v>
      </c>
      <c r="D1848" t="s">
        <v>2318</v>
      </c>
      <c r="E1848" t="s">
        <v>2170</v>
      </c>
    </row>
    <row r="1849" spans="1:5" x14ac:dyDescent="0.25">
      <c r="A1849" t="s">
        <v>1544</v>
      </c>
      <c r="B1849" t="s">
        <v>5800</v>
      </c>
      <c r="C1849" t="s">
        <v>5801</v>
      </c>
      <c r="D1849" t="s">
        <v>2286</v>
      </c>
      <c r="E1849" t="s">
        <v>2170</v>
      </c>
    </row>
    <row r="1850" spans="1:5" x14ac:dyDescent="0.25">
      <c r="A1850" t="s">
        <v>1544</v>
      </c>
      <c r="B1850" t="s">
        <v>5802</v>
      </c>
      <c r="C1850" t="s">
        <v>5803</v>
      </c>
      <c r="D1850" t="s">
        <v>2286</v>
      </c>
      <c r="E1850" t="s">
        <v>2170</v>
      </c>
    </row>
    <row r="1851" spans="1:5" x14ac:dyDescent="0.25">
      <c r="A1851" t="s">
        <v>1544</v>
      </c>
      <c r="B1851" t="s">
        <v>5804</v>
      </c>
      <c r="C1851" t="s">
        <v>5805</v>
      </c>
      <c r="D1851" t="s">
        <v>2286</v>
      </c>
      <c r="E1851" t="s">
        <v>2170</v>
      </c>
    </row>
    <row r="1852" spans="1:5" x14ac:dyDescent="0.25">
      <c r="A1852" t="s">
        <v>1544</v>
      </c>
      <c r="B1852" t="s">
        <v>5806</v>
      </c>
      <c r="C1852" t="s">
        <v>5807</v>
      </c>
      <c r="D1852" t="s">
        <v>2286</v>
      </c>
      <c r="E1852" t="s">
        <v>2170</v>
      </c>
    </row>
    <row r="1853" spans="1:5" x14ac:dyDescent="0.25">
      <c r="A1853" t="s">
        <v>1544</v>
      </c>
      <c r="B1853" t="s">
        <v>5808</v>
      </c>
      <c r="C1853" t="s">
        <v>5809</v>
      </c>
      <c r="D1853" t="s">
        <v>2286</v>
      </c>
      <c r="E1853" t="s">
        <v>2170</v>
      </c>
    </row>
    <row r="1854" spans="1:5" x14ac:dyDescent="0.25">
      <c r="A1854" t="s">
        <v>1544</v>
      </c>
      <c r="B1854" t="s">
        <v>5810</v>
      </c>
      <c r="C1854" t="s">
        <v>5811</v>
      </c>
      <c r="D1854" t="s">
        <v>2286</v>
      </c>
      <c r="E1854" t="s">
        <v>2170</v>
      </c>
    </row>
    <row r="1855" spans="1:5" x14ac:dyDescent="0.25">
      <c r="A1855" t="s">
        <v>1544</v>
      </c>
      <c r="B1855" t="s">
        <v>5812</v>
      </c>
      <c r="C1855" t="s">
        <v>5813</v>
      </c>
      <c r="D1855" t="s">
        <v>2286</v>
      </c>
      <c r="E1855" t="s">
        <v>2170</v>
      </c>
    </row>
    <row r="1856" spans="1:5" x14ac:dyDescent="0.25">
      <c r="A1856" t="s">
        <v>1544</v>
      </c>
      <c r="B1856" t="s">
        <v>5814</v>
      </c>
      <c r="C1856" t="s">
        <v>5815</v>
      </c>
      <c r="D1856" t="s">
        <v>2286</v>
      </c>
      <c r="E1856" t="s">
        <v>2170</v>
      </c>
    </row>
    <row r="1857" spans="1:5" x14ac:dyDescent="0.25">
      <c r="A1857" t="s">
        <v>1544</v>
      </c>
      <c r="B1857" t="s">
        <v>5816</v>
      </c>
      <c r="C1857" t="s">
        <v>5817</v>
      </c>
      <c r="D1857" t="s">
        <v>2286</v>
      </c>
      <c r="E1857" t="s">
        <v>2170</v>
      </c>
    </row>
    <row r="1858" spans="1:5" x14ac:dyDescent="0.25">
      <c r="A1858" t="s">
        <v>1544</v>
      </c>
      <c r="B1858" t="s">
        <v>5818</v>
      </c>
      <c r="C1858" t="s">
        <v>5819</v>
      </c>
      <c r="D1858" t="s">
        <v>2286</v>
      </c>
      <c r="E1858" t="s">
        <v>2170</v>
      </c>
    </row>
    <row r="1859" spans="1:5" x14ac:dyDescent="0.25">
      <c r="A1859" t="s">
        <v>1544</v>
      </c>
      <c r="B1859" t="s">
        <v>5820</v>
      </c>
      <c r="C1859" t="s">
        <v>5821</v>
      </c>
      <c r="D1859" t="s">
        <v>2286</v>
      </c>
      <c r="E1859" t="s">
        <v>2170</v>
      </c>
    </row>
    <row r="1860" spans="1:5" x14ac:dyDescent="0.25">
      <c r="A1860" t="s">
        <v>1544</v>
      </c>
      <c r="B1860" t="s">
        <v>5822</v>
      </c>
      <c r="C1860" t="s">
        <v>5823</v>
      </c>
      <c r="D1860" t="s">
        <v>2286</v>
      </c>
      <c r="E1860" t="s">
        <v>2170</v>
      </c>
    </row>
    <row r="1861" spans="1:5" x14ac:dyDescent="0.25">
      <c r="A1861" t="s">
        <v>1544</v>
      </c>
      <c r="B1861" t="s">
        <v>5824</v>
      </c>
      <c r="C1861" t="s">
        <v>5825</v>
      </c>
      <c r="D1861" t="s">
        <v>2286</v>
      </c>
      <c r="E1861" t="s">
        <v>2170</v>
      </c>
    </row>
    <row r="1862" spans="1:5" x14ac:dyDescent="0.25">
      <c r="A1862" t="s">
        <v>1544</v>
      </c>
      <c r="B1862" t="s">
        <v>5826</v>
      </c>
      <c r="C1862" t="s">
        <v>5827</v>
      </c>
      <c r="D1862" t="s">
        <v>2286</v>
      </c>
      <c r="E1862" t="s">
        <v>2170</v>
      </c>
    </row>
    <row r="1863" spans="1:5" x14ac:dyDescent="0.25">
      <c r="A1863" t="s">
        <v>1544</v>
      </c>
      <c r="B1863" t="s">
        <v>5828</v>
      </c>
      <c r="C1863" t="s">
        <v>5829</v>
      </c>
      <c r="D1863" t="s">
        <v>2286</v>
      </c>
      <c r="E1863" t="s">
        <v>2170</v>
      </c>
    </row>
    <row r="1864" spans="1:5" x14ac:dyDescent="0.25">
      <c r="A1864" t="s">
        <v>1544</v>
      </c>
      <c r="B1864" t="s">
        <v>5830</v>
      </c>
      <c r="C1864" t="s">
        <v>5831</v>
      </c>
      <c r="D1864" t="s">
        <v>2286</v>
      </c>
      <c r="E1864" t="s">
        <v>2170</v>
      </c>
    </row>
    <row r="1865" spans="1:5" x14ac:dyDescent="0.25">
      <c r="A1865" t="s">
        <v>1544</v>
      </c>
      <c r="B1865" t="s">
        <v>5832</v>
      </c>
      <c r="C1865" t="s">
        <v>5833</v>
      </c>
      <c r="D1865" t="s">
        <v>2286</v>
      </c>
      <c r="E1865" t="s">
        <v>2170</v>
      </c>
    </row>
    <row r="1866" spans="1:5" x14ac:dyDescent="0.25">
      <c r="A1866" t="s">
        <v>1547</v>
      </c>
      <c r="B1866" t="s">
        <v>5834</v>
      </c>
      <c r="C1866" t="s">
        <v>5835</v>
      </c>
      <c r="D1866" t="s">
        <v>3008</v>
      </c>
      <c r="E1866" t="s">
        <v>2170</v>
      </c>
    </row>
    <row r="1867" spans="1:5" x14ac:dyDescent="0.25">
      <c r="A1867" t="s">
        <v>1547</v>
      </c>
      <c r="B1867" t="s">
        <v>5836</v>
      </c>
      <c r="C1867" t="s">
        <v>2796</v>
      </c>
      <c r="D1867" t="s">
        <v>3008</v>
      </c>
      <c r="E1867" t="s">
        <v>2170</v>
      </c>
    </row>
    <row r="1868" spans="1:5" x14ac:dyDescent="0.25">
      <c r="A1868" t="s">
        <v>1547</v>
      </c>
      <c r="B1868" t="s">
        <v>5837</v>
      </c>
      <c r="C1868" t="s">
        <v>5838</v>
      </c>
      <c r="D1868" t="s">
        <v>3008</v>
      </c>
      <c r="E1868" t="s">
        <v>2170</v>
      </c>
    </row>
    <row r="1869" spans="1:5" x14ac:dyDescent="0.25">
      <c r="A1869" t="s">
        <v>1547</v>
      </c>
      <c r="B1869" t="s">
        <v>5839</v>
      </c>
      <c r="C1869" t="s">
        <v>5840</v>
      </c>
      <c r="D1869" t="s">
        <v>3008</v>
      </c>
      <c r="E1869" t="s">
        <v>2170</v>
      </c>
    </row>
    <row r="1870" spans="1:5" x14ac:dyDescent="0.25">
      <c r="A1870" t="s">
        <v>1547</v>
      </c>
      <c r="B1870" t="s">
        <v>5841</v>
      </c>
      <c r="C1870" t="s">
        <v>2810</v>
      </c>
      <c r="D1870" t="s">
        <v>3008</v>
      </c>
      <c r="E1870" t="s">
        <v>2170</v>
      </c>
    </row>
    <row r="1871" spans="1:5" x14ac:dyDescent="0.25">
      <c r="A1871" t="s">
        <v>1547</v>
      </c>
      <c r="B1871" t="s">
        <v>5842</v>
      </c>
      <c r="C1871" t="s">
        <v>5843</v>
      </c>
      <c r="D1871" t="s">
        <v>3008</v>
      </c>
      <c r="E1871" t="s">
        <v>2170</v>
      </c>
    </row>
    <row r="1872" spans="1:5" x14ac:dyDescent="0.25">
      <c r="A1872" t="s">
        <v>1547</v>
      </c>
      <c r="B1872" t="s">
        <v>5844</v>
      </c>
      <c r="C1872" t="s">
        <v>5845</v>
      </c>
      <c r="D1872" t="s">
        <v>3008</v>
      </c>
      <c r="E1872" t="s">
        <v>2170</v>
      </c>
    </row>
    <row r="1873" spans="1:5" x14ac:dyDescent="0.25">
      <c r="A1873" t="s">
        <v>1547</v>
      </c>
      <c r="B1873" t="s">
        <v>5846</v>
      </c>
      <c r="C1873" t="s">
        <v>5847</v>
      </c>
      <c r="D1873" t="s">
        <v>3008</v>
      </c>
      <c r="E1873" t="s">
        <v>2170</v>
      </c>
    </row>
    <row r="1874" spans="1:5" x14ac:dyDescent="0.25">
      <c r="A1874" t="s">
        <v>1547</v>
      </c>
      <c r="B1874" t="s">
        <v>5848</v>
      </c>
      <c r="C1874" t="s">
        <v>5849</v>
      </c>
      <c r="D1874" t="s">
        <v>3008</v>
      </c>
      <c r="E1874" t="s">
        <v>2170</v>
      </c>
    </row>
    <row r="1875" spans="1:5" x14ac:dyDescent="0.25">
      <c r="A1875" t="s">
        <v>1547</v>
      </c>
      <c r="B1875" t="s">
        <v>5850</v>
      </c>
      <c r="C1875" t="s">
        <v>5851</v>
      </c>
      <c r="D1875" t="s">
        <v>3008</v>
      </c>
      <c r="E1875" t="s">
        <v>2170</v>
      </c>
    </row>
    <row r="1876" spans="1:5" x14ac:dyDescent="0.25">
      <c r="A1876" t="s">
        <v>1550</v>
      </c>
      <c r="B1876" t="s">
        <v>5852</v>
      </c>
      <c r="C1876" t="s">
        <v>5853</v>
      </c>
      <c r="D1876" t="s">
        <v>2286</v>
      </c>
      <c r="E1876" t="s">
        <v>2170</v>
      </c>
    </row>
    <row r="1877" spans="1:5" x14ac:dyDescent="0.25">
      <c r="A1877" t="s">
        <v>1550</v>
      </c>
      <c r="B1877" t="s">
        <v>5854</v>
      </c>
      <c r="C1877" t="s">
        <v>5855</v>
      </c>
      <c r="D1877" t="s">
        <v>2286</v>
      </c>
      <c r="E1877" t="s">
        <v>2170</v>
      </c>
    </row>
    <row r="1878" spans="1:5" x14ac:dyDescent="0.25">
      <c r="A1878" t="s">
        <v>1550</v>
      </c>
      <c r="B1878" t="s">
        <v>5856</v>
      </c>
      <c r="C1878" t="s">
        <v>5857</v>
      </c>
      <c r="D1878" t="s">
        <v>2286</v>
      </c>
      <c r="E1878" t="s">
        <v>2170</v>
      </c>
    </row>
    <row r="1879" spans="1:5" x14ac:dyDescent="0.25">
      <c r="A1879" t="s">
        <v>1550</v>
      </c>
      <c r="B1879" t="s">
        <v>5858</v>
      </c>
      <c r="C1879" t="s">
        <v>5859</v>
      </c>
      <c r="D1879" t="s">
        <v>5860</v>
      </c>
      <c r="E1879" t="s">
        <v>2170</v>
      </c>
    </row>
    <row r="1880" spans="1:5" x14ac:dyDescent="0.25">
      <c r="A1880" t="s">
        <v>1550</v>
      </c>
      <c r="B1880" t="s">
        <v>5861</v>
      </c>
      <c r="C1880" t="s">
        <v>5862</v>
      </c>
      <c r="D1880" t="s">
        <v>2286</v>
      </c>
      <c r="E1880" t="s">
        <v>2170</v>
      </c>
    </row>
    <row r="1881" spans="1:5" x14ac:dyDescent="0.25">
      <c r="A1881" t="s">
        <v>1550</v>
      </c>
      <c r="B1881" t="s">
        <v>5863</v>
      </c>
      <c r="C1881" t="s">
        <v>1549</v>
      </c>
      <c r="D1881" t="s">
        <v>3799</v>
      </c>
      <c r="E1881" t="s">
        <v>2170</v>
      </c>
    </row>
    <row r="1882" spans="1:5" x14ac:dyDescent="0.25">
      <c r="A1882" t="s">
        <v>1550</v>
      </c>
      <c r="B1882" t="s">
        <v>5864</v>
      </c>
      <c r="C1882" t="s">
        <v>5865</v>
      </c>
      <c r="D1882" t="s">
        <v>2286</v>
      </c>
      <c r="E1882" t="s">
        <v>2170</v>
      </c>
    </row>
    <row r="1883" spans="1:5" x14ac:dyDescent="0.25">
      <c r="A1883" t="s">
        <v>1550</v>
      </c>
      <c r="B1883" t="s">
        <v>5866</v>
      </c>
      <c r="C1883" t="s">
        <v>5867</v>
      </c>
      <c r="D1883" t="s">
        <v>5860</v>
      </c>
      <c r="E1883" t="s">
        <v>2170</v>
      </c>
    </row>
    <row r="1884" spans="1:5" x14ac:dyDescent="0.25">
      <c r="A1884" t="s">
        <v>1550</v>
      </c>
      <c r="B1884" t="s">
        <v>5868</v>
      </c>
      <c r="C1884" t="s">
        <v>5869</v>
      </c>
      <c r="D1884" t="s">
        <v>5860</v>
      </c>
      <c r="E1884" t="s">
        <v>2170</v>
      </c>
    </row>
    <row r="1885" spans="1:5" x14ac:dyDescent="0.25">
      <c r="A1885" t="s">
        <v>1550</v>
      </c>
      <c r="B1885" t="s">
        <v>5870</v>
      </c>
      <c r="C1885" t="s">
        <v>5871</v>
      </c>
      <c r="D1885" t="s">
        <v>5860</v>
      </c>
      <c r="E1885" t="s">
        <v>2170</v>
      </c>
    </row>
    <row r="1886" spans="1:5" x14ac:dyDescent="0.25">
      <c r="A1886" t="s">
        <v>1550</v>
      </c>
      <c r="B1886" t="s">
        <v>5872</v>
      </c>
      <c r="C1886" t="s">
        <v>5873</v>
      </c>
      <c r="D1886" t="s">
        <v>5860</v>
      </c>
      <c r="E1886" t="s">
        <v>2170</v>
      </c>
    </row>
    <row r="1887" spans="1:5" x14ac:dyDescent="0.25">
      <c r="A1887" t="s">
        <v>1550</v>
      </c>
      <c r="B1887" t="s">
        <v>5874</v>
      </c>
      <c r="C1887" t="s">
        <v>5875</v>
      </c>
      <c r="D1887" t="s">
        <v>2286</v>
      </c>
      <c r="E1887" t="s">
        <v>2170</v>
      </c>
    </row>
    <row r="1888" spans="1:5" x14ac:dyDescent="0.25">
      <c r="A1888" t="s">
        <v>1550</v>
      </c>
      <c r="B1888" t="s">
        <v>5876</v>
      </c>
      <c r="C1888" t="s">
        <v>5877</v>
      </c>
      <c r="D1888" t="s">
        <v>5860</v>
      </c>
      <c r="E1888" t="s">
        <v>2170</v>
      </c>
    </row>
    <row r="1889" spans="1:5" x14ac:dyDescent="0.25">
      <c r="A1889" t="s">
        <v>1550</v>
      </c>
      <c r="B1889" t="s">
        <v>5878</v>
      </c>
      <c r="C1889" t="s">
        <v>5879</v>
      </c>
      <c r="D1889" t="s">
        <v>2286</v>
      </c>
      <c r="E1889" t="s">
        <v>2170</v>
      </c>
    </row>
    <row r="1890" spans="1:5" x14ac:dyDescent="0.25">
      <c r="A1890" t="s">
        <v>1550</v>
      </c>
      <c r="B1890" t="s">
        <v>5880</v>
      </c>
      <c r="C1890" t="s">
        <v>5881</v>
      </c>
      <c r="D1890" t="s">
        <v>2286</v>
      </c>
      <c r="E1890" t="s">
        <v>2170</v>
      </c>
    </row>
    <row r="1891" spans="1:5" x14ac:dyDescent="0.25">
      <c r="A1891" t="s">
        <v>1550</v>
      </c>
      <c r="B1891" t="s">
        <v>5882</v>
      </c>
      <c r="C1891" t="s">
        <v>5883</v>
      </c>
      <c r="D1891" t="s">
        <v>2286</v>
      </c>
      <c r="E1891" t="s">
        <v>2170</v>
      </c>
    </row>
    <row r="1892" spans="1:5" x14ac:dyDescent="0.25">
      <c r="A1892" t="s">
        <v>1550</v>
      </c>
      <c r="B1892" t="s">
        <v>5884</v>
      </c>
      <c r="C1892" t="s">
        <v>5885</v>
      </c>
      <c r="D1892" t="s">
        <v>5860</v>
      </c>
      <c r="E1892" t="s">
        <v>2170</v>
      </c>
    </row>
    <row r="1893" spans="1:5" x14ac:dyDescent="0.25">
      <c r="A1893" t="s">
        <v>1550</v>
      </c>
      <c r="B1893" t="s">
        <v>5886</v>
      </c>
      <c r="C1893" t="s">
        <v>5887</v>
      </c>
      <c r="D1893" t="s">
        <v>2286</v>
      </c>
      <c r="E1893" t="s">
        <v>2170</v>
      </c>
    </row>
    <row r="1894" spans="1:5" x14ac:dyDescent="0.25">
      <c r="A1894" t="s">
        <v>1550</v>
      </c>
      <c r="B1894" t="s">
        <v>5888</v>
      </c>
      <c r="C1894" t="s">
        <v>5889</v>
      </c>
      <c r="D1894" t="s">
        <v>5860</v>
      </c>
      <c r="E1894" t="s">
        <v>2170</v>
      </c>
    </row>
    <row r="1895" spans="1:5" x14ac:dyDescent="0.25">
      <c r="A1895" t="s">
        <v>1550</v>
      </c>
      <c r="B1895" t="s">
        <v>5890</v>
      </c>
      <c r="C1895" t="s">
        <v>5891</v>
      </c>
      <c r="D1895" t="s">
        <v>5860</v>
      </c>
      <c r="E1895" t="s">
        <v>2170</v>
      </c>
    </row>
    <row r="1896" spans="1:5" x14ac:dyDescent="0.25">
      <c r="A1896" t="s">
        <v>1550</v>
      </c>
      <c r="B1896" t="s">
        <v>5892</v>
      </c>
      <c r="C1896" t="s">
        <v>5893</v>
      </c>
      <c r="D1896" t="s">
        <v>2286</v>
      </c>
      <c r="E1896" t="s">
        <v>2170</v>
      </c>
    </row>
    <row r="1897" spans="1:5" x14ac:dyDescent="0.25">
      <c r="A1897" t="s">
        <v>1550</v>
      </c>
      <c r="B1897" t="s">
        <v>5894</v>
      </c>
      <c r="C1897" t="s">
        <v>5895</v>
      </c>
      <c r="D1897" t="s">
        <v>5860</v>
      </c>
      <c r="E1897" t="s">
        <v>2170</v>
      </c>
    </row>
    <row r="1898" spans="1:5" x14ac:dyDescent="0.25">
      <c r="A1898" t="s">
        <v>1550</v>
      </c>
      <c r="B1898" t="s">
        <v>5896</v>
      </c>
      <c r="C1898" t="s">
        <v>5897</v>
      </c>
      <c r="D1898" t="s">
        <v>5860</v>
      </c>
      <c r="E1898" t="s">
        <v>2170</v>
      </c>
    </row>
    <row r="1899" spans="1:5" x14ac:dyDescent="0.25">
      <c r="A1899" t="s">
        <v>1550</v>
      </c>
      <c r="B1899" t="s">
        <v>5898</v>
      </c>
      <c r="C1899" t="s">
        <v>5899</v>
      </c>
      <c r="D1899" t="s">
        <v>2286</v>
      </c>
      <c r="E1899" t="s">
        <v>2170</v>
      </c>
    </row>
    <row r="1900" spans="1:5" x14ac:dyDescent="0.25">
      <c r="A1900" t="s">
        <v>1550</v>
      </c>
      <c r="B1900" t="s">
        <v>5900</v>
      </c>
      <c r="C1900" t="s">
        <v>5901</v>
      </c>
      <c r="D1900" t="s">
        <v>5860</v>
      </c>
      <c r="E1900" t="s">
        <v>2170</v>
      </c>
    </row>
    <row r="1901" spans="1:5" x14ac:dyDescent="0.25">
      <c r="A1901" t="s">
        <v>1550</v>
      </c>
      <c r="B1901" t="s">
        <v>5902</v>
      </c>
      <c r="C1901" t="s">
        <v>5903</v>
      </c>
      <c r="D1901" t="s">
        <v>5860</v>
      </c>
      <c r="E1901" t="s">
        <v>2170</v>
      </c>
    </row>
    <row r="1902" spans="1:5" x14ac:dyDescent="0.25">
      <c r="A1902" t="s">
        <v>1550</v>
      </c>
      <c r="B1902" t="s">
        <v>5904</v>
      </c>
      <c r="C1902" t="s">
        <v>5905</v>
      </c>
      <c r="D1902" t="s">
        <v>2286</v>
      </c>
      <c r="E1902" t="s">
        <v>2170</v>
      </c>
    </row>
    <row r="1903" spans="1:5" x14ac:dyDescent="0.25">
      <c r="A1903" t="s">
        <v>1550</v>
      </c>
      <c r="B1903" t="s">
        <v>5906</v>
      </c>
      <c r="C1903" t="s">
        <v>5907</v>
      </c>
      <c r="D1903" t="s">
        <v>5860</v>
      </c>
      <c r="E1903" t="s">
        <v>2170</v>
      </c>
    </row>
    <row r="1904" spans="1:5" x14ac:dyDescent="0.25">
      <c r="A1904" t="s">
        <v>1550</v>
      </c>
      <c r="B1904" t="s">
        <v>5908</v>
      </c>
      <c r="C1904" t="s">
        <v>5909</v>
      </c>
      <c r="D1904" t="s">
        <v>2286</v>
      </c>
      <c r="E1904" t="s">
        <v>2170</v>
      </c>
    </row>
    <row r="1905" spans="1:5" x14ac:dyDescent="0.25">
      <c r="A1905" t="s">
        <v>1550</v>
      </c>
      <c r="B1905" t="s">
        <v>5910</v>
      </c>
      <c r="C1905" t="s">
        <v>5911</v>
      </c>
      <c r="D1905" t="s">
        <v>5860</v>
      </c>
      <c r="E1905" t="s">
        <v>2170</v>
      </c>
    </row>
    <row r="1906" spans="1:5" x14ac:dyDescent="0.25">
      <c r="A1906" t="s">
        <v>1550</v>
      </c>
      <c r="B1906" t="s">
        <v>5912</v>
      </c>
      <c r="C1906" t="s">
        <v>5913</v>
      </c>
      <c r="D1906" t="s">
        <v>2286</v>
      </c>
      <c r="E1906" t="s">
        <v>2170</v>
      </c>
    </row>
    <row r="1907" spans="1:5" x14ac:dyDescent="0.25">
      <c r="A1907" t="s">
        <v>1550</v>
      </c>
      <c r="B1907" t="s">
        <v>5914</v>
      </c>
      <c r="C1907" t="s">
        <v>5915</v>
      </c>
      <c r="D1907" t="s">
        <v>5860</v>
      </c>
      <c r="E1907" t="s">
        <v>2170</v>
      </c>
    </row>
    <row r="1908" spans="1:5" x14ac:dyDescent="0.25">
      <c r="A1908" t="s">
        <v>1550</v>
      </c>
      <c r="B1908" t="s">
        <v>5916</v>
      </c>
      <c r="C1908" t="s">
        <v>5917</v>
      </c>
      <c r="D1908" t="s">
        <v>5860</v>
      </c>
      <c r="E1908" t="s">
        <v>2170</v>
      </c>
    </row>
    <row r="1909" spans="1:5" x14ac:dyDescent="0.25">
      <c r="A1909" t="s">
        <v>1550</v>
      </c>
      <c r="B1909" t="s">
        <v>5918</v>
      </c>
      <c r="C1909" t="s">
        <v>5919</v>
      </c>
      <c r="D1909" t="s">
        <v>5860</v>
      </c>
      <c r="E1909" t="s">
        <v>2170</v>
      </c>
    </row>
    <row r="1910" spans="1:5" x14ac:dyDescent="0.25">
      <c r="A1910" t="s">
        <v>1550</v>
      </c>
      <c r="B1910" t="s">
        <v>5920</v>
      </c>
      <c r="C1910" t="s">
        <v>5921</v>
      </c>
      <c r="D1910" t="s">
        <v>5860</v>
      </c>
      <c r="E1910" t="s">
        <v>2170</v>
      </c>
    </row>
    <row r="1911" spans="1:5" x14ac:dyDescent="0.25">
      <c r="A1911" t="s">
        <v>1550</v>
      </c>
      <c r="B1911" t="s">
        <v>5922</v>
      </c>
      <c r="C1911" t="s">
        <v>5923</v>
      </c>
      <c r="D1911" t="s">
        <v>5860</v>
      </c>
      <c r="E1911" t="s">
        <v>2170</v>
      </c>
    </row>
    <row r="1912" spans="1:5" x14ac:dyDescent="0.25">
      <c r="A1912" t="s">
        <v>1550</v>
      </c>
      <c r="B1912" t="s">
        <v>5924</v>
      </c>
      <c r="C1912" t="s">
        <v>5925</v>
      </c>
      <c r="D1912" t="s">
        <v>5860</v>
      </c>
      <c r="E1912" t="s">
        <v>2170</v>
      </c>
    </row>
    <row r="1913" spans="1:5" x14ac:dyDescent="0.25">
      <c r="A1913" t="s">
        <v>1550</v>
      </c>
      <c r="B1913" t="s">
        <v>5926</v>
      </c>
      <c r="C1913" t="s">
        <v>5927</v>
      </c>
      <c r="D1913" t="s">
        <v>2286</v>
      </c>
      <c r="E1913" t="s">
        <v>2170</v>
      </c>
    </row>
    <row r="1914" spans="1:5" x14ac:dyDescent="0.25">
      <c r="A1914" t="s">
        <v>1550</v>
      </c>
      <c r="B1914" t="s">
        <v>5928</v>
      </c>
      <c r="C1914" t="s">
        <v>5929</v>
      </c>
      <c r="D1914" t="s">
        <v>2286</v>
      </c>
      <c r="E1914" t="s">
        <v>2170</v>
      </c>
    </row>
    <row r="1915" spans="1:5" x14ac:dyDescent="0.25">
      <c r="A1915" t="s">
        <v>1550</v>
      </c>
      <c r="B1915" t="s">
        <v>5930</v>
      </c>
      <c r="C1915" t="s">
        <v>5931</v>
      </c>
      <c r="D1915" t="s">
        <v>5860</v>
      </c>
      <c r="E1915" t="s">
        <v>2170</v>
      </c>
    </row>
    <row r="1916" spans="1:5" x14ac:dyDescent="0.25">
      <c r="A1916" t="s">
        <v>1550</v>
      </c>
      <c r="B1916" t="s">
        <v>5932</v>
      </c>
      <c r="C1916" t="s">
        <v>5931</v>
      </c>
      <c r="D1916" t="s">
        <v>2286</v>
      </c>
      <c r="E1916" t="s">
        <v>2170</v>
      </c>
    </row>
    <row r="1917" spans="1:5" x14ac:dyDescent="0.25">
      <c r="A1917" t="s">
        <v>1550</v>
      </c>
      <c r="B1917" t="s">
        <v>5933</v>
      </c>
      <c r="C1917" t="s">
        <v>5934</v>
      </c>
      <c r="D1917" t="s">
        <v>2286</v>
      </c>
      <c r="E1917" t="s">
        <v>2170</v>
      </c>
    </row>
    <row r="1918" spans="1:5" x14ac:dyDescent="0.25">
      <c r="A1918" t="s">
        <v>1550</v>
      </c>
      <c r="B1918" t="s">
        <v>5935</v>
      </c>
      <c r="C1918" t="s">
        <v>5936</v>
      </c>
      <c r="D1918" t="s">
        <v>5860</v>
      </c>
      <c r="E1918" t="s">
        <v>2170</v>
      </c>
    </row>
    <row r="1919" spans="1:5" x14ac:dyDescent="0.25">
      <c r="A1919" t="s">
        <v>1553</v>
      </c>
      <c r="B1919" t="s">
        <v>5937</v>
      </c>
      <c r="C1919" t="s">
        <v>5938</v>
      </c>
      <c r="D1919" t="s">
        <v>5939</v>
      </c>
      <c r="E1919" t="s">
        <v>2170</v>
      </c>
    </row>
    <row r="1920" spans="1:5" x14ac:dyDescent="0.25">
      <c r="A1920" t="s">
        <v>1553</v>
      </c>
      <c r="B1920" t="s">
        <v>5940</v>
      </c>
      <c r="C1920" t="s">
        <v>5941</v>
      </c>
      <c r="D1920" t="s">
        <v>5939</v>
      </c>
      <c r="E1920" t="s">
        <v>2170</v>
      </c>
    </row>
    <row r="1921" spans="1:5" x14ac:dyDescent="0.25">
      <c r="A1921" t="s">
        <v>1553</v>
      </c>
      <c r="B1921" t="s">
        <v>5942</v>
      </c>
      <c r="C1921" t="s">
        <v>5943</v>
      </c>
      <c r="D1921" t="s">
        <v>5939</v>
      </c>
      <c r="E1921" t="s">
        <v>2170</v>
      </c>
    </row>
    <row r="1922" spans="1:5" x14ac:dyDescent="0.25">
      <c r="A1922" t="s">
        <v>1553</v>
      </c>
      <c r="B1922" t="s">
        <v>5944</v>
      </c>
      <c r="C1922" t="s">
        <v>5945</v>
      </c>
      <c r="D1922" t="s">
        <v>5939</v>
      </c>
      <c r="E1922" t="s">
        <v>2170</v>
      </c>
    </row>
    <row r="1923" spans="1:5" x14ac:dyDescent="0.25">
      <c r="A1923" t="s">
        <v>1553</v>
      </c>
      <c r="B1923" t="s">
        <v>5946</v>
      </c>
      <c r="C1923" t="s">
        <v>5947</v>
      </c>
      <c r="D1923" t="s">
        <v>5939</v>
      </c>
      <c r="E1923" t="s">
        <v>2170</v>
      </c>
    </row>
    <row r="1924" spans="1:5" x14ac:dyDescent="0.25">
      <c r="A1924" t="s">
        <v>1553</v>
      </c>
      <c r="B1924" t="s">
        <v>5948</v>
      </c>
      <c r="C1924" t="s">
        <v>5949</v>
      </c>
      <c r="D1924" t="s">
        <v>5939</v>
      </c>
      <c r="E1924" t="s">
        <v>2170</v>
      </c>
    </row>
    <row r="1925" spans="1:5" x14ac:dyDescent="0.25">
      <c r="A1925" t="s">
        <v>1553</v>
      </c>
      <c r="B1925" t="s">
        <v>5950</v>
      </c>
      <c r="C1925" t="s">
        <v>5951</v>
      </c>
      <c r="D1925" t="s">
        <v>5939</v>
      </c>
      <c r="E1925" t="s">
        <v>2170</v>
      </c>
    </row>
    <row r="1926" spans="1:5" x14ac:dyDescent="0.25">
      <c r="A1926" t="s">
        <v>1553</v>
      </c>
      <c r="B1926" t="s">
        <v>5952</v>
      </c>
      <c r="C1926" t="s">
        <v>5953</v>
      </c>
      <c r="D1926" t="s">
        <v>2200</v>
      </c>
      <c r="E1926" t="s">
        <v>5950</v>
      </c>
    </row>
    <row r="1927" spans="1:5" x14ac:dyDescent="0.25">
      <c r="A1927" t="s">
        <v>1553</v>
      </c>
      <c r="B1927" t="s">
        <v>5954</v>
      </c>
      <c r="C1927" t="s">
        <v>5955</v>
      </c>
      <c r="D1927" t="s">
        <v>2200</v>
      </c>
      <c r="E1927" t="s">
        <v>5944</v>
      </c>
    </row>
    <row r="1928" spans="1:5" x14ac:dyDescent="0.25">
      <c r="A1928" t="s">
        <v>1553</v>
      </c>
      <c r="B1928" t="s">
        <v>5956</v>
      </c>
      <c r="C1928" t="s">
        <v>5957</v>
      </c>
      <c r="D1928" t="s">
        <v>2200</v>
      </c>
      <c r="E1928" t="s">
        <v>5937</v>
      </c>
    </row>
    <row r="1929" spans="1:5" x14ac:dyDescent="0.25">
      <c r="A1929" t="s">
        <v>1553</v>
      </c>
      <c r="B1929" t="s">
        <v>5958</v>
      </c>
      <c r="C1929" t="s">
        <v>5959</v>
      </c>
      <c r="D1929" t="s">
        <v>2200</v>
      </c>
      <c r="E1929" t="s">
        <v>5950</v>
      </c>
    </row>
    <row r="1930" spans="1:5" x14ac:dyDescent="0.25">
      <c r="A1930" t="s">
        <v>1553</v>
      </c>
      <c r="B1930" t="s">
        <v>5960</v>
      </c>
      <c r="C1930" t="s">
        <v>5961</v>
      </c>
      <c r="D1930" t="s">
        <v>2200</v>
      </c>
      <c r="E1930" t="s">
        <v>5948</v>
      </c>
    </row>
    <row r="1931" spans="1:5" x14ac:dyDescent="0.25">
      <c r="A1931" t="s">
        <v>1553</v>
      </c>
      <c r="B1931" t="s">
        <v>5962</v>
      </c>
      <c r="C1931" t="s">
        <v>5963</v>
      </c>
      <c r="D1931" t="s">
        <v>3639</v>
      </c>
      <c r="E1931" t="s">
        <v>5937</v>
      </c>
    </row>
    <row r="1932" spans="1:5" x14ac:dyDescent="0.25">
      <c r="A1932" t="s">
        <v>1553</v>
      </c>
      <c r="B1932" t="s">
        <v>5964</v>
      </c>
      <c r="C1932" t="s">
        <v>5965</v>
      </c>
      <c r="D1932" t="s">
        <v>2200</v>
      </c>
      <c r="E1932" t="s">
        <v>5950</v>
      </c>
    </row>
    <row r="1933" spans="1:5" x14ac:dyDescent="0.25">
      <c r="A1933" t="s">
        <v>1553</v>
      </c>
      <c r="B1933" t="s">
        <v>5966</v>
      </c>
      <c r="C1933" t="s">
        <v>5967</v>
      </c>
      <c r="D1933" t="s">
        <v>2200</v>
      </c>
      <c r="E1933" t="s">
        <v>5937</v>
      </c>
    </row>
    <row r="1934" spans="1:5" x14ac:dyDescent="0.25">
      <c r="A1934" t="s">
        <v>1553</v>
      </c>
      <c r="B1934" t="s">
        <v>5968</v>
      </c>
      <c r="C1934" t="s">
        <v>5969</v>
      </c>
      <c r="D1934" t="s">
        <v>2200</v>
      </c>
      <c r="E1934" t="s">
        <v>5937</v>
      </c>
    </row>
    <row r="1935" spans="1:5" x14ac:dyDescent="0.25">
      <c r="A1935" t="s">
        <v>1553</v>
      </c>
      <c r="B1935" t="s">
        <v>5970</v>
      </c>
      <c r="C1935" t="s">
        <v>5971</v>
      </c>
      <c r="D1935" t="s">
        <v>2200</v>
      </c>
      <c r="E1935" t="s">
        <v>5937</v>
      </c>
    </row>
    <row r="1936" spans="1:5" x14ac:dyDescent="0.25">
      <c r="A1936" t="s">
        <v>1553</v>
      </c>
      <c r="B1936" t="s">
        <v>5972</v>
      </c>
      <c r="C1936" t="s">
        <v>5973</v>
      </c>
      <c r="D1936" t="s">
        <v>2200</v>
      </c>
      <c r="E1936" t="s">
        <v>5940</v>
      </c>
    </row>
    <row r="1937" spans="1:5" x14ac:dyDescent="0.25">
      <c r="A1937" t="s">
        <v>1553</v>
      </c>
      <c r="B1937" t="s">
        <v>5974</v>
      </c>
      <c r="C1937" t="s">
        <v>5975</v>
      </c>
      <c r="D1937" t="s">
        <v>2200</v>
      </c>
      <c r="E1937" t="s">
        <v>5940</v>
      </c>
    </row>
    <row r="1938" spans="1:5" x14ac:dyDescent="0.25">
      <c r="A1938" t="s">
        <v>1553</v>
      </c>
      <c r="B1938" t="s">
        <v>5976</v>
      </c>
      <c r="C1938" t="s">
        <v>5977</v>
      </c>
      <c r="D1938" t="s">
        <v>2200</v>
      </c>
      <c r="E1938" t="s">
        <v>5940</v>
      </c>
    </row>
    <row r="1939" spans="1:5" x14ac:dyDescent="0.25">
      <c r="A1939" t="s">
        <v>1553</v>
      </c>
      <c r="B1939" t="s">
        <v>5978</v>
      </c>
      <c r="C1939" t="s">
        <v>5979</v>
      </c>
      <c r="D1939" t="s">
        <v>2200</v>
      </c>
      <c r="E1939" t="s">
        <v>5940</v>
      </c>
    </row>
    <row r="1940" spans="1:5" x14ac:dyDescent="0.25">
      <c r="A1940" t="s">
        <v>1553</v>
      </c>
      <c r="B1940" t="s">
        <v>5980</v>
      </c>
      <c r="C1940" t="s">
        <v>5981</v>
      </c>
      <c r="D1940" t="s">
        <v>2200</v>
      </c>
      <c r="E1940" t="s">
        <v>5940</v>
      </c>
    </row>
    <row r="1941" spans="1:5" x14ac:dyDescent="0.25">
      <c r="A1941" t="s">
        <v>1553</v>
      </c>
      <c r="B1941" t="s">
        <v>5982</v>
      </c>
      <c r="C1941" t="s">
        <v>5983</v>
      </c>
      <c r="D1941" t="s">
        <v>2200</v>
      </c>
      <c r="E1941" t="s">
        <v>5950</v>
      </c>
    </row>
    <row r="1942" spans="1:5" x14ac:dyDescent="0.25">
      <c r="A1942" t="s">
        <v>1553</v>
      </c>
      <c r="B1942" t="s">
        <v>5984</v>
      </c>
      <c r="C1942" t="s">
        <v>5985</v>
      </c>
      <c r="D1942" t="s">
        <v>2200</v>
      </c>
      <c r="E1942" t="s">
        <v>5950</v>
      </c>
    </row>
    <row r="1943" spans="1:5" x14ac:dyDescent="0.25">
      <c r="A1943" t="s">
        <v>1553</v>
      </c>
      <c r="B1943" t="s">
        <v>5986</v>
      </c>
      <c r="C1943" t="s">
        <v>5987</v>
      </c>
      <c r="D1943" t="s">
        <v>2200</v>
      </c>
      <c r="E1943" t="s">
        <v>5950</v>
      </c>
    </row>
    <row r="1944" spans="1:5" x14ac:dyDescent="0.25">
      <c r="A1944" t="s">
        <v>1553</v>
      </c>
      <c r="B1944" t="s">
        <v>5988</v>
      </c>
      <c r="C1944" t="s">
        <v>5943</v>
      </c>
      <c r="D1944" t="s">
        <v>2200</v>
      </c>
      <c r="E1944" t="s">
        <v>5942</v>
      </c>
    </row>
    <row r="1945" spans="1:5" x14ac:dyDescent="0.25">
      <c r="A1945" t="s">
        <v>1553</v>
      </c>
      <c r="B1945" t="s">
        <v>5989</v>
      </c>
      <c r="C1945" t="s">
        <v>5990</v>
      </c>
      <c r="D1945" t="s">
        <v>2200</v>
      </c>
      <c r="E1945" t="s">
        <v>5942</v>
      </c>
    </row>
    <row r="1946" spans="1:5" x14ac:dyDescent="0.25">
      <c r="A1946" t="s">
        <v>1553</v>
      </c>
      <c r="B1946" t="s">
        <v>5991</v>
      </c>
      <c r="C1946" t="s">
        <v>5992</v>
      </c>
      <c r="D1946" t="s">
        <v>2200</v>
      </c>
      <c r="E1946" t="s">
        <v>5944</v>
      </c>
    </row>
    <row r="1947" spans="1:5" x14ac:dyDescent="0.25">
      <c r="A1947" t="s">
        <v>1553</v>
      </c>
      <c r="B1947" t="s">
        <v>5993</v>
      </c>
      <c r="C1947" t="s">
        <v>5994</v>
      </c>
      <c r="D1947" t="s">
        <v>2200</v>
      </c>
      <c r="E1947" t="s">
        <v>5944</v>
      </c>
    </row>
    <row r="1948" spans="1:5" x14ac:dyDescent="0.25">
      <c r="A1948" t="s">
        <v>1553</v>
      </c>
      <c r="B1948" t="s">
        <v>5995</v>
      </c>
      <c r="C1948" t="s">
        <v>5947</v>
      </c>
      <c r="D1948" t="s">
        <v>2200</v>
      </c>
      <c r="E1948" t="s">
        <v>5946</v>
      </c>
    </row>
    <row r="1949" spans="1:5" x14ac:dyDescent="0.25">
      <c r="A1949" t="s">
        <v>1553</v>
      </c>
      <c r="B1949" t="s">
        <v>5996</v>
      </c>
      <c r="C1949" t="s">
        <v>5997</v>
      </c>
      <c r="D1949" t="s">
        <v>2200</v>
      </c>
      <c r="E1949" t="s">
        <v>5946</v>
      </c>
    </row>
    <row r="1950" spans="1:5" x14ac:dyDescent="0.25">
      <c r="A1950" t="s">
        <v>1553</v>
      </c>
      <c r="B1950" t="s">
        <v>5998</v>
      </c>
      <c r="C1950" t="s">
        <v>5999</v>
      </c>
      <c r="D1950" t="s">
        <v>2200</v>
      </c>
      <c r="E1950" t="s">
        <v>5946</v>
      </c>
    </row>
    <row r="1951" spans="1:5" x14ac:dyDescent="0.25">
      <c r="A1951" t="s">
        <v>1553</v>
      </c>
      <c r="B1951" t="s">
        <v>6000</v>
      </c>
      <c r="C1951" t="s">
        <v>6001</v>
      </c>
      <c r="D1951" t="s">
        <v>2200</v>
      </c>
      <c r="E1951" t="s">
        <v>5946</v>
      </c>
    </row>
    <row r="1952" spans="1:5" x14ac:dyDescent="0.25">
      <c r="A1952" t="s">
        <v>1553</v>
      </c>
      <c r="B1952" t="s">
        <v>6002</v>
      </c>
      <c r="C1952" t="s">
        <v>6003</v>
      </c>
      <c r="D1952" t="s">
        <v>2200</v>
      </c>
      <c r="E1952" t="s">
        <v>5946</v>
      </c>
    </row>
    <row r="1953" spans="1:5" x14ac:dyDescent="0.25">
      <c r="A1953" t="s">
        <v>1553</v>
      </c>
      <c r="B1953" t="s">
        <v>6004</v>
      </c>
      <c r="C1953" t="s">
        <v>6005</v>
      </c>
      <c r="D1953" t="s">
        <v>2200</v>
      </c>
      <c r="E1953" t="s">
        <v>5946</v>
      </c>
    </row>
    <row r="1954" spans="1:5" x14ac:dyDescent="0.25">
      <c r="A1954" t="s">
        <v>1553</v>
      </c>
      <c r="B1954" t="s">
        <v>6006</v>
      </c>
      <c r="C1954" t="s">
        <v>6007</v>
      </c>
      <c r="D1954" t="s">
        <v>2200</v>
      </c>
      <c r="E1954" t="s">
        <v>5950</v>
      </c>
    </row>
    <row r="1955" spans="1:5" x14ac:dyDescent="0.25">
      <c r="A1955" t="s">
        <v>1553</v>
      </c>
      <c r="B1955" t="s">
        <v>6008</v>
      </c>
      <c r="C1955" t="s">
        <v>6009</v>
      </c>
      <c r="D1955" t="s">
        <v>2200</v>
      </c>
      <c r="E1955" t="s">
        <v>5948</v>
      </c>
    </row>
    <row r="1956" spans="1:5" x14ac:dyDescent="0.25">
      <c r="A1956" t="s">
        <v>1553</v>
      </c>
      <c r="B1956" t="s">
        <v>6010</v>
      </c>
      <c r="C1956" t="s">
        <v>6011</v>
      </c>
      <c r="D1956" t="s">
        <v>2200</v>
      </c>
      <c r="E1956" t="s">
        <v>5948</v>
      </c>
    </row>
    <row r="1957" spans="1:5" x14ac:dyDescent="0.25">
      <c r="A1957" t="s">
        <v>1553</v>
      </c>
      <c r="B1957" t="s">
        <v>6012</v>
      </c>
      <c r="C1957" t="s">
        <v>6013</v>
      </c>
      <c r="D1957" t="s">
        <v>2200</v>
      </c>
      <c r="E1957" t="s">
        <v>5948</v>
      </c>
    </row>
    <row r="1958" spans="1:5" x14ac:dyDescent="0.25">
      <c r="A1958" t="s">
        <v>1553</v>
      </c>
      <c r="B1958" t="s">
        <v>6014</v>
      </c>
      <c r="C1958" t="s">
        <v>6015</v>
      </c>
      <c r="D1958" t="s">
        <v>2200</v>
      </c>
      <c r="E1958" t="s">
        <v>5948</v>
      </c>
    </row>
    <row r="1959" spans="1:5" x14ac:dyDescent="0.25">
      <c r="A1959" t="s">
        <v>1553</v>
      </c>
      <c r="B1959" t="s">
        <v>6016</v>
      </c>
      <c r="C1959" t="s">
        <v>6017</v>
      </c>
      <c r="D1959" t="s">
        <v>2200</v>
      </c>
      <c r="E1959" t="s">
        <v>5948</v>
      </c>
    </row>
    <row r="1960" spans="1:5" x14ac:dyDescent="0.25">
      <c r="A1960" t="s">
        <v>1553</v>
      </c>
      <c r="B1960" t="s">
        <v>6018</v>
      </c>
      <c r="C1960" t="s">
        <v>6019</v>
      </c>
      <c r="D1960" t="s">
        <v>2200</v>
      </c>
      <c r="E1960" t="s">
        <v>5950</v>
      </c>
    </row>
    <row r="1961" spans="1:5" x14ac:dyDescent="0.25">
      <c r="A1961" t="s">
        <v>1553</v>
      </c>
      <c r="B1961" t="s">
        <v>6020</v>
      </c>
      <c r="C1961" t="s">
        <v>6021</v>
      </c>
      <c r="D1961" t="s">
        <v>2200</v>
      </c>
      <c r="E1961" t="s">
        <v>5950</v>
      </c>
    </row>
    <row r="1962" spans="1:5" x14ac:dyDescent="0.25">
      <c r="A1962" t="s">
        <v>1553</v>
      </c>
      <c r="B1962" t="s">
        <v>6022</v>
      </c>
      <c r="C1962" t="s">
        <v>6023</v>
      </c>
      <c r="D1962" t="s">
        <v>2200</v>
      </c>
      <c r="E1962" t="s">
        <v>5950</v>
      </c>
    </row>
    <row r="1963" spans="1:5" x14ac:dyDescent="0.25">
      <c r="A1963" t="s">
        <v>1553</v>
      </c>
      <c r="B1963" t="s">
        <v>6024</v>
      </c>
      <c r="C1963" t="s">
        <v>6025</v>
      </c>
      <c r="D1963" t="s">
        <v>6026</v>
      </c>
      <c r="E1963" t="s">
        <v>5937</v>
      </c>
    </row>
    <row r="1964" spans="1:5" x14ac:dyDescent="0.25">
      <c r="A1964" t="s">
        <v>1556</v>
      </c>
      <c r="B1964" t="s">
        <v>6027</v>
      </c>
      <c r="C1964" t="s">
        <v>6028</v>
      </c>
      <c r="D1964" t="s">
        <v>2200</v>
      </c>
      <c r="E1964" t="s">
        <v>2170</v>
      </c>
    </row>
    <row r="1965" spans="1:5" x14ac:dyDescent="0.25">
      <c r="A1965" t="s">
        <v>1556</v>
      </c>
      <c r="B1965" t="s">
        <v>6029</v>
      </c>
      <c r="C1965" t="s">
        <v>6030</v>
      </c>
      <c r="D1965" t="s">
        <v>2200</v>
      </c>
      <c r="E1965" t="s">
        <v>2170</v>
      </c>
    </row>
    <row r="1966" spans="1:5" x14ac:dyDescent="0.25">
      <c r="A1966" t="s">
        <v>1556</v>
      </c>
      <c r="B1966" t="s">
        <v>6031</v>
      </c>
      <c r="C1966" t="s">
        <v>6032</v>
      </c>
      <c r="D1966" t="s">
        <v>2200</v>
      </c>
      <c r="E1966" t="s">
        <v>2170</v>
      </c>
    </row>
    <row r="1967" spans="1:5" x14ac:dyDescent="0.25">
      <c r="A1967" t="s">
        <v>1556</v>
      </c>
      <c r="B1967" t="s">
        <v>6033</v>
      </c>
      <c r="C1967" t="s">
        <v>6034</v>
      </c>
      <c r="D1967" t="s">
        <v>2200</v>
      </c>
      <c r="E1967" t="s">
        <v>2170</v>
      </c>
    </row>
    <row r="1968" spans="1:5" x14ac:dyDescent="0.25">
      <c r="A1968" t="s">
        <v>1556</v>
      </c>
      <c r="B1968" t="s">
        <v>6035</v>
      </c>
      <c r="C1968" t="s">
        <v>6036</v>
      </c>
      <c r="D1968" t="s">
        <v>2286</v>
      </c>
      <c r="E1968" t="s">
        <v>6029</v>
      </c>
    </row>
    <row r="1969" spans="1:5" x14ac:dyDescent="0.25">
      <c r="A1969" t="s">
        <v>1556</v>
      </c>
      <c r="B1969" t="s">
        <v>6037</v>
      </c>
      <c r="C1969" t="s">
        <v>6038</v>
      </c>
      <c r="D1969" t="s">
        <v>2286</v>
      </c>
      <c r="E1969" t="s">
        <v>6033</v>
      </c>
    </row>
    <row r="1970" spans="1:5" x14ac:dyDescent="0.25">
      <c r="A1970" t="s">
        <v>1556</v>
      </c>
      <c r="B1970" t="s">
        <v>6039</v>
      </c>
      <c r="C1970" t="s">
        <v>6040</v>
      </c>
      <c r="D1970" t="s">
        <v>2286</v>
      </c>
      <c r="E1970" t="s">
        <v>6031</v>
      </c>
    </row>
    <row r="1971" spans="1:5" x14ac:dyDescent="0.25">
      <c r="A1971" t="s">
        <v>1556</v>
      </c>
      <c r="B1971" t="s">
        <v>6041</v>
      </c>
      <c r="C1971" t="s">
        <v>6042</v>
      </c>
      <c r="D1971" t="s">
        <v>2286</v>
      </c>
      <c r="E1971" t="s">
        <v>6031</v>
      </c>
    </row>
    <row r="1972" spans="1:5" x14ac:dyDescent="0.25">
      <c r="A1972" t="s">
        <v>1556</v>
      </c>
      <c r="B1972" t="s">
        <v>6043</v>
      </c>
      <c r="C1972" t="s">
        <v>6044</v>
      </c>
      <c r="D1972" t="s">
        <v>2286</v>
      </c>
      <c r="E1972" t="s">
        <v>6033</v>
      </c>
    </row>
    <row r="1973" spans="1:5" x14ac:dyDescent="0.25">
      <c r="A1973" t="s">
        <v>1556</v>
      </c>
      <c r="B1973" t="s">
        <v>6045</v>
      </c>
      <c r="C1973" t="s">
        <v>1555</v>
      </c>
      <c r="D1973" t="s">
        <v>2286</v>
      </c>
      <c r="E1973" t="s">
        <v>6029</v>
      </c>
    </row>
    <row r="1974" spans="1:5" x14ac:dyDescent="0.25">
      <c r="A1974" t="s">
        <v>1556</v>
      </c>
      <c r="B1974" t="s">
        <v>6046</v>
      </c>
      <c r="C1974" t="s">
        <v>6047</v>
      </c>
      <c r="D1974" t="s">
        <v>2286</v>
      </c>
      <c r="E1974" t="s">
        <v>6027</v>
      </c>
    </row>
    <row r="1975" spans="1:5" x14ac:dyDescent="0.25">
      <c r="A1975" t="s">
        <v>1556</v>
      </c>
      <c r="B1975" t="s">
        <v>6048</v>
      </c>
      <c r="C1975" t="s">
        <v>6049</v>
      </c>
      <c r="D1975" t="s">
        <v>2286</v>
      </c>
      <c r="E1975" t="s">
        <v>6031</v>
      </c>
    </row>
    <row r="1976" spans="1:5" x14ac:dyDescent="0.25">
      <c r="A1976" t="s">
        <v>1556</v>
      </c>
      <c r="B1976" t="s">
        <v>6050</v>
      </c>
      <c r="C1976" t="s">
        <v>6051</v>
      </c>
      <c r="D1976" t="s">
        <v>2286</v>
      </c>
      <c r="E1976" t="s">
        <v>6029</v>
      </c>
    </row>
    <row r="1977" spans="1:5" x14ac:dyDescent="0.25">
      <c r="A1977" t="s">
        <v>1556</v>
      </c>
      <c r="B1977" t="s">
        <v>6052</v>
      </c>
      <c r="C1977" t="s">
        <v>6053</v>
      </c>
      <c r="D1977" t="s">
        <v>2286</v>
      </c>
      <c r="E1977" t="s">
        <v>6029</v>
      </c>
    </row>
    <row r="1978" spans="1:5" x14ac:dyDescent="0.25">
      <c r="A1978" t="s">
        <v>1556</v>
      </c>
      <c r="B1978" t="s">
        <v>6054</v>
      </c>
      <c r="C1978" t="s">
        <v>6055</v>
      </c>
      <c r="D1978" t="s">
        <v>2286</v>
      </c>
      <c r="E1978" t="s">
        <v>6029</v>
      </c>
    </row>
    <row r="1979" spans="1:5" x14ac:dyDescent="0.25">
      <c r="A1979" t="s">
        <v>1556</v>
      </c>
      <c r="B1979" t="s">
        <v>6056</v>
      </c>
      <c r="C1979" t="s">
        <v>6057</v>
      </c>
      <c r="D1979" t="s">
        <v>2286</v>
      </c>
      <c r="E1979" t="s">
        <v>6027</v>
      </c>
    </row>
    <row r="1980" spans="1:5" x14ac:dyDescent="0.25">
      <c r="A1980" t="s">
        <v>1556</v>
      </c>
      <c r="B1980" t="s">
        <v>6058</v>
      </c>
      <c r="C1980" t="s">
        <v>6059</v>
      </c>
      <c r="D1980" t="s">
        <v>2286</v>
      </c>
      <c r="E1980" t="s">
        <v>6031</v>
      </c>
    </row>
    <row r="1981" spans="1:5" x14ac:dyDescent="0.25">
      <c r="A1981" t="s">
        <v>1556</v>
      </c>
      <c r="B1981" t="s">
        <v>6060</v>
      </c>
      <c r="C1981" t="s">
        <v>6061</v>
      </c>
      <c r="D1981" t="s">
        <v>2286</v>
      </c>
      <c r="E1981" t="s">
        <v>6029</v>
      </c>
    </row>
    <row r="1982" spans="1:5" x14ac:dyDescent="0.25">
      <c r="A1982" t="s">
        <v>1556</v>
      </c>
      <c r="B1982" t="s">
        <v>6062</v>
      </c>
      <c r="C1982" t="s">
        <v>6063</v>
      </c>
      <c r="D1982" t="s">
        <v>2286</v>
      </c>
      <c r="E1982" t="s">
        <v>6029</v>
      </c>
    </row>
    <row r="1983" spans="1:5" x14ac:dyDescent="0.25">
      <c r="A1983" t="s">
        <v>1556</v>
      </c>
      <c r="B1983" t="s">
        <v>6064</v>
      </c>
      <c r="C1983" t="s">
        <v>6065</v>
      </c>
      <c r="D1983" t="s">
        <v>2286</v>
      </c>
      <c r="E1983" t="s">
        <v>6027</v>
      </c>
    </row>
    <row r="1984" spans="1:5" x14ac:dyDescent="0.25">
      <c r="A1984" t="s">
        <v>1556</v>
      </c>
      <c r="B1984" t="s">
        <v>6066</v>
      </c>
      <c r="C1984" t="s">
        <v>6067</v>
      </c>
      <c r="D1984" t="s">
        <v>2286</v>
      </c>
      <c r="E1984" t="s">
        <v>6029</v>
      </c>
    </row>
    <row r="1985" spans="1:5" x14ac:dyDescent="0.25">
      <c r="A1985" t="s">
        <v>1556</v>
      </c>
      <c r="B1985" t="s">
        <v>6068</v>
      </c>
      <c r="C1985" t="s">
        <v>6069</v>
      </c>
      <c r="D1985" t="s">
        <v>2286</v>
      </c>
      <c r="E1985" t="s">
        <v>6033</v>
      </c>
    </row>
    <row r="1986" spans="1:5" x14ac:dyDescent="0.25">
      <c r="A1986" t="s">
        <v>1556</v>
      </c>
      <c r="B1986" t="s">
        <v>6070</v>
      </c>
      <c r="C1986" t="s">
        <v>6071</v>
      </c>
      <c r="D1986" t="s">
        <v>2286</v>
      </c>
      <c r="E1986" t="s">
        <v>6029</v>
      </c>
    </row>
    <row r="1987" spans="1:5" x14ac:dyDescent="0.25">
      <c r="A1987" t="s">
        <v>1556</v>
      </c>
      <c r="B1987" t="s">
        <v>6072</v>
      </c>
      <c r="C1987" t="s">
        <v>6073</v>
      </c>
      <c r="D1987" t="s">
        <v>2286</v>
      </c>
      <c r="E1987" t="s">
        <v>6027</v>
      </c>
    </row>
    <row r="1988" spans="1:5" x14ac:dyDescent="0.25">
      <c r="A1988" t="s">
        <v>1556</v>
      </c>
      <c r="B1988" t="s">
        <v>6074</v>
      </c>
      <c r="C1988" t="s">
        <v>6075</v>
      </c>
      <c r="D1988" t="s">
        <v>2286</v>
      </c>
      <c r="E1988" t="s">
        <v>6027</v>
      </c>
    </row>
    <row r="1989" spans="1:5" x14ac:dyDescent="0.25">
      <c r="A1989" t="s">
        <v>1556</v>
      </c>
      <c r="B1989" t="s">
        <v>6076</v>
      </c>
      <c r="C1989" t="s">
        <v>6077</v>
      </c>
      <c r="D1989" t="s">
        <v>2286</v>
      </c>
      <c r="E1989" t="s">
        <v>6031</v>
      </c>
    </row>
    <row r="1990" spans="1:5" x14ac:dyDescent="0.25">
      <c r="A1990" t="s">
        <v>1556</v>
      </c>
      <c r="B1990" t="s">
        <v>6078</v>
      </c>
      <c r="C1990" t="s">
        <v>6079</v>
      </c>
      <c r="D1990" t="s">
        <v>2286</v>
      </c>
      <c r="E1990" t="s">
        <v>6031</v>
      </c>
    </row>
    <row r="1991" spans="1:5" x14ac:dyDescent="0.25">
      <c r="A1991" t="s">
        <v>1556</v>
      </c>
      <c r="B1991" t="s">
        <v>6080</v>
      </c>
      <c r="C1991" t="s">
        <v>6081</v>
      </c>
      <c r="D1991" t="s">
        <v>2286</v>
      </c>
      <c r="E1991" t="s">
        <v>6029</v>
      </c>
    </row>
    <row r="1992" spans="1:5" x14ac:dyDescent="0.25">
      <c r="A1992" t="s">
        <v>1556</v>
      </c>
      <c r="B1992" t="s">
        <v>6082</v>
      </c>
      <c r="C1992" t="s">
        <v>6083</v>
      </c>
      <c r="D1992" t="s">
        <v>2286</v>
      </c>
      <c r="E1992" t="s">
        <v>6029</v>
      </c>
    </row>
    <row r="1993" spans="1:5" x14ac:dyDescent="0.25">
      <c r="A1993" t="s">
        <v>1556</v>
      </c>
      <c r="B1993" t="s">
        <v>6084</v>
      </c>
      <c r="C1993" t="s">
        <v>6085</v>
      </c>
      <c r="D1993" t="s">
        <v>2286</v>
      </c>
      <c r="E1993" t="s">
        <v>6029</v>
      </c>
    </row>
    <row r="1994" spans="1:5" x14ac:dyDescent="0.25">
      <c r="A1994" t="s">
        <v>1560</v>
      </c>
      <c r="B1994" t="s">
        <v>6086</v>
      </c>
      <c r="C1994" t="s">
        <v>6087</v>
      </c>
      <c r="D1994" t="s">
        <v>2646</v>
      </c>
      <c r="E1994" t="s">
        <v>2170</v>
      </c>
    </row>
    <row r="1995" spans="1:5" x14ac:dyDescent="0.25">
      <c r="A1995" t="s">
        <v>1560</v>
      </c>
      <c r="B1995" t="s">
        <v>6088</v>
      </c>
      <c r="C1995" t="s">
        <v>6089</v>
      </c>
      <c r="D1995" t="s">
        <v>2646</v>
      </c>
      <c r="E1995" t="s">
        <v>2170</v>
      </c>
    </row>
    <row r="1996" spans="1:5" x14ac:dyDescent="0.25">
      <c r="A1996" t="s">
        <v>1560</v>
      </c>
      <c r="B1996" t="s">
        <v>6090</v>
      </c>
      <c r="C1996" t="s">
        <v>6091</v>
      </c>
      <c r="D1996" t="s">
        <v>2646</v>
      </c>
      <c r="E1996" t="s">
        <v>2170</v>
      </c>
    </row>
    <row r="1997" spans="1:5" x14ac:dyDescent="0.25">
      <c r="A1997" t="s">
        <v>1560</v>
      </c>
      <c r="B1997" t="s">
        <v>6092</v>
      </c>
      <c r="C1997" t="s">
        <v>6093</v>
      </c>
      <c r="D1997" t="s">
        <v>2646</v>
      </c>
      <c r="E1997" t="s">
        <v>2170</v>
      </c>
    </row>
    <row r="1998" spans="1:5" x14ac:dyDescent="0.25">
      <c r="A1998" t="s">
        <v>1560</v>
      </c>
      <c r="B1998" t="s">
        <v>6094</v>
      </c>
      <c r="C1998" t="s">
        <v>6095</v>
      </c>
      <c r="D1998" t="s">
        <v>2646</v>
      </c>
      <c r="E1998" t="s">
        <v>2170</v>
      </c>
    </row>
    <row r="1999" spans="1:5" x14ac:dyDescent="0.25">
      <c r="A1999" t="s">
        <v>1560</v>
      </c>
      <c r="B1999" t="s">
        <v>6096</v>
      </c>
      <c r="C1999" t="s">
        <v>6097</v>
      </c>
      <c r="D1999" t="s">
        <v>2646</v>
      </c>
      <c r="E1999" t="s">
        <v>2170</v>
      </c>
    </row>
    <row r="2000" spans="1:5" x14ac:dyDescent="0.25">
      <c r="A2000" t="s">
        <v>1566</v>
      </c>
      <c r="B2000" t="s">
        <v>6098</v>
      </c>
      <c r="C2000" t="s">
        <v>6099</v>
      </c>
      <c r="D2000" t="s">
        <v>6100</v>
      </c>
      <c r="E2000" t="s">
        <v>2170</v>
      </c>
    </row>
    <row r="2001" spans="1:5" x14ac:dyDescent="0.25">
      <c r="A2001" t="s">
        <v>1566</v>
      </c>
      <c r="B2001" t="s">
        <v>6101</v>
      </c>
      <c r="C2001" t="s">
        <v>6102</v>
      </c>
      <c r="D2001" t="s">
        <v>2415</v>
      </c>
      <c r="E2001" t="s">
        <v>2170</v>
      </c>
    </row>
    <row r="2002" spans="1:5" x14ac:dyDescent="0.25">
      <c r="A2002" t="s">
        <v>1566</v>
      </c>
      <c r="B2002" t="s">
        <v>6103</v>
      </c>
      <c r="C2002" t="s">
        <v>6104</v>
      </c>
      <c r="D2002" t="s">
        <v>2415</v>
      </c>
      <c r="E2002" t="s">
        <v>2170</v>
      </c>
    </row>
    <row r="2003" spans="1:5" x14ac:dyDescent="0.25">
      <c r="A2003" t="s">
        <v>1566</v>
      </c>
      <c r="B2003" t="s">
        <v>6105</v>
      </c>
      <c r="C2003" t="s">
        <v>6106</v>
      </c>
      <c r="D2003" t="s">
        <v>2415</v>
      </c>
      <c r="E2003" t="s">
        <v>2170</v>
      </c>
    </row>
    <row r="2004" spans="1:5" x14ac:dyDescent="0.25">
      <c r="A2004" t="s">
        <v>1566</v>
      </c>
      <c r="B2004" t="s">
        <v>6107</v>
      </c>
      <c r="C2004" t="s">
        <v>6108</v>
      </c>
      <c r="D2004" t="s">
        <v>2415</v>
      </c>
      <c r="E2004" t="s">
        <v>2170</v>
      </c>
    </row>
    <row r="2005" spans="1:5" x14ac:dyDescent="0.25">
      <c r="A2005" t="s">
        <v>1566</v>
      </c>
      <c r="B2005" t="s">
        <v>6109</v>
      </c>
      <c r="C2005" t="s">
        <v>6110</v>
      </c>
      <c r="D2005" t="s">
        <v>6100</v>
      </c>
      <c r="E2005" t="s">
        <v>2170</v>
      </c>
    </row>
    <row r="2006" spans="1:5" x14ac:dyDescent="0.25">
      <c r="A2006" t="s">
        <v>1566</v>
      </c>
      <c r="B2006" t="s">
        <v>6111</v>
      </c>
      <c r="C2006" t="s">
        <v>6112</v>
      </c>
      <c r="D2006" t="s">
        <v>2415</v>
      </c>
      <c r="E2006" t="s">
        <v>2170</v>
      </c>
    </row>
    <row r="2007" spans="1:5" x14ac:dyDescent="0.25">
      <c r="A2007" t="s">
        <v>1566</v>
      </c>
      <c r="B2007" t="s">
        <v>6113</v>
      </c>
      <c r="C2007" t="s">
        <v>6114</v>
      </c>
      <c r="D2007" t="s">
        <v>6100</v>
      </c>
      <c r="E2007" t="s">
        <v>2170</v>
      </c>
    </row>
    <row r="2008" spans="1:5" x14ac:dyDescent="0.25">
      <c r="A2008" t="s">
        <v>1566</v>
      </c>
      <c r="B2008" t="s">
        <v>6115</v>
      </c>
      <c r="C2008" t="s">
        <v>6116</v>
      </c>
      <c r="D2008" t="s">
        <v>6100</v>
      </c>
      <c r="E2008" t="s">
        <v>2170</v>
      </c>
    </row>
    <row r="2009" spans="1:5" x14ac:dyDescent="0.25">
      <c r="A2009" t="s">
        <v>1566</v>
      </c>
      <c r="B2009" t="s">
        <v>6117</v>
      </c>
      <c r="C2009" t="s">
        <v>6118</v>
      </c>
      <c r="D2009" t="s">
        <v>2415</v>
      </c>
      <c r="E2009" t="s">
        <v>2170</v>
      </c>
    </row>
    <row r="2010" spans="1:5" x14ac:dyDescent="0.25">
      <c r="A2010" t="s">
        <v>1566</v>
      </c>
      <c r="B2010" t="s">
        <v>6119</v>
      </c>
      <c r="C2010" t="s">
        <v>6120</v>
      </c>
      <c r="D2010" t="s">
        <v>2415</v>
      </c>
      <c r="E2010" t="s">
        <v>2170</v>
      </c>
    </row>
    <row r="2011" spans="1:5" x14ac:dyDescent="0.25">
      <c r="A2011" t="s">
        <v>1566</v>
      </c>
      <c r="B2011" t="s">
        <v>6121</v>
      </c>
      <c r="C2011" t="s">
        <v>6122</v>
      </c>
      <c r="D2011" t="s">
        <v>2415</v>
      </c>
      <c r="E2011" t="s">
        <v>2170</v>
      </c>
    </row>
    <row r="2012" spans="1:5" x14ac:dyDescent="0.25">
      <c r="A2012" t="s">
        <v>1566</v>
      </c>
      <c r="B2012" t="s">
        <v>6123</v>
      </c>
      <c r="C2012" t="s">
        <v>6124</v>
      </c>
      <c r="D2012" t="s">
        <v>2415</v>
      </c>
      <c r="E2012" t="s">
        <v>2170</v>
      </c>
    </row>
    <row r="2013" spans="1:5" x14ac:dyDescent="0.25">
      <c r="A2013" t="s">
        <v>1566</v>
      </c>
      <c r="B2013" t="s">
        <v>6125</v>
      </c>
      <c r="C2013" t="s">
        <v>6126</v>
      </c>
      <c r="D2013" t="s">
        <v>6100</v>
      </c>
      <c r="E2013" t="s">
        <v>2170</v>
      </c>
    </row>
    <row r="2014" spans="1:5" x14ac:dyDescent="0.25">
      <c r="A2014" t="s">
        <v>1566</v>
      </c>
      <c r="B2014" t="s">
        <v>6127</v>
      </c>
      <c r="C2014" t="s">
        <v>6128</v>
      </c>
      <c r="D2014" t="s">
        <v>2415</v>
      </c>
      <c r="E2014" t="s">
        <v>2170</v>
      </c>
    </row>
    <row r="2015" spans="1:5" x14ac:dyDescent="0.25">
      <c r="A2015" t="s">
        <v>1566</v>
      </c>
      <c r="B2015" t="s">
        <v>6129</v>
      </c>
      <c r="C2015" t="s">
        <v>6130</v>
      </c>
      <c r="D2015" t="s">
        <v>2415</v>
      </c>
      <c r="E2015" t="s">
        <v>2170</v>
      </c>
    </row>
    <row r="2016" spans="1:5" x14ac:dyDescent="0.25">
      <c r="A2016" t="s">
        <v>1566</v>
      </c>
      <c r="B2016" t="s">
        <v>6131</v>
      </c>
      <c r="C2016" t="s">
        <v>6132</v>
      </c>
      <c r="D2016" t="s">
        <v>2415</v>
      </c>
      <c r="E2016" t="s">
        <v>2170</v>
      </c>
    </row>
    <row r="2017" spans="1:5" x14ac:dyDescent="0.25">
      <c r="A2017" t="s">
        <v>1566</v>
      </c>
      <c r="B2017" t="s">
        <v>6133</v>
      </c>
      <c r="C2017" t="s">
        <v>6134</v>
      </c>
      <c r="D2017" t="s">
        <v>6100</v>
      </c>
      <c r="E2017" t="s">
        <v>2170</v>
      </c>
    </row>
    <row r="2018" spans="1:5" x14ac:dyDescent="0.25">
      <c r="A2018" t="s">
        <v>1566</v>
      </c>
      <c r="B2018" t="s">
        <v>6135</v>
      </c>
      <c r="C2018" t="s">
        <v>6136</v>
      </c>
      <c r="D2018" t="s">
        <v>6100</v>
      </c>
      <c r="E2018" t="s">
        <v>2170</v>
      </c>
    </row>
    <row r="2019" spans="1:5" x14ac:dyDescent="0.25">
      <c r="A2019" t="s">
        <v>1566</v>
      </c>
      <c r="B2019" t="s">
        <v>6137</v>
      </c>
      <c r="C2019" t="s">
        <v>6138</v>
      </c>
      <c r="D2019" t="s">
        <v>2415</v>
      </c>
      <c r="E2019" t="s">
        <v>2170</v>
      </c>
    </row>
    <row r="2020" spans="1:5" x14ac:dyDescent="0.25">
      <c r="A2020" t="s">
        <v>1566</v>
      </c>
      <c r="B2020" t="s">
        <v>6139</v>
      </c>
      <c r="C2020" t="s">
        <v>6140</v>
      </c>
      <c r="D2020" t="s">
        <v>2415</v>
      </c>
      <c r="E2020" t="s">
        <v>2170</v>
      </c>
    </row>
    <row r="2021" spans="1:5" x14ac:dyDescent="0.25">
      <c r="A2021" t="s">
        <v>1566</v>
      </c>
      <c r="B2021" t="s">
        <v>6141</v>
      </c>
      <c r="C2021" t="s">
        <v>6142</v>
      </c>
      <c r="D2021" t="s">
        <v>2415</v>
      </c>
      <c r="E2021" t="s">
        <v>2170</v>
      </c>
    </row>
    <row r="2022" spans="1:5" x14ac:dyDescent="0.25">
      <c r="A2022" t="s">
        <v>1566</v>
      </c>
      <c r="B2022" t="s">
        <v>6143</v>
      </c>
      <c r="C2022" t="s">
        <v>6144</v>
      </c>
      <c r="D2022" t="s">
        <v>2415</v>
      </c>
      <c r="E2022" t="s">
        <v>2170</v>
      </c>
    </row>
    <row r="2023" spans="1:5" x14ac:dyDescent="0.25">
      <c r="A2023" t="s">
        <v>1566</v>
      </c>
      <c r="B2023" t="s">
        <v>6145</v>
      </c>
      <c r="C2023" t="s">
        <v>6146</v>
      </c>
      <c r="D2023" t="s">
        <v>2415</v>
      </c>
      <c r="E2023" t="s">
        <v>2170</v>
      </c>
    </row>
    <row r="2024" spans="1:5" x14ac:dyDescent="0.25">
      <c r="A2024" t="s">
        <v>1566</v>
      </c>
      <c r="B2024" t="s">
        <v>6147</v>
      </c>
      <c r="C2024" t="s">
        <v>6148</v>
      </c>
      <c r="D2024" t="s">
        <v>2415</v>
      </c>
      <c r="E2024" t="s">
        <v>2170</v>
      </c>
    </row>
    <row r="2025" spans="1:5" x14ac:dyDescent="0.25">
      <c r="A2025" t="s">
        <v>1566</v>
      </c>
      <c r="B2025" t="s">
        <v>6149</v>
      </c>
      <c r="C2025" t="s">
        <v>6150</v>
      </c>
      <c r="D2025" t="s">
        <v>2415</v>
      </c>
      <c r="E2025" t="s">
        <v>2170</v>
      </c>
    </row>
    <row r="2026" spans="1:5" x14ac:dyDescent="0.25">
      <c r="A2026" t="s">
        <v>1566</v>
      </c>
      <c r="B2026" t="s">
        <v>6151</v>
      </c>
      <c r="C2026" t="s">
        <v>6152</v>
      </c>
      <c r="D2026" t="s">
        <v>6100</v>
      </c>
      <c r="E2026" t="s">
        <v>2170</v>
      </c>
    </row>
    <row r="2027" spans="1:5" x14ac:dyDescent="0.25">
      <c r="A2027" t="s">
        <v>1566</v>
      </c>
      <c r="B2027" t="s">
        <v>6153</v>
      </c>
      <c r="C2027" t="s">
        <v>6154</v>
      </c>
      <c r="D2027" t="s">
        <v>2415</v>
      </c>
      <c r="E2027" t="s">
        <v>2170</v>
      </c>
    </row>
    <row r="2028" spans="1:5" x14ac:dyDescent="0.25">
      <c r="A2028" t="s">
        <v>1566</v>
      </c>
      <c r="B2028" t="s">
        <v>6155</v>
      </c>
      <c r="C2028" t="s">
        <v>6156</v>
      </c>
      <c r="D2028" t="s">
        <v>2415</v>
      </c>
      <c r="E2028" t="s">
        <v>2170</v>
      </c>
    </row>
    <row r="2029" spans="1:5" x14ac:dyDescent="0.25">
      <c r="A2029" t="s">
        <v>1566</v>
      </c>
      <c r="B2029" t="s">
        <v>6157</v>
      </c>
      <c r="C2029" t="s">
        <v>6158</v>
      </c>
      <c r="D2029" t="s">
        <v>2415</v>
      </c>
      <c r="E2029" t="s">
        <v>2170</v>
      </c>
    </row>
    <row r="2030" spans="1:5" x14ac:dyDescent="0.25">
      <c r="A2030" t="s">
        <v>1566</v>
      </c>
      <c r="B2030" t="s">
        <v>6159</v>
      </c>
      <c r="C2030" t="s">
        <v>6160</v>
      </c>
      <c r="D2030" t="s">
        <v>2415</v>
      </c>
      <c r="E2030" t="s">
        <v>2170</v>
      </c>
    </row>
    <row r="2031" spans="1:5" x14ac:dyDescent="0.25">
      <c r="A2031" t="s">
        <v>1566</v>
      </c>
      <c r="B2031" t="s">
        <v>6161</v>
      </c>
      <c r="C2031" t="s">
        <v>6162</v>
      </c>
      <c r="D2031" t="s">
        <v>2415</v>
      </c>
      <c r="E2031" t="s">
        <v>2170</v>
      </c>
    </row>
    <row r="2032" spans="1:5" x14ac:dyDescent="0.25">
      <c r="A2032" t="s">
        <v>1566</v>
      </c>
      <c r="B2032" t="s">
        <v>6163</v>
      </c>
      <c r="C2032" t="s">
        <v>6164</v>
      </c>
      <c r="D2032" t="s">
        <v>2415</v>
      </c>
      <c r="E2032" t="s">
        <v>2170</v>
      </c>
    </row>
    <row r="2033" spans="1:5" x14ac:dyDescent="0.25">
      <c r="A2033" t="s">
        <v>1566</v>
      </c>
      <c r="B2033" t="s">
        <v>6165</v>
      </c>
      <c r="C2033" t="s">
        <v>6166</v>
      </c>
      <c r="D2033" t="s">
        <v>2415</v>
      </c>
      <c r="E2033" t="s">
        <v>2170</v>
      </c>
    </row>
    <row r="2034" spans="1:5" x14ac:dyDescent="0.25">
      <c r="A2034" t="s">
        <v>1566</v>
      </c>
      <c r="B2034" t="s">
        <v>6167</v>
      </c>
      <c r="C2034" t="s">
        <v>6168</v>
      </c>
      <c r="D2034" t="s">
        <v>2415</v>
      </c>
      <c r="E2034" t="s">
        <v>2170</v>
      </c>
    </row>
    <row r="2035" spans="1:5" x14ac:dyDescent="0.25">
      <c r="A2035" t="s">
        <v>1566</v>
      </c>
      <c r="B2035" t="s">
        <v>6169</v>
      </c>
      <c r="C2035" t="s">
        <v>6170</v>
      </c>
      <c r="D2035" t="s">
        <v>2415</v>
      </c>
      <c r="E2035" t="s">
        <v>2170</v>
      </c>
    </row>
    <row r="2036" spans="1:5" x14ac:dyDescent="0.25">
      <c r="A2036" t="s">
        <v>1569</v>
      </c>
      <c r="B2036" t="s">
        <v>6171</v>
      </c>
      <c r="C2036" t="s">
        <v>6172</v>
      </c>
      <c r="D2036" t="s">
        <v>2963</v>
      </c>
      <c r="E2036" t="s">
        <v>2170</v>
      </c>
    </row>
    <row r="2037" spans="1:5" x14ac:dyDescent="0.25">
      <c r="A2037" t="s">
        <v>1569</v>
      </c>
      <c r="B2037" t="s">
        <v>6173</v>
      </c>
      <c r="C2037" t="s">
        <v>6174</v>
      </c>
      <c r="D2037" t="s">
        <v>2963</v>
      </c>
      <c r="E2037" t="s">
        <v>2170</v>
      </c>
    </row>
    <row r="2038" spans="1:5" x14ac:dyDescent="0.25">
      <c r="A2038" t="s">
        <v>1569</v>
      </c>
      <c r="B2038" t="s">
        <v>6175</v>
      </c>
      <c r="C2038" t="s">
        <v>6176</v>
      </c>
      <c r="D2038" t="s">
        <v>2963</v>
      </c>
      <c r="E2038" t="s">
        <v>2170</v>
      </c>
    </row>
    <row r="2039" spans="1:5" x14ac:dyDescent="0.25">
      <c r="A2039" t="s">
        <v>1569</v>
      </c>
      <c r="B2039" t="s">
        <v>6177</v>
      </c>
      <c r="C2039" t="s">
        <v>6178</v>
      </c>
      <c r="D2039" t="s">
        <v>2963</v>
      </c>
      <c r="E2039" t="s">
        <v>2170</v>
      </c>
    </row>
    <row r="2040" spans="1:5" x14ac:dyDescent="0.25">
      <c r="A2040" t="s">
        <v>1569</v>
      </c>
      <c r="B2040" t="s">
        <v>6179</v>
      </c>
      <c r="C2040" t="s">
        <v>6180</v>
      </c>
      <c r="D2040" t="s">
        <v>2963</v>
      </c>
      <c r="E2040" t="s">
        <v>2170</v>
      </c>
    </row>
    <row r="2041" spans="1:5" x14ac:dyDescent="0.25">
      <c r="A2041" t="s">
        <v>1569</v>
      </c>
      <c r="B2041" t="s">
        <v>6181</v>
      </c>
      <c r="C2041" t="s">
        <v>6182</v>
      </c>
      <c r="D2041" t="s">
        <v>2963</v>
      </c>
      <c r="E2041" t="s">
        <v>6183</v>
      </c>
    </row>
    <row r="2042" spans="1:5" x14ac:dyDescent="0.25">
      <c r="A2042" t="s">
        <v>1569</v>
      </c>
      <c r="B2042" t="s">
        <v>6184</v>
      </c>
      <c r="C2042" t="s">
        <v>6185</v>
      </c>
      <c r="D2042" t="s">
        <v>2963</v>
      </c>
      <c r="E2042" t="s">
        <v>6183</v>
      </c>
    </row>
    <row r="2043" spans="1:5" x14ac:dyDescent="0.25">
      <c r="A2043" t="s">
        <v>1569</v>
      </c>
      <c r="B2043" t="s">
        <v>6186</v>
      </c>
      <c r="C2043" t="s">
        <v>6187</v>
      </c>
      <c r="D2043" t="s">
        <v>2963</v>
      </c>
      <c r="E2043" t="s">
        <v>2170</v>
      </c>
    </row>
    <row r="2044" spans="1:5" x14ac:dyDescent="0.25">
      <c r="A2044" t="s">
        <v>1569</v>
      </c>
      <c r="B2044" t="s">
        <v>6188</v>
      </c>
      <c r="C2044" t="s">
        <v>6189</v>
      </c>
      <c r="D2044" t="s">
        <v>2963</v>
      </c>
      <c r="E2044" t="s">
        <v>2170</v>
      </c>
    </row>
    <row r="2045" spans="1:5" x14ac:dyDescent="0.25">
      <c r="A2045" t="s">
        <v>1569</v>
      </c>
      <c r="B2045" t="s">
        <v>6190</v>
      </c>
      <c r="C2045" t="s">
        <v>6191</v>
      </c>
      <c r="D2045" t="s">
        <v>2963</v>
      </c>
      <c r="E2045" t="s">
        <v>6183</v>
      </c>
    </row>
    <row r="2046" spans="1:5" x14ac:dyDescent="0.25">
      <c r="A2046" t="s">
        <v>1569</v>
      </c>
      <c r="B2046" t="s">
        <v>6192</v>
      </c>
      <c r="C2046" t="s">
        <v>6193</v>
      </c>
      <c r="D2046" t="s">
        <v>2963</v>
      </c>
      <c r="E2046" t="s">
        <v>2170</v>
      </c>
    </row>
    <row r="2047" spans="1:5" x14ac:dyDescent="0.25">
      <c r="A2047" t="s">
        <v>1569</v>
      </c>
      <c r="B2047" t="s">
        <v>6194</v>
      </c>
      <c r="C2047" t="s">
        <v>6195</v>
      </c>
      <c r="D2047" t="s">
        <v>2963</v>
      </c>
      <c r="E2047" t="s">
        <v>2170</v>
      </c>
    </row>
    <row r="2048" spans="1:5" x14ac:dyDescent="0.25">
      <c r="A2048" t="s">
        <v>1569</v>
      </c>
      <c r="B2048" t="s">
        <v>6183</v>
      </c>
      <c r="C2048" t="s">
        <v>6196</v>
      </c>
      <c r="D2048" t="s">
        <v>2311</v>
      </c>
      <c r="E2048" t="s">
        <v>2170</v>
      </c>
    </row>
    <row r="2049" spans="1:5" x14ac:dyDescent="0.25">
      <c r="A2049" t="s">
        <v>1569</v>
      </c>
      <c r="B2049" t="s">
        <v>6197</v>
      </c>
      <c r="C2049" t="s">
        <v>6198</v>
      </c>
      <c r="D2049" t="s">
        <v>2963</v>
      </c>
      <c r="E2049" t="s">
        <v>2170</v>
      </c>
    </row>
    <row r="2050" spans="1:5" x14ac:dyDescent="0.25">
      <c r="A2050" t="s">
        <v>1569</v>
      </c>
      <c r="B2050" t="s">
        <v>6199</v>
      </c>
      <c r="C2050" t="s">
        <v>6200</v>
      </c>
      <c r="D2050" t="s">
        <v>2963</v>
      </c>
      <c r="E2050" t="s">
        <v>2170</v>
      </c>
    </row>
    <row r="2051" spans="1:5" x14ac:dyDescent="0.25">
      <c r="A2051" t="s">
        <v>1569</v>
      </c>
      <c r="B2051" t="s">
        <v>6201</v>
      </c>
      <c r="C2051" t="s">
        <v>6202</v>
      </c>
      <c r="D2051" t="s">
        <v>2963</v>
      </c>
      <c r="E2051" t="s">
        <v>2170</v>
      </c>
    </row>
    <row r="2052" spans="1:5" x14ac:dyDescent="0.25">
      <c r="A2052" t="s">
        <v>1569</v>
      </c>
      <c r="B2052" t="s">
        <v>6203</v>
      </c>
      <c r="C2052" t="s">
        <v>6204</v>
      </c>
      <c r="D2052" t="s">
        <v>2963</v>
      </c>
      <c r="E2052" t="s">
        <v>2170</v>
      </c>
    </row>
    <row r="2053" spans="1:5" x14ac:dyDescent="0.25">
      <c r="A2053" t="s">
        <v>1569</v>
      </c>
      <c r="B2053" t="s">
        <v>6205</v>
      </c>
      <c r="C2053" t="s">
        <v>6206</v>
      </c>
      <c r="D2053" t="s">
        <v>2963</v>
      </c>
      <c r="E2053" t="s">
        <v>2170</v>
      </c>
    </row>
    <row r="2054" spans="1:5" x14ac:dyDescent="0.25">
      <c r="A2054" t="s">
        <v>1569</v>
      </c>
      <c r="B2054" t="s">
        <v>6207</v>
      </c>
      <c r="C2054" t="s">
        <v>6208</v>
      </c>
      <c r="D2054" t="s">
        <v>2963</v>
      </c>
      <c r="E2054" t="s">
        <v>2170</v>
      </c>
    </row>
    <row r="2055" spans="1:5" x14ac:dyDescent="0.25">
      <c r="A2055" t="s">
        <v>1572</v>
      </c>
      <c r="B2055" t="s">
        <v>6209</v>
      </c>
      <c r="C2055" t="s">
        <v>6210</v>
      </c>
      <c r="D2055" t="s">
        <v>2200</v>
      </c>
      <c r="E2055" t="s">
        <v>2170</v>
      </c>
    </row>
    <row r="2056" spans="1:5" x14ac:dyDescent="0.25">
      <c r="A2056" t="s">
        <v>1572</v>
      </c>
      <c r="B2056" t="s">
        <v>6211</v>
      </c>
      <c r="C2056" t="s">
        <v>6212</v>
      </c>
      <c r="D2056" t="s">
        <v>2200</v>
      </c>
      <c r="E2056" t="s">
        <v>2170</v>
      </c>
    </row>
    <row r="2057" spans="1:5" x14ac:dyDescent="0.25">
      <c r="A2057" t="s">
        <v>1572</v>
      </c>
      <c r="B2057" t="s">
        <v>6213</v>
      </c>
      <c r="C2057" t="s">
        <v>6214</v>
      </c>
      <c r="D2057" t="s">
        <v>2200</v>
      </c>
      <c r="E2057" t="s">
        <v>2170</v>
      </c>
    </row>
    <row r="2058" spans="1:5" x14ac:dyDescent="0.25">
      <c r="A2058" t="s">
        <v>1572</v>
      </c>
      <c r="B2058" t="s">
        <v>6215</v>
      </c>
      <c r="C2058" t="s">
        <v>6216</v>
      </c>
      <c r="D2058" t="s">
        <v>2200</v>
      </c>
      <c r="E2058" t="s">
        <v>2170</v>
      </c>
    </row>
    <row r="2059" spans="1:5" x14ac:dyDescent="0.25">
      <c r="A2059" t="s">
        <v>1572</v>
      </c>
      <c r="B2059" t="s">
        <v>6217</v>
      </c>
      <c r="C2059" t="s">
        <v>6218</v>
      </c>
      <c r="D2059" t="s">
        <v>2200</v>
      </c>
      <c r="E2059" t="s">
        <v>2170</v>
      </c>
    </row>
    <row r="2060" spans="1:5" x14ac:dyDescent="0.25">
      <c r="A2060" t="s">
        <v>1572</v>
      </c>
      <c r="B2060" t="s">
        <v>6219</v>
      </c>
      <c r="C2060" t="s">
        <v>6220</v>
      </c>
      <c r="D2060" t="s">
        <v>2200</v>
      </c>
      <c r="E2060" t="s">
        <v>2170</v>
      </c>
    </row>
    <row r="2061" spans="1:5" x14ac:dyDescent="0.25">
      <c r="A2061" t="s">
        <v>1572</v>
      </c>
      <c r="B2061" t="s">
        <v>6221</v>
      </c>
      <c r="C2061" t="s">
        <v>6222</v>
      </c>
      <c r="D2061" t="s">
        <v>2200</v>
      </c>
      <c r="E2061" t="s">
        <v>2170</v>
      </c>
    </row>
    <row r="2062" spans="1:5" x14ac:dyDescent="0.25">
      <c r="A2062" t="s">
        <v>1572</v>
      </c>
      <c r="B2062" t="s">
        <v>6223</v>
      </c>
      <c r="C2062" t="s">
        <v>6224</v>
      </c>
      <c r="D2062" t="s">
        <v>2200</v>
      </c>
      <c r="E2062" t="s">
        <v>2170</v>
      </c>
    </row>
    <row r="2063" spans="1:5" x14ac:dyDescent="0.25">
      <c r="A2063" t="s">
        <v>1572</v>
      </c>
      <c r="B2063" t="s">
        <v>6225</v>
      </c>
      <c r="C2063" t="s">
        <v>6226</v>
      </c>
      <c r="D2063" t="s">
        <v>2200</v>
      </c>
      <c r="E2063" t="s">
        <v>2170</v>
      </c>
    </row>
    <row r="2064" spans="1:5" x14ac:dyDescent="0.25">
      <c r="A2064" t="s">
        <v>1572</v>
      </c>
      <c r="B2064" t="s">
        <v>6227</v>
      </c>
      <c r="C2064" t="s">
        <v>6228</v>
      </c>
      <c r="D2064" t="s">
        <v>2200</v>
      </c>
      <c r="E2064" t="s">
        <v>2170</v>
      </c>
    </row>
    <row r="2065" spans="1:5" x14ac:dyDescent="0.25">
      <c r="A2065" t="s">
        <v>1572</v>
      </c>
      <c r="B2065" t="s">
        <v>6229</v>
      </c>
      <c r="C2065" t="s">
        <v>6230</v>
      </c>
      <c r="D2065" t="s">
        <v>2200</v>
      </c>
      <c r="E2065" t="s">
        <v>2170</v>
      </c>
    </row>
    <row r="2066" spans="1:5" x14ac:dyDescent="0.25">
      <c r="A2066" t="s">
        <v>1572</v>
      </c>
      <c r="B2066" t="s">
        <v>6231</v>
      </c>
      <c r="C2066" t="s">
        <v>6232</v>
      </c>
      <c r="D2066" t="s">
        <v>2200</v>
      </c>
      <c r="E2066" t="s">
        <v>2170</v>
      </c>
    </row>
    <row r="2067" spans="1:5" x14ac:dyDescent="0.25">
      <c r="A2067" t="s">
        <v>1572</v>
      </c>
      <c r="B2067" t="s">
        <v>6233</v>
      </c>
      <c r="C2067" t="s">
        <v>6234</v>
      </c>
      <c r="D2067" t="s">
        <v>2200</v>
      </c>
      <c r="E2067" t="s">
        <v>2170</v>
      </c>
    </row>
    <row r="2068" spans="1:5" x14ac:dyDescent="0.25">
      <c r="A2068" t="s">
        <v>1572</v>
      </c>
      <c r="B2068" t="s">
        <v>6235</v>
      </c>
      <c r="C2068" t="s">
        <v>6236</v>
      </c>
      <c r="D2068" t="s">
        <v>2200</v>
      </c>
      <c r="E2068" t="s">
        <v>2170</v>
      </c>
    </row>
    <row r="2069" spans="1:5" x14ac:dyDescent="0.25">
      <c r="A2069" t="s">
        <v>1572</v>
      </c>
      <c r="B2069" t="s">
        <v>6237</v>
      </c>
      <c r="C2069" t="s">
        <v>6238</v>
      </c>
      <c r="D2069" t="s">
        <v>2200</v>
      </c>
      <c r="E2069" t="s">
        <v>2170</v>
      </c>
    </row>
    <row r="2070" spans="1:5" x14ac:dyDescent="0.25">
      <c r="A2070" t="s">
        <v>1572</v>
      </c>
      <c r="B2070" t="s">
        <v>6239</v>
      </c>
      <c r="C2070" t="s">
        <v>6240</v>
      </c>
      <c r="D2070" t="s">
        <v>2200</v>
      </c>
      <c r="E2070" t="s">
        <v>2170</v>
      </c>
    </row>
    <row r="2071" spans="1:5" x14ac:dyDescent="0.25">
      <c r="A2071" t="s">
        <v>1572</v>
      </c>
      <c r="B2071" t="s">
        <v>6241</v>
      </c>
      <c r="C2071" t="s">
        <v>6242</v>
      </c>
      <c r="D2071" t="s">
        <v>2200</v>
      </c>
      <c r="E2071" t="s">
        <v>2170</v>
      </c>
    </row>
    <row r="2072" spans="1:5" x14ac:dyDescent="0.25">
      <c r="A2072" t="s">
        <v>1572</v>
      </c>
      <c r="B2072" t="s">
        <v>6243</v>
      </c>
      <c r="C2072" t="s">
        <v>6244</v>
      </c>
      <c r="D2072" t="s">
        <v>2200</v>
      </c>
      <c r="E2072" t="s">
        <v>2170</v>
      </c>
    </row>
    <row r="2073" spans="1:5" x14ac:dyDescent="0.25">
      <c r="A2073" t="s">
        <v>1572</v>
      </c>
      <c r="B2073" t="s">
        <v>6245</v>
      </c>
      <c r="C2073" t="s">
        <v>6246</v>
      </c>
      <c r="D2073" t="s">
        <v>2200</v>
      </c>
      <c r="E2073" t="s">
        <v>2170</v>
      </c>
    </row>
    <row r="2074" spans="1:5" x14ac:dyDescent="0.25">
      <c r="A2074" t="s">
        <v>1572</v>
      </c>
      <c r="B2074" t="s">
        <v>6247</v>
      </c>
      <c r="C2074" t="s">
        <v>6248</v>
      </c>
      <c r="D2074" t="s">
        <v>2200</v>
      </c>
      <c r="E2074" t="s">
        <v>2170</v>
      </c>
    </row>
    <row r="2075" spans="1:5" x14ac:dyDescent="0.25">
      <c r="A2075" t="s">
        <v>1572</v>
      </c>
      <c r="B2075" t="s">
        <v>6249</v>
      </c>
      <c r="C2075" t="s">
        <v>6250</v>
      </c>
      <c r="D2075" t="s">
        <v>2200</v>
      </c>
      <c r="E2075" t="s">
        <v>2170</v>
      </c>
    </row>
    <row r="2076" spans="1:5" x14ac:dyDescent="0.25">
      <c r="A2076" t="s">
        <v>1572</v>
      </c>
      <c r="B2076" t="s">
        <v>6251</v>
      </c>
      <c r="C2076" t="s">
        <v>6252</v>
      </c>
      <c r="D2076" t="s">
        <v>2200</v>
      </c>
      <c r="E2076" t="s">
        <v>2170</v>
      </c>
    </row>
    <row r="2077" spans="1:5" x14ac:dyDescent="0.25">
      <c r="A2077" t="s">
        <v>1572</v>
      </c>
      <c r="B2077" t="s">
        <v>6253</v>
      </c>
      <c r="C2077" t="s">
        <v>6254</v>
      </c>
      <c r="D2077" t="s">
        <v>2200</v>
      </c>
      <c r="E2077" t="s">
        <v>2170</v>
      </c>
    </row>
    <row r="2078" spans="1:5" x14ac:dyDescent="0.25">
      <c r="A2078" t="s">
        <v>1572</v>
      </c>
      <c r="B2078" t="s">
        <v>6255</v>
      </c>
      <c r="C2078" t="s">
        <v>6256</v>
      </c>
      <c r="D2078" t="s">
        <v>2200</v>
      </c>
      <c r="E2078" t="s">
        <v>2170</v>
      </c>
    </row>
    <row r="2079" spans="1:5" x14ac:dyDescent="0.25">
      <c r="A2079" t="s">
        <v>1572</v>
      </c>
      <c r="B2079" t="s">
        <v>6257</v>
      </c>
      <c r="C2079" t="s">
        <v>6258</v>
      </c>
      <c r="D2079" t="s">
        <v>2200</v>
      </c>
      <c r="E2079" t="s">
        <v>2170</v>
      </c>
    </row>
    <row r="2080" spans="1:5" x14ac:dyDescent="0.25">
      <c r="A2080" t="s">
        <v>1572</v>
      </c>
      <c r="B2080" t="s">
        <v>6259</v>
      </c>
      <c r="C2080" t="s">
        <v>6260</v>
      </c>
      <c r="D2080" t="s">
        <v>2200</v>
      </c>
      <c r="E2080" t="s">
        <v>2170</v>
      </c>
    </row>
    <row r="2081" spans="1:5" x14ac:dyDescent="0.25">
      <c r="A2081" t="s">
        <v>1572</v>
      </c>
      <c r="B2081" t="s">
        <v>6261</v>
      </c>
      <c r="C2081" t="s">
        <v>6262</v>
      </c>
      <c r="D2081" t="s">
        <v>2200</v>
      </c>
      <c r="E2081" t="s">
        <v>2170</v>
      </c>
    </row>
    <row r="2082" spans="1:5" x14ac:dyDescent="0.25">
      <c r="A2082" t="s">
        <v>1572</v>
      </c>
      <c r="B2082" t="s">
        <v>6263</v>
      </c>
      <c r="C2082" t="s">
        <v>6264</v>
      </c>
      <c r="D2082" t="s">
        <v>2200</v>
      </c>
      <c r="E2082" t="s">
        <v>2170</v>
      </c>
    </row>
    <row r="2083" spans="1:5" x14ac:dyDescent="0.25">
      <c r="A2083" t="s">
        <v>1572</v>
      </c>
      <c r="B2083" t="s">
        <v>6265</v>
      </c>
      <c r="C2083" t="s">
        <v>6266</v>
      </c>
      <c r="D2083" t="s">
        <v>2200</v>
      </c>
      <c r="E2083" t="s">
        <v>2170</v>
      </c>
    </row>
    <row r="2084" spans="1:5" x14ac:dyDescent="0.25">
      <c r="A2084" t="s">
        <v>1572</v>
      </c>
      <c r="B2084" t="s">
        <v>6267</v>
      </c>
      <c r="C2084" t="s">
        <v>6268</v>
      </c>
      <c r="D2084" t="s">
        <v>2200</v>
      </c>
      <c r="E2084" t="s">
        <v>2170</v>
      </c>
    </row>
    <row r="2085" spans="1:5" x14ac:dyDescent="0.25">
      <c r="A2085" t="s">
        <v>1572</v>
      </c>
      <c r="B2085" t="s">
        <v>6269</v>
      </c>
      <c r="C2085" t="s">
        <v>6270</v>
      </c>
      <c r="D2085" t="s">
        <v>2200</v>
      </c>
      <c r="E2085" t="s">
        <v>2170</v>
      </c>
    </row>
    <row r="2086" spans="1:5" x14ac:dyDescent="0.25">
      <c r="A2086" t="s">
        <v>1575</v>
      </c>
      <c r="B2086" t="s">
        <v>6271</v>
      </c>
      <c r="C2086" t="s">
        <v>6272</v>
      </c>
      <c r="D2086" t="s">
        <v>2311</v>
      </c>
      <c r="E2086" t="s">
        <v>2170</v>
      </c>
    </row>
    <row r="2087" spans="1:5" x14ac:dyDescent="0.25">
      <c r="A2087" t="s">
        <v>1575</v>
      </c>
      <c r="B2087" t="s">
        <v>6273</v>
      </c>
      <c r="C2087" t="s">
        <v>6274</v>
      </c>
      <c r="D2087" t="s">
        <v>2311</v>
      </c>
      <c r="E2087" t="s">
        <v>2170</v>
      </c>
    </row>
    <row r="2088" spans="1:5" x14ac:dyDescent="0.25">
      <c r="A2088" t="s">
        <v>1575</v>
      </c>
      <c r="B2088" t="s">
        <v>6275</v>
      </c>
      <c r="C2088" t="s">
        <v>6276</v>
      </c>
      <c r="D2088" t="s">
        <v>2311</v>
      </c>
      <c r="E2088" t="s">
        <v>2170</v>
      </c>
    </row>
    <row r="2089" spans="1:5" x14ac:dyDescent="0.25">
      <c r="A2089" t="s">
        <v>1575</v>
      </c>
      <c r="B2089" t="s">
        <v>6277</v>
      </c>
      <c r="C2089" t="s">
        <v>6278</v>
      </c>
      <c r="D2089" t="s">
        <v>2311</v>
      </c>
      <c r="E2089" t="s">
        <v>2170</v>
      </c>
    </row>
    <row r="2090" spans="1:5" x14ac:dyDescent="0.25">
      <c r="A2090" t="s">
        <v>1575</v>
      </c>
      <c r="B2090" t="s">
        <v>6279</v>
      </c>
      <c r="C2090" t="s">
        <v>6280</v>
      </c>
      <c r="D2090" t="s">
        <v>2311</v>
      </c>
      <c r="E2090" t="s">
        <v>2170</v>
      </c>
    </row>
    <row r="2091" spans="1:5" x14ac:dyDescent="0.25">
      <c r="A2091" t="s">
        <v>1575</v>
      </c>
      <c r="B2091" t="s">
        <v>6281</v>
      </c>
      <c r="C2091" t="s">
        <v>6282</v>
      </c>
      <c r="D2091" t="s">
        <v>2311</v>
      </c>
      <c r="E2091" t="s">
        <v>2170</v>
      </c>
    </row>
    <row r="2092" spans="1:5" x14ac:dyDescent="0.25">
      <c r="A2092" t="s">
        <v>1575</v>
      </c>
      <c r="B2092" t="s">
        <v>6283</v>
      </c>
      <c r="C2092" t="s">
        <v>6284</v>
      </c>
      <c r="D2092" t="s">
        <v>2311</v>
      </c>
      <c r="E2092" t="s">
        <v>2170</v>
      </c>
    </row>
    <row r="2093" spans="1:5" x14ac:dyDescent="0.25">
      <c r="A2093" t="s">
        <v>1575</v>
      </c>
      <c r="B2093" t="s">
        <v>6285</v>
      </c>
      <c r="C2093" t="s">
        <v>6286</v>
      </c>
      <c r="D2093" t="s">
        <v>2311</v>
      </c>
      <c r="E2093" t="s">
        <v>2170</v>
      </c>
    </row>
    <row r="2094" spans="1:5" x14ac:dyDescent="0.25">
      <c r="A2094" t="s">
        <v>1575</v>
      </c>
      <c r="B2094" t="s">
        <v>6287</v>
      </c>
      <c r="C2094" t="s">
        <v>6288</v>
      </c>
      <c r="D2094" t="s">
        <v>2469</v>
      </c>
      <c r="E2094" t="s">
        <v>6285</v>
      </c>
    </row>
    <row r="2095" spans="1:5" x14ac:dyDescent="0.25">
      <c r="A2095" t="s">
        <v>1575</v>
      </c>
      <c r="B2095" t="s">
        <v>6289</v>
      </c>
      <c r="C2095" t="s">
        <v>6290</v>
      </c>
      <c r="D2095" t="s">
        <v>2469</v>
      </c>
      <c r="E2095" t="s">
        <v>6275</v>
      </c>
    </row>
    <row r="2096" spans="1:5" x14ac:dyDescent="0.25">
      <c r="A2096" t="s">
        <v>1575</v>
      </c>
      <c r="B2096" t="s">
        <v>6291</v>
      </c>
      <c r="C2096" t="s">
        <v>6292</v>
      </c>
      <c r="D2096" t="s">
        <v>2469</v>
      </c>
      <c r="E2096" t="s">
        <v>6283</v>
      </c>
    </row>
    <row r="2097" spans="1:5" x14ac:dyDescent="0.25">
      <c r="A2097" t="s">
        <v>1575</v>
      </c>
      <c r="B2097" t="s">
        <v>6293</v>
      </c>
      <c r="C2097" t="s">
        <v>6294</v>
      </c>
      <c r="D2097" t="s">
        <v>2469</v>
      </c>
      <c r="E2097" t="s">
        <v>6279</v>
      </c>
    </row>
    <row r="2098" spans="1:5" x14ac:dyDescent="0.25">
      <c r="A2098" t="s">
        <v>1575</v>
      </c>
      <c r="B2098" t="s">
        <v>6295</v>
      </c>
      <c r="C2098" t="s">
        <v>6296</v>
      </c>
      <c r="D2098" t="s">
        <v>2469</v>
      </c>
      <c r="E2098" t="s">
        <v>6279</v>
      </c>
    </row>
    <row r="2099" spans="1:5" x14ac:dyDescent="0.25">
      <c r="A2099" t="s">
        <v>1575</v>
      </c>
      <c r="B2099" t="s">
        <v>6297</v>
      </c>
      <c r="C2099" t="s">
        <v>6298</v>
      </c>
      <c r="D2099" t="s">
        <v>2469</v>
      </c>
      <c r="E2099" t="s">
        <v>6283</v>
      </c>
    </row>
    <row r="2100" spans="1:5" x14ac:dyDescent="0.25">
      <c r="A2100" t="s">
        <v>1575</v>
      </c>
      <c r="B2100" t="s">
        <v>6299</v>
      </c>
      <c r="C2100" t="s">
        <v>6300</v>
      </c>
      <c r="D2100" t="s">
        <v>2469</v>
      </c>
      <c r="E2100" t="s">
        <v>6285</v>
      </c>
    </row>
    <row r="2101" spans="1:5" x14ac:dyDescent="0.25">
      <c r="A2101" t="s">
        <v>1575</v>
      </c>
      <c r="B2101" t="s">
        <v>6301</v>
      </c>
      <c r="C2101" t="s">
        <v>6302</v>
      </c>
      <c r="D2101" t="s">
        <v>2469</v>
      </c>
      <c r="E2101" t="s">
        <v>6285</v>
      </c>
    </row>
    <row r="2102" spans="1:5" x14ac:dyDescent="0.25">
      <c r="A2102" t="s">
        <v>1575</v>
      </c>
      <c r="B2102" t="s">
        <v>6303</v>
      </c>
      <c r="C2102" t="s">
        <v>6304</v>
      </c>
      <c r="D2102" t="s">
        <v>2469</v>
      </c>
      <c r="E2102" t="s">
        <v>6275</v>
      </c>
    </row>
    <row r="2103" spans="1:5" x14ac:dyDescent="0.25">
      <c r="A2103" t="s">
        <v>1575</v>
      </c>
      <c r="B2103" t="s">
        <v>6305</v>
      </c>
      <c r="C2103" t="s">
        <v>6306</v>
      </c>
      <c r="D2103" t="s">
        <v>2469</v>
      </c>
      <c r="E2103" t="s">
        <v>6285</v>
      </c>
    </row>
    <row r="2104" spans="1:5" x14ac:dyDescent="0.25">
      <c r="A2104" t="s">
        <v>1575</v>
      </c>
      <c r="B2104" t="s">
        <v>6307</v>
      </c>
      <c r="C2104" t="s">
        <v>6308</v>
      </c>
      <c r="D2104" t="s">
        <v>2469</v>
      </c>
      <c r="E2104" t="s">
        <v>6275</v>
      </c>
    </row>
    <row r="2105" spans="1:5" x14ac:dyDescent="0.25">
      <c r="A2105" t="s">
        <v>1575</v>
      </c>
      <c r="B2105" t="s">
        <v>6309</v>
      </c>
      <c r="C2105" t="s">
        <v>6310</v>
      </c>
      <c r="D2105" t="s">
        <v>2469</v>
      </c>
      <c r="E2105" t="s">
        <v>6275</v>
      </c>
    </row>
    <row r="2106" spans="1:5" x14ac:dyDescent="0.25">
      <c r="A2106" t="s">
        <v>1575</v>
      </c>
      <c r="B2106" t="s">
        <v>6311</v>
      </c>
      <c r="C2106" t="s">
        <v>6312</v>
      </c>
      <c r="D2106" t="s">
        <v>2469</v>
      </c>
      <c r="E2106" t="s">
        <v>6271</v>
      </c>
    </row>
    <row r="2107" spans="1:5" x14ac:dyDescent="0.25">
      <c r="A2107" t="s">
        <v>1575</v>
      </c>
      <c r="B2107" t="s">
        <v>6313</v>
      </c>
      <c r="C2107" t="s">
        <v>6314</v>
      </c>
      <c r="D2107" t="s">
        <v>2469</v>
      </c>
      <c r="E2107" t="s">
        <v>6271</v>
      </c>
    </row>
    <row r="2108" spans="1:5" x14ac:dyDescent="0.25">
      <c r="A2108" t="s">
        <v>1575</v>
      </c>
      <c r="B2108" t="s">
        <v>6315</v>
      </c>
      <c r="C2108" t="s">
        <v>6316</v>
      </c>
      <c r="D2108" t="s">
        <v>2469</v>
      </c>
      <c r="E2108" t="s">
        <v>6279</v>
      </c>
    </row>
    <row r="2109" spans="1:5" x14ac:dyDescent="0.25">
      <c r="A2109" t="s">
        <v>1575</v>
      </c>
      <c r="B2109" t="s">
        <v>6317</v>
      </c>
      <c r="C2109" t="s">
        <v>6318</v>
      </c>
      <c r="D2109" t="s">
        <v>2469</v>
      </c>
      <c r="E2109" t="s">
        <v>6273</v>
      </c>
    </row>
    <row r="2110" spans="1:5" x14ac:dyDescent="0.25">
      <c r="A2110" t="s">
        <v>1575</v>
      </c>
      <c r="B2110" t="s">
        <v>6319</v>
      </c>
      <c r="C2110" t="s">
        <v>6320</v>
      </c>
      <c r="D2110" t="s">
        <v>2469</v>
      </c>
      <c r="E2110" t="s">
        <v>6279</v>
      </c>
    </row>
    <row r="2111" spans="1:5" x14ac:dyDescent="0.25">
      <c r="A2111" t="s">
        <v>1575</v>
      </c>
      <c r="B2111" t="s">
        <v>6321</v>
      </c>
      <c r="C2111" t="s">
        <v>6322</v>
      </c>
      <c r="D2111" t="s">
        <v>2469</v>
      </c>
      <c r="E2111" t="s">
        <v>6281</v>
      </c>
    </row>
    <row r="2112" spans="1:5" x14ac:dyDescent="0.25">
      <c r="A2112" t="s">
        <v>1575</v>
      </c>
      <c r="B2112" t="s">
        <v>6323</v>
      </c>
      <c r="C2112" t="s">
        <v>6324</v>
      </c>
      <c r="D2112" t="s">
        <v>2469</v>
      </c>
      <c r="E2112" t="s">
        <v>6285</v>
      </c>
    </row>
    <row r="2113" spans="1:5" x14ac:dyDescent="0.25">
      <c r="A2113" t="s">
        <v>1575</v>
      </c>
      <c r="B2113" t="s">
        <v>6325</v>
      </c>
      <c r="C2113" t="s">
        <v>6326</v>
      </c>
      <c r="D2113" t="s">
        <v>2469</v>
      </c>
      <c r="E2113" t="s">
        <v>6275</v>
      </c>
    </row>
    <row r="2114" spans="1:5" x14ac:dyDescent="0.25">
      <c r="A2114" t="s">
        <v>1575</v>
      </c>
      <c r="B2114" t="s">
        <v>6327</v>
      </c>
      <c r="C2114" t="s">
        <v>6328</v>
      </c>
      <c r="D2114" t="s">
        <v>2469</v>
      </c>
      <c r="E2114" t="s">
        <v>6273</v>
      </c>
    </row>
    <row r="2115" spans="1:5" x14ac:dyDescent="0.25">
      <c r="A2115" t="s">
        <v>1575</v>
      </c>
      <c r="B2115" t="s">
        <v>6329</v>
      </c>
      <c r="C2115" t="s">
        <v>6330</v>
      </c>
      <c r="D2115" t="s">
        <v>2469</v>
      </c>
      <c r="E2115" t="s">
        <v>6275</v>
      </c>
    </row>
    <row r="2116" spans="1:5" x14ac:dyDescent="0.25">
      <c r="A2116" t="s">
        <v>1575</v>
      </c>
      <c r="B2116" t="s">
        <v>6331</v>
      </c>
      <c r="C2116" t="s">
        <v>6332</v>
      </c>
      <c r="D2116" t="s">
        <v>2469</v>
      </c>
      <c r="E2116" t="s">
        <v>6279</v>
      </c>
    </row>
    <row r="2117" spans="1:5" x14ac:dyDescent="0.25">
      <c r="A2117" t="s">
        <v>1575</v>
      </c>
      <c r="B2117" t="s">
        <v>6333</v>
      </c>
      <c r="C2117" t="s">
        <v>6334</v>
      </c>
      <c r="D2117" t="s">
        <v>2469</v>
      </c>
      <c r="E2117" t="s">
        <v>6277</v>
      </c>
    </row>
    <row r="2118" spans="1:5" x14ac:dyDescent="0.25">
      <c r="A2118" t="s">
        <v>1575</v>
      </c>
      <c r="B2118" t="s">
        <v>6335</v>
      </c>
      <c r="C2118" t="s">
        <v>6336</v>
      </c>
      <c r="D2118" t="s">
        <v>2469</v>
      </c>
      <c r="E2118" t="s">
        <v>6277</v>
      </c>
    </row>
    <row r="2119" spans="1:5" x14ac:dyDescent="0.25">
      <c r="A2119" t="s">
        <v>1575</v>
      </c>
      <c r="B2119" t="s">
        <v>6337</v>
      </c>
      <c r="C2119" t="s">
        <v>6338</v>
      </c>
      <c r="D2119" t="s">
        <v>2469</v>
      </c>
      <c r="E2119" t="s">
        <v>6285</v>
      </c>
    </row>
    <row r="2120" spans="1:5" x14ac:dyDescent="0.25">
      <c r="A2120" t="s">
        <v>1575</v>
      </c>
      <c r="B2120" t="s">
        <v>6339</v>
      </c>
      <c r="C2120" t="s">
        <v>6340</v>
      </c>
      <c r="D2120" t="s">
        <v>2469</v>
      </c>
      <c r="E2120" t="s">
        <v>6279</v>
      </c>
    </row>
    <row r="2121" spans="1:5" x14ac:dyDescent="0.25">
      <c r="A2121" t="s">
        <v>1575</v>
      </c>
      <c r="B2121" t="s">
        <v>6341</v>
      </c>
      <c r="C2121" t="s">
        <v>6342</v>
      </c>
      <c r="D2121" t="s">
        <v>2469</v>
      </c>
      <c r="E2121" t="s">
        <v>6283</v>
      </c>
    </row>
    <row r="2122" spans="1:5" x14ac:dyDescent="0.25">
      <c r="A2122" t="s">
        <v>1575</v>
      </c>
      <c r="B2122" t="s">
        <v>6343</v>
      </c>
      <c r="C2122" t="s">
        <v>6344</v>
      </c>
      <c r="D2122" t="s">
        <v>2469</v>
      </c>
      <c r="E2122" t="s">
        <v>6283</v>
      </c>
    </row>
    <row r="2123" spans="1:5" x14ac:dyDescent="0.25">
      <c r="A2123" t="s">
        <v>1575</v>
      </c>
      <c r="B2123" t="s">
        <v>6345</v>
      </c>
      <c r="C2123" t="s">
        <v>6346</v>
      </c>
      <c r="D2123" t="s">
        <v>2469</v>
      </c>
      <c r="E2123" t="s">
        <v>6273</v>
      </c>
    </row>
    <row r="2124" spans="1:5" x14ac:dyDescent="0.25">
      <c r="A2124" t="s">
        <v>1575</v>
      </c>
      <c r="B2124" t="s">
        <v>6347</v>
      </c>
      <c r="C2124" t="s">
        <v>6348</v>
      </c>
      <c r="D2124" t="s">
        <v>2469</v>
      </c>
      <c r="E2124" t="s">
        <v>6273</v>
      </c>
    </row>
    <row r="2125" spans="1:5" x14ac:dyDescent="0.25">
      <c r="A2125" t="s">
        <v>1575</v>
      </c>
      <c r="B2125" t="s">
        <v>6349</v>
      </c>
      <c r="C2125" t="s">
        <v>6350</v>
      </c>
      <c r="D2125" t="s">
        <v>2469</v>
      </c>
      <c r="E2125" t="s">
        <v>6275</v>
      </c>
    </row>
    <row r="2126" spans="1:5" x14ac:dyDescent="0.25">
      <c r="A2126" t="s">
        <v>1575</v>
      </c>
      <c r="B2126" t="s">
        <v>6351</v>
      </c>
      <c r="C2126" t="s">
        <v>6352</v>
      </c>
      <c r="D2126" t="s">
        <v>2469</v>
      </c>
      <c r="E2126" t="s">
        <v>6273</v>
      </c>
    </row>
    <row r="2127" spans="1:5" x14ac:dyDescent="0.25">
      <c r="A2127" t="s">
        <v>1575</v>
      </c>
      <c r="B2127" t="s">
        <v>6353</v>
      </c>
      <c r="C2127" t="s">
        <v>6354</v>
      </c>
      <c r="D2127" t="s">
        <v>2469</v>
      </c>
      <c r="E2127" t="s">
        <v>6271</v>
      </c>
    </row>
    <row r="2128" spans="1:5" x14ac:dyDescent="0.25">
      <c r="A2128" t="s">
        <v>1575</v>
      </c>
      <c r="B2128" t="s">
        <v>6355</v>
      </c>
      <c r="C2128" t="s">
        <v>6356</v>
      </c>
      <c r="D2128" t="s">
        <v>2469</v>
      </c>
      <c r="E2128" t="s">
        <v>6279</v>
      </c>
    </row>
    <row r="2129" spans="1:5" x14ac:dyDescent="0.25">
      <c r="A2129" t="s">
        <v>1575</v>
      </c>
      <c r="B2129" t="s">
        <v>6357</v>
      </c>
      <c r="C2129" t="s">
        <v>6358</v>
      </c>
      <c r="D2129" t="s">
        <v>2469</v>
      </c>
      <c r="E2129" t="s">
        <v>6275</v>
      </c>
    </row>
    <row r="2130" spans="1:5" x14ac:dyDescent="0.25">
      <c r="A2130" t="s">
        <v>1575</v>
      </c>
      <c r="B2130" t="s">
        <v>6359</v>
      </c>
      <c r="C2130" t="s">
        <v>6360</v>
      </c>
      <c r="D2130" t="s">
        <v>2469</v>
      </c>
      <c r="E2130" t="s">
        <v>6279</v>
      </c>
    </row>
    <row r="2131" spans="1:5" x14ac:dyDescent="0.25">
      <c r="A2131" t="s">
        <v>1575</v>
      </c>
      <c r="B2131" t="s">
        <v>6361</v>
      </c>
      <c r="C2131" t="s">
        <v>6362</v>
      </c>
      <c r="D2131" t="s">
        <v>2469</v>
      </c>
      <c r="E2131" t="s">
        <v>6279</v>
      </c>
    </row>
    <row r="2132" spans="1:5" x14ac:dyDescent="0.25">
      <c r="A2132" t="s">
        <v>1575</v>
      </c>
      <c r="B2132" t="s">
        <v>6363</v>
      </c>
      <c r="C2132" t="s">
        <v>6364</v>
      </c>
      <c r="D2132" t="s">
        <v>2469</v>
      </c>
      <c r="E2132" t="s">
        <v>6283</v>
      </c>
    </row>
    <row r="2133" spans="1:5" x14ac:dyDescent="0.25">
      <c r="A2133" t="s">
        <v>1575</v>
      </c>
      <c r="B2133" t="s">
        <v>6365</v>
      </c>
      <c r="C2133" t="s">
        <v>6366</v>
      </c>
      <c r="D2133" t="s">
        <v>2469</v>
      </c>
      <c r="E2133" t="s">
        <v>6281</v>
      </c>
    </row>
    <row r="2134" spans="1:5" x14ac:dyDescent="0.25">
      <c r="A2134" t="s">
        <v>1575</v>
      </c>
      <c r="B2134" t="s">
        <v>6367</v>
      </c>
      <c r="C2134" t="s">
        <v>6368</v>
      </c>
      <c r="D2134" t="s">
        <v>2469</v>
      </c>
      <c r="E2134" t="s">
        <v>6273</v>
      </c>
    </row>
    <row r="2135" spans="1:5" x14ac:dyDescent="0.25">
      <c r="A2135" t="s">
        <v>1575</v>
      </c>
      <c r="B2135" t="s">
        <v>6369</v>
      </c>
      <c r="C2135" t="s">
        <v>6370</v>
      </c>
      <c r="D2135" t="s">
        <v>2469</v>
      </c>
      <c r="E2135" t="s">
        <v>6273</v>
      </c>
    </row>
    <row r="2136" spans="1:5" x14ac:dyDescent="0.25">
      <c r="A2136" t="s">
        <v>1575</v>
      </c>
      <c r="B2136" t="s">
        <v>6371</v>
      </c>
      <c r="C2136" t="s">
        <v>6372</v>
      </c>
      <c r="D2136" t="s">
        <v>2469</v>
      </c>
      <c r="E2136" t="s">
        <v>6279</v>
      </c>
    </row>
    <row r="2137" spans="1:5" x14ac:dyDescent="0.25">
      <c r="A2137" t="s">
        <v>1575</v>
      </c>
      <c r="B2137" t="s">
        <v>6373</v>
      </c>
      <c r="C2137" t="s">
        <v>6374</v>
      </c>
      <c r="D2137" t="s">
        <v>2469</v>
      </c>
      <c r="E2137" t="s">
        <v>6277</v>
      </c>
    </row>
    <row r="2138" spans="1:5" x14ac:dyDescent="0.25">
      <c r="A2138" t="s">
        <v>1575</v>
      </c>
      <c r="B2138" t="s">
        <v>6375</v>
      </c>
      <c r="C2138" t="s">
        <v>6376</v>
      </c>
      <c r="D2138" t="s">
        <v>2469</v>
      </c>
      <c r="E2138" t="s">
        <v>6277</v>
      </c>
    </row>
    <row r="2139" spans="1:5" x14ac:dyDescent="0.25">
      <c r="A2139" t="s">
        <v>1575</v>
      </c>
      <c r="B2139" t="s">
        <v>6377</v>
      </c>
      <c r="C2139" t="s">
        <v>6378</v>
      </c>
      <c r="D2139" t="s">
        <v>2469</v>
      </c>
      <c r="E2139" t="s">
        <v>6279</v>
      </c>
    </row>
    <row r="2140" spans="1:5" x14ac:dyDescent="0.25">
      <c r="A2140" t="s">
        <v>1575</v>
      </c>
      <c r="B2140" t="s">
        <v>6379</v>
      </c>
      <c r="C2140" t="s">
        <v>6380</v>
      </c>
      <c r="D2140" t="s">
        <v>2469</v>
      </c>
      <c r="E2140" t="s">
        <v>6285</v>
      </c>
    </row>
    <row r="2141" spans="1:5" x14ac:dyDescent="0.25">
      <c r="A2141" t="s">
        <v>1575</v>
      </c>
      <c r="B2141" t="s">
        <v>6381</v>
      </c>
      <c r="C2141" t="s">
        <v>6382</v>
      </c>
      <c r="D2141" t="s">
        <v>2469</v>
      </c>
      <c r="E2141" t="s">
        <v>6285</v>
      </c>
    </row>
    <row r="2142" spans="1:5" x14ac:dyDescent="0.25">
      <c r="A2142" t="s">
        <v>1575</v>
      </c>
      <c r="B2142" t="s">
        <v>6383</v>
      </c>
      <c r="C2142" t="s">
        <v>6384</v>
      </c>
      <c r="D2142" t="s">
        <v>2469</v>
      </c>
      <c r="E2142" t="s">
        <v>6283</v>
      </c>
    </row>
    <row r="2143" spans="1:5" x14ac:dyDescent="0.25">
      <c r="A2143" t="s">
        <v>1575</v>
      </c>
      <c r="B2143" t="s">
        <v>6385</v>
      </c>
      <c r="C2143" t="s">
        <v>6386</v>
      </c>
      <c r="D2143" t="s">
        <v>2469</v>
      </c>
      <c r="E2143" t="s">
        <v>6285</v>
      </c>
    </row>
    <row r="2144" spans="1:5" x14ac:dyDescent="0.25">
      <c r="A2144" t="s">
        <v>1575</v>
      </c>
      <c r="B2144" t="s">
        <v>6387</v>
      </c>
      <c r="C2144" t="s">
        <v>6388</v>
      </c>
      <c r="D2144" t="s">
        <v>2469</v>
      </c>
      <c r="E2144" t="s">
        <v>6283</v>
      </c>
    </row>
    <row r="2145" spans="1:5" x14ac:dyDescent="0.25">
      <c r="A2145" t="s">
        <v>1575</v>
      </c>
      <c r="B2145" t="s">
        <v>6389</v>
      </c>
      <c r="C2145" t="s">
        <v>6390</v>
      </c>
      <c r="D2145" t="s">
        <v>2469</v>
      </c>
      <c r="E2145" t="s">
        <v>6281</v>
      </c>
    </row>
    <row r="2146" spans="1:5" x14ac:dyDescent="0.25">
      <c r="A2146" t="s">
        <v>1575</v>
      </c>
      <c r="B2146" t="s">
        <v>6391</v>
      </c>
      <c r="C2146" t="s">
        <v>6392</v>
      </c>
      <c r="D2146" t="s">
        <v>2469</v>
      </c>
      <c r="E2146" t="s">
        <v>6275</v>
      </c>
    </row>
    <row r="2147" spans="1:5" x14ac:dyDescent="0.25">
      <c r="A2147" t="s">
        <v>1575</v>
      </c>
      <c r="B2147" t="s">
        <v>6393</v>
      </c>
      <c r="C2147" t="s">
        <v>6394</v>
      </c>
      <c r="D2147" t="s">
        <v>2469</v>
      </c>
      <c r="E2147" t="s">
        <v>6279</v>
      </c>
    </row>
    <row r="2148" spans="1:5" x14ac:dyDescent="0.25">
      <c r="A2148" t="s">
        <v>1575</v>
      </c>
      <c r="B2148" t="s">
        <v>6395</v>
      </c>
      <c r="C2148" t="s">
        <v>6396</v>
      </c>
      <c r="D2148" t="s">
        <v>2469</v>
      </c>
      <c r="E2148" t="s">
        <v>6271</v>
      </c>
    </row>
    <row r="2149" spans="1:5" x14ac:dyDescent="0.25">
      <c r="A2149" t="s">
        <v>1575</v>
      </c>
      <c r="B2149" t="s">
        <v>6397</v>
      </c>
      <c r="C2149" t="s">
        <v>6398</v>
      </c>
      <c r="D2149" t="s">
        <v>2469</v>
      </c>
      <c r="E2149" t="s">
        <v>6279</v>
      </c>
    </row>
    <row r="2150" spans="1:5" x14ac:dyDescent="0.25">
      <c r="A2150" t="s">
        <v>1575</v>
      </c>
      <c r="B2150" t="s">
        <v>6399</v>
      </c>
      <c r="C2150" t="s">
        <v>6400</v>
      </c>
      <c r="D2150" t="s">
        <v>2469</v>
      </c>
      <c r="E2150" t="s">
        <v>6277</v>
      </c>
    </row>
    <row r="2151" spans="1:5" x14ac:dyDescent="0.25">
      <c r="A2151" t="s">
        <v>1575</v>
      </c>
      <c r="B2151" t="s">
        <v>6401</v>
      </c>
      <c r="C2151" t="s">
        <v>6402</v>
      </c>
      <c r="D2151" t="s">
        <v>2469</v>
      </c>
      <c r="E2151" t="s">
        <v>6281</v>
      </c>
    </row>
    <row r="2152" spans="1:5" x14ac:dyDescent="0.25">
      <c r="A2152" t="s">
        <v>1575</v>
      </c>
      <c r="B2152" t="s">
        <v>6403</v>
      </c>
      <c r="C2152" t="s">
        <v>6404</v>
      </c>
      <c r="D2152" t="s">
        <v>2469</v>
      </c>
      <c r="E2152" t="s">
        <v>6283</v>
      </c>
    </row>
    <row r="2153" spans="1:5" x14ac:dyDescent="0.25">
      <c r="A2153" t="s">
        <v>1575</v>
      </c>
      <c r="B2153" t="s">
        <v>6405</v>
      </c>
      <c r="C2153" t="s">
        <v>6406</v>
      </c>
      <c r="D2153" t="s">
        <v>2469</v>
      </c>
      <c r="E2153" t="s">
        <v>6275</v>
      </c>
    </row>
    <row r="2154" spans="1:5" x14ac:dyDescent="0.25">
      <c r="A2154" t="s">
        <v>1575</v>
      </c>
      <c r="B2154" t="s">
        <v>6407</v>
      </c>
      <c r="C2154" t="s">
        <v>6408</v>
      </c>
      <c r="D2154" t="s">
        <v>2469</v>
      </c>
      <c r="E2154" t="s">
        <v>6279</v>
      </c>
    </row>
    <row r="2155" spans="1:5" x14ac:dyDescent="0.25">
      <c r="A2155" t="s">
        <v>1575</v>
      </c>
      <c r="B2155" t="s">
        <v>6409</v>
      </c>
      <c r="C2155" t="s">
        <v>6410</v>
      </c>
      <c r="D2155" t="s">
        <v>2469</v>
      </c>
      <c r="E2155" t="s">
        <v>6283</v>
      </c>
    </row>
    <row r="2156" spans="1:5" x14ac:dyDescent="0.25">
      <c r="A2156" t="s">
        <v>1575</v>
      </c>
      <c r="B2156" t="s">
        <v>6411</v>
      </c>
      <c r="C2156" t="s">
        <v>6412</v>
      </c>
      <c r="D2156" t="s">
        <v>2469</v>
      </c>
      <c r="E2156" t="s">
        <v>6271</v>
      </c>
    </row>
    <row r="2157" spans="1:5" x14ac:dyDescent="0.25">
      <c r="A2157" t="s">
        <v>1575</v>
      </c>
      <c r="B2157" t="s">
        <v>6413</v>
      </c>
      <c r="C2157" t="s">
        <v>6414</v>
      </c>
      <c r="D2157" t="s">
        <v>2469</v>
      </c>
      <c r="E2157" t="s">
        <v>6275</v>
      </c>
    </row>
    <row r="2158" spans="1:5" x14ac:dyDescent="0.25">
      <c r="A2158" t="s">
        <v>1578</v>
      </c>
      <c r="B2158" t="s">
        <v>6415</v>
      </c>
      <c r="C2158" t="s">
        <v>6416</v>
      </c>
      <c r="D2158" t="s">
        <v>2311</v>
      </c>
      <c r="E2158" t="s">
        <v>2170</v>
      </c>
    </row>
    <row r="2159" spans="1:5" x14ac:dyDescent="0.25">
      <c r="A2159" t="s">
        <v>1578</v>
      </c>
      <c r="B2159" t="s">
        <v>6417</v>
      </c>
      <c r="C2159" t="s">
        <v>6418</v>
      </c>
      <c r="D2159" t="s">
        <v>2311</v>
      </c>
      <c r="E2159" t="s">
        <v>2170</v>
      </c>
    </row>
    <row r="2160" spans="1:5" x14ac:dyDescent="0.25">
      <c r="A2160" t="s">
        <v>1578</v>
      </c>
      <c r="B2160" t="s">
        <v>6419</v>
      </c>
      <c r="C2160" t="s">
        <v>6420</v>
      </c>
      <c r="D2160" t="s">
        <v>2311</v>
      </c>
      <c r="E2160" t="s">
        <v>2170</v>
      </c>
    </row>
    <row r="2161" spans="1:5" x14ac:dyDescent="0.25">
      <c r="A2161" t="s">
        <v>1578</v>
      </c>
      <c r="B2161" t="s">
        <v>6421</v>
      </c>
      <c r="C2161" t="s">
        <v>6422</v>
      </c>
      <c r="D2161" t="s">
        <v>2311</v>
      </c>
      <c r="E2161" t="s">
        <v>2170</v>
      </c>
    </row>
    <row r="2162" spans="1:5" x14ac:dyDescent="0.25">
      <c r="A2162" t="s">
        <v>1578</v>
      </c>
      <c r="B2162" t="s">
        <v>6423</v>
      </c>
      <c r="C2162" t="s">
        <v>6424</v>
      </c>
      <c r="D2162" t="s">
        <v>2311</v>
      </c>
      <c r="E2162" t="s">
        <v>2170</v>
      </c>
    </row>
    <row r="2163" spans="1:5" x14ac:dyDescent="0.25">
      <c r="A2163" t="s">
        <v>1578</v>
      </c>
      <c r="B2163" t="s">
        <v>6425</v>
      </c>
      <c r="C2163" t="s">
        <v>6426</v>
      </c>
      <c r="D2163" t="s">
        <v>3555</v>
      </c>
      <c r="E2163" t="s">
        <v>2170</v>
      </c>
    </row>
    <row r="2164" spans="1:5" x14ac:dyDescent="0.25">
      <c r="A2164" t="s">
        <v>1578</v>
      </c>
      <c r="B2164" t="s">
        <v>6427</v>
      </c>
      <c r="C2164" t="s">
        <v>6428</v>
      </c>
      <c r="D2164" t="s">
        <v>2311</v>
      </c>
      <c r="E2164" t="s">
        <v>2170</v>
      </c>
    </row>
    <row r="2165" spans="1:5" x14ac:dyDescent="0.25">
      <c r="A2165" t="s">
        <v>1578</v>
      </c>
      <c r="B2165" t="s">
        <v>6429</v>
      </c>
      <c r="C2165" t="s">
        <v>6430</v>
      </c>
      <c r="D2165" t="s">
        <v>2311</v>
      </c>
      <c r="E2165" t="s">
        <v>2170</v>
      </c>
    </row>
    <row r="2166" spans="1:5" x14ac:dyDescent="0.25">
      <c r="A2166" t="s">
        <v>1578</v>
      </c>
      <c r="B2166" t="s">
        <v>6431</v>
      </c>
      <c r="C2166" t="s">
        <v>6432</v>
      </c>
      <c r="D2166" t="s">
        <v>2311</v>
      </c>
      <c r="E2166" t="s">
        <v>2170</v>
      </c>
    </row>
    <row r="2167" spans="1:5" x14ac:dyDescent="0.25">
      <c r="A2167" t="s">
        <v>1578</v>
      </c>
      <c r="B2167" t="s">
        <v>6433</v>
      </c>
      <c r="C2167" t="s">
        <v>6434</v>
      </c>
      <c r="D2167" t="s">
        <v>2311</v>
      </c>
      <c r="E2167" t="s">
        <v>2170</v>
      </c>
    </row>
    <row r="2168" spans="1:5" x14ac:dyDescent="0.25">
      <c r="A2168" t="s">
        <v>1578</v>
      </c>
      <c r="B2168" t="s">
        <v>6435</v>
      </c>
      <c r="C2168" t="s">
        <v>6436</v>
      </c>
      <c r="D2168" t="s">
        <v>2311</v>
      </c>
      <c r="E2168" t="s">
        <v>2170</v>
      </c>
    </row>
    <row r="2169" spans="1:5" x14ac:dyDescent="0.25">
      <c r="A2169" t="s">
        <v>1578</v>
      </c>
      <c r="B2169" t="s">
        <v>6437</v>
      </c>
      <c r="C2169" t="s">
        <v>6438</v>
      </c>
      <c r="D2169" t="s">
        <v>2311</v>
      </c>
      <c r="E2169" t="s">
        <v>2170</v>
      </c>
    </row>
    <row r="2170" spans="1:5" x14ac:dyDescent="0.25">
      <c r="A2170" t="s">
        <v>1578</v>
      </c>
      <c r="B2170" t="s">
        <v>6439</v>
      </c>
      <c r="C2170" t="s">
        <v>6440</v>
      </c>
      <c r="D2170" t="s">
        <v>2311</v>
      </c>
      <c r="E2170" t="s">
        <v>2170</v>
      </c>
    </row>
    <row r="2171" spans="1:5" x14ac:dyDescent="0.25">
      <c r="A2171" t="s">
        <v>1578</v>
      </c>
      <c r="B2171" t="s">
        <v>6441</v>
      </c>
      <c r="C2171" t="s">
        <v>6442</v>
      </c>
      <c r="D2171" t="s">
        <v>3555</v>
      </c>
      <c r="E2171" t="s">
        <v>2170</v>
      </c>
    </row>
    <row r="2172" spans="1:5" x14ac:dyDescent="0.25">
      <c r="A2172" t="s">
        <v>1578</v>
      </c>
      <c r="B2172" t="s">
        <v>6443</v>
      </c>
      <c r="C2172" t="s">
        <v>6444</v>
      </c>
      <c r="D2172" t="s">
        <v>3555</v>
      </c>
      <c r="E2172" t="s">
        <v>2170</v>
      </c>
    </row>
    <row r="2173" spans="1:5" x14ac:dyDescent="0.25">
      <c r="A2173" t="s">
        <v>1578</v>
      </c>
      <c r="B2173" t="s">
        <v>6445</v>
      </c>
      <c r="C2173" t="s">
        <v>6446</v>
      </c>
      <c r="D2173" t="s">
        <v>2311</v>
      </c>
      <c r="E2173" t="s">
        <v>2170</v>
      </c>
    </row>
    <row r="2174" spans="1:5" x14ac:dyDescent="0.25">
      <c r="A2174" t="s">
        <v>1578</v>
      </c>
      <c r="B2174" t="s">
        <v>6447</v>
      </c>
      <c r="C2174" t="s">
        <v>6448</v>
      </c>
      <c r="D2174" t="s">
        <v>3555</v>
      </c>
      <c r="E2174" t="s">
        <v>2170</v>
      </c>
    </row>
    <row r="2175" spans="1:5" x14ac:dyDescent="0.25">
      <c r="A2175" t="s">
        <v>1578</v>
      </c>
      <c r="B2175" t="s">
        <v>6449</v>
      </c>
      <c r="C2175" t="s">
        <v>6450</v>
      </c>
      <c r="D2175" t="s">
        <v>2311</v>
      </c>
      <c r="E2175" t="s">
        <v>2170</v>
      </c>
    </row>
    <row r="2176" spans="1:5" x14ac:dyDescent="0.25">
      <c r="A2176" t="s">
        <v>1578</v>
      </c>
      <c r="B2176" t="s">
        <v>6451</v>
      </c>
      <c r="C2176" t="s">
        <v>6452</v>
      </c>
      <c r="D2176" t="s">
        <v>3555</v>
      </c>
      <c r="E2176" t="s">
        <v>2170</v>
      </c>
    </row>
    <row r="2177" spans="1:5" x14ac:dyDescent="0.25">
      <c r="A2177" t="s">
        <v>1578</v>
      </c>
      <c r="B2177" t="s">
        <v>6453</v>
      </c>
      <c r="C2177" t="s">
        <v>6454</v>
      </c>
      <c r="D2177" t="s">
        <v>2311</v>
      </c>
      <c r="E2177" t="s">
        <v>2170</v>
      </c>
    </row>
    <row r="2178" spans="1:5" x14ac:dyDescent="0.25">
      <c r="A2178" t="s">
        <v>1578</v>
      </c>
      <c r="B2178" t="s">
        <v>6455</v>
      </c>
      <c r="C2178" t="s">
        <v>6456</v>
      </c>
      <c r="D2178" t="s">
        <v>6457</v>
      </c>
      <c r="E2178" t="s">
        <v>6443</v>
      </c>
    </row>
    <row r="2179" spans="1:5" x14ac:dyDescent="0.25">
      <c r="A2179" t="s">
        <v>1578</v>
      </c>
      <c r="B2179" t="s">
        <v>6458</v>
      </c>
      <c r="C2179" t="s">
        <v>6459</v>
      </c>
      <c r="D2179" t="s">
        <v>2200</v>
      </c>
      <c r="E2179" t="s">
        <v>6437</v>
      </c>
    </row>
    <row r="2180" spans="1:5" x14ac:dyDescent="0.25">
      <c r="A2180" t="s">
        <v>1578</v>
      </c>
      <c r="B2180" t="s">
        <v>6460</v>
      </c>
      <c r="C2180" t="s">
        <v>6461</v>
      </c>
      <c r="D2180" t="s">
        <v>2200</v>
      </c>
      <c r="E2180" t="s">
        <v>6433</v>
      </c>
    </row>
    <row r="2181" spans="1:5" x14ac:dyDescent="0.25">
      <c r="A2181" t="s">
        <v>1578</v>
      </c>
      <c r="B2181" t="s">
        <v>6462</v>
      </c>
      <c r="C2181" t="s">
        <v>6463</v>
      </c>
      <c r="D2181" t="s">
        <v>2200</v>
      </c>
      <c r="E2181" t="s">
        <v>6445</v>
      </c>
    </row>
    <row r="2182" spans="1:5" x14ac:dyDescent="0.25">
      <c r="A2182" t="s">
        <v>1578</v>
      </c>
      <c r="B2182" t="s">
        <v>6464</v>
      </c>
      <c r="C2182" t="s">
        <v>6465</v>
      </c>
      <c r="D2182" t="s">
        <v>2200</v>
      </c>
      <c r="E2182" t="s">
        <v>6433</v>
      </c>
    </row>
    <row r="2183" spans="1:5" x14ac:dyDescent="0.25">
      <c r="A2183" t="s">
        <v>1578</v>
      </c>
      <c r="B2183" t="s">
        <v>6466</v>
      </c>
      <c r="C2183" t="s">
        <v>6467</v>
      </c>
      <c r="D2183" t="s">
        <v>2200</v>
      </c>
      <c r="E2183" t="s">
        <v>6437</v>
      </c>
    </row>
    <row r="2184" spans="1:5" x14ac:dyDescent="0.25">
      <c r="A2184" t="s">
        <v>1578</v>
      </c>
      <c r="B2184" t="s">
        <v>6468</v>
      </c>
      <c r="C2184" t="s">
        <v>6469</v>
      </c>
      <c r="D2184" t="s">
        <v>2200</v>
      </c>
      <c r="E2184" t="s">
        <v>6421</v>
      </c>
    </row>
    <row r="2185" spans="1:5" x14ac:dyDescent="0.25">
      <c r="A2185" t="s">
        <v>1578</v>
      </c>
      <c r="B2185" t="s">
        <v>6470</v>
      </c>
      <c r="C2185" t="s">
        <v>6471</v>
      </c>
      <c r="D2185" t="s">
        <v>6472</v>
      </c>
      <c r="E2185" t="s">
        <v>6439</v>
      </c>
    </row>
    <row r="2186" spans="1:5" x14ac:dyDescent="0.25">
      <c r="A2186" t="s">
        <v>1578</v>
      </c>
      <c r="B2186" t="s">
        <v>6473</v>
      </c>
      <c r="C2186" t="s">
        <v>6474</v>
      </c>
      <c r="D2186" t="s">
        <v>2200</v>
      </c>
      <c r="E2186" t="s">
        <v>6439</v>
      </c>
    </row>
    <row r="2187" spans="1:5" x14ac:dyDescent="0.25">
      <c r="A2187" t="s">
        <v>1578</v>
      </c>
      <c r="B2187" t="s">
        <v>6475</v>
      </c>
      <c r="C2187" t="s">
        <v>6476</v>
      </c>
      <c r="D2187" t="s">
        <v>2200</v>
      </c>
      <c r="E2187" t="s">
        <v>6453</v>
      </c>
    </row>
    <row r="2188" spans="1:5" x14ac:dyDescent="0.25">
      <c r="A2188" t="s">
        <v>1578</v>
      </c>
      <c r="B2188" t="s">
        <v>6477</v>
      </c>
      <c r="C2188" t="s">
        <v>6478</v>
      </c>
      <c r="D2188" t="s">
        <v>2200</v>
      </c>
      <c r="E2188" t="s">
        <v>6421</v>
      </c>
    </row>
    <row r="2189" spans="1:5" x14ac:dyDescent="0.25">
      <c r="A2189" t="s">
        <v>1578</v>
      </c>
      <c r="B2189" t="s">
        <v>6479</v>
      </c>
      <c r="C2189" t="s">
        <v>6480</v>
      </c>
      <c r="D2189" t="s">
        <v>2200</v>
      </c>
      <c r="E2189" t="s">
        <v>6431</v>
      </c>
    </row>
    <row r="2190" spans="1:5" x14ac:dyDescent="0.25">
      <c r="A2190" t="s">
        <v>1578</v>
      </c>
      <c r="B2190" t="s">
        <v>6481</v>
      </c>
      <c r="C2190" t="s">
        <v>6482</v>
      </c>
      <c r="D2190" t="s">
        <v>2200</v>
      </c>
      <c r="E2190" t="s">
        <v>6437</v>
      </c>
    </row>
    <row r="2191" spans="1:5" x14ac:dyDescent="0.25">
      <c r="A2191" t="s">
        <v>1578</v>
      </c>
      <c r="B2191" t="s">
        <v>6483</v>
      </c>
      <c r="C2191" t="s">
        <v>6484</v>
      </c>
      <c r="D2191" t="s">
        <v>6472</v>
      </c>
      <c r="E2191" t="s">
        <v>6423</v>
      </c>
    </row>
    <row r="2192" spans="1:5" x14ac:dyDescent="0.25">
      <c r="A2192" t="s">
        <v>1578</v>
      </c>
      <c r="B2192" t="s">
        <v>6485</v>
      </c>
      <c r="C2192" t="s">
        <v>6486</v>
      </c>
      <c r="D2192" t="s">
        <v>6487</v>
      </c>
      <c r="E2192" t="s">
        <v>6447</v>
      </c>
    </row>
    <row r="2193" spans="1:5" x14ac:dyDescent="0.25">
      <c r="A2193" t="s">
        <v>1578</v>
      </c>
      <c r="B2193" t="s">
        <v>6488</v>
      </c>
      <c r="C2193" t="s">
        <v>6489</v>
      </c>
      <c r="D2193" t="s">
        <v>2200</v>
      </c>
      <c r="E2193" t="s">
        <v>6431</v>
      </c>
    </row>
    <row r="2194" spans="1:5" x14ac:dyDescent="0.25">
      <c r="A2194" t="s">
        <v>1578</v>
      </c>
      <c r="B2194" t="s">
        <v>6490</v>
      </c>
      <c r="C2194" t="s">
        <v>6491</v>
      </c>
      <c r="D2194" t="s">
        <v>2200</v>
      </c>
      <c r="E2194" t="s">
        <v>6439</v>
      </c>
    </row>
    <row r="2195" spans="1:5" x14ac:dyDescent="0.25">
      <c r="A2195" t="s">
        <v>1578</v>
      </c>
      <c r="B2195" t="s">
        <v>6492</v>
      </c>
      <c r="C2195" t="s">
        <v>6493</v>
      </c>
      <c r="D2195" t="s">
        <v>6472</v>
      </c>
      <c r="E2195" t="s">
        <v>6441</v>
      </c>
    </row>
    <row r="2196" spans="1:5" x14ac:dyDescent="0.25">
      <c r="A2196" t="s">
        <v>1578</v>
      </c>
      <c r="B2196" t="s">
        <v>6494</v>
      </c>
      <c r="C2196" t="s">
        <v>6495</v>
      </c>
      <c r="D2196" t="s">
        <v>6457</v>
      </c>
      <c r="E2196" t="s">
        <v>6443</v>
      </c>
    </row>
    <row r="2197" spans="1:5" x14ac:dyDescent="0.25">
      <c r="A2197" t="s">
        <v>1578</v>
      </c>
      <c r="B2197" t="s">
        <v>6496</v>
      </c>
      <c r="C2197" t="s">
        <v>6497</v>
      </c>
      <c r="D2197" t="s">
        <v>2200</v>
      </c>
      <c r="E2197" t="s">
        <v>6435</v>
      </c>
    </row>
    <row r="2198" spans="1:5" x14ac:dyDescent="0.25">
      <c r="A2198" t="s">
        <v>1578</v>
      </c>
      <c r="B2198" t="s">
        <v>6498</v>
      </c>
      <c r="C2198" t="s">
        <v>6499</v>
      </c>
      <c r="D2198" t="s">
        <v>2200</v>
      </c>
      <c r="E2198" t="s">
        <v>6421</v>
      </c>
    </row>
    <row r="2199" spans="1:5" x14ac:dyDescent="0.25">
      <c r="A2199" t="s">
        <v>1578</v>
      </c>
      <c r="B2199" t="s">
        <v>6500</v>
      </c>
      <c r="C2199" t="s">
        <v>6501</v>
      </c>
      <c r="D2199" t="s">
        <v>6472</v>
      </c>
      <c r="E2199" t="s">
        <v>6443</v>
      </c>
    </row>
    <row r="2200" spans="1:5" x14ac:dyDescent="0.25">
      <c r="A2200" t="s">
        <v>1578</v>
      </c>
      <c r="B2200" t="s">
        <v>6502</v>
      </c>
      <c r="C2200" t="s">
        <v>6503</v>
      </c>
      <c r="D2200" t="s">
        <v>2200</v>
      </c>
      <c r="E2200" t="s">
        <v>6419</v>
      </c>
    </row>
    <row r="2201" spans="1:5" x14ac:dyDescent="0.25">
      <c r="A2201" t="s">
        <v>1578</v>
      </c>
      <c r="B2201" t="s">
        <v>6504</v>
      </c>
      <c r="C2201" t="s">
        <v>6505</v>
      </c>
      <c r="D2201" t="s">
        <v>2200</v>
      </c>
      <c r="E2201" t="s">
        <v>6415</v>
      </c>
    </row>
    <row r="2202" spans="1:5" x14ac:dyDescent="0.25">
      <c r="A2202" t="s">
        <v>1578</v>
      </c>
      <c r="B2202" t="s">
        <v>6506</v>
      </c>
      <c r="C2202" t="s">
        <v>6507</v>
      </c>
      <c r="D2202" t="s">
        <v>2200</v>
      </c>
      <c r="E2202" t="s">
        <v>6431</v>
      </c>
    </row>
    <row r="2203" spans="1:5" x14ac:dyDescent="0.25">
      <c r="A2203" t="s">
        <v>1578</v>
      </c>
      <c r="B2203" t="s">
        <v>6508</v>
      </c>
      <c r="C2203" t="s">
        <v>6509</v>
      </c>
      <c r="D2203" t="s">
        <v>2200</v>
      </c>
      <c r="E2203" t="s">
        <v>6419</v>
      </c>
    </row>
    <row r="2204" spans="1:5" x14ac:dyDescent="0.25">
      <c r="A2204" t="s">
        <v>1578</v>
      </c>
      <c r="B2204" t="s">
        <v>6510</v>
      </c>
      <c r="C2204" t="s">
        <v>6511</v>
      </c>
      <c r="D2204" t="s">
        <v>2200</v>
      </c>
      <c r="E2204" t="s">
        <v>6431</v>
      </c>
    </row>
    <row r="2205" spans="1:5" x14ac:dyDescent="0.25">
      <c r="A2205" t="s">
        <v>1578</v>
      </c>
      <c r="B2205" t="s">
        <v>6512</v>
      </c>
      <c r="C2205" t="s">
        <v>6513</v>
      </c>
      <c r="D2205" t="s">
        <v>2200</v>
      </c>
      <c r="E2205" t="s">
        <v>6419</v>
      </c>
    </row>
    <row r="2206" spans="1:5" x14ac:dyDescent="0.25">
      <c r="A2206" t="s">
        <v>1578</v>
      </c>
      <c r="B2206" t="s">
        <v>6514</v>
      </c>
      <c r="C2206" t="s">
        <v>6515</v>
      </c>
      <c r="D2206" t="s">
        <v>2200</v>
      </c>
      <c r="E2206" t="s">
        <v>6437</v>
      </c>
    </row>
    <row r="2207" spans="1:5" x14ac:dyDescent="0.25">
      <c r="A2207" t="s">
        <v>1578</v>
      </c>
      <c r="B2207" t="s">
        <v>6516</v>
      </c>
      <c r="C2207" t="s">
        <v>6517</v>
      </c>
      <c r="D2207" t="s">
        <v>6457</v>
      </c>
      <c r="E2207" t="s">
        <v>6443</v>
      </c>
    </row>
    <row r="2208" spans="1:5" x14ac:dyDescent="0.25">
      <c r="A2208" t="s">
        <v>1578</v>
      </c>
      <c r="B2208" t="s">
        <v>6518</v>
      </c>
      <c r="C2208" t="s">
        <v>6519</v>
      </c>
      <c r="D2208" t="s">
        <v>2200</v>
      </c>
      <c r="E2208" t="s">
        <v>6433</v>
      </c>
    </row>
    <row r="2209" spans="1:5" x14ac:dyDescent="0.25">
      <c r="A2209" t="s">
        <v>1578</v>
      </c>
      <c r="B2209" t="s">
        <v>6520</v>
      </c>
      <c r="C2209" t="s">
        <v>6521</v>
      </c>
      <c r="D2209" t="s">
        <v>2200</v>
      </c>
      <c r="E2209" t="s">
        <v>6423</v>
      </c>
    </row>
    <row r="2210" spans="1:5" x14ac:dyDescent="0.25">
      <c r="A2210" t="s">
        <v>1578</v>
      </c>
      <c r="B2210" t="s">
        <v>6522</v>
      </c>
      <c r="C2210" t="s">
        <v>6523</v>
      </c>
      <c r="D2210" t="s">
        <v>6472</v>
      </c>
      <c r="E2210" t="s">
        <v>6445</v>
      </c>
    </row>
    <row r="2211" spans="1:5" x14ac:dyDescent="0.25">
      <c r="A2211" t="s">
        <v>1578</v>
      </c>
      <c r="B2211" t="s">
        <v>6524</v>
      </c>
      <c r="C2211" t="s">
        <v>6525</v>
      </c>
      <c r="D2211" t="s">
        <v>2200</v>
      </c>
      <c r="E2211" t="s">
        <v>6439</v>
      </c>
    </row>
    <row r="2212" spans="1:5" x14ac:dyDescent="0.25">
      <c r="A2212" t="s">
        <v>1578</v>
      </c>
      <c r="B2212" t="s">
        <v>6526</v>
      </c>
      <c r="C2212" t="s">
        <v>6527</v>
      </c>
      <c r="D2212" t="s">
        <v>2200</v>
      </c>
      <c r="E2212" t="s">
        <v>6423</v>
      </c>
    </row>
    <row r="2213" spans="1:5" x14ac:dyDescent="0.25">
      <c r="A2213" t="s">
        <v>1578</v>
      </c>
      <c r="B2213" t="s">
        <v>6528</v>
      </c>
      <c r="C2213" t="s">
        <v>6529</v>
      </c>
      <c r="D2213" t="s">
        <v>2200</v>
      </c>
      <c r="E2213" t="s">
        <v>6427</v>
      </c>
    </row>
    <row r="2214" spans="1:5" x14ac:dyDescent="0.25">
      <c r="A2214" t="s">
        <v>1578</v>
      </c>
      <c r="B2214" t="s">
        <v>6530</v>
      </c>
      <c r="C2214" t="s">
        <v>6531</v>
      </c>
      <c r="D2214" t="s">
        <v>6472</v>
      </c>
      <c r="E2214" t="s">
        <v>6429</v>
      </c>
    </row>
    <row r="2215" spans="1:5" x14ac:dyDescent="0.25">
      <c r="A2215" t="s">
        <v>1578</v>
      </c>
      <c r="B2215" t="s">
        <v>6532</v>
      </c>
      <c r="C2215" t="s">
        <v>6533</v>
      </c>
      <c r="D2215" t="s">
        <v>6534</v>
      </c>
      <c r="E2215" t="s">
        <v>6425</v>
      </c>
    </row>
    <row r="2216" spans="1:5" x14ac:dyDescent="0.25">
      <c r="A2216" t="s">
        <v>1578</v>
      </c>
      <c r="B2216" t="s">
        <v>6535</v>
      </c>
      <c r="C2216" t="s">
        <v>6536</v>
      </c>
      <c r="D2216" t="s">
        <v>2200</v>
      </c>
      <c r="E2216" t="s">
        <v>6445</v>
      </c>
    </row>
    <row r="2217" spans="1:5" x14ac:dyDescent="0.25">
      <c r="A2217" t="s">
        <v>1578</v>
      </c>
      <c r="B2217" t="s">
        <v>6537</v>
      </c>
      <c r="C2217" t="s">
        <v>6538</v>
      </c>
      <c r="D2217" t="s">
        <v>2200</v>
      </c>
      <c r="E2217" t="s">
        <v>6429</v>
      </c>
    </row>
    <row r="2218" spans="1:5" x14ac:dyDescent="0.25">
      <c r="A2218" t="s">
        <v>1578</v>
      </c>
      <c r="B2218" t="s">
        <v>6539</v>
      </c>
      <c r="C2218" t="s">
        <v>6540</v>
      </c>
      <c r="D2218" t="s">
        <v>2200</v>
      </c>
      <c r="E2218" t="s">
        <v>6435</v>
      </c>
    </row>
    <row r="2219" spans="1:5" x14ac:dyDescent="0.25">
      <c r="A2219" t="s">
        <v>1578</v>
      </c>
      <c r="B2219" t="s">
        <v>6541</v>
      </c>
      <c r="C2219" t="s">
        <v>6542</v>
      </c>
      <c r="D2219" t="s">
        <v>2200</v>
      </c>
      <c r="E2219" t="s">
        <v>6415</v>
      </c>
    </row>
    <row r="2220" spans="1:5" x14ac:dyDescent="0.25">
      <c r="A2220" t="s">
        <v>1578</v>
      </c>
      <c r="B2220" t="s">
        <v>6543</v>
      </c>
      <c r="C2220" t="s">
        <v>6544</v>
      </c>
      <c r="D2220" t="s">
        <v>2200</v>
      </c>
      <c r="E2220" t="s">
        <v>6429</v>
      </c>
    </row>
    <row r="2221" spans="1:5" x14ac:dyDescent="0.25">
      <c r="A2221" t="s">
        <v>1578</v>
      </c>
      <c r="B2221" t="s">
        <v>6545</v>
      </c>
      <c r="C2221" t="s">
        <v>6546</v>
      </c>
      <c r="D2221" t="s">
        <v>2200</v>
      </c>
      <c r="E2221" t="s">
        <v>6427</v>
      </c>
    </row>
    <row r="2222" spans="1:5" x14ac:dyDescent="0.25">
      <c r="A2222" t="s">
        <v>1578</v>
      </c>
      <c r="B2222" t="s">
        <v>6547</v>
      </c>
      <c r="C2222" t="s">
        <v>6548</v>
      </c>
      <c r="D2222" t="s">
        <v>2200</v>
      </c>
      <c r="E2222" t="s">
        <v>6439</v>
      </c>
    </row>
    <row r="2223" spans="1:5" x14ac:dyDescent="0.25">
      <c r="A2223" t="s">
        <v>1578</v>
      </c>
      <c r="B2223" t="s">
        <v>6549</v>
      </c>
      <c r="C2223" t="s">
        <v>6550</v>
      </c>
      <c r="D2223" t="s">
        <v>2200</v>
      </c>
      <c r="E2223" t="s">
        <v>6431</v>
      </c>
    </row>
    <row r="2224" spans="1:5" x14ac:dyDescent="0.25">
      <c r="A2224" t="s">
        <v>1578</v>
      </c>
      <c r="B2224" t="s">
        <v>6551</v>
      </c>
      <c r="C2224" t="s">
        <v>6552</v>
      </c>
      <c r="D2224" t="s">
        <v>2200</v>
      </c>
      <c r="E2224" t="s">
        <v>6445</v>
      </c>
    </row>
    <row r="2225" spans="1:5" x14ac:dyDescent="0.25">
      <c r="A2225" t="s">
        <v>1578</v>
      </c>
      <c r="B2225" t="s">
        <v>6553</v>
      </c>
      <c r="C2225" t="s">
        <v>6554</v>
      </c>
      <c r="D2225" t="s">
        <v>2200</v>
      </c>
      <c r="E2225" t="s">
        <v>6431</v>
      </c>
    </row>
    <row r="2226" spans="1:5" x14ac:dyDescent="0.25">
      <c r="A2226" t="s">
        <v>1578</v>
      </c>
      <c r="B2226" t="s">
        <v>6555</v>
      </c>
      <c r="C2226" t="s">
        <v>6556</v>
      </c>
      <c r="D2226" t="s">
        <v>2200</v>
      </c>
      <c r="E2226" t="s">
        <v>6445</v>
      </c>
    </row>
    <row r="2227" spans="1:5" x14ac:dyDescent="0.25">
      <c r="A2227" t="s">
        <v>1578</v>
      </c>
      <c r="B2227" t="s">
        <v>6557</v>
      </c>
      <c r="C2227" t="s">
        <v>6558</v>
      </c>
      <c r="D2227" t="s">
        <v>2200</v>
      </c>
      <c r="E2227" t="s">
        <v>6433</v>
      </c>
    </row>
    <row r="2228" spans="1:5" x14ac:dyDescent="0.25">
      <c r="A2228" t="s">
        <v>1578</v>
      </c>
      <c r="B2228" t="s">
        <v>6559</v>
      </c>
      <c r="C2228" t="s">
        <v>6560</v>
      </c>
      <c r="D2228" t="s">
        <v>2200</v>
      </c>
      <c r="E2228" t="s">
        <v>6431</v>
      </c>
    </row>
    <row r="2229" spans="1:5" x14ac:dyDescent="0.25">
      <c r="A2229" t="s">
        <v>1578</v>
      </c>
      <c r="B2229" t="s">
        <v>6561</v>
      </c>
      <c r="C2229" t="s">
        <v>6562</v>
      </c>
      <c r="D2229" t="s">
        <v>2200</v>
      </c>
      <c r="E2229" t="s">
        <v>6445</v>
      </c>
    </row>
    <row r="2230" spans="1:5" x14ac:dyDescent="0.25">
      <c r="A2230" t="s">
        <v>1578</v>
      </c>
      <c r="B2230" t="s">
        <v>6563</v>
      </c>
      <c r="C2230" t="s">
        <v>6564</v>
      </c>
      <c r="D2230" t="s">
        <v>2200</v>
      </c>
      <c r="E2230" t="s">
        <v>6417</v>
      </c>
    </row>
    <row r="2231" spans="1:5" x14ac:dyDescent="0.25">
      <c r="A2231" t="s">
        <v>1578</v>
      </c>
      <c r="B2231" t="s">
        <v>6565</v>
      </c>
      <c r="C2231" t="s">
        <v>6566</v>
      </c>
      <c r="D2231" t="s">
        <v>6472</v>
      </c>
      <c r="E2231" t="s">
        <v>6443</v>
      </c>
    </row>
    <row r="2232" spans="1:5" x14ac:dyDescent="0.25">
      <c r="A2232" t="s">
        <v>1578</v>
      </c>
      <c r="B2232" t="s">
        <v>6567</v>
      </c>
      <c r="C2232" t="s">
        <v>6568</v>
      </c>
      <c r="D2232" t="s">
        <v>6472</v>
      </c>
      <c r="E2232" t="s">
        <v>6431</v>
      </c>
    </row>
    <row r="2233" spans="1:5" x14ac:dyDescent="0.25">
      <c r="A2233" t="s">
        <v>1578</v>
      </c>
      <c r="B2233" t="s">
        <v>6569</v>
      </c>
      <c r="C2233" t="s">
        <v>6570</v>
      </c>
      <c r="D2233" t="s">
        <v>2200</v>
      </c>
      <c r="E2233" t="s">
        <v>6423</v>
      </c>
    </row>
    <row r="2234" spans="1:5" x14ac:dyDescent="0.25">
      <c r="A2234" t="s">
        <v>1578</v>
      </c>
      <c r="B2234" t="s">
        <v>6571</v>
      </c>
      <c r="C2234" t="s">
        <v>6572</v>
      </c>
      <c r="D2234" t="s">
        <v>2200</v>
      </c>
      <c r="E2234" t="s">
        <v>6431</v>
      </c>
    </row>
    <row r="2235" spans="1:5" x14ac:dyDescent="0.25">
      <c r="A2235" t="s">
        <v>1578</v>
      </c>
      <c r="B2235" t="s">
        <v>6573</v>
      </c>
      <c r="C2235" t="s">
        <v>6574</v>
      </c>
      <c r="D2235" t="s">
        <v>6472</v>
      </c>
      <c r="E2235" t="s">
        <v>6421</v>
      </c>
    </row>
    <row r="2236" spans="1:5" x14ac:dyDescent="0.25">
      <c r="A2236" t="s">
        <v>1578</v>
      </c>
      <c r="B2236" t="s">
        <v>6575</v>
      </c>
      <c r="C2236" t="s">
        <v>6576</v>
      </c>
      <c r="D2236" t="s">
        <v>2200</v>
      </c>
      <c r="E2236" t="s">
        <v>6437</v>
      </c>
    </row>
    <row r="2237" spans="1:5" x14ac:dyDescent="0.25">
      <c r="A2237" t="s">
        <v>1578</v>
      </c>
      <c r="B2237" t="s">
        <v>6577</v>
      </c>
      <c r="C2237" t="s">
        <v>6578</v>
      </c>
      <c r="D2237" t="s">
        <v>2200</v>
      </c>
      <c r="E2237" t="s">
        <v>6441</v>
      </c>
    </row>
    <row r="2238" spans="1:5" x14ac:dyDescent="0.25">
      <c r="A2238" t="s">
        <v>1578</v>
      </c>
      <c r="B2238" t="s">
        <v>6579</v>
      </c>
      <c r="C2238" t="s">
        <v>6580</v>
      </c>
      <c r="D2238" t="s">
        <v>2200</v>
      </c>
      <c r="E2238" t="s">
        <v>6441</v>
      </c>
    </row>
    <row r="2239" spans="1:5" x14ac:dyDescent="0.25">
      <c r="A2239" t="s">
        <v>1578</v>
      </c>
      <c r="B2239" t="s">
        <v>6581</v>
      </c>
      <c r="C2239" t="s">
        <v>6582</v>
      </c>
      <c r="D2239" t="s">
        <v>2200</v>
      </c>
      <c r="E2239" t="s">
        <v>6453</v>
      </c>
    </row>
    <row r="2240" spans="1:5" x14ac:dyDescent="0.25">
      <c r="A2240" t="s">
        <v>1578</v>
      </c>
      <c r="B2240" t="s">
        <v>6583</v>
      </c>
      <c r="C2240" t="s">
        <v>6584</v>
      </c>
      <c r="D2240" t="s">
        <v>6472</v>
      </c>
      <c r="E2240" t="s">
        <v>6443</v>
      </c>
    </row>
    <row r="2241" spans="1:5" x14ac:dyDescent="0.25">
      <c r="A2241" t="s">
        <v>1578</v>
      </c>
      <c r="B2241" t="s">
        <v>6585</v>
      </c>
      <c r="C2241" t="s">
        <v>6586</v>
      </c>
      <c r="D2241" t="s">
        <v>2200</v>
      </c>
      <c r="E2241" t="s">
        <v>6423</v>
      </c>
    </row>
    <row r="2242" spans="1:5" x14ac:dyDescent="0.25">
      <c r="A2242" t="s">
        <v>1578</v>
      </c>
      <c r="B2242" t="s">
        <v>6587</v>
      </c>
      <c r="C2242" t="s">
        <v>6588</v>
      </c>
      <c r="D2242" t="s">
        <v>2200</v>
      </c>
      <c r="E2242" t="s">
        <v>6431</v>
      </c>
    </row>
    <row r="2243" spans="1:5" x14ac:dyDescent="0.25">
      <c r="A2243" t="s">
        <v>1578</v>
      </c>
      <c r="B2243" t="s">
        <v>6589</v>
      </c>
      <c r="C2243" t="s">
        <v>6590</v>
      </c>
      <c r="D2243" t="s">
        <v>2200</v>
      </c>
      <c r="E2243" t="s">
        <v>6449</v>
      </c>
    </row>
    <row r="2244" spans="1:5" x14ac:dyDescent="0.25">
      <c r="A2244" t="s">
        <v>1578</v>
      </c>
      <c r="B2244" t="s">
        <v>6591</v>
      </c>
      <c r="C2244" t="s">
        <v>6592</v>
      </c>
      <c r="D2244" t="s">
        <v>2200</v>
      </c>
      <c r="E2244" t="s">
        <v>6433</v>
      </c>
    </row>
    <row r="2245" spans="1:5" x14ac:dyDescent="0.25">
      <c r="A2245" t="s">
        <v>1578</v>
      </c>
      <c r="B2245" t="s">
        <v>6593</v>
      </c>
      <c r="C2245" t="s">
        <v>6594</v>
      </c>
      <c r="D2245" t="s">
        <v>2200</v>
      </c>
      <c r="E2245" t="s">
        <v>6415</v>
      </c>
    </row>
    <row r="2246" spans="1:5" x14ac:dyDescent="0.25">
      <c r="A2246" t="s">
        <v>1578</v>
      </c>
      <c r="B2246" t="s">
        <v>6595</v>
      </c>
      <c r="C2246" t="s">
        <v>6596</v>
      </c>
      <c r="D2246" t="s">
        <v>2200</v>
      </c>
      <c r="E2246" t="s">
        <v>6423</v>
      </c>
    </row>
    <row r="2247" spans="1:5" x14ac:dyDescent="0.25">
      <c r="A2247" t="s">
        <v>1578</v>
      </c>
      <c r="B2247" t="s">
        <v>6597</v>
      </c>
      <c r="C2247" t="s">
        <v>6598</v>
      </c>
      <c r="D2247" t="s">
        <v>2200</v>
      </c>
      <c r="E2247" t="s">
        <v>6445</v>
      </c>
    </row>
    <row r="2248" spans="1:5" x14ac:dyDescent="0.25">
      <c r="A2248" t="s">
        <v>1578</v>
      </c>
      <c r="B2248" t="s">
        <v>6599</v>
      </c>
      <c r="C2248" t="s">
        <v>6600</v>
      </c>
      <c r="D2248" t="s">
        <v>2200</v>
      </c>
      <c r="E2248" t="s">
        <v>6445</v>
      </c>
    </row>
    <row r="2249" spans="1:5" x14ac:dyDescent="0.25">
      <c r="A2249" t="s">
        <v>1578</v>
      </c>
      <c r="B2249" t="s">
        <v>6601</v>
      </c>
      <c r="C2249" t="s">
        <v>6602</v>
      </c>
      <c r="D2249" t="s">
        <v>6534</v>
      </c>
      <c r="E2249" t="s">
        <v>6425</v>
      </c>
    </row>
    <row r="2250" spans="1:5" x14ac:dyDescent="0.25">
      <c r="A2250" t="s">
        <v>1578</v>
      </c>
      <c r="B2250" t="s">
        <v>6603</v>
      </c>
      <c r="C2250" t="s">
        <v>6604</v>
      </c>
      <c r="D2250" t="s">
        <v>2200</v>
      </c>
      <c r="E2250" t="s">
        <v>6417</v>
      </c>
    </row>
    <row r="2251" spans="1:5" x14ac:dyDescent="0.25">
      <c r="A2251" t="s">
        <v>1578</v>
      </c>
      <c r="B2251" t="s">
        <v>6605</v>
      </c>
      <c r="C2251" t="s">
        <v>6606</v>
      </c>
      <c r="D2251" t="s">
        <v>2200</v>
      </c>
      <c r="E2251" t="s">
        <v>6445</v>
      </c>
    </row>
    <row r="2252" spans="1:5" x14ac:dyDescent="0.25">
      <c r="A2252" t="s">
        <v>1578</v>
      </c>
      <c r="B2252" t="s">
        <v>6607</v>
      </c>
      <c r="C2252" t="s">
        <v>6608</v>
      </c>
      <c r="D2252" t="s">
        <v>6457</v>
      </c>
      <c r="E2252" t="s">
        <v>6443</v>
      </c>
    </row>
    <row r="2253" spans="1:5" x14ac:dyDescent="0.25">
      <c r="A2253" t="s">
        <v>1578</v>
      </c>
      <c r="B2253" t="s">
        <v>6609</v>
      </c>
      <c r="C2253" t="s">
        <v>6610</v>
      </c>
      <c r="D2253" t="s">
        <v>2200</v>
      </c>
      <c r="E2253" t="s">
        <v>6423</v>
      </c>
    </row>
    <row r="2254" spans="1:5" x14ac:dyDescent="0.25">
      <c r="A2254" t="s">
        <v>1578</v>
      </c>
      <c r="B2254" t="s">
        <v>6611</v>
      </c>
      <c r="C2254" t="s">
        <v>6612</v>
      </c>
      <c r="D2254" t="s">
        <v>6472</v>
      </c>
      <c r="E2254" t="s">
        <v>6419</v>
      </c>
    </row>
    <row r="2255" spans="1:5" x14ac:dyDescent="0.25">
      <c r="A2255" t="s">
        <v>1578</v>
      </c>
      <c r="B2255" t="s">
        <v>6613</v>
      </c>
      <c r="C2255" t="s">
        <v>6614</v>
      </c>
      <c r="D2255" t="s">
        <v>2200</v>
      </c>
      <c r="E2255" t="s">
        <v>6423</v>
      </c>
    </row>
    <row r="2256" spans="1:5" x14ac:dyDescent="0.25">
      <c r="A2256" t="s">
        <v>1578</v>
      </c>
      <c r="B2256" t="s">
        <v>6615</v>
      </c>
      <c r="C2256" t="s">
        <v>6616</v>
      </c>
      <c r="D2256" t="s">
        <v>2200</v>
      </c>
      <c r="E2256" t="s">
        <v>6427</v>
      </c>
    </row>
    <row r="2257" spans="1:5" x14ac:dyDescent="0.25">
      <c r="A2257" t="s">
        <v>1578</v>
      </c>
      <c r="B2257" t="s">
        <v>6617</v>
      </c>
      <c r="C2257" t="s">
        <v>6618</v>
      </c>
      <c r="D2257" t="s">
        <v>2200</v>
      </c>
      <c r="E2257" t="s">
        <v>6423</v>
      </c>
    </row>
    <row r="2258" spans="1:5" x14ac:dyDescent="0.25">
      <c r="A2258" t="s">
        <v>1578</v>
      </c>
      <c r="B2258" t="s">
        <v>6619</v>
      </c>
      <c r="C2258" t="s">
        <v>6620</v>
      </c>
      <c r="D2258" t="s">
        <v>6472</v>
      </c>
      <c r="E2258" t="s">
        <v>6427</v>
      </c>
    </row>
    <row r="2259" spans="1:5" x14ac:dyDescent="0.25">
      <c r="A2259" t="s">
        <v>1578</v>
      </c>
      <c r="B2259" t="s">
        <v>6621</v>
      </c>
      <c r="C2259" t="s">
        <v>6622</v>
      </c>
      <c r="D2259" t="s">
        <v>2200</v>
      </c>
      <c r="E2259" t="s">
        <v>6453</v>
      </c>
    </row>
    <row r="2260" spans="1:5" x14ac:dyDescent="0.25">
      <c r="A2260" t="s">
        <v>1578</v>
      </c>
      <c r="B2260" t="s">
        <v>6623</v>
      </c>
      <c r="C2260" t="s">
        <v>6624</v>
      </c>
      <c r="D2260" t="s">
        <v>2200</v>
      </c>
      <c r="E2260" t="s">
        <v>6421</v>
      </c>
    </row>
    <row r="2261" spans="1:5" x14ac:dyDescent="0.25">
      <c r="A2261" t="s">
        <v>1578</v>
      </c>
      <c r="B2261" t="s">
        <v>6625</v>
      </c>
      <c r="C2261" t="s">
        <v>6626</v>
      </c>
      <c r="D2261" t="s">
        <v>2200</v>
      </c>
      <c r="E2261" t="s">
        <v>6441</v>
      </c>
    </row>
    <row r="2262" spans="1:5" x14ac:dyDescent="0.25">
      <c r="A2262" t="s">
        <v>1578</v>
      </c>
      <c r="B2262" t="s">
        <v>6627</v>
      </c>
      <c r="C2262" t="s">
        <v>6628</v>
      </c>
      <c r="D2262" t="s">
        <v>2200</v>
      </c>
      <c r="E2262" t="s">
        <v>6429</v>
      </c>
    </row>
    <row r="2263" spans="1:5" x14ac:dyDescent="0.25">
      <c r="A2263" t="s">
        <v>1578</v>
      </c>
      <c r="B2263" t="s">
        <v>6629</v>
      </c>
      <c r="C2263" t="s">
        <v>6630</v>
      </c>
      <c r="D2263" t="s">
        <v>2200</v>
      </c>
      <c r="E2263" t="s">
        <v>6445</v>
      </c>
    </row>
    <row r="2264" spans="1:5" x14ac:dyDescent="0.25">
      <c r="A2264" t="s">
        <v>1578</v>
      </c>
      <c r="B2264" t="s">
        <v>6631</v>
      </c>
      <c r="C2264" t="s">
        <v>6632</v>
      </c>
      <c r="D2264" t="s">
        <v>6457</v>
      </c>
      <c r="E2264" t="s">
        <v>6443</v>
      </c>
    </row>
    <row r="2265" spans="1:5" x14ac:dyDescent="0.25">
      <c r="A2265" t="s">
        <v>1578</v>
      </c>
      <c r="B2265" t="s">
        <v>6633</v>
      </c>
      <c r="C2265" t="s">
        <v>6634</v>
      </c>
      <c r="D2265" t="s">
        <v>2200</v>
      </c>
      <c r="E2265" t="s">
        <v>6431</v>
      </c>
    </row>
    <row r="2266" spans="1:5" x14ac:dyDescent="0.25">
      <c r="A2266" t="s">
        <v>1578</v>
      </c>
      <c r="B2266" t="s">
        <v>6635</v>
      </c>
      <c r="C2266" t="s">
        <v>6636</v>
      </c>
      <c r="D2266" t="s">
        <v>2200</v>
      </c>
      <c r="E2266" t="s">
        <v>6441</v>
      </c>
    </row>
    <row r="2267" spans="1:5" x14ac:dyDescent="0.25">
      <c r="A2267" t="s">
        <v>1578</v>
      </c>
      <c r="B2267" t="s">
        <v>6637</v>
      </c>
      <c r="C2267" t="s">
        <v>6638</v>
      </c>
      <c r="D2267" t="s">
        <v>2200</v>
      </c>
      <c r="E2267" t="s">
        <v>6439</v>
      </c>
    </row>
    <row r="2268" spans="1:5" x14ac:dyDescent="0.25">
      <c r="A2268" t="s">
        <v>1578</v>
      </c>
      <c r="B2268" t="s">
        <v>6639</v>
      </c>
      <c r="C2268" t="s">
        <v>6640</v>
      </c>
      <c r="D2268" t="s">
        <v>2200</v>
      </c>
      <c r="E2268" t="s">
        <v>6415</v>
      </c>
    </row>
    <row r="2269" spans="1:5" x14ac:dyDescent="0.25">
      <c r="A2269" t="s">
        <v>1578</v>
      </c>
      <c r="B2269" t="s">
        <v>6641</v>
      </c>
      <c r="C2269" t="s">
        <v>6642</v>
      </c>
      <c r="D2269" t="s">
        <v>2200</v>
      </c>
      <c r="E2269" t="s">
        <v>6449</v>
      </c>
    </row>
    <row r="2270" spans="1:5" x14ac:dyDescent="0.25">
      <c r="A2270" t="s">
        <v>1578</v>
      </c>
      <c r="B2270" t="s">
        <v>6643</v>
      </c>
      <c r="C2270" t="s">
        <v>6644</v>
      </c>
      <c r="D2270" t="s">
        <v>6472</v>
      </c>
      <c r="E2270" t="s">
        <v>6437</v>
      </c>
    </row>
    <row r="2271" spans="1:5" x14ac:dyDescent="0.25">
      <c r="A2271" t="s">
        <v>1578</v>
      </c>
      <c r="B2271" t="s">
        <v>6645</v>
      </c>
      <c r="C2271" t="s">
        <v>6646</v>
      </c>
      <c r="D2271" t="s">
        <v>6457</v>
      </c>
      <c r="E2271" t="s">
        <v>6443</v>
      </c>
    </row>
    <row r="2272" spans="1:5" x14ac:dyDescent="0.25">
      <c r="A2272" t="s">
        <v>1578</v>
      </c>
      <c r="B2272" t="s">
        <v>6647</v>
      </c>
      <c r="C2272" t="s">
        <v>6648</v>
      </c>
      <c r="D2272" t="s">
        <v>6487</v>
      </c>
      <c r="E2272" t="s">
        <v>6447</v>
      </c>
    </row>
    <row r="2273" spans="1:5" x14ac:dyDescent="0.25">
      <c r="A2273" t="s">
        <v>1578</v>
      </c>
      <c r="B2273" t="s">
        <v>6649</v>
      </c>
      <c r="C2273" t="s">
        <v>6650</v>
      </c>
      <c r="D2273" t="s">
        <v>2200</v>
      </c>
      <c r="E2273" t="s">
        <v>6453</v>
      </c>
    </row>
    <row r="2274" spans="1:5" x14ac:dyDescent="0.25">
      <c r="A2274" t="s">
        <v>1578</v>
      </c>
      <c r="B2274" t="s">
        <v>6651</v>
      </c>
      <c r="C2274" t="s">
        <v>6652</v>
      </c>
      <c r="D2274" t="s">
        <v>6534</v>
      </c>
      <c r="E2274" t="s">
        <v>6425</v>
      </c>
    </row>
    <row r="2275" spans="1:5" x14ac:dyDescent="0.25">
      <c r="A2275" t="s">
        <v>1578</v>
      </c>
      <c r="B2275" t="s">
        <v>6653</v>
      </c>
      <c r="C2275" t="s">
        <v>6654</v>
      </c>
      <c r="D2275" t="s">
        <v>6534</v>
      </c>
      <c r="E2275" t="s">
        <v>6425</v>
      </c>
    </row>
    <row r="2276" spans="1:5" x14ac:dyDescent="0.25">
      <c r="A2276" t="s">
        <v>1578</v>
      </c>
      <c r="B2276" t="s">
        <v>6655</v>
      </c>
      <c r="C2276" t="s">
        <v>6656</v>
      </c>
      <c r="D2276" t="s">
        <v>2200</v>
      </c>
      <c r="E2276" t="s">
        <v>6431</v>
      </c>
    </row>
    <row r="2277" spans="1:5" x14ac:dyDescent="0.25">
      <c r="A2277" t="s">
        <v>1578</v>
      </c>
      <c r="B2277" t="s">
        <v>6657</v>
      </c>
      <c r="C2277" t="s">
        <v>6658</v>
      </c>
      <c r="D2277" t="s">
        <v>6472</v>
      </c>
      <c r="E2277" t="s">
        <v>6453</v>
      </c>
    </row>
    <row r="2278" spans="1:5" x14ac:dyDescent="0.25">
      <c r="A2278" t="s">
        <v>1578</v>
      </c>
      <c r="B2278" t="s">
        <v>6659</v>
      </c>
      <c r="C2278" t="s">
        <v>6660</v>
      </c>
      <c r="D2278" t="s">
        <v>2200</v>
      </c>
      <c r="E2278" t="s">
        <v>6437</v>
      </c>
    </row>
    <row r="2279" spans="1:5" x14ac:dyDescent="0.25">
      <c r="A2279" t="s">
        <v>1578</v>
      </c>
      <c r="B2279" t="s">
        <v>6661</v>
      </c>
      <c r="C2279" t="s">
        <v>6662</v>
      </c>
      <c r="D2279" t="s">
        <v>2200</v>
      </c>
      <c r="E2279" t="s">
        <v>6437</v>
      </c>
    </row>
    <row r="2280" spans="1:5" x14ac:dyDescent="0.25">
      <c r="A2280" t="s">
        <v>1578</v>
      </c>
      <c r="B2280" t="s">
        <v>6663</v>
      </c>
      <c r="C2280" t="s">
        <v>6664</v>
      </c>
      <c r="D2280" t="s">
        <v>2200</v>
      </c>
      <c r="E2280" t="s">
        <v>6453</v>
      </c>
    </row>
    <row r="2281" spans="1:5" x14ac:dyDescent="0.25">
      <c r="A2281" t="s">
        <v>1578</v>
      </c>
      <c r="B2281" t="s">
        <v>6665</v>
      </c>
      <c r="C2281" t="s">
        <v>6666</v>
      </c>
      <c r="D2281" t="s">
        <v>2200</v>
      </c>
      <c r="E2281" t="s">
        <v>6419</v>
      </c>
    </row>
    <row r="2282" spans="1:5" x14ac:dyDescent="0.25">
      <c r="A2282" t="s">
        <v>1578</v>
      </c>
      <c r="B2282" t="s">
        <v>6667</v>
      </c>
      <c r="C2282" t="s">
        <v>6668</v>
      </c>
      <c r="D2282" t="s">
        <v>2200</v>
      </c>
      <c r="E2282" t="s">
        <v>6453</v>
      </c>
    </row>
    <row r="2283" spans="1:5" x14ac:dyDescent="0.25">
      <c r="A2283" t="s">
        <v>1578</v>
      </c>
      <c r="B2283" t="s">
        <v>6669</v>
      </c>
      <c r="C2283" t="s">
        <v>6670</v>
      </c>
      <c r="D2283" t="s">
        <v>2200</v>
      </c>
      <c r="E2283" t="s">
        <v>6427</v>
      </c>
    </row>
    <row r="2284" spans="1:5" x14ac:dyDescent="0.25">
      <c r="A2284" t="s">
        <v>1585</v>
      </c>
      <c r="B2284" t="s">
        <v>6671</v>
      </c>
      <c r="C2284" t="s">
        <v>6672</v>
      </c>
      <c r="D2284" t="s">
        <v>2169</v>
      </c>
      <c r="E2284" t="s">
        <v>2170</v>
      </c>
    </row>
    <row r="2285" spans="1:5" x14ac:dyDescent="0.25">
      <c r="A2285" t="s">
        <v>1585</v>
      </c>
      <c r="B2285" t="s">
        <v>6673</v>
      </c>
      <c r="C2285" t="s">
        <v>6674</v>
      </c>
      <c r="D2285" t="s">
        <v>2169</v>
      </c>
      <c r="E2285" t="s">
        <v>2170</v>
      </c>
    </row>
    <row r="2286" spans="1:5" x14ac:dyDescent="0.25">
      <c r="A2286" t="s">
        <v>1585</v>
      </c>
      <c r="B2286" t="s">
        <v>6675</v>
      </c>
      <c r="C2286" t="s">
        <v>1584</v>
      </c>
      <c r="D2286" t="s">
        <v>2169</v>
      </c>
      <c r="E2286" t="s">
        <v>2170</v>
      </c>
    </row>
    <row r="2287" spans="1:5" x14ac:dyDescent="0.25">
      <c r="A2287" t="s">
        <v>1585</v>
      </c>
      <c r="B2287" t="s">
        <v>6676</v>
      </c>
      <c r="C2287" t="s">
        <v>5176</v>
      </c>
      <c r="D2287" t="s">
        <v>2169</v>
      </c>
      <c r="E2287" t="s">
        <v>2170</v>
      </c>
    </row>
    <row r="2288" spans="1:5" x14ac:dyDescent="0.25">
      <c r="A2288" t="s">
        <v>1585</v>
      </c>
      <c r="B2288" t="s">
        <v>6677</v>
      </c>
      <c r="C2288" t="s">
        <v>6678</v>
      </c>
      <c r="D2288" t="s">
        <v>2169</v>
      </c>
      <c r="E2288" t="s">
        <v>2170</v>
      </c>
    </row>
    <row r="2289" spans="1:5" x14ac:dyDescent="0.25">
      <c r="A2289" t="s">
        <v>1585</v>
      </c>
      <c r="B2289" t="s">
        <v>6679</v>
      </c>
      <c r="C2289" t="s">
        <v>2613</v>
      </c>
      <c r="D2289" t="s">
        <v>2169</v>
      </c>
      <c r="E2289" t="s">
        <v>2170</v>
      </c>
    </row>
    <row r="2290" spans="1:5" x14ac:dyDescent="0.25">
      <c r="A2290" t="s">
        <v>1585</v>
      </c>
      <c r="B2290" t="s">
        <v>6680</v>
      </c>
      <c r="C2290" t="s">
        <v>6681</v>
      </c>
      <c r="D2290" t="s">
        <v>2169</v>
      </c>
      <c r="E2290" t="s">
        <v>2170</v>
      </c>
    </row>
    <row r="2291" spans="1:5" x14ac:dyDescent="0.25">
      <c r="A2291" t="s">
        <v>1585</v>
      </c>
      <c r="B2291" t="s">
        <v>6682</v>
      </c>
      <c r="C2291" t="s">
        <v>6683</v>
      </c>
      <c r="D2291" t="s">
        <v>2169</v>
      </c>
      <c r="E2291" t="s">
        <v>2170</v>
      </c>
    </row>
    <row r="2292" spans="1:5" x14ac:dyDescent="0.25">
      <c r="A2292" t="s">
        <v>1585</v>
      </c>
      <c r="B2292" t="s">
        <v>6684</v>
      </c>
      <c r="C2292" t="s">
        <v>6685</v>
      </c>
      <c r="D2292" t="s">
        <v>2169</v>
      </c>
      <c r="E2292" t="s">
        <v>2170</v>
      </c>
    </row>
    <row r="2293" spans="1:5" x14ac:dyDescent="0.25">
      <c r="A2293" t="s">
        <v>1585</v>
      </c>
      <c r="B2293" t="s">
        <v>6686</v>
      </c>
      <c r="C2293" t="s">
        <v>2616</v>
      </c>
      <c r="D2293" t="s">
        <v>2169</v>
      </c>
      <c r="E2293" t="s">
        <v>2170</v>
      </c>
    </row>
    <row r="2294" spans="1:5" x14ac:dyDescent="0.25">
      <c r="A2294" t="s">
        <v>1585</v>
      </c>
      <c r="B2294" t="s">
        <v>6687</v>
      </c>
      <c r="C2294" t="s">
        <v>2272</v>
      </c>
      <c r="D2294" t="s">
        <v>2169</v>
      </c>
      <c r="E2294" t="s">
        <v>2170</v>
      </c>
    </row>
    <row r="2295" spans="1:5" x14ac:dyDescent="0.25">
      <c r="A2295" t="s">
        <v>1585</v>
      </c>
      <c r="B2295" t="s">
        <v>6688</v>
      </c>
      <c r="C2295" t="s">
        <v>2627</v>
      </c>
      <c r="D2295" t="s">
        <v>2169</v>
      </c>
      <c r="E2295" t="s">
        <v>2170</v>
      </c>
    </row>
    <row r="2296" spans="1:5" x14ac:dyDescent="0.25">
      <c r="A2296" t="s">
        <v>1585</v>
      </c>
      <c r="B2296" t="s">
        <v>6689</v>
      </c>
      <c r="C2296" t="s">
        <v>6690</v>
      </c>
      <c r="D2296" t="s">
        <v>2169</v>
      </c>
      <c r="E2296" t="s">
        <v>2170</v>
      </c>
    </row>
    <row r="2297" spans="1:5" x14ac:dyDescent="0.25">
      <c r="A2297" t="s">
        <v>1585</v>
      </c>
      <c r="B2297" t="s">
        <v>6691</v>
      </c>
      <c r="C2297" t="s">
        <v>6692</v>
      </c>
      <c r="D2297" t="s">
        <v>2169</v>
      </c>
      <c r="E2297" t="s">
        <v>2170</v>
      </c>
    </row>
    <row r="2298" spans="1:5" x14ac:dyDescent="0.25">
      <c r="A2298" t="s">
        <v>1588</v>
      </c>
      <c r="B2298" t="s">
        <v>6693</v>
      </c>
      <c r="C2298" t="s">
        <v>6694</v>
      </c>
      <c r="D2298" t="s">
        <v>2963</v>
      </c>
      <c r="E2298" t="s">
        <v>2170</v>
      </c>
    </row>
    <row r="2299" spans="1:5" x14ac:dyDescent="0.25">
      <c r="A2299" t="s">
        <v>1588</v>
      </c>
      <c r="B2299" t="s">
        <v>6695</v>
      </c>
      <c r="C2299" t="s">
        <v>6696</v>
      </c>
      <c r="D2299" t="s">
        <v>2963</v>
      </c>
      <c r="E2299" t="s">
        <v>2170</v>
      </c>
    </row>
    <row r="2300" spans="1:5" x14ac:dyDescent="0.25">
      <c r="A2300" t="s">
        <v>1588</v>
      </c>
      <c r="B2300" t="s">
        <v>6697</v>
      </c>
      <c r="C2300" t="s">
        <v>6698</v>
      </c>
      <c r="D2300" t="s">
        <v>2963</v>
      </c>
      <c r="E2300" t="s">
        <v>2170</v>
      </c>
    </row>
    <row r="2301" spans="1:5" x14ac:dyDescent="0.25">
      <c r="A2301" t="s">
        <v>1588</v>
      </c>
      <c r="B2301" t="s">
        <v>6699</v>
      </c>
      <c r="C2301" t="s">
        <v>6700</v>
      </c>
      <c r="D2301" t="s">
        <v>2963</v>
      </c>
      <c r="E2301" t="s">
        <v>2170</v>
      </c>
    </row>
    <row r="2302" spans="1:5" x14ac:dyDescent="0.25">
      <c r="A2302" t="s">
        <v>1588</v>
      </c>
      <c r="B2302" t="s">
        <v>6701</v>
      </c>
      <c r="C2302" t="s">
        <v>6702</v>
      </c>
      <c r="D2302" t="s">
        <v>2963</v>
      </c>
      <c r="E2302" t="s">
        <v>2170</v>
      </c>
    </row>
    <row r="2303" spans="1:5" x14ac:dyDescent="0.25">
      <c r="A2303" t="s">
        <v>1588</v>
      </c>
      <c r="B2303" t="s">
        <v>6703</v>
      </c>
      <c r="C2303" t="s">
        <v>6704</v>
      </c>
      <c r="D2303" t="s">
        <v>2963</v>
      </c>
      <c r="E2303" t="s">
        <v>2170</v>
      </c>
    </row>
    <row r="2304" spans="1:5" x14ac:dyDescent="0.25">
      <c r="A2304" t="s">
        <v>1588</v>
      </c>
      <c r="B2304" t="s">
        <v>6705</v>
      </c>
      <c r="C2304" t="s">
        <v>6706</v>
      </c>
      <c r="D2304" t="s">
        <v>2963</v>
      </c>
      <c r="E2304" t="s">
        <v>2170</v>
      </c>
    </row>
    <row r="2305" spans="1:5" x14ac:dyDescent="0.25">
      <c r="A2305" t="s">
        <v>1588</v>
      </c>
      <c r="B2305" t="s">
        <v>6707</v>
      </c>
      <c r="C2305" t="s">
        <v>6708</v>
      </c>
      <c r="D2305" t="s">
        <v>2963</v>
      </c>
      <c r="E2305" t="s">
        <v>2170</v>
      </c>
    </row>
    <row r="2306" spans="1:5" x14ac:dyDescent="0.25">
      <c r="A2306" t="s">
        <v>1588</v>
      </c>
      <c r="B2306" t="s">
        <v>6709</v>
      </c>
      <c r="C2306" t="s">
        <v>6710</v>
      </c>
      <c r="D2306" t="s">
        <v>2963</v>
      </c>
      <c r="E2306" t="s">
        <v>2170</v>
      </c>
    </row>
    <row r="2307" spans="1:5" x14ac:dyDescent="0.25">
      <c r="A2307" t="s">
        <v>1588</v>
      </c>
      <c r="B2307" t="s">
        <v>6711</v>
      </c>
      <c r="C2307" t="s">
        <v>6712</v>
      </c>
      <c r="D2307" t="s">
        <v>2963</v>
      </c>
      <c r="E2307" t="s">
        <v>2170</v>
      </c>
    </row>
    <row r="2308" spans="1:5" x14ac:dyDescent="0.25">
      <c r="A2308" t="s">
        <v>1588</v>
      </c>
      <c r="B2308" t="s">
        <v>6713</v>
      </c>
      <c r="C2308" t="s">
        <v>6714</v>
      </c>
      <c r="D2308" t="s">
        <v>2963</v>
      </c>
      <c r="E2308" t="s">
        <v>2170</v>
      </c>
    </row>
    <row r="2309" spans="1:5" x14ac:dyDescent="0.25">
      <c r="A2309" t="s">
        <v>1588</v>
      </c>
      <c r="B2309" t="s">
        <v>6715</v>
      </c>
      <c r="C2309" t="s">
        <v>6716</v>
      </c>
      <c r="D2309" t="s">
        <v>2963</v>
      </c>
      <c r="E2309" t="s">
        <v>2170</v>
      </c>
    </row>
    <row r="2310" spans="1:5" x14ac:dyDescent="0.25">
      <c r="A2310" t="s">
        <v>1591</v>
      </c>
      <c r="B2310" t="s">
        <v>6717</v>
      </c>
      <c r="C2310" t="s">
        <v>6718</v>
      </c>
      <c r="D2310" t="s">
        <v>3356</v>
      </c>
      <c r="E2310" t="s">
        <v>2170</v>
      </c>
    </row>
    <row r="2311" spans="1:5" x14ac:dyDescent="0.25">
      <c r="A2311" t="s">
        <v>1591</v>
      </c>
      <c r="B2311" t="s">
        <v>6719</v>
      </c>
      <c r="C2311" t="s">
        <v>6720</v>
      </c>
      <c r="D2311" t="s">
        <v>3356</v>
      </c>
      <c r="E2311" t="s">
        <v>2170</v>
      </c>
    </row>
    <row r="2312" spans="1:5" x14ac:dyDescent="0.25">
      <c r="A2312" t="s">
        <v>1591</v>
      </c>
      <c r="B2312" t="s">
        <v>6721</v>
      </c>
      <c r="C2312" t="s">
        <v>6722</v>
      </c>
      <c r="D2312" t="s">
        <v>3356</v>
      </c>
      <c r="E2312" t="s">
        <v>2170</v>
      </c>
    </row>
    <row r="2313" spans="1:5" x14ac:dyDescent="0.25">
      <c r="A2313" t="s">
        <v>1591</v>
      </c>
      <c r="B2313" t="s">
        <v>6723</v>
      </c>
      <c r="C2313" t="s">
        <v>6724</v>
      </c>
      <c r="D2313" t="s">
        <v>3356</v>
      </c>
      <c r="E2313" t="s">
        <v>2170</v>
      </c>
    </row>
    <row r="2314" spans="1:5" x14ac:dyDescent="0.25">
      <c r="A2314" t="s">
        <v>1591</v>
      </c>
      <c r="B2314" t="s">
        <v>6725</v>
      </c>
      <c r="C2314" t="s">
        <v>6726</v>
      </c>
      <c r="D2314" t="s">
        <v>3356</v>
      </c>
      <c r="E2314" t="s">
        <v>2170</v>
      </c>
    </row>
    <row r="2315" spans="1:5" x14ac:dyDescent="0.25">
      <c r="A2315" t="s">
        <v>1591</v>
      </c>
      <c r="B2315" t="s">
        <v>6727</v>
      </c>
      <c r="C2315" t="s">
        <v>6728</v>
      </c>
      <c r="D2315" t="s">
        <v>3356</v>
      </c>
      <c r="E2315" t="s">
        <v>2170</v>
      </c>
    </row>
    <row r="2316" spans="1:5" x14ac:dyDescent="0.25">
      <c r="A2316" t="s">
        <v>1591</v>
      </c>
      <c r="B2316" t="s">
        <v>6729</v>
      </c>
      <c r="C2316" t="s">
        <v>6730</v>
      </c>
      <c r="D2316" t="s">
        <v>3356</v>
      </c>
      <c r="E2316" t="s">
        <v>2170</v>
      </c>
    </row>
    <row r="2317" spans="1:5" x14ac:dyDescent="0.25">
      <c r="A2317" t="s">
        <v>1591</v>
      </c>
      <c r="B2317" t="s">
        <v>6731</v>
      </c>
      <c r="C2317" t="s">
        <v>6732</v>
      </c>
      <c r="D2317" t="s">
        <v>3356</v>
      </c>
      <c r="E2317" t="s">
        <v>2170</v>
      </c>
    </row>
    <row r="2318" spans="1:5" x14ac:dyDescent="0.25">
      <c r="A2318" t="s">
        <v>1591</v>
      </c>
      <c r="B2318" t="s">
        <v>6733</v>
      </c>
      <c r="C2318" t="s">
        <v>6734</v>
      </c>
      <c r="D2318" t="s">
        <v>3356</v>
      </c>
      <c r="E2318" t="s">
        <v>2170</v>
      </c>
    </row>
    <row r="2319" spans="1:5" x14ac:dyDescent="0.25">
      <c r="A2319" t="s">
        <v>1591</v>
      </c>
      <c r="B2319" t="s">
        <v>6735</v>
      </c>
      <c r="C2319" t="s">
        <v>6736</v>
      </c>
      <c r="D2319" t="s">
        <v>3356</v>
      </c>
      <c r="E2319" t="s">
        <v>2170</v>
      </c>
    </row>
    <row r="2320" spans="1:5" x14ac:dyDescent="0.25">
      <c r="A2320" t="s">
        <v>1591</v>
      </c>
      <c r="B2320" t="s">
        <v>6737</v>
      </c>
      <c r="C2320" t="s">
        <v>6738</v>
      </c>
      <c r="D2320" t="s">
        <v>3356</v>
      </c>
      <c r="E2320" t="s">
        <v>2170</v>
      </c>
    </row>
    <row r="2321" spans="1:5" x14ac:dyDescent="0.25">
      <c r="A2321" t="s">
        <v>1591</v>
      </c>
      <c r="B2321" t="s">
        <v>6739</v>
      </c>
      <c r="C2321" t="s">
        <v>6740</v>
      </c>
      <c r="D2321" t="s">
        <v>3356</v>
      </c>
      <c r="E2321" t="s">
        <v>2170</v>
      </c>
    </row>
    <row r="2322" spans="1:5" x14ac:dyDescent="0.25">
      <c r="A2322" t="s">
        <v>1591</v>
      </c>
      <c r="B2322" t="s">
        <v>6741</v>
      </c>
      <c r="C2322" t="s">
        <v>6742</v>
      </c>
      <c r="D2322" t="s">
        <v>3356</v>
      </c>
      <c r="E2322" t="s">
        <v>2170</v>
      </c>
    </row>
    <row r="2323" spans="1:5" x14ac:dyDescent="0.25">
      <c r="A2323" t="s">
        <v>1591</v>
      </c>
      <c r="B2323" t="s">
        <v>6743</v>
      </c>
      <c r="C2323" t="s">
        <v>6744</v>
      </c>
      <c r="D2323" t="s">
        <v>3356</v>
      </c>
      <c r="E2323" t="s">
        <v>2170</v>
      </c>
    </row>
    <row r="2324" spans="1:5" x14ac:dyDescent="0.25">
      <c r="A2324" t="s">
        <v>1591</v>
      </c>
      <c r="B2324" t="s">
        <v>6745</v>
      </c>
      <c r="C2324" t="s">
        <v>6746</v>
      </c>
      <c r="D2324" t="s">
        <v>3356</v>
      </c>
      <c r="E2324" t="s">
        <v>2170</v>
      </c>
    </row>
    <row r="2325" spans="1:5" x14ac:dyDescent="0.25">
      <c r="A2325" t="s">
        <v>1591</v>
      </c>
      <c r="B2325" t="s">
        <v>6747</v>
      </c>
      <c r="C2325" t="s">
        <v>6748</v>
      </c>
      <c r="D2325" t="s">
        <v>3356</v>
      </c>
      <c r="E2325" t="s">
        <v>2170</v>
      </c>
    </row>
    <row r="2326" spans="1:5" x14ac:dyDescent="0.25">
      <c r="A2326" t="s">
        <v>1591</v>
      </c>
      <c r="B2326" t="s">
        <v>6749</v>
      </c>
      <c r="C2326" t="s">
        <v>6750</v>
      </c>
      <c r="D2326" t="s">
        <v>3356</v>
      </c>
      <c r="E2326" t="s">
        <v>2170</v>
      </c>
    </row>
    <row r="2327" spans="1:5" x14ac:dyDescent="0.25">
      <c r="A2327" t="s">
        <v>1591</v>
      </c>
      <c r="B2327" t="s">
        <v>6751</v>
      </c>
      <c r="C2327" t="s">
        <v>6752</v>
      </c>
      <c r="D2327" t="s">
        <v>3356</v>
      </c>
      <c r="E2327" t="s">
        <v>2170</v>
      </c>
    </row>
    <row r="2328" spans="1:5" x14ac:dyDescent="0.25">
      <c r="A2328" t="s">
        <v>1591</v>
      </c>
      <c r="B2328" t="s">
        <v>6753</v>
      </c>
      <c r="C2328" t="s">
        <v>6754</v>
      </c>
      <c r="D2328" t="s">
        <v>3356</v>
      </c>
      <c r="E2328" t="s">
        <v>2170</v>
      </c>
    </row>
    <row r="2329" spans="1:5" x14ac:dyDescent="0.25">
      <c r="A2329" t="s">
        <v>1591</v>
      </c>
      <c r="B2329" t="s">
        <v>6755</v>
      </c>
      <c r="C2329" t="s">
        <v>6756</v>
      </c>
      <c r="D2329" t="s">
        <v>3356</v>
      </c>
      <c r="E2329" t="s">
        <v>2170</v>
      </c>
    </row>
    <row r="2330" spans="1:5" x14ac:dyDescent="0.25">
      <c r="A2330" t="s">
        <v>1591</v>
      </c>
      <c r="B2330" t="s">
        <v>6757</v>
      </c>
      <c r="C2330" t="s">
        <v>6758</v>
      </c>
      <c r="D2330" t="s">
        <v>3356</v>
      </c>
      <c r="E2330" t="s">
        <v>2170</v>
      </c>
    </row>
    <row r="2331" spans="1:5" x14ac:dyDescent="0.25">
      <c r="A2331" t="s">
        <v>1591</v>
      </c>
      <c r="B2331" t="s">
        <v>6759</v>
      </c>
      <c r="C2331" t="s">
        <v>6760</v>
      </c>
      <c r="D2331" t="s">
        <v>3356</v>
      </c>
      <c r="E2331" t="s">
        <v>2170</v>
      </c>
    </row>
    <row r="2332" spans="1:5" x14ac:dyDescent="0.25">
      <c r="A2332" t="s">
        <v>1591</v>
      </c>
      <c r="B2332" t="s">
        <v>6761</v>
      </c>
      <c r="C2332" t="s">
        <v>6762</v>
      </c>
      <c r="D2332" t="s">
        <v>3356</v>
      </c>
      <c r="E2332" t="s">
        <v>2170</v>
      </c>
    </row>
    <row r="2333" spans="1:5" x14ac:dyDescent="0.25">
      <c r="A2333" t="s">
        <v>1591</v>
      </c>
      <c r="B2333" t="s">
        <v>6763</v>
      </c>
      <c r="C2333" t="s">
        <v>6764</v>
      </c>
      <c r="D2333" t="s">
        <v>3356</v>
      </c>
      <c r="E2333" t="s">
        <v>2170</v>
      </c>
    </row>
    <row r="2334" spans="1:5" x14ac:dyDescent="0.25">
      <c r="A2334" t="s">
        <v>1591</v>
      </c>
      <c r="B2334" t="s">
        <v>6765</v>
      </c>
      <c r="C2334" t="s">
        <v>6766</v>
      </c>
      <c r="D2334" t="s">
        <v>3356</v>
      </c>
      <c r="E2334" t="s">
        <v>2170</v>
      </c>
    </row>
    <row r="2335" spans="1:5" x14ac:dyDescent="0.25">
      <c r="A2335" t="s">
        <v>1591</v>
      </c>
      <c r="B2335" t="s">
        <v>6767</v>
      </c>
      <c r="C2335" t="s">
        <v>6768</v>
      </c>
      <c r="D2335" t="s">
        <v>3356</v>
      </c>
      <c r="E2335" t="s">
        <v>2170</v>
      </c>
    </row>
    <row r="2336" spans="1:5" x14ac:dyDescent="0.25">
      <c r="A2336" t="s">
        <v>1591</v>
      </c>
      <c r="B2336" t="s">
        <v>6769</v>
      </c>
      <c r="C2336" t="s">
        <v>6770</v>
      </c>
      <c r="D2336" t="s">
        <v>3356</v>
      </c>
      <c r="E2336" t="s">
        <v>2170</v>
      </c>
    </row>
    <row r="2337" spans="1:5" x14ac:dyDescent="0.25">
      <c r="A2337" t="s">
        <v>1591</v>
      </c>
      <c r="B2337" t="s">
        <v>6771</v>
      </c>
      <c r="C2337" t="s">
        <v>6772</v>
      </c>
      <c r="D2337" t="s">
        <v>3356</v>
      </c>
      <c r="E2337" t="s">
        <v>2170</v>
      </c>
    </row>
    <row r="2338" spans="1:5" x14ac:dyDescent="0.25">
      <c r="A2338" t="s">
        <v>1591</v>
      </c>
      <c r="B2338" t="s">
        <v>6773</v>
      </c>
      <c r="C2338" t="s">
        <v>6774</v>
      </c>
      <c r="D2338" t="s">
        <v>3356</v>
      </c>
      <c r="E2338" t="s">
        <v>2170</v>
      </c>
    </row>
    <row r="2339" spans="1:5" x14ac:dyDescent="0.25">
      <c r="A2339" t="s">
        <v>1591</v>
      </c>
      <c r="B2339" t="s">
        <v>6775</v>
      </c>
      <c r="C2339" t="s">
        <v>6776</v>
      </c>
      <c r="D2339" t="s">
        <v>3356</v>
      </c>
      <c r="E2339" t="s">
        <v>2170</v>
      </c>
    </row>
    <row r="2340" spans="1:5" x14ac:dyDescent="0.25">
      <c r="A2340" t="s">
        <v>1591</v>
      </c>
      <c r="B2340" t="s">
        <v>6777</v>
      </c>
      <c r="C2340" t="s">
        <v>6778</v>
      </c>
      <c r="D2340" t="s">
        <v>3356</v>
      </c>
      <c r="E2340" t="s">
        <v>2170</v>
      </c>
    </row>
    <row r="2341" spans="1:5" x14ac:dyDescent="0.25">
      <c r="A2341" t="s">
        <v>1591</v>
      </c>
      <c r="B2341" t="s">
        <v>6779</v>
      </c>
      <c r="C2341" t="s">
        <v>6780</v>
      </c>
      <c r="D2341" t="s">
        <v>3356</v>
      </c>
      <c r="E2341" t="s">
        <v>2170</v>
      </c>
    </row>
    <row r="2342" spans="1:5" x14ac:dyDescent="0.25">
      <c r="A2342" t="s">
        <v>1591</v>
      </c>
      <c r="B2342" t="s">
        <v>6781</v>
      </c>
      <c r="C2342" t="s">
        <v>6782</v>
      </c>
      <c r="D2342" t="s">
        <v>3356</v>
      </c>
      <c r="E2342" t="s">
        <v>2170</v>
      </c>
    </row>
    <row r="2343" spans="1:5" x14ac:dyDescent="0.25">
      <c r="A2343" t="s">
        <v>1591</v>
      </c>
      <c r="B2343" t="s">
        <v>6783</v>
      </c>
      <c r="C2343" t="s">
        <v>6784</v>
      </c>
      <c r="D2343" t="s">
        <v>3356</v>
      </c>
      <c r="E2343" t="s">
        <v>2170</v>
      </c>
    </row>
    <row r="2344" spans="1:5" x14ac:dyDescent="0.25">
      <c r="A2344" t="s">
        <v>1591</v>
      </c>
      <c r="B2344" t="s">
        <v>6785</v>
      </c>
      <c r="C2344" t="s">
        <v>6786</v>
      </c>
      <c r="D2344" t="s">
        <v>3356</v>
      </c>
      <c r="E2344" t="s">
        <v>2170</v>
      </c>
    </row>
    <row r="2345" spans="1:5" x14ac:dyDescent="0.25">
      <c r="A2345" t="s">
        <v>1591</v>
      </c>
      <c r="B2345" t="s">
        <v>6787</v>
      </c>
      <c r="C2345" t="s">
        <v>6788</v>
      </c>
      <c r="D2345" t="s">
        <v>3356</v>
      </c>
      <c r="E2345" t="s">
        <v>2170</v>
      </c>
    </row>
    <row r="2346" spans="1:5" x14ac:dyDescent="0.25">
      <c r="A2346" t="s">
        <v>1591</v>
      </c>
      <c r="B2346" t="s">
        <v>6789</v>
      </c>
      <c r="C2346" t="s">
        <v>6790</v>
      </c>
      <c r="D2346" t="s">
        <v>3356</v>
      </c>
      <c r="E2346" t="s">
        <v>2170</v>
      </c>
    </row>
    <row r="2347" spans="1:5" x14ac:dyDescent="0.25">
      <c r="A2347" t="s">
        <v>1591</v>
      </c>
      <c r="B2347" t="s">
        <v>6791</v>
      </c>
      <c r="C2347" t="s">
        <v>6792</v>
      </c>
      <c r="D2347" t="s">
        <v>3356</v>
      </c>
      <c r="E2347" t="s">
        <v>2170</v>
      </c>
    </row>
    <row r="2348" spans="1:5" x14ac:dyDescent="0.25">
      <c r="A2348" t="s">
        <v>1591</v>
      </c>
      <c r="B2348" t="s">
        <v>6793</v>
      </c>
      <c r="C2348" t="s">
        <v>6794</v>
      </c>
      <c r="D2348" t="s">
        <v>3356</v>
      </c>
      <c r="E2348" t="s">
        <v>2170</v>
      </c>
    </row>
    <row r="2349" spans="1:5" x14ac:dyDescent="0.25">
      <c r="A2349" t="s">
        <v>1591</v>
      </c>
      <c r="B2349" t="s">
        <v>6795</v>
      </c>
      <c r="C2349" t="s">
        <v>6796</v>
      </c>
      <c r="D2349" t="s">
        <v>3356</v>
      </c>
      <c r="E2349" t="s">
        <v>2170</v>
      </c>
    </row>
    <row r="2350" spans="1:5" x14ac:dyDescent="0.25">
      <c r="A2350" t="s">
        <v>1591</v>
      </c>
      <c r="B2350" t="s">
        <v>6797</v>
      </c>
      <c r="C2350" t="s">
        <v>6798</v>
      </c>
      <c r="D2350" t="s">
        <v>3356</v>
      </c>
      <c r="E2350" t="s">
        <v>2170</v>
      </c>
    </row>
    <row r="2351" spans="1:5" x14ac:dyDescent="0.25">
      <c r="A2351" t="s">
        <v>1591</v>
      </c>
      <c r="B2351" t="s">
        <v>6799</v>
      </c>
      <c r="C2351" t="s">
        <v>6800</v>
      </c>
      <c r="D2351" t="s">
        <v>3356</v>
      </c>
      <c r="E2351" t="s">
        <v>2170</v>
      </c>
    </row>
    <row r="2352" spans="1:5" x14ac:dyDescent="0.25">
      <c r="A2352" t="s">
        <v>1591</v>
      </c>
      <c r="B2352" t="s">
        <v>6801</v>
      </c>
      <c r="C2352" t="s">
        <v>6802</v>
      </c>
      <c r="D2352" t="s">
        <v>3356</v>
      </c>
      <c r="E2352" t="s">
        <v>2170</v>
      </c>
    </row>
    <row r="2353" spans="1:5" x14ac:dyDescent="0.25">
      <c r="A2353" t="s">
        <v>1591</v>
      </c>
      <c r="B2353" t="s">
        <v>6803</v>
      </c>
      <c r="C2353" t="s">
        <v>6804</v>
      </c>
      <c r="D2353" t="s">
        <v>3356</v>
      </c>
      <c r="E2353" t="s">
        <v>2170</v>
      </c>
    </row>
    <row r="2354" spans="1:5" x14ac:dyDescent="0.25">
      <c r="A2354" t="s">
        <v>1591</v>
      </c>
      <c r="B2354" t="s">
        <v>6805</v>
      </c>
      <c r="C2354" t="s">
        <v>6806</v>
      </c>
      <c r="D2354" t="s">
        <v>3356</v>
      </c>
      <c r="E2354" t="s">
        <v>2170</v>
      </c>
    </row>
    <row r="2355" spans="1:5" x14ac:dyDescent="0.25">
      <c r="A2355" t="s">
        <v>1591</v>
      </c>
      <c r="B2355" t="s">
        <v>6807</v>
      </c>
      <c r="C2355" t="s">
        <v>6808</v>
      </c>
      <c r="D2355" t="s">
        <v>3356</v>
      </c>
      <c r="E2355" t="s">
        <v>2170</v>
      </c>
    </row>
    <row r="2356" spans="1:5" x14ac:dyDescent="0.25">
      <c r="A2356" t="s">
        <v>1591</v>
      </c>
      <c r="B2356" t="s">
        <v>6809</v>
      </c>
      <c r="C2356" t="s">
        <v>6810</v>
      </c>
      <c r="D2356" t="s">
        <v>3356</v>
      </c>
      <c r="E2356" t="s">
        <v>2170</v>
      </c>
    </row>
    <row r="2357" spans="1:5" x14ac:dyDescent="0.25">
      <c r="A2357" t="s">
        <v>1594</v>
      </c>
      <c r="B2357" t="s">
        <v>6811</v>
      </c>
      <c r="C2357" t="s">
        <v>6812</v>
      </c>
      <c r="D2357" t="s">
        <v>2286</v>
      </c>
      <c r="E2357" t="s">
        <v>2170</v>
      </c>
    </row>
    <row r="2358" spans="1:5" x14ac:dyDescent="0.25">
      <c r="A2358" t="s">
        <v>1594</v>
      </c>
      <c r="B2358" t="s">
        <v>6813</v>
      </c>
      <c r="C2358" t="s">
        <v>6814</v>
      </c>
      <c r="D2358" t="s">
        <v>2286</v>
      </c>
      <c r="E2358" t="s">
        <v>2170</v>
      </c>
    </row>
    <row r="2359" spans="1:5" x14ac:dyDescent="0.25">
      <c r="A2359" t="s">
        <v>1594</v>
      </c>
      <c r="B2359" t="s">
        <v>6815</v>
      </c>
      <c r="C2359" t="s">
        <v>6816</v>
      </c>
      <c r="D2359" t="s">
        <v>2286</v>
      </c>
      <c r="E2359" t="s">
        <v>2170</v>
      </c>
    </row>
    <row r="2360" spans="1:5" x14ac:dyDescent="0.25">
      <c r="A2360" t="s">
        <v>1594</v>
      </c>
      <c r="B2360" t="s">
        <v>6817</v>
      </c>
      <c r="C2360" t="s">
        <v>6818</v>
      </c>
      <c r="D2360" t="s">
        <v>2286</v>
      </c>
      <c r="E2360" t="s">
        <v>2170</v>
      </c>
    </row>
    <row r="2361" spans="1:5" x14ac:dyDescent="0.25">
      <c r="A2361" t="s">
        <v>1594</v>
      </c>
      <c r="B2361" t="s">
        <v>6819</v>
      </c>
      <c r="C2361" t="s">
        <v>6820</v>
      </c>
      <c r="D2361" t="s">
        <v>2286</v>
      </c>
      <c r="E2361" t="s">
        <v>2170</v>
      </c>
    </row>
    <row r="2362" spans="1:5" x14ac:dyDescent="0.25">
      <c r="A2362" t="s">
        <v>1594</v>
      </c>
      <c r="B2362" t="s">
        <v>6821</v>
      </c>
      <c r="C2362" t="s">
        <v>6822</v>
      </c>
      <c r="D2362" t="s">
        <v>2286</v>
      </c>
      <c r="E2362" t="s">
        <v>2170</v>
      </c>
    </row>
    <row r="2363" spans="1:5" x14ac:dyDescent="0.25">
      <c r="A2363" t="s">
        <v>1594</v>
      </c>
      <c r="B2363" t="s">
        <v>6823</v>
      </c>
      <c r="C2363" t="s">
        <v>6824</v>
      </c>
      <c r="D2363" t="s">
        <v>2286</v>
      </c>
      <c r="E2363" t="s">
        <v>2170</v>
      </c>
    </row>
    <row r="2364" spans="1:5" x14ac:dyDescent="0.25">
      <c r="A2364" t="s">
        <v>1594</v>
      </c>
      <c r="B2364" t="s">
        <v>6825</v>
      </c>
      <c r="C2364" t="s">
        <v>6826</v>
      </c>
      <c r="D2364" t="s">
        <v>2286</v>
      </c>
      <c r="E2364" t="s">
        <v>2170</v>
      </c>
    </row>
    <row r="2365" spans="1:5" x14ac:dyDescent="0.25">
      <c r="A2365" t="s">
        <v>1594</v>
      </c>
      <c r="B2365" t="s">
        <v>6827</v>
      </c>
      <c r="C2365" t="s">
        <v>6828</v>
      </c>
      <c r="D2365" t="s">
        <v>2286</v>
      </c>
      <c r="E2365" t="s">
        <v>2170</v>
      </c>
    </row>
    <row r="2366" spans="1:5" x14ac:dyDescent="0.25">
      <c r="A2366" t="s">
        <v>1594</v>
      </c>
      <c r="B2366" t="s">
        <v>6829</v>
      </c>
      <c r="C2366" t="s">
        <v>6830</v>
      </c>
      <c r="D2366" t="s">
        <v>2286</v>
      </c>
      <c r="E2366" t="s">
        <v>2170</v>
      </c>
    </row>
    <row r="2367" spans="1:5" x14ac:dyDescent="0.25">
      <c r="A2367" t="s">
        <v>1594</v>
      </c>
      <c r="B2367" t="s">
        <v>6831</v>
      </c>
      <c r="C2367" t="s">
        <v>6832</v>
      </c>
      <c r="D2367" t="s">
        <v>2286</v>
      </c>
      <c r="E2367" t="s">
        <v>2170</v>
      </c>
    </row>
    <row r="2368" spans="1:5" x14ac:dyDescent="0.25">
      <c r="A2368" t="s">
        <v>1594</v>
      </c>
      <c r="B2368" t="s">
        <v>6833</v>
      </c>
      <c r="C2368" t="s">
        <v>6834</v>
      </c>
      <c r="D2368" t="s">
        <v>2286</v>
      </c>
      <c r="E2368" t="s">
        <v>2170</v>
      </c>
    </row>
    <row r="2369" spans="1:5" x14ac:dyDescent="0.25">
      <c r="A2369" t="s">
        <v>1594</v>
      </c>
      <c r="B2369" t="s">
        <v>6835</v>
      </c>
      <c r="C2369" t="s">
        <v>6836</v>
      </c>
      <c r="D2369" t="s">
        <v>2286</v>
      </c>
      <c r="E2369" t="s">
        <v>2170</v>
      </c>
    </row>
    <row r="2370" spans="1:5" x14ac:dyDescent="0.25">
      <c r="A2370" t="s">
        <v>1594</v>
      </c>
      <c r="B2370" t="s">
        <v>6837</v>
      </c>
      <c r="C2370" t="s">
        <v>6838</v>
      </c>
      <c r="D2370" t="s">
        <v>2286</v>
      </c>
      <c r="E2370" t="s">
        <v>2170</v>
      </c>
    </row>
    <row r="2371" spans="1:5" x14ac:dyDescent="0.25">
      <c r="A2371" t="s">
        <v>1594</v>
      </c>
      <c r="B2371" t="s">
        <v>6839</v>
      </c>
      <c r="C2371" t="s">
        <v>6840</v>
      </c>
      <c r="D2371" t="s">
        <v>2286</v>
      </c>
      <c r="E2371" t="s">
        <v>2170</v>
      </c>
    </row>
    <row r="2372" spans="1:5" x14ac:dyDescent="0.25">
      <c r="A2372" t="s">
        <v>1594</v>
      </c>
      <c r="B2372" t="s">
        <v>6841</v>
      </c>
      <c r="C2372" t="s">
        <v>6842</v>
      </c>
      <c r="D2372" t="s">
        <v>2286</v>
      </c>
      <c r="E2372" t="s">
        <v>2170</v>
      </c>
    </row>
    <row r="2373" spans="1:5" x14ac:dyDescent="0.25">
      <c r="A2373" t="s">
        <v>1594</v>
      </c>
      <c r="B2373" t="s">
        <v>6843</v>
      </c>
      <c r="C2373" t="s">
        <v>6844</v>
      </c>
      <c r="D2373" t="s">
        <v>2286</v>
      </c>
      <c r="E2373" t="s">
        <v>2170</v>
      </c>
    </row>
    <row r="2374" spans="1:5" x14ac:dyDescent="0.25">
      <c r="A2374" t="s">
        <v>1594</v>
      </c>
      <c r="B2374" t="s">
        <v>6845</v>
      </c>
      <c r="C2374" t="s">
        <v>6846</v>
      </c>
      <c r="D2374" t="s">
        <v>2286</v>
      </c>
      <c r="E2374" t="s">
        <v>2170</v>
      </c>
    </row>
    <row r="2375" spans="1:5" x14ac:dyDescent="0.25">
      <c r="A2375" t="s">
        <v>1594</v>
      </c>
      <c r="B2375" t="s">
        <v>6847</v>
      </c>
      <c r="C2375" t="s">
        <v>6848</v>
      </c>
      <c r="D2375" t="s">
        <v>2286</v>
      </c>
      <c r="E2375" t="s">
        <v>2170</v>
      </c>
    </row>
    <row r="2376" spans="1:5" x14ac:dyDescent="0.25">
      <c r="A2376" t="s">
        <v>1594</v>
      </c>
      <c r="B2376" t="s">
        <v>6849</v>
      </c>
      <c r="C2376" t="s">
        <v>6850</v>
      </c>
      <c r="D2376" t="s">
        <v>2286</v>
      </c>
      <c r="E2376" t="s">
        <v>2170</v>
      </c>
    </row>
    <row r="2377" spans="1:5" x14ac:dyDescent="0.25">
      <c r="A2377" t="s">
        <v>1594</v>
      </c>
      <c r="B2377" t="s">
        <v>6851</v>
      </c>
      <c r="C2377" t="s">
        <v>6852</v>
      </c>
      <c r="D2377" t="s">
        <v>2286</v>
      </c>
      <c r="E2377" t="s">
        <v>2170</v>
      </c>
    </row>
    <row r="2378" spans="1:5" x14ac:dyDescent="0.25">
      <c r="A2378" t="s">
        <v>1594</v>
      </c>
      <c r="B2378" t="s">
        <v>6853</v>
      </c>
      <c r="C2378" t="s">
        <v>6854</v>
      </c>
      <c r="D2378" t="s">
        <v>2286</v>
      </c>
      <c r="E2378" t="s">
        <v>2170</v>
      </c>
    </row>
    <row r="2379" spans="1:5" x14ac:dyDescent="0.25">
      <c r="A2379" t="s">
        <v>1594</v>
      </c>
      <c r="B2379" t="s">
        <v>6855</v>
      </c>
      <c r="C2379" t="s">
        <v>6856</v>
      </c>
      <c r="D2379" t="s">
        <v>2286</v>
      </c>
      <c r="E2379" t="s">
        <v>2170</v>
      </c>
    </row>
    <row r="2380" spans="1:5" x14ac:dyDescent="0.25">
      <c r="A2380" t="s">
        <v>1594</v>
      </c>
      <c r="B2380" t="s">
        <v>6857</v>
      </c>
      <c r="C2380" t="s">
        <v>6858</v>
      </c>
      <c r="D2380" t="s">
        <v>2286</v>
      </c>
      <c r="E2380" t="s">
        <v>2170</v>
      </c>
    </row>
    <row r="2381" spans="1:5" x14ac:dyDescent="0.25">
      <c r="A2381" t="s">
        <v>1594</v>
      </c>
      <c r="B2381" t="s">
        <v>6859</v>
      </c>
      <c r="C2381" t="s">
        <v>6860</v>
      </c>
      <c r="D2381" t="s">
        <v>2286</v>
      </c>
      <c r="E2381" t="s">
        <v>2170</v>
      </c>
    </row>
    <row r="2382" spans="1:5" x14ac:dyDescent="0.25">
      <c r="A2382" t="s">
        <v>1594</v>
      </c>
      <c r="B2382" t="s">
        <v>6861</v>
      </c>
      <c r="C2382" t="s">
        <v>6862</v>
      </c>
      <c r="D2382" t="s">
        <v>2286</v>
      </c>
      <c r="E2382" t="s">
        <v>2170</v>
      </c>
    </row>
    <row r="2383" spans="1:5" x14ac:dyDescent="0.25">
      <c r="A2383" t="s">
        <v>1594</v>
      </c>
      <c r="B2383" t="s">
        <v>6863</v>
      </c>
      <c r="C2383" t="s">
        <v>6864</v>
      </c>
      <c r="D2383" t="s">
        <v>2286</v>
      </c>
      <c r="E2383" t="s">
        <v>2170</v>
      </c>
    </row>
    <row r="2384" spans="1:5" x14ac:dyDescent="0.25">
      <c r="A2384" t="s">
        <v>1594</v>
      </c>
      <c r="B2384" t="s">
        <v>6865</v>
      </c>
      <c r="C2384" t="s">
        <v>6866</v>
      </c>
      <c r="D2384" t="s">
        <v>2286</v>
      </c>
      <c r="E2384" t="s">
        <v>2170</v>
      </c>
    </row>
    <row r="2385" spans="1:5" x14ac:dyDescent="0.25">
      <c r="A2385" t="s">
        <v>1594</v>
      </c>
      <c r="B2385" t="s">
        <v>6867</v>
      </c>
      <c r="C2385" t="s">
        <v>6868</v>
      </c>
      <c r="D2385" t="s">
        <v>2286</v>
      </c>
      <c r="E2385" t="s">
        <v>2170</v>
      </c>
    </row>
    <row r="2386" spans="1:5" x14ac:dyDescent="0.25">
      <c r="A2386" t="s">
        <v>1594</v>
      </c>
      <c r="B2386" t="s">
        <v>6869</v>
      </c>
      <c r="C2386" t="s">
        <v>6870</v>
      </c>
      <c r="D2386" t="s">
        <v>2286</v>
      </c>
      <c r="E2386" t="s">
        <v>2170</v>
      </c>
    </row>
    <row r="2387" spans="1:5" x14ac:dyDescent="0.25">
      <c r="A2387" t="s">
        <v>1594</v>
      </c>
      <c r="B2387" t="s">
        <v>6871</v>
      </c>
      <c r="C2387" t="s">
        <v>6872</v>
      </c>
      <c r="D2387" t="s">
        <v>2286</v>
      </c>
      <c r="E2387" t="s">
        <v>2170</v>
      </c>
    </row>
    <row r="2388" spans="1:5" x14ac:dyDescent="0.25">
      <c r="A2388" t="s">
        <v>1594</v>
      </c>
      <c r="B2388" t="s">
        <v>6873</v>
      </c>
      <c r="C2388" t="s">
        <v>6874</v>
      </c>
      <c r="D2388" t="s">
        <v>2286</v>
      </c>
      <c r="E2388" t="s">
        <v>2170</v>
      </c>
    </row>
    <row r="2389" spans="1:5" x14ac:dyDescent="0.25">
      <c r="A2389" t="s">
        <v>1594</v>
      </c>
      <c r="B2389" t="s">
        <v>6875</v>
      </c>
      <c r="C2389" t="s">
        <v>6876</v>
      </c>
      <c r="D2389" t="s">
        <v>2286</v>
      </c>
      <c r="E2389" t="s">
        <v>2170</v>
      </c>
    </row>
    <row r="2390" spans="1:5" x14ac:dyDescent="0.25">
      <c r="A2390" t="s">
        <v>1594</v>
      </c>
      <c r="B2390" t="s">
        <v>6877</v>
      </c>
      <c r="C2390" t="s">
        <v>6878</v>
      </c>
      <c r="D2390" t="s">
        <v>2286</v>
      </c>
      <c r="E2390" t="s">
        <v>2170</v>
      </c>
    </row>
    <row r="2391" spans="1:5" x14ac:dyDescent="0.25">
      <c r="A2391" t="s">
        <v>1594</v>
      </c>
      <c r="B2391" t="s">
        <v>6879</v>
      </c>
      <c r="C2391" t="s">
        <v>6880</v>
      </c>
      <c r="D2391" t="s">
        <v>2286</v>
      </c>
      <c r="E2391" t="s">
        <v>2170</v>
      </c>
    </row>
    <row r="2392" spans="1:5" x14ac:dyDescent="0.25">
      <c r="A2392" t="s">
        <v>1594</v>
      </c>
      <c r="B2392" t="s">
        <v>6881</v>
      </c>
      <c r="C2392" t="s">
        <v>6882</v>
      </c>
      <c r="D2392" t="s">
        <v>2286</v>
      </c>
      <c r="E2392" t="s">
        <v>2170</v>
      </c>
    </row>
    <row r="2393" spans="1:5" x14ac:dyDescent="0.25">
      <c r="A2393" t="s">
        <v>1594</v>
      </c>
      <c r="B2393" t="s">
        <v>6883</v>
      </c>
      <c r="C2393" t="s">
        <v>6884</v>
      </c>
      <c r="D2393" t="s">
        <v>2286</v>
      </c>
      <c r="E2393" t="s">
        <v>2170</v>
      </c>
    </row>
    <row r="2394" spans="1:5" x14ac:dyDescent="0.25">
      <c r="A2394" t="s">
        <v>1594</v>
      </c>
      <c r="B2394" t="s">
        <v>6885</v>
      </c>
      <c r="C2394" t="s">
        <v>6886</v>
      </c>
      <c r="D2394" t="s">
        <v>2286</v>
      </c>
      <c r="E2394" t="s">
        <v>2170</v>
      </c>
    </row>
    <row r="2395" spans="1:5" x14ac:dyDescent="0.25">
      <c r="A2395" t="s">
        <v>1594</v>
      </c>
      <c r="B2395" t="s">
        <v>6887</v>
      </c>
      <c r="C2395" t="s">
        <v>6888</v>
      </c>
      <c r="D2395" t="s">
        <v>2286</v>
      </c>
      <c r="E2395" t="s">
        <v>2170</v>
      </c>
    </row>
    <row r="2396" spans="1:5" x14ac:dyDescent="0.25">
      <c r="A2396" t="s">
        <v>1594</v>
      </c>
      <c r="B2396" t="s">
        <v>6889</v>
      </c>
      <c r="C2396" t="s">
        <v>6890</v>
      </c>
      <c r="D2396" t="s">
        <v>2286</v>
      </c>
      <c r="E2396" t="s">
        <v>2170</v>
      </c>
    </row>
    <row r="2397" spans="1:5" x14ac:dyDescent="0.25">
      <c r="A2397" t="s">
        <v>1594</v>
      </c>
      <c r="B2397" t="s">
        <v>6891</v>
      </c>
      <c r="C2397" t="s">
        <v>6892</v>
      </c>
      <c r="D2397" t="s">
        <v>2286</v>
      </c>
      <c r="E2397" t="s">
        <v>2170</v>
      </c>
    </row>
    <row r="2398" spans="1:5" x14ac:dyDescent="0.25">
      <c r="A2398" t="s">
        <v>1594</v>
      </c>
      <c r="B2398" t="s">
        <v>6893</v>
      </c>
      <c r="C2398" t="s">
        <v>6894</v>
      </c>
      <c r="D2398" t="s">
        <v>2286</v>
      </c>
      <c r="E2398" t="s">
        <v>2170</v>
      </c>
    </row>
    <row r="2399" spans="1:5" x14ac:dyDescent="0.25">
      <c r="A2399" t="s">
        <v>1594</v>
      </c>
      <c r="B2399" t="s">
        <v>6895</v>
      </c>
      <c r="C2399" t="s">
        <v>6896</v>
      </c>
      <c r="D2399" t="s">
        <v>2286</v>
      </c>
      <c r="E2399" t="s">
        <v>2170</v>
      </c>
    </row>
    <row r="2400" spans="1:5" x14ac:dyDescent="0.25">
      <c r="A2400" t="s">
        <v>1594</v>
      </c>
      <c r="B2400" t="s">
        <v>6897</v>
      </c>
      <c r="C2400" t="s">
        <v>6898</v>
      </c>
      <c r="D2400" t="s">
        <v>2286</v>
      </c>
      <c r="E2400" t="s">
        <v>2170</v>
      </c>
    </row>
    <row r="2401" spans="1:5" x14ac:dyDescent="0.25">
      <c r="A2401" t="s">
        <v>1594</v>
      </c>
      <c r="B2401" t="s">
        <v>6899</v>
      </c>
      <c r="C2401" t="s">
        <v>6900</v>
      </c>
      <c r="D2401" t="s">
        <v>2286</v>
      </c>
      <c r="E2401" t="s">
        <v>2170</v>
      </c>
    </row>
    <row r="2402" spans="1:5" x14ac:dyDescent="0.25">
      <c r="A2402" t="s">
        <v>1594</v>
      </c>
      <c r="B2402" t="s">
        <v>6901</v>
      </c>
      <c r="C2402" t="s">
        <v>6902</v>
      </c>
      <c r="D2402" t="s">
        <v>2286</v>
      </c>
      <c r="E2402" t="s">
        <v>2170</v>
      </c>
    </row>
    <row r="2403" spans="1:5" x14ac:dyDescent="0.25">
      <c r="A2403" t="s">
        <v>1594</v>
      </c>
      <c r="B2403" t="s">
        <v>6903</v>
      </c>
      <c r="C2403" t="s">
        <v>6904</v>
      </c>
      <c r="D2403" t="s">
        <v>2286</v>
      </c>
      <c r="E2403" t="s">
        <v>2170</v>
      </c>
    </row>
    <row r="2404" spans="1:5" x14ac:dyDescent="0.25">
      <c r="A2404" t="s">
        <v>1597</v>
      </c>
      <c r="B2404" t="s">
        <v>6905</v>
      </c>
      <c r="C2404" t="s">
        <v>6906</v>
      </c>
      <c r="D2404" t="s">
        <v>2311</v>
      </c>
      <c r="E2404" t="s">
        <v>2170</v>
      </c>
    </row>
    <row r="2405" spans="1:5" x14ac:dyDescent="0.25">
      <c r="A2405" t="s">
        <v>1597</v>
      </c>
      <c r="B2405" t="s">
        <v>6907</v>
      </c>
      <c r="C2405" t="s">
        <v>6908</v>
      </c>
      <c r="D2405" t="s">
        <v>2318</v>
      </c>
      <c r="E2405" t="s">
        <v>2170</v>
      </c>
    </row>
    <row r="2406" spans="1:5" x14ac:dyDescent="0.25">
      <c r="A2406" t="s">
        <v>1597</v>
      </c>
      <c r="B2406" t="s">
        <v>6909</v>
      </c>
      <c r="C2406" t="s">
        <v>6910</v>
      </c>
      <c r="D2406" t="s">
        <v>2311</v>
      </c>
      <c r="E2406" t="s">
        <v>2170</v>
      </c>
    </row>
    <row r="2407" spans="1:5" x14ac:dyDescent="0.25">
      <c r="A2407" t="s">
        <v>1597</v>
      </c>
      <c r="B2407" t="s">
        <v>6911</v>
      </c>
      <c r="C2407" t="s">
        <v>6912</v>
      </c>
      <c r="D2407" t="s">
        <v>2311</v>
      </c>
      <c r="E2407" t="s">
        <v>2170</v>
      </c>
    </row>
    <row r="2408" spans="1:5" x14ac:dyDescent="0.25">
      <c r="A2408" t="s">
        <v>1597</v>
      </c>
      <c r="B2408" t="s">
        <v>6913</v>
      </c>
      <c r="C2408" t="s">
        <v>6914</v>
      </c>
      <c r="D2408" t="s">
        <v>2311</v>
      </c>
      <c r="E2408" t="s">
        <v>2170</v>
      </c>
    </row>
    <row r="2409" spans="1:5" x14ac:dyDescent="0.25">
      <c r="A2409" t="s">
        <v>1597</v>
      </c>
      <c r="B2409" t="s">
        <v>6915</v>
      </c>
      <c r="C2409" t="s">
        <v>6916</v>
      </c>
      <c r="D2409" t="s">
        <v>2311</v>
      </c>
      <c r="E2409" t="s">
        <v>2170</v>
      </c>
    </row>
    <row r="2410" spans="1:5" x14ac:dyDescent="0.25">
      <c r="A2410" t="s">
        <v>1597</v>
      </c>
      <c r="B2410" t="s">
        <v>6917</v>
      </c>
      <c r="C2410" t="s">
        <v>6918</v>
      </c>
      <c r="D2410" t="s">
        <v>2318</v>
      </c>
      <c r="E2410" t="s">
        <v>2170</v>
      </c>
    </row>
    <row r="2411" spans="1:5" x14ac:dyDescent="0.25">
      <c r="A2411" t="s">
        <v>1597</v>
      </c>
      <c r="B2411" t="s">
        <v>6919</v>
      </c>
      <c r="C2411" t="s">
        <v>6920</v>
      </c>
      <c r="D2411" t="s">
        <v>2311</v>
      </c>
      <c r="E2411" t="s">
        <v>2170</v>
      </c>
    </row>
    <row r="2412" spans="1:5" x14ac:dyDescent="0.25">
      <c r="A2412" t="s">
        <v>1597</v>
      </c>
      <c r="B2412" t="s">
        <v>6921</v>
      </c>
      <c r="C2412" t="s">
        <v>6922</v>
      </c>
      <c r="D2412" t="s">
        <v>2311</v>
      </c>
      <c r="E2412" t="s">
        <v>2170</v>
      </c>
    </row>
    <row r="2413" spans="1:5" x14ac:dyDescent="0.25">
      <c r="A2413" t="s">
        <v>1600</v>
      </c>
      <c r="B2413" t="s">
        <v>6923</v>
      </c>
      <c r="C2413" t="s">
        <v>6924</v>
      </c>
      <c r="D2413" t="s">
        <v>2200</v>
      </c>
      <c r="E2413" t="s">
        <v>2170</v>
      </c>
    </row>
    <row r="2414" spans="1:5" x14ac:dyDescent="0.25">
      <c r="A2414" t="s">
        <v>1600</v>
      </c>
      <c r="B2414" t="s">
        <v>6925</v>
      </c>
      <c r="C2414" t="s">
        <v>6926</v>
      </c>
      <c r="D2414" t="s">
        <v>2200</v>
      </c>
      <c r="E2414" t="s">
        <v>2170</v>
      </c>
    </row>
    <row r="2415" spans="1:5" x14ac:dyDescent="0.25">
      <c r="A2415" t="s">
        <v>1600</v>
      </c>
      <c r="B2415" t="s">
        <v>6927</v>
      </c>
      <c r="C2415" t="s">
        <v>6928</v>
      </c>
      <c r="D2415" t="s">
        <v>2200</v>
      </c>
      <c r="E2415" t="s">
        <v>2170</v>
      </c>
    </row>
    <row r="2416" spans="1:5" x14ac:dyDescent="0.25">
      <c r="A2416" t="s">
        <v>1600</v>
      </c>
      <c r="B2416" t="s">
        <v>6929</v>
      </c>
      <c r="C2416" t="s">
        <v>6930</v>
      </c>
      <c r="D2416" t="s">
        <v>2200</v>
      </c>
      <c r="E2416" t="s">
        <v>2170</v>
      </c>
    </row>
    <row r="2417" spans="1:5" x14ac:dyDescent="0.25">
      <c r="A2417" t="s">
        <v>1600</v>
      </c>
      <c r="B2417" t="s">
        <v>6931</v>
      </c>
      <c r="C2417" t="s">
        <v>6932</v>
      </c>
      <c r="D2417" t="s">
        <v>2200</v>
      </c>
      <c r="E2417" t="s">
        <v>2170</v>
      </c>
    </row>
    <row r="2418" spans="1:5" x14ac:dyDescent="0.25">
      <c r="A2418" t="s">
        <v>1600</v>
      </c>
      <c r="B2418" t="s">
        <v>6933</v>
      </c>
      <c r="C2418" t="s">
        <v>6934</v>
      </c>
      <c r="D2418" t="s">
        <v>2200</v>
      </c>
      <c r="E2418" t="s">
        <v>2170</v>
      </c>
    </row>
    <row r="2419" spans="1:5" x14ac:dyDescent="0.25">
      <c r="A2419" t="s">
        <v>1600</v>
      </c>
      <c r="B2419" t="s">
        <v>6935</v>
      </c>
      <c r="C2419" t="s">
        <v>6936</v>
      </c>
      <c r="D2419" t="s">
        <v>2200</v>
      </c>
      <c r="E2419" t="s">
        <v>2170</v>
      </c>
    </row>
    <row r="2420" spans="1:5" x14ac:dyDescent="0.25">
      <c r="A2420" t="s">
        <v>1600</v>
      </c>
      <c r="B2420" t="s">
        <v>6937</v>
      </c>
      <c r="C2420" t="s">
        <v>6938</v>
      </c>
      <c r="D2420" t="s">
        <v>2200</v>
      </c>
      <c r="E2420" t="s">
        <v>2170</v>
      </c>
    </row>
    <row r="2421" spans="1:5" x14ac:dyDescent="0.25">
      <c r="A2421" t="s">
        <v>1600</v>
      </c>
      <c r="B2421" t="s">
        <v>6939</v>
      </c>
      <c r="C2421" t="s">
        <v>6940</v>
      </c>
      <c r="D2421" t="s">
        <v>2200</v>
      </c>
      <c r="E2421" t="s">
        <v>2170</v>
      </c>
    </row>
    <row r="2422" spans="1:5" x14ac:dyDescent="0.25">
      <c r="A2422" t="s">
        <v>1600</v>
      </c>
      <c r="B2422" t="s">
        <v>6941</v>
      </c>
      <c r="C2422" t="s">
        <v>6942</v>
      </c>
      <c r="D2422" t="s">
        <v>2200</v>
      </c>
      <c r="E2422" t="s">
        <v>2170</v>
      </c>
    </row>
    <row r="2423" spans="1:5" x14ac:dyDescent="0.25">
      <c r="A2423" t="s">
        <v>1600</v>
      </c>
      <c r="B2423" t="s">
        <v>6943</v>
      </c>
      <c r="C2423" t="s">
        <v>6944</v>
      </c>
      <c r="D2423" t="s">
        <v>2200</v>
      </c>
      <c r="E2423" t="s">
        <v>2170</v>
      </c>
    </row>
    <row r="2424" spans="1:5" x14ac:dyDescent="0.25">
      <c r="A2424" t="s">
        <v>1600</v>
      </c>
      <c r="B2424" t="s">
        <v>6945</v>
      </c>
      <c r="C2424" t="s">
        <v>6946</v>
      </c>
      <c r="D2424" t="s">
        <v>2200</v>
      </c>
      <c r="E2424" t="s">
        <v>2170</v>
      </c>
    </row>
    <row r="2425" spans="1:5" x14ac:dyDescent="0.25">
      <c r="A2425" t="s">
        <v>1600</v>
      </c>
      <c r="B2425" t="s">
        <v>6947</v>
      </c>
      <c r="C2425" t="s">
        <v>6948</v>
      </c>
      <c r="D2425" t="s">
        <v>2200</v>
      </c>
      <c r="E2425" t="s">
        <v>2170</v>
      </c>
    </row>
    <row r="2426" spans="1:5" x14ac:dyDescent="0.25">
      <c r="A2426" t="s">
        <v>1600</v>
      </c>
      <c r="B2426" t="s">
        <v>6949</v>
      </c>
      <c r="C2426" t="s">
        <v>6950</v>
      </c>
      <c r="D2426" t="s">
        <v>2200</v>
      </c>
      <c r="E2426" t="s">
        <v>2170</v>
      </c>
    </row>
    <row r="2427" spans="1:5" x14ac:dyDescent="0.25">
      <c r="A2427" t="s">
        <v>1600</v>
      </c>
      <c r="B2427" t="s">
        <v>6951</v>
      </c>
      <c r="C2427" t="s">
        <v>1599</v>
      </c>
      <c r="D2427" t="s">
        <v>6952</v>
      </c>
      <c r="E2427" t="s">
        <v>2170</v>
      </c>
    </row>
    <row r="2428" spans="1:5" x14ac:dyDescent="0.25">
      <c r="A2428" t="s">
        <v>1600</v>
      </c>
      <c r="B2428" t="s">
        <v>6953</v>
      </c>
      <c r="C2428" t="s">
        <v>6954</v>
      </c>
      <c r="D2428" t="s">
        <v>2200</v>
      </c>
      <c r="E2428" t="s">
        <v>2170</v>
      </c>
    </row>
    <row r="2429" spans="1:5" x14ac:dyDescent="0.25">
      <c r="A2429" t="s">
        <v>1600</v>
      </c>
      <c r="B2429" t="s">
        <v>6955</v>
      </c>
      <c r="C2429" t="s">
        <v>6956</v>
      </c>
      <c r="D2429" t="s">
        <v>2200</v>
      </c>
      <c r="E2429" t="s">
        <v>2170</v>
      </c>
    </row>
    <row r="2430" spans="1:5" x14ac:dyDescent="0.25">
      <c r="A2430" t="s">
        <v>1600</v>
      </c>
      <c r="B2430" t="s">
        <v>6957</v>
      </c>
      <c r="C2430" t="s">
        <v>6958</v>
      </c>
      <c r="D2430" t="s">
        <v>2200</v>
      </c>
      <c r="E2430" t="s">
        <v>2170</v>
      </c>
    </row>
    <row r="2431" spans="1:5" x14ac:dyDescent="0.25">
      <c r="A2431" t="s">
        <v>1600</v>
      </c>
      <c r="B2431" t="s">
        <v>6959</v>
      </c>
      <c r="C2431" t="s">
        <v>6960</v>
      </c>
      <c r="D2431" t="s">
        <v>2200</v>
      </c>
      <c r="E2431" t="s">
        <v>2170</v>
      </c>
    </row>
    <row r="2432" spans="1:5" x14ac:dyDescent="0.25">
      <c r="A2432" t="s">
        <v>1600</v>
      </c>
      <c r="B2432" t="s">
        <v>6961</v>
      </c>
      <c r="C2432" t="s">
        <v>6962</v>
      </c>
      <c r="D2432" t="s">
        <v>2200</v>
      </c>
      <c r="E2432" t="s">
        <v>2170</v>
      </c>
    </row>
    <row r="2433" spans="1:5" x14ac:dyDescent="0.25">
      <c r="A2433" t="s">
        <v>1600</v>
      </c>
      <c r="B2433" t="s">
        <v>6963</v>
      </c>
      <c r="C2433" t="s">
        <v>6964</v>
      </c>
      <c r="D2433" t="s">
        <v>2200</v>
      </c>
      <c r="E2433" t="s">
        <v>2170</v>
      </c>
    </row>
    <row r="2434" spans="1:5" x14ac:dyDescent="0.25">
      <c r="A2434" t="s">
        <v>1600</v>
      </c>
      <c r="B2434" t="s">
        <v>6965</v>
      </c>
      <c r="C2434" t="s">
        <v>6966</v>
      </c>
      <c r="D2434" t="s">
        <v>2200</v>
      </c>
      <c r="E2434" t="s">
        <v>2170</v>
      </c>
    </row>
    <row r="2435" spans="1:5" x14ac:dyDescent="0.25">
      <c r="A2435" t="s">
        <v>1600</v>
      </c>
      <c r="B2435" t="s">
        <v>6967</v>
      </c>
      <c r="C2435" t="s">
        <v>6968</v>
      </c>
      <c r="D2435" t="s">
        <v>2200</v>
      </c>
      <c r="E2435" t="s">
        <v>2170</v>
      </c>
    </row>
    <row r="2436" spans="1:5" x14ac:dyDescent="0.25">
      <c r="A2436" t="s">
        <v>1600</v>
      </c>
      <c r="B2436" t="s">
        <v>6969</v>
      </c>
      <c r="C2436" t="s">
        <v>6970</v>
      </c>
      <c r="D2436" t="s">
        <v>2200</v>
      </c>
      <c r="E2436" t="s">
        <v>2170</v>
      </c>
    </row>
    <row r="2437" spans="1:5" x14ac:dyDescent="0.25">
      <c r="A2437" t="s">
        <v>1600</v>
      </c>
      <c r="B2437" t="s">
        <v>6971</v>
      </c>
      <c r="C2437" t="s">
        <v>6972</v>
      </c>
      <c r="D2437" t="s">
        <v>2200</v>
      </c>
      <c r="E2437" t="s">
        <v>2170</v>
      </c>
    </row>
    <row r="2438" spans="1:5" x14ac:dyDescent="0.25">
      <c r="A2438" t="s">
        <v>1603</v>
      </c>
      <c r="B2438" t="s">
        <v>6973</v>
      </c>
      <c r="C2438" t="s">
        <v>6974</v>
      </c>
      <c r="D2438" t="s">
        <v>5939</v>
      </c>
      <c r="E2438" t="s">
        <v>2170</v>
      </c>
    </row>
    <row r="2439" spans="1:5" x14ac:dyDescent="0.25">
      <c r="A2439" t="s">
        <v>1603</v>
      </c>
      <c r="B2439" t="s">
        <v>6975</v>
      </c>
      <c r="C2439" t="s">
        <v>6976</v>
      </c>
      <c r="D2439" t="s">
        <v>5939</v>
      </c>
      <c r="E2439" t="s">
        <v>2170</v>
      </c>
    </row>
    <row r="2440" spans="1:5" x14ac:dyDescent="0.25">
      <c r="A2440" t="s">
        <v>1603</v>
      </c>
      <c r="B2440" t="s">
        <v>6977</v>
      </c>
      <c r="C2440" t="s">
        <v>6978</v>
      </c>
      <c r="D2440" t="s">
        <v>5939</v>
      </c>
      <c r="E2440" t="s">
        <v>2170</v>
      </c>
    </row>
    <row r="2441" spans="1:5" x14ac:dyDescent="0.25">
      <c r="A2441" t="s">
        <v>1607</v>
      </c>
      <c r="B2441" t="s">
        <v>6979</v>
      </c>
      <c r="C2441" t="s">
        <v>6980</v>
      </c>
      <c r="D2441" t="s">
        <v>5939</v>
      </c>
      <c r="E2441" t="s">
        <v>2170</v>
      </c>
    </row>
    <row r="2442" spans="1:5" x14ac:dyDescent="0.25">
      <c r="A2442" t="s">
        <v>1607</v>
      </c>
      <c r="B2442" t="s">
        <v>6981</v>
      </c>
      <c r="C2442" t="s">
        <v>6982</v>
      </c>
      <c r="D2442" t="s">
        <v>5939</v>
      </c>
      <c r="E2442" t="s">
        <v>2170</v>
      </c>
    </row>
    <row r="2443" spans="1:5" x14ac:dyDescent="0.25">
      <c r="A2443" t="s">
        <v>1607</v>
      </c>
      <c r="B2443" t="s">
        <v>6983</v>
      </c>
      <c r="C2443" t="s">
        <v>6984</v>
      </c>
      <c r="D2443" t="s">
        <v>5939</v>
      </c>
      <c r="E2443" t="s">
        <v>2170</v>
      </c>
    </row>
    <row r="2444" spans="1:5" x14ac:dyDescent="0.25">
      <c r="A2444" t="s">
        <v>1610</v>
      </c>
      <c r="B2444" t="s">
        <v>6985</v>
      </c>
      <c r="C2444" t="s">
        <v>6986</v>
      </c>
      <c r="D2444" t="s">
        <v>2415</v>
      </c>
      <c r="E2444" t="s">
        <v>2170</v>
      </c>
    </row>
    <row r="2445" spans="1:5" x14ac:dyDescent="0.25">
      <c r="A2445" t="s">
        <v>1610</v>
      </c>
      <c r="B2445" t="s">
        <v>6987</v>
      </c>
      <c r="C2445" t="s">
        <v>6988</v>
      </c>
      <c r="D2445" t="s">
        <v>2415</v>
      </c>
      <c r="E2445" t="s">
        <v>2170</v>
      </c>
    </row>
    <row r="2446" spans="1:5" x14ac:dyDescent="0.25">
      <c r="A2446" t="s">
        <v>1610</v>
      </c>
      <c r="B2446" t="s">
        <v>6989</v>
      </c>
      <c r="C2446" t="s">
        <v>6990</v>
      </c>
      <c r="D2446" t="s">
        <v>2169</v>
      </c>
      <c r="E2446" t="s">
        <v>6985</v>
      </c>
    </row>
    <row r="2447" spans="1:5" x14ac:dyDescent="0.25">
      <c r="A2447" t="s">
        <v>1610</v>
      </c>
      <c r="B2447" t="s">
        <v>6991</v>
      </c>
      <c r="C2447" t="s">
        <v>6992</v>
      </c>
      <c r="D2447" t="s">
        <v>2169</v>
      </c>
      <c r="E2447" t="s">
        <v>6985</v>
      </c>
    </row>
    <row r="2448" spans="1:5" x14ac:dyDescent="0.25">
      <c r="A2448" t="s">
        <v>1610</v>
      </c>
      <c r="B2448" t="s">
        <v>6993</v>
      </c>
      <c r="C2448" t="s">
        <v>6994</v>
      </c>
      <c r="D2448" t="s">
        <v>2169</v>
      </c>
      <c r="E2448" t="s">
        <v>6985</v>
      </c>
    </row>
    <row r="2449" spans="1:5" x14ac:dyDescent="0.25">
      <c r="A2449" t="s">
        <v>1610</v>
      </c>
      <c r="B2449" t="s">
        <v>6995</v>
      </c>
      <c r="C2449" t="s">
        <v>6996</v>
      </c>
      <c r="D2449" t="s">
        <v>2169</v>
      </c>
      <c r="E2449" t="s">
        <v>6987</v>
      </c>
    </row>
    <row r="2450" spans="1:5" x14ac:dyDescent="0.25">
      <c r="A2450" t="s">
        <v>1610</v>
      </c>
      <c r="B2450" t="s">
        <v>6997</v>
      </c>
      <c r="C2450" t="s">
        <v>6998</v>
      </c>
      <c r="D2450" t="s">
        <v>2169</v>
      </c>
      <c r="E2450" t="s">
        <v>6987</v>
      </c>
    </row>
    <row r="2451" spans="1:5" x14ac:dyDescent="0.25">
      <c r="A2451" t="s">
        <v>1610</v>
      </c>
      <c r="B2451" t="s">
        <v>6999</v>
      </c>
      <c r="C2451" t="s">
        <v>7000</v>
      </c>
      <c r="D2451" t="s">
        <v>2169</v>
      </c>
      <c r="E2451" t="s">
        <v>6985</v>
      </c>
    </row>
    <row r="2452" spans="1:5" x14ac:dyDescent="0.25">
      <c r="A2452" t="s">
        <v>1610</v>
      </c>
      <c r="B2452" t="s">
        <v>7001</v>
      </c>
      <c r="C2452" t="s">
        <v>7002</v>
      </c>
      <c r="D2452" t="s">
        <v>2169</v>
      </c>
      <c r="E2452" t="s">
        <v>6987</v>
      </c>
    </row>
    <row r="2453" spans="1:5" x14ac:dyDescent="0.25">
      <c r="A2453" t="s">
        <v>1610</v>
      </c>
      <c r="B2453" t="s">
        <v>7003</v>
      </c>
      <c r="C2453" t="s">
        <v>7004</v>
      </c>
      <c r="D2453" t="s">
        <v>2169</v>
      </c>
      <c r="E2453" t="s">
        <v>6985</v>
      </c>
    </row>
    <row r="2454" spans="1:5" x14ac:dyDescent="0.25">
      <c r="A2454" t="s">
        <v>1610</v>
      </c>
      <c r="B2454" t="s">
        <v>7005</v>
      </c>
      <c r="C2454" t="s">
        <v>7006</v>
      </c>
      <c r="D2454" t="s">
        <v>2169</v>
      </c>
      <c r="E2454" t="s">
        <v>6985</v>
      </c>
    </row>
    <row r="2455" spans="1:5" x14ac:dyDescent="0.25">
      <c r="A2455" t="s">
        <v>1610</v>
      </c>
      <c r="B2455" t="s">
        <v>7007</v>
      </c>
      <c r="C2455" t="s">
        <v>7008</v>
      </c>
      <c r="D2455" t="s">
        <v>2169</v>
      </c>
      <c r="E2455" t="s">
        <v>6987</v>
      </c>
    </row>
    <row r="2456" spans="1:5" x14ac:dyDescent="0.25">
      <c r="A2456" t="s">
        <v>1610</v>
      </c>
      <c r="B2456" t="s">
        <v>7009</v>
      </c>
      <c r="C2456" t="s">
        <v>7010</v>
      </c>
      <c r="D2456" t="s">
        <v>2169</v>
      </c>
      <c r="E2456" t="s">
        <v>6985</v>
      </c>
    </row>
    <row r="2457" spans="1:5" x14ac:dyDescent="0.25">
      <c r="A2457" t="s">
        <v>1610</v>
      </c>
      <c r="B2457" t="s">
        <v>7011</v>
      </c>
      <c r="C2457" t="s">
        <v>7012</v>
      </c>
      <c r="D2457" t="s">
        <v>2169</v>
      </c>
      <c r="E2457" t="s">
        <v>6987</v>
      </c>
    </row>
    <row r="2458" spans="1:5" x14ac:dyDescent="0.25">
      <c r="A2458" t="s">
        <v>1610</v>
      </c>
      <c r="B2458" t="s">
        <v>7013</v>
      </c>
      <c r="C2458" t="s">
        <v>7014</v>
      </c>
      <c r="D2458" t="s">
        <v>2169</v>
      </c>
      <c r="E2458" t="s">
        <v>6985</v>
      </c>
    </row>
    <row r="2459" spans="1:5" x14ac:dyDescent="0.25">
      <c r="A2459" t="s">
        <v>1610</v>
      </c>
      <c r="B2459" t="s">
        <v>7015</v>
      </c>
      <c r="C2459" t="s">
        <v>7016</v>
      </c>
      <c r="D2459" t="s">
        <v>2169</v>
      </c>
      <c r="E2459" t="s">
        <v>6985</v>
      </c>
    </row>
    <row r="2460" spans="1:5" x14ac:dyDescent="0.25">
      <c r="A2460" t="s">
        <v>1613</v>
      </c>
      <c r="B2460" t="s">
        <v>7017</v>
      </c>
      <c r="C2460" t="s">
        <v>7018</v>
      </c>
      <c r="D2460" t="s">
        <v>2200</v>
      </c>
      <c r="E2460" t="s">
        <v>2170</v>
      </c>
    </row>
    <row r="2461" spans="1:5" x14ac:dyDescent="0.25">
      <c r="A2461" t="s">
        <v>1613</v>
      </c>
      <c r="B2461" t="s">
        <v>7019</v>
      </c>
      <c r="C2461" t="s">
        <v>7020</v>
      </c>
      <c r="D2461" t="s">
        <v>2200</v>
      </c>
      <c r="E2461" t="s">
        <v>2170</v>
      </c>
    </row>
    <row r="2462" spans="1:5" x14ac:dyDescent="0.25">
      <c r="A2462" t="s">
        <v>1613</v>
      </c>
      <c r="B2462" t="s">
        <v>7021</v>
      </c>
      <c r="C2462" t="s">
        <v>7022</v>
      </c>
      <c r="D2462" t="s">
        <v>2200</v>
      </c>
      <c r="E2462" t="s">
        <v>2170</v>
      </c>
    </row>
    <row r="2463" spans="1:5" x14ac:dyDescent="0.25">
      <c r="A2463" t="s">
        <v>1613</v>
      </c>
      <c r="B2463" t="s">
        <v>7023</v>
      </c>
      <c r="C2463" t="s">
        <v>7024</v>
      </c>
      <c r="D2463" t="s">
        <v>2200</v>
      </c>
      <c r="E2463" t="s">
        <v>2170</v>
      </c>
    </row>
    <row r="2464" spans="1:5" x14ac:dyDescent="0.25">
      <c r="A2464" t="s">
        <v>1613</v>
      </c>
      <c r="B2464" t="s">
        <v>7025</v>
      </c>
      <c r="C2464" t="s">
        <v>7026</v>
      </c>
      <c r="D2464" t="s">
        <v>2200</v>
      </c>
      <c r="E2464" t="s">
        <v>2170</v>
      </c>
    </row>
    <row r="2465" spans="1:5" x14ac:dyDescent="0.25">
      <c r="A2465" t="s">
        <v>1613</v>
      </c>
      <c r="B2465" t="s">
        <v>7027</v>
      </c>
      <c r="C2465" t="s">
        <v>7028</v>
      </c>
      <c r="D2465" t="s">
        <v>6472</v>
      </c>
      <c r="E2465" t="s">
        <v>2170</v>
      </c>
    </row>
    <row r="2466" spans="1:5" x14ac:dyDescent="0.25">
      <c r="A2466" t="s">
        <v>1613</v>
      </c>
      <c r="B2466" t="s">
        <v>7029</v>
      </c>
      <c r="C2466" t="s">
        <v>7030</v>
      </c>
      <c r="D2466" t="s">
        <v>2200</v>
      </c>
      <c r="E2466" t="s">
        <v>2170</v>
      </c>
    </row>
    <row r="2467" spans="1:5" x14ac:dyDescent="0.25">
      <c r="A2467" t="s">
        <v>1613</v>
      </c>
      <c r="B2467" t="s">
        <v>7031</v>
      </c>
      <c r="C2467" t="s">
        <v>7032</v>
      </c>
      <c r="D2467" t="s">
        <v>6472</v>
      </c>
      <c r="E2467" t="s">
        <v>2170</v>
      </c>
    </row>
    <row r="2468" spans="1:5" x14ac:dyDescent="0.25">
      <c r="A2468" t="s">
        <v>1613</v>
      </c>
      <c r="B2468" t="s">
        <v>7033</v>
      </c>
      <c r="C2468" t="s">
        <v>7034</v>
      </c>
      <c r="D2468" t="s">
        <v>2200</v>
      </c>
      <c r="E2468" t="s">
        <v>2170</v>
      </c>
    </row>
    <row r="2469" spans="1:5" x14ac:dyDescent="0.25">
      <c r="A2469" t="s">
        <v>1613</v>
      </c>
      <c r="B2469" t="s">
        <v>7035</v>
      </c>
      <c r="C2469" t="s">
        <v>7036</v>
      </c>
      <c r="D2469" t="s">
        <v>2200</v>
      </c>
      <c r="E2469" t="s">
        <v>2170</v>
      </c>
    </row>
    <row r="2470" spans="1:5" x14ac:dyDescent="0.25">
      <c r="A2470" t="s">
        <v>1613</v>
      </c>
      <c r="B2470" t="s">
        <v>7037</v>
      </c>
      <c r="C2470" t="s">
        <v>7038</v>
      </c>
      <c r="D2470" t="s">
        <v>3799</v>
      </c>
      <c r="E2470" t="s">
        <v>2170</v>
      </c>
    </row>
    <row r="2471" spans="1:5" x14ac:dyDescent="0.25">
      <c r="A2471" t="s">
        <v>1613</v>
      </c>
      <c r="B2471" t="s">
        <v>7039</v>
      </c>
      <c r="C2471" t="s">
        <v>7040</v>
      </c>
      <c r="D2471" t="s">
        <v>7041</v>
      </c>
      <c r="E2471" t="s">
        <v>2170</v>
      </c>
    </row>
    <row r="2472" spans="1:5" x14ac:dyDescent="0.25">
      <c r="A2472" t="s">
        <v>1613</v>
      </c>
      <c r="B2472" t="s">
        <v>7042</v>
      </c>
      <c r="C2472" t="s">
        <v>7043</v>
      </c>
      <c r="D2472" t="s">
        <v>2200</v>
      </c>
      <c r="E2472" t="s">
        <v>2170</v>
      </c>
    </row>
    <row r="2473" spans="1:5" x14ac:dyDescent="0.25">
      <c r="A2473" t="s">
        <v>1616</v>
      </c>
      <c r="B2473" t="s">
        <v>7044</v>
      </c>
      <c r="C2473" t="s">
        <v>7045</v>
      </c>
      <c r="D2473" t="s">
        <v>6472</v>
      </c>
      <c r="E2473" t="s">
        <v>2170</v>
      </c>
    </row>
    <row r="2474" spans="1:5" x14ac:dyDescent="0.25">
      <c r="A2474" t="s">
        <v>1616</v>
      </c>
      <c r="B2474" t="s">
        <v>7046</v>
      </c>
      <c r="C2474" t="s">
        <v>7047</v>
      </c>
      <c r="D2474" t="s">
        <v>2200</v>
      </c>
      <c r="E2474" t="s">
        <v>2170</v>
      </c>
    </row>
    <row r="2475" spans="1:5" x14ac:dyDescent="0.25">
      <c r="A2475" t="s">
        <v>1616</v>
      </c>
      <c r="B2475" t="s">
        <v>7048</v>
      </c>
      <c r="C2475" t="s">
        <v>7049</v>
      </c>
      <c r="D2475" t="s">
        <v>2200</v>
      </c>
      <c r="E2475" t="s">
        <v>2170</v>
      </c>
    </row>
    <row r="2476" spans="1:5" x14ac:dyDescent="0.25">
      <c r="A2476" t="s">
        <v>1616</v>
      </c>
      <c r="B2476" t="s">
        <v>7050</v>
      </c>
      <c r="C2476" t="s">
        <v>7051</v>
      </c>
      <c r="D2476" t="s">
        <v>6472</v>
      </c>
      <c r="E2476" t="s">
        <v>2170</v>
      </c>
    </row>
    <row r="2477" spans="1:5" x14ac:dyDescent="0.25">
      <c r="A2477" t="s">
        <v>1616</v>
      </c>
      <c r="B2477" t="s">
        <v>7052</v>
      </c>
      <c r="C2477" t="s">
        <v>7053</v>
      </c>
      <c r="D2477" t="s">
        <v>6472</v>
      </c>
      <c r="E2477" t="s">
        <v>2170</v>
      </c>
    </row>
    <row r="2478" spans="1:5" x14ac:dyDescent="0.25">
      <c r="A2478" t="s">
        <v>1616</v>
      </c>
      <c r="B2478" t="s">
        <v>7054</v>
      </c>
      <c r="C2478" t="s">
        <v>7055</v>
      </c>
      <c r="D2478" t="s">
        <v>7056</v>
      </c>
      <c r="E2478" t="s">
        <v>2170</v>
      </c>
    </row>
    <row r="2479" spans="1:5" x14ac:dyDescent="0.25">
      <c r="A2479" t="s">
        <v>1616</v>
      </c>
      <c r="B2479" t="s">
        <v>7057</v>
      </c>
      <c r="C2479" t="s">
        <v>7058</v>
      </c>
      <c r="D2479" t="s">
        <v>6472</v>
      </c>
      <c r="E2479" t="s">
        <v>2170</v>
      </c>
    </row>
    <row r="2480" spans="1:5" x14ac:dyDescent="0.25">
      <c r="A2480" t="s">
        <v>1616</v>
      </c>
      <c r="B2480" t="s">
        <v>7059</v>
      </c>
      <c r="C2480" t="s">
        <v>7060</v>
      </c>
      <c r="D2480" t="s">
        <v>2200</v>
      </c>
      <c r="E2480" t="s">
        <v>2170</v>
      </c>
    </row>
    <row r="2481" spans="1:5" x14ac:dyDescent="0.25">
      <c r="A2481" t="s">
        <v>1616</v>
      </c>
      <c r="B2481" t="s">
        <v>7061</v>
      </c>
      <c r="C2481" t="s">
        <v>7062</v>
      </c>
      <c r="D2481" t="s">
        <v>2200</v>
      </c>
      <c r="E2481" t="s">
        <v>2170</v>
      </c>
    </row>
    <row r="2482" spans="1:5" x14ac:dyDescent="0.25">
      <c r="A2482" t="s">
        <v>1616</v>
      </c>
      <c r="B2482" t="s">
        <v>7063</v>
      </c>
      <c r="C2482" t="s">
        <v>7064</v>
      </c>
      <c r="D2482" t="s">
        <v>2200</v>
      </c>
      <c r="E2482" t="s">
        <v>2170</v>
      </c>
    </row>
    <row r="2483" spans="1:5" x14ac:dyDescent="0.25">
      <c r="A2483" t="s">
        <v>1616</v>
      </c>
      <c r="B2483" t="s">
        <v>7065</v>
      </c>
      <c r="C2483" t="s">
        <v>7066</v>
      </c>
      <c r="D2483" t="s">
        <v>6472</v>
      </c>
      <c r="E2483" t="s">
        <v>2170</v>
      </c>
    </row>
    <row r="2484" spans="1:5" x14ac:dyDescent="0.25">
      <c r="A2484" t="s">
        <v>1616</v>
      </c>
      <c r="B2484" t="s">
        <v>7067</v>
      </c>
      <c r="C2484" t="s">
        <v>7068</v>
      </c>
      <c r="D2484" t="s">
        <v>7056</v>
      </c>
      <c r="E2484" t="s">
        <v>2170</v>
      </c>
    </row>
    <row r="2485" spans="1:5" x14ac:dyDescent="0.25">
      <c r="A2485" t="s">
        <v>1616</v>
      </c>
      <c r="B2485" t="s">
        <v>7069</v>
      </c>
      <c r="C2485" t="s">
        <v>7070</v>
      </c>
      <c r="D2485" t="s">
        <v>2200</v>
      </c>
      <c r="E2485" t="s">
        <v>2170</v>
      </c>
    </row>
    <row r="2486" spans="1:5" x14ac:dyDescent="0.25">
      <c r="A2486" t="s">
        <v>1616</v>
      </c>
      <c r="B2486" t="s">
        <v>7071</v>
      </c>
      <c r="C2486" t="s">
        <v>7072</v>
      </c>
      <c r="D2486" t="s">
        <v>2200</v>
      </c>
      <c r="E2486" t="s">
        <v>2170</v>
      </c>
    </row>
    <row r="2487" spans="1:5" x14ac:dyDescent="0.25">
      <c r="A2487" t="s">
        <v>1616</v>
      </c>
      <c r="B2487" t="s">
        <v>7073</v>
      </c>
      <c r="C2487" t="s">
        <v>7074</v>
      </c>
      <c r="D2487" t="s">
        <v>7075</v>
      </c>
      <c r="E2487" t="s">
        <v>2170</v>
      </c>
    </row>
    <row r="2488" spans="1:5" x14ac:dyDescent="0.25">
      <c r="A2488" t="s">
        <v>1616</v>
      </c>
      <c r="B2488" t="s">
        <v>7076</v>
      </c>
      <c r="C2488" t="s">
        <v>7077</v>
      </c>
      <c r="D2488" t="s">
        <v>7041</v>
      </c>
      <c r="E2488" t="s">
        <v>2170</v>
      </c>
    </row>
    <row r="2489" spans="1:5" x14ac:dyDescent="0.25">
      <c r="A2489" t="s">
        <v>1616</v>
      </c>
      <c r="B2489" t="s">
        <v>7078</v>
      </c>
      <c r="C2489" t="s">
        <v>7079</v>
      </c>
      <c r="D2489" t="s">
        <v>6472</v>
      </c>
      <c r="E2489" t="s">
        <v>2170</v>
      </c>
    </row>
    <row r="2490" spans="1:5" x14ac:dyDescent="0.25">
      <c r="A2490" t="s">
        <v>1619</v>
      </c>
      <c r="B2490" t="s">
        <v>7080</v>
      </c>
      <c r="C2490" t="s">
        <v>1618</v>
      </c>
      <c r="D2490" t="s">
        <v>2963</v>
      </c>
      <c r="E2490" t="s">
        <v>2170</v>
      </c>
    </row>
    <row r="2491" spans="1:5" x14ac:dyDescent="0.25">
      <c r="A2491" t="s">
        <v>1619</v>
      </c>
      <c r="B2491" t="s">
        <v>7081</v>
      </c>
      <c r="C2491" t="s">
        <v>7082</v>
      </c>
      <c r="D2491" t="s">
        <v>2963</v>
      </c>
      <c r="E2491" t="s">
        <v>2170</v>
      </c>
    </row>
    <row r="2492" spans="1:5" x14ac:dyDescent="0.25">
      <c r="A2492" t="s">
        <v>1619</v>
      </c>
      <c r="B2492" t="s">
        <v>7083</v>
      </c>
      <c r="C2492" t="s">
        <v>7084</v>
      </c>
      <c r="D2492" t="s">
        <v>2963</v>
      </c>
      <c r="E2492" t="s">
        <v>2170</v>
      </c>
    </row>
    <row r="2493" spans="1:5" x14ac:dyDescent="0.25">
      <c r="A2493" t="s">
        <v>1619</v>
      </c>
      <c r="B2493" t="s">
        <v>7085</v>
      </c>
      <c r="C2493" t="s">
        <v>2962</v>
      </c>
      <c r="D2493" t="s">
        <v>2963</v>
      </c>
      <c r="E2493" t="s">
        <v>2170</v>
      </c>
    </row>
    <row r="2494" spans="1:5" x14ac:dyDescent="0.25">
      <c r="A2494" t="s">
        <v>1619</v>
      </c>
      <c r="B2494" t="s">
        <v>7086</v>
      </c>
      <c r="C2494" t="s">
        <v>7087</v>
      </c>
      <c r="D2494" t="s">
        <v>2963</v>
      </c>
      <c r="E2494" t="s">
        <v>2170</v>
      </c>
    </row>
    <row r="2495" spans="1:5" x14ac:dyDescent="0.25">
      <c r="A2495" t="s">
        <v>1619</v>
      </c>
      <c r="B2495" t="s">
        <v>7088</v>
      </c>
      <c r="C2495" t="s">
        <v>7089</v>
      </c>
      <c r="D2495" t="s">
        <v>2963</v>
      </c>
      <c r="E2495" t="s">
        <v>2170</v>
      </c>
    </row>
    <row r="2496" spans="1:5" x14ac:dyDescent="0.25">
      <c r="A2496" t="s">
        <v>1625</v>
      </c>
      <c r="B2496" t="s">
        <v>7090</v>
      </c>
      <c r="C2496" t="s">
        <v>7091</v>
      </c>
      <c r="D2496" t="s">
        <v>2311</v>
      </c>
      <c r="E2496" t="s">
        <v>2170</v>
      </c>
    </row>
    <row r="2497" spans="1:5" x14ac:dyDescent="0.25">
      <c r="A2497" t="s">
        <v>1625</v>
      </c>
      <c r="B2497" t="s">
        <v>7092</v>
      </c>
      <c r="C2497" t="s">
        <v>1624</v>
      </c>
      <c r="D2497" t="s">
        <v>2318</v>
      </c>
      <c r="E2497" t="s">
        <v>2170</v>
      </c>
    </row>
    <row r="2498" spans="1:5" x14ac:dyDescent="0.25">
      <c r="A2498" t="s">
        <v>1625</v>
      </c>
      <c r="B2498" t="s">
        <v>7093</v>
      </c>
      <c r="C2498" t="s">
        <v>7094</v>
      </c>
      <c r="D2498" t="s">
        <v>2311</v>
      </c>
      <c r="E2498" t="s">
        <v>2170</v>
      </c>
    </row>
    <row r="2499" spans="1:5" x14ac:dyDescent="0.25">
      <c r="A2499" t="s">
        <v>1625</v>
      </c>
      <c r="B2499" t="s">
        <v>7095</v>
      </c>
      <c r="C2499" t="s">
        <v>7096</v>
      </c>
      <c r="D2499" t="s">
        <v>2311</v>
      </c>
      <c r="E2499" t="s">
        <v>2170</v>
      </c>
    </row>
    <row r="2500" spans="1:5" x14ac:dyDescent="0.25">
      <c r="A2500" t="s">
        <v>1625</v>
      </c>
      <c r="B2500" t="s">
        <v>7097</v>
      </c>
      <c r="C2500" t="s">
        <v>7098</v>
      </c>
      <c r="D2500" t="s">
        <v>2311</v>
      </c>
      <c r="E2500" t="s">
        <v>2170</v>
      </c>
    </row>
    <row r="2501" spans="1:5" x14ac:dyDescent="0.25">
      <c r="A2501" t="s">
        <v>1625</v>
      </c>
      <c r="B2501" t="s">
        <v>7099</v>
      </c>
      <c r="C2501" t="s">
        <v>7100</v>
      </c>
      <c r="D2501" t="s">
        <v>2318</v>
      </c>
      <c r="E2501" t="s">
        <v>2170</v>
      </c>
    </row>
    <row r="2502" spans="1:5" x14ac:dyDescent="0.25">
      <c r="A2502" t="s">
        <v>1625</v>
      </c>
      <c r="B2502" t="s">
        <v>7101</v>
      </c>
      <c r="C2502" t="s">
        <v>7102</v>
      </c>
      <c r="D2502" t="s">
        <v>2311</v>
      </c>
      <c r="E2502" t="s">
        <v>2170</v>
      </c>
    </row>
    <row r="2503" spans="1:5" x14ac:dyDescent="0.25">
      <c r="A2503" t="s">
        <v>1625</v>
      </c>
      <c r="B2503" t="s">
        <v>7103</v>
      </c>
      <c r="C2503" t="s">
        <v>7104</v>
      </c>
      <c r="D2503" t="s">
        <v>2311</v>
      </c>
      <c r="E2503" t="s">
        <v>2170</v>
      </c>
    </row>
    <row r="2504" spans="1:5" x14ac:dyDescent="0.25">
      <c r="A2504" t="s">
        <v>1625</v>
      </c>
      <c r="B2504" t="s">
        <v>7105</v>
      </c>
      <c r="C2504" t="s">
        <v>7106</v>
      </c>
      <c r="D2504" t="s">
        <v>2311</v>
      </c>
      <c r="E2504" t="s">
        <v>2170</v>
      </c>
    </row>
    <row r="2505" spans="1:5" x14ac:dyDescent="0.25">
      <c r="A2505" t="s">
        <v>1625</v>
      </c>
      <c r="B2505" t="s">
        <v>7107</v>
      </c>
      <c r="C2505" t="s">
        <v>7108</v>
      </c>
      <c r="D2505" t="s">
        <v>2311</v>
      </c>
      <c r="E2505" t="s">
        <v>2170</v>
      </c>
    </row>
    <row r="2506" spans="1:5" x14ac:dyDescent="0.25">
      <c r="A2506" t="s">
        <v>1625</v>
      </c>
      <c r="B2506" t="s">
        <v>7109</v>
      </c>
      <c r="C2506" t="s">
        <v>7110</v>
      </c>
      <c r="D2506" t="s">
        <v>2311</v>
      </c>
      <c r="E2506" t="s">
        <v>2170</v>
      </c>
    </row>
    <row r="2507" spans="1:5" x14ac:dyDescent="0.25">
      <c r="A2507" t="s">
        <v>1625</v>
      </c>
      <c r="B2507" t="s">
        <v>7111</v>
      </c>
      <c r="C2507" t="s">
        <v>7112</v>
      </c>
      <c r="D2507" t="s">
        <v>2311</v>
      </c>
      <c r="E2507" t="s">
        <v>2170</v>
      </c>
    </row>
    <row r="2508" spans="1:5" x14ac:dyDescent="0.25">
      <c r="A2508" t="s">
        <v>1625</v>
      </c>
      <c r="B2508" t="s">
        <v>7113</v>
      </c>
      <c r="C2508" t="s">
        <v>7114</v>
      </c>
      <c r="D2508" t="s">
        <v>2311</v>
      </c>
      <c r="E2508" t="s">
        <v>2170</v>
      </c>
    </row>
    <row r="2509" spans="1:5" x14ac:dyDescent="0.25">
      <c r="A2509" t="s">
        <v>1625</v>
      </c>
      <c r="B2509" t="s">
        <v>7115</v>
      </c>
      <c r="C2509" t="s">
        <v>7116</v>
      </c>
      <c r="D2509" t="s">
        <v>2311</v>
      </c>
      <c r="E2509" t="s">
        <v>2170</v>
      </c>
    </row>
    <row r="2510" spans="1:5" x14ac:dyDescent="0.25">
      <c r="A2510" t="s">
        <v>1625</v>
      </c>
      <c r="B2510" t="s">
        <v>7117</v>
      </c>
      <c r="C2510" t="s">
        <v>7118</v>
      </c>
      <c r="D2510" t="s">
        <v>2318</v>
      </c>
      <c r="E2510" t="s">
        <v>2170</v>
      </c>
    </row>
    <row r="2511" spans="1:5" x14ac:dyDescent="0.25">
      <c r="A2511" t="s">
        <v>1625</v>
      </c>
      <c r="B2511" t="s">
        <v>7119</v>
      </c>
      <c r="C2511" t="s">
        <v>7120</v>
      </c>
      <c r="D2511" t="s">
        <v>2311</v>
      </c>
      <c r="E2511" t="s">
        <v>2170</v>
      </c>
    </row>
    <row r="2512" spans="1:5" x14ac:dyDescent="0.25">
      <c r="A2512" t="s">
        <v>1625</v>
      </c>
      <c r="B2512" t="s">
        <v>7121</v>
      </c>
      <c r="C2512" t="s">
        <v>7122</v>
      </c>
      <c r="D2512" t="s">
        <v>2311</v>
      </c>
      <c r="E2512" t="s">
        <v>2170</v>
      </c>
    </row>
    <row r="2513" spans="1:5" x14ac:dyDescent="0.25">
      <c r="A2513" t="s">
        <v>1625</v>
      </c>
      <c r="B2513" t="s">
        <v>7123</v>
      </c>
      <c r="C2513" t="s">
        <v>7124</v>
      </c>
      <c r="D2513" t="s">
        <v>2311</v>
      </c>
      <c r="E2513" t="s">
        <v>2170</v>
      </c>
    </row>
    <row r="2514" spans="1:5" x14ac:dyDescent="0.25">
      <c r="A2514" t="s">
        <v>1625</v>
      </c>
      <c r="B2514" t="s">
        <v>7125</v>
      </c>
      <c r="C2514" t="s">
        <v>7126</v>
      </c>
      <c r="D2514" t="s">
        <v>2311</v>
      </c>
      <c r="E2514" t="s">
        <v>2170</v>
      </c>
    </row>
    <row r="2515" spans="1:5" x14ac:dyDescent="0.25">
      <c r="A2515" t="s">
        <v>1625</v>
      </c>
      <c r="B2515" t="s">
        <v>7127</v>
      </c>
      <c r="C2515" t="s">
        <v>7128</v>
      </c>
      <c r="D2515" t="s">
        <v>2311</v>
      </c>
      <c r="E2515" t="s">
        <v>2170</v>
      </c>
    </row>
    <row r="2516" spans="1:5" x14ac:dyDescent="0.25">
      <c r="A2516" t="s">
        <v>1628</v>
      </c>
      <c r="B2516" t="s">
        <v>7129</v>
      </c>
      <c r="C2516" t="s">
        <v>7130</v>
      </c>
      <c r="D2516" t="s">
        <v>2200</v>
      </c>
      <c r="E2516" t="s">
        <v>2170</v>
      </c>
    </row>
    <row r="2517" spans="1:5" x14ac:dyDescent="0.25">
      <c r="A2517" t="s">
        <v>1628</v>
      </c>
      <c r="B2517" t="s">
        <v>7131</v>
      </c>
      <c r="C2517" t="s">
        <v>7132</v>
      </c>
      <c r="D2517" t="s">
        <v>2200</v>
      </c>
      <c r="E2517" t="s">
        <v>2170</v>
      </c>
    </row>
    <row r="2518" spans="1:5" x14ac:dyDescent="0.25">
      <c r="A2518" t="s">
        <v>1628</v>
      </c>
      <c r="B2518" t="s">
        <v>7133</v>
      </c>
      <c r="C2518" t="s">
        <v>7134</v>
      </c>
      <c r="D2518" t="s">
        <v>2200</v>
      </c>
      <c r="E2518" t="s">
        <v>2170</v>
      </c>
    </row>
    <row r="2519" spans="1:5" x14ac:dyDescent="0.25">
      <c r="A2519" t="s">
        <v>1628</v>
      </c>
      <c r="B2519" t="s">
        <v>7135</v>
      </c>
      <c r="C2519" t="s">
        <v>7136</v>
      </c>
      <c r="D2519" t="s">
        <v>2200</v>
      </c>
      <c r="E2519" t="s">
        <v>2170</v>
      </c>
    </row>
    <row r="2520" spans="1:5" x14ac:dyDescent="0.25">
      <c r="A2520" t="s">
        <v>1628</v>
      </c>
      <c r="B2520" t="s">
        <v>7137</v>
      </c>
      <c r="C2520" t="s">
        <v>7138</v>
      </c>
      <c r="D2520" t="s">
        <v>2200</v>
      </c>
      <c r="E2520" t="s">
        <v>2170</v>
      </c>
    </row>
    <row r="2521" spans="1:5" x14ac:dyDescent="0.25">
      <c r="A2521" t="s">
        <v>1628</v>
      </c>
      <c r="B2521" t="s">
        <v>7139</v>
      </c>
      <c r="C2521" t="s">
        <v>7140</v>
      </c>
      <c r="D2521" t="s">
        <v>2200</v>
      </c>
      <c r="E2521" t="s">
        <v>2170</v>
      </c>
    </row>
    <row r="2522" spans="1:5" x14ac:dyDescent="0.25">
      <c r="A2522" t="s">
        <v>1628</v>
      </c>
      <c r="B2522" t="s">
        <v>7141</v>
      </c>
      <c r="C2522" t="s">
        <v>7142</v>
      </c>
      <c r="D2522" t="s">
        <v>2200</v>
      </c>
      <c r="E2522" t="s">
        <v>2170</v>
      </c>
    </row>
    <row r="2523" spans="1:5" x14ac:dyDescent="0.25">
      <c r="A2523" t="s">
        <v>1628</v>
      </c>
      <c r="B2523" t="s">
        <v>7143</v>
      </c>
      <c r="C2523" t="s">
        <v>7144</v>
      </c>
      <c r="D2523" t="s">
        <v>2200</v>
      </c>
      <c r="E2523" t="s">
        <v>2170</v>
      </c>
    </row>
    <row r="2524" spans="1:5" x14ac:dyDescent="0.25">
      <c r="A2524" t="s">
        <v>1628</v>
      </c>
      <c r="B2524" t="s">
        <v>7145</v>
      </c>
      <c r="C2524" t="s">
        <v>7146</v>
      </c>
      <c r="D2524" t="s">
        <v>2200</v>
      </c>
      <c r="E2524" t="s">
        <v>2170</v>
      </c>
    </row>
    <row r="2525" spans="1:5" x14ac:dyDescent="0.25">
      <c r="A2525" t="s">
        <v>1628</v>
      </c>
      <c r="B2525" t="s">
        <v>7147</v>
      </c>
      <c r="C2525" t="s">
        <v>7148</v>
      </c>
      <c r="D2525" t="s">
        <v>2200</v>
      </c>
      <c r="E2525" t="s">
        <v>2170</v>
      </c>
    </row>
    <row r="2526" spans="1:5" x14ac:dyDescent="0.25">
      <c r="A2526" t="s">
        <v>1628</v>
      </c>
      <c r="B2526" t="s">
        <v>7149</v>
      </c>
      <c r="C2526" t="s">
        <v>7150</v>
      </c>
      <c r="D2526" t="s">
        <v>2200</v>
      </c>
      <c r="E2526" t="s">
        <v>2170</v>
      </c>
    </row>
    <row r="2527" spans="1:5" x14ac:dyDescent="0.25">
      <c r="A2527" t="s">
        <v>1628</v>
      </c>
      <c r="B2527" t="s">
        <v>7151</v>
      </c>
      <c r="C2527" t="s">
        <v>7152</v>
      </c>
      <c r="D2527" t="s">
        <v>2200</v>
      </c>
      <c r="E2527" t="s">
        <v>2170</v>
      </c>
    </row>
    <row r="2528" spans="1:5" x14ac:dyDescent="0.25">
      <c r="A2528" t="s">
        <v>1628</v>
      </c>
      <c r="B2528" t="s">
        <v>7153</v>
      </c>
      <c r="C2528" t="s">
        <v>7154</v>
      </c>
      <c r="D2528" t="s">
        <v>2200</v>
      </c>
      <c r="E2528" t="s">
        <v>2170</v>
      </c>
    </row>
    <row r="2529" spans="1:5" x14ac:dyDescent="0.25">
      <c r="A2529" t="s">
        <v>1628</v>
      </c>
      <c r="B2529" t="s">
        <v>7155</v>
      </c>
      <c r="C2529" t="s">
        <v>7154</v>
      </c>
      <c r="D2529" t="s">
        <v>3356</v>
      </c>
      <c r="E2529" t="s">
        <v>2170</v>
      </c>
    </row>
    <row r="2530" spans="1:5" x14ac:dyDescent="0.25">
      <c r="A2530" t="s">
        <v>1628</v>
      </c>
      <c r="B2530" t="s">
        <v>7156</v>
      </c>
      <c r="C2530" t="s">
        <v>7157</v>
      </c>
      <c r="D2530" t="s">
        <v>2200</v>
      </c>
      <c r="E2530" t="s">
        <v>2170</v>
      </c>
    </row>
    <row r="2531" spans="1:5" x14ac:dyDescent="0.25">
      <c r="A2531" t="s">
        <v>1628</v>
      </c>
      <c r="B2531" t="s">
        <v>7158</v>
      </c>
      <c r="C2531" t="s">
        <v>7159</v>
      </c>
      <c r="D2531" t="s">
        <v>2200</v>
      </c>
      <c r="E2531" t="s">
        <v>2170</v>
      </c>
    </row>
    <row r="2532" spans="1:5" x14ac:dyDescent="0.25">
      <c r="A2532" t="s">
        <v>1628</v>
      </c>
      <c r="B2532" t="s">
        <v>7160</v>
      </c>
      <c r="C2532" t="s">
        <v>7161</v>
      </c>
      <c r="D2532" t="s">
        <v>2200</v>
      </c>
      <c r="E2532" t="s">
        <v>2170</v>
      </c>
    </row>
    <row r="2533" spans="1:5" x14ac:dyDescent="0.25">
      <c r="A2533" t="s">
        <v>1628</v>
      </c>
      <c r="B2533" t="s">
        <v>7162</v>
      </c>
      <c r="C2533" t="s">
        <v>7163</v>
      </c>
      <c r="D2533" t="s">
        <v>2200</v>
      </c>
      <c r="E2533" t="s">
        <v>2170</v>
      </c>
    </row>
    <row r="2534" spans="1:5" x14ac:dyDescent="0.25">
      <c r="A2534" t="s">
        <v>1631</v>
      </c>
      <c r="B2534" t="s">
        <v>7164</v>
      </c>
      <c r="C2534" t="s">
        <v>7165</v>
      </c>
      <c r="D2534" t="s">
        <v>2963</v>
      </c>
      <c r="E2534" t="s">
        <v>2170</v>
      </c>
    </row>
    <row r="2535" spans="1:5" x14ac:dyDescent="0.25">
      <c r="A2535" t="s">
        <v>1631</v>
      </c>
      <c r="B2535" t="s">
        <v>7166</v>
      </c>
      <c r="C2535" t="s">
        <v>7167</v>
      </c>
      <c r="D2535" t="s">
        <v>2963</v>
      </c>
      <c r="E2535" t="s">
        <v>2170</v>
      </c>
    </row>
    <row r="2536" spans="1:5" x14ac:dyDescent="0.25">
      <c r="A2536" t="s">
        <v>1631</v>
      </c>
      <c r="B2536" t="s">
        <v>7168</v>
      </c>
      <c r="C2536" t="s">
        <v>7169</v>
      </c>
      <c r="D2536" t="s">
        <v>2963</v>
      </c>
      <c r="E2536" t="s">
        <v>2170</v>
      </c>
    </row>
    <row r="2537" spans="1:5" x14ac:dyDescent="0.25">
      <c r="A2537" t="s">
        <v>1631</v>
      </c>
      <c r="B2537" t="s">
        <v>7170</v>
      </c>
      <c r="C2537" t="s">
        <v>7171</v>
      </c>
      <c r="D2537" t="s">
        <v>2963</v>
      </c>
      <c r="E2537" t="s">
        <v>2170</v>
      </c>
    </row>
    <row r="2538" spans="1:5" x14ac:dyDescent="0.25">
      <c r="A2538" t="s">
        <v>1631</v>
      </c>
      <c r="B2538" t="s">
        <v>7172</v>
      </c>
      <c r="C2538" t="s">
        <v>7173</v>
      </c>
      <c r="D2538" t="s">
        <v>2963</v>
      </c>
      <c r="E2538" t="s">
        <v>2170</v>
      </c>
    </row>
    <row r="2539" spans="1:5" x14ac:dyDescent="0.25">
      <c r="A2539" t="s">
        <v>1631</v>
      </c>
      <c r="B2539" t="s">
        <v>7174</v>
      </c>
      <c r="C2539" t="s">
        <v>7175</v>
      </c>
      <c r="D2539" t="s">
        <v>2963</v>
      </c>
      <c r="E2539" t="s">
        <v>2170</v>
      </c>
    </row>
    <row r="2540" spans="1:5" x14ac:dyDescent="0.25">
      <c r="A2540" t="s">
        <v>1631</v>
      </c>
      <c r="B2540" t="s">
        <v>7176</v>
      </c>
      <c r="C2540" t="s">
        <v>7177</v>
      </c>
      <c r="D2540" t="s">
        <v>2963</v>
      </c>
      <c r="E2540" t="s">
        <v>2170</v>
      </c>
    </row>
    <row r="2541" spans="1:5" x14ac:dyDescent="0.25">
      <c r="A2541" t="s">
        <v>1631</v>
      </c>
      <c r="B2541" t="s">
        <v>7178</v>
      </c>
      <c r="C2541" t="s">
        <v>7179</v>
      </c>
      <c r="D2541" t="s">
        <v>2963</v>
      </c>
      <c r="E2541" t="s">
        <v>2170</v>
      </c>
    </row>
    <row r="2542" spans="1:5" x14ac:dyDescent="0.25">
      <c r="A2542" t="s">
        <v>1634</v>
      </c>
      <c r="B2542" t="s">
        <v>7180</v>
      </c>
      <c r="C2542" t="s">
        <v>7181</v>
      </c>
      <c r="D2542" t="s">
        <v>2646</v>
      </c>
      <c r="E2542" t="s">
        <v>2170</v>
      </c>
    </row>
    <row r="2543" spans="1:5" x14ac:dyDescent="0.25">
      <c r="A2543" t="s">
        <v>1634</v>
      </c>
      <c r="B2543" t="s">
        <v>7182</v>
      </c>
      <c r="C2543" t="s">
        <v>7183</v>
      </c>
      <c r="D2543" t="s">
        <v>2646</v>
      </c>
      <c r="E2543" t="s">
        <v>2170</v>
      </c>
    </row>
    <row r="2544" spans="1:5" x14ac:dyDescent="0.25">
      <c r="A2544" t="s">
        <v>1634</v>
      </c>
      <c r="B2544" t="s">
        <v>7184</v>
      </c>
      <c r="C2544" t="s">
        <v>1633</v>
      </c>
      <c r="D2544" t="s">
        <v>2646</v>
      </c>
      <c r="E2544" t="s">
        <v>2170</v>
      </c>
    </row>
    <row r="2545" spans="1:5" x14ac:dyDescent="0.25">
      <c r="A2545" t="s">
        <v>1634</v>
      </c>
      <c r="B2545" t="s">
        <v>7185</v>
      </c>
      <c r="C2545" t="s">
        <v>7186</v>
      </c>
      <c r="D2545" t="s">
        <v>2646</v>
      </c>
      <c r="E2545" t="s">
        <v>2170</v>
      </c>
    </row>
    <row r="2546" spans="1:5" x14ac:dyDescent="0.25">
      <c r="A2546" t="s">
        <v>1634</v>
      </c>
      <c r="B2546" t="s">
        <v>7187</v>
      </c>
      <c r="C2546" t="s">
        <v>7188</v>
      </c>
      <c r="D2546" t="s">
        <v>2646</v>
      </c>
      <c r="E2546" t="s">
        <v>2170</v>
      </c>
    </row>
    <row r="2547" spans="1:5" x14ac:dyDescent="0.25">
      <c r="A2547" t="s">
        <v>1634</v>
      </c>
      <c r="B2547" t="s">
        <v>7189</v>
      </c>
      <c r="C2547" t="s">
        <v>7190</v>
      </c>
      <c r="D2547" t="s">
        <v>2646</v>
      </c>
      <c r="E2547" t="s">
        <v>2170</v>
      </c>
    </row>
    <row r="2548" spans="1:5" x14ac:dyDescent="0.25">
      <c r="A2548" t="s">
        <v>1634</v>
      </c>
      <c r="B2548" t="s">
        <v>7191</v>
      </c>
      <c r="C2548" t="s">
        <v>7192</v>
      </c>
      <c r="D2548" t="s">
        <v>2646</v>
      </c>
      <c r="E2548" t="s">
        <v>2170</v>
      </c>
    </row>
    <row r="2549" spans="1:5" x14ac:dyDescent="0.25">
      <c r="A2549" t="s">
        <v>1634</v>
      </c>
      <c r="B2549" t="s">
        <v>7193</v>
      </c>
      <c r="C2549" t="s">
        <v>7194</v>
      </c>
      <c r="D2549" t="s">
        <v>2646</v>
      </c>
      <c r="E2549" t="s">
        <v>2170</v>
      </c>
    </row>
    <row r="2550" spans="1:5" x14ac:dyDescent="0.25">
      <c r="A2550" t="s">
        <v>1634</v>
      </c>
      <c r="B2550" t="s">
        <v>7195</v>
      </c>
      <c r="C2550" t="s">
        <v>7196</v>
      </c>
      <c r="D2550" t="s">
        <v>2646</v>
      </c>
      <c r="E2550" t="s">
        <v>2170</v>
      </c>
    </row>
    <row r="2551" spans="1:5" x14ac:dyDescent="0.25">
      <c r="A2551" t="s">
        <v>1634</v>
      </c>
      <c r="B2551" t="s">
        <v>7197</v>
      </c>
      <c r="C2551" t="s">
        <v>7198</v>
      </c>
      <c r="D2551" t="s">
        <v>2646</v>
      </c>
      <c r="E2551" t="s">
        <v>2170</v>
      </c>
    </row>
    <row r="2552" spans="1:5" x14ac:dyDescent="0.25">
      <c r="A2552" t="s">
        <v>1637</v>
      </c>
      <c r="B2552" t="s">
        <v>7199</v>
      </c>
      <c r="C2552" t="s">
        <v>7200</v>
      </c>
      <c r="D2552" t="s">
        <v>3358</v>
      </c>
      <c r="E2552" t="s">
        <v>2170</v>
      </c>
    </row>
    <row r="2553" spans="1:5" x14ac:dyDescent="0.25">
      <c r="A2553" t="s">
        <v>1637</v>
      </c>
      <c r="B2553" t="s">
        <v>7201</v>
      </c>
      <c r="C2553" t="s">
        <v>7202</v>
      </c>
      <c r="D2553" t="s">
        <v>3358</v>
      </c>
      <c r="E2553" t="s">
        <v>2170</v>
      </c>
    </row>
    <row r="2554" spans="1:5" x14ac:dyDescent="0.25">
      <c r="A2554" t="s">
        <v>1637</v>
      </c>
      <c r="B2554" t="s">
        <v>7203</v>
      </c>
      <c r="C2554" t="s">
        <v>7204</v>
      </c>
      <c r="D2554" t="s">
        <v>3358</v>
      </c>
      <c r="E2554" t="s">
        <v>2170</v>
      </c>
    </row>
    <row r="2555" spans="1:5" x14ac:dyDescent="0.25">
      <c r="A2555" t="s">
        <v>1637</v>
      </c>
      <c r="B2555" t="s">
        <v>7205</v>
      </c>
      <c r="C2555" t="s">
        <v>7206</v>
      </c>
      <c r="D2555" t="s">
        <v>3358</v>
      </c>
      <c r="E2555" t="s">
        <v>2170</v>
      </c>
    </row>
    <row r="2556" spans="1:5" x14ac:dyDescent="0.25">
      <c r="A2556" t="s">
        <v>1637</v>
      </c>
      <c r="B2556" t="s">
        <v>7207</v>
      </c>
      <c r="C2556" t="s">
        <v>7208</v>
      </c>
      <c r="D2556" t="s">
        <v>3358</v>
      </c>
      <c r="E2556" t="s">
        <v>2170</v>
      </c>
    </row>
    <row r="2557" spans="1:5" x14ac:dyDescent="0.25">
      <c r="A2557" t="s">
        <v>1637</v>
      </c>
      <c r="B2557" t="s">
        <v>7209</v>
      </c>
      <c r="C2557" t="s">
        <v>7210</v>
      </c>
      <c r="D2557" t="s">
        <v>3358</v>
      </c>
      <c r="E2557" t="s">
        <v>2170</v>
      </c>
    </row>
    <row r="2558" spans="1:5" x14ac:dyDescent="0.25">
      <c r="A2558" t="s">
        <v>1637</v>
      </c>
      <c r="B2558" t="s">
        <v>7211</v>
      </c>
      <c r="C2558" t="s">
        <v>7212</v>
      </c>
      <c r="D2558" t="s">
        <v>3358</v>
      </c>
      <c r="E2558" t="s">
        <v>2170</v>
      </c>
    </row>
    <row r="2559" spans="1:5" x14ac:dyDescent="0.25">
      <c r="A2559" t="s">
        <v>1637</v>
      </c>
      <c r="B2559" t="s">
        <v>7213</v>
      </c>
      <c r="C2559" t="s">
        <v>7214</v>
      </c>
      <c r="D2559" t="s">
        <v>3358</v>
      </c>
      <c r="E2559" t="s">
        <v>2170</v>
      </c>
    </row>
    <row r="2560" spans="1:5" x14ac:dyDescent="0.25">
      <c r="A2560" t="s">
        <v>1637</v>
      </c>
      <c r="B2560" t="s">
        <v>7215</v>
      </c>
      <c r="C2560" t="s">
        <v>7216</v>
      </c>
      <c r="D2560" t="s">
        <v>3358</v>
      </c>
      <c r="E2560" t="s">
        <v>2170</v>
      </c>
    </row>
    <row r="2561" spans="1:5" x14ac:dyDescent="0.25">
      <c r="A2561" t="s">
        <v>1637</v>
      </c>
      <c r="B2561" t="s">
        <v>7217</v>
      </c>
      <c r="C2561" t="s">
        <v>7218</v>
      </c>
      <c r="D2561" t="s">
        <v>3358</v>
      </c>
      <c r="E2561" t="s">
        <v>2170</v>
      </c>
    </row>
    <row r="2562" spans="1:5" x14ac:dyDescent="0.25">
      <c r="A2562" t="s">
        <v>1637</v>
      </c>
      <c r="B2562" t="s">
        <v>7219</v>
      </c>
      <c r="C2562" t="s">
        <v>1636</v>
      </c>
      <c r="D2562" t="s">
        <v>3358</v>
      </c>
      <c r="E2562" t="s">
        <v>2170</v>
      </c>
    </row>
    <row r="2563" spans="1:5" x14ac:dyDescent="0.25">
      <c r="A2563" t="s">
        <v>1640</v>
      </c>
      <c r="B2563" t="s">
        <v>7220</v>
      </c>
      <c r="C2563" t="s">
        <v>7221</v>
      </c>
      <c r="D2563" t="s">
        <v>2200</v>
      </c>
      <c r="E2563" t="s">
        <v>2170</v>
      </c>
    </row>
    <row r="2564" spans="1:5" x14ac:dyDescent="0.25">
      <c r="A2564" t="s">
        <v>1640</v>
      </c>
      <c r="B2564" t="s">
        <v>7222</v>
      </c>
      <c r="C2564" t="s">
        <v>7223</v>
      </c>
      <c r="D2564" t="s">
        <v>2200</v>
      </c>
      <c r="E2564" t="s">
        <v>2170</v>
      </c>
    </row>
    <row r="2565" spans="1:5" x14ac:dyDescent="0.25">
      <c r="A2565" t="s">
        <v>1640</v>
      </c>
      <c r="B2565" t="s">
        <v>7224</v>
      </c>
      <c r="C2565" t="s">
        <v>7225</v>
      </c>
      <c r="D2565" t="s">
        <v>2200</v>
      </c>
      <c r="E2565" t="s">
        <v>2170</v>
      </c>
    </row>
    <row r="2566" spans="1:5" x14ac:dyDescent="0.25">
      <c r="A2566" t="s">
        <v>1640</v>
      </c>
      <c r="B2566" t="s">
        <v>7226</v>
      </c>
      <c r="C2566" t="s">
        <v>7227</v>
      </c>
      <c r="D2566" t="s">
        <v>2200</v>
      </c>
      <c r="E2566" t="s">
        <v>2170</v>
      </c>
    </row>
    <row r="2567" spans="1:5" x14ac:dyDescent="0.25">
      <c r="A2567" t="s">
        <v>1640</v>
      </c>
      <c r="B2567" t="s">
        <v>7228</v>
      </c>
      <c r="C2567" t="s">
        <v>7229</v>
      </c>
      <c r="D2567" t="s">
        <v>2200</v>
      </c>
      <c r="E2567" t="s">
        <v>2170</v>
      </c>
    </row>
    <row r="2568" spans="1:5" x14ac:dyDescent="0.25">
      <c r="A2568" t="s">
        <v>1640</v>
      </c>
      <c r="B2568" t="s">
        <v>7230</v>
      </c>
      <c r="C2568" t="s">
        <v>7231</v>
      </c>
      <c r="D2568" t="s">
        <v>2200</v>
      </c>
      <c r="E2568" t="s">
        <v>2170</v>
      </c>
    </row>
    <row r="2569" spans="1:5" x14ac:dyDescent="0.25">
      <c r="A2569" t="s">
        <v>1640</v>
      </c>
      <c r="B2569" t="s">
        <v>7232</v>
      </c>
      <c r="C2569" t="s">
        <v>7233</v>
      </c>
      <c r="D2569" t="s">
        <v>2200</v>
      </c>
      <c r="E2569" t="s">
        <v>2170</v>
      </c>
    </row>
    <row r="2570" spans="1:5" x14ac:dyDescent="0.25">
      <c r="A2570" t="s">
        <v>1640</v>
      </c>
      <c r="B2570" t="s">
        <v>7234</v>
      </c>
      <c r="C2570" t="s">
        <v>7235</v>
      </c>
      <c r="D2570" t="s">
        <v>2200</v>
      </c>
      <c r="E2570" t="s">
        <v>2170</v>
      </c>
    </row>
    <row r="2571" spans="1:5" x14ac:dyDescent="0.25">
      <c r="A2571" t="s">
        <v>1640</v>
      </c>
      <c r="B2571" t="s">
        <v>7236</v>
      </c>
      <c r="C2571" t="s">
        <v>7237</v>
      </c>
      <c r="D2571" t="s">
        <v>2200</v>
      </c>
      <c r="E2571" t="s">
        <v>2170</v>
      </c>
    </row>
    <row r="2572" spans="1:5" x14ac:dyDescent="0.25">
      <c r="A2572" t="s">
        <v>1640</v>
      </c>
      <c r="B2572" t="s">
        <v>7238</v>
      </c>
      <c r="C2572" t="s">
        <v>7239</v>
      </c>
      <c r="D2572" t="s">
        <v>2646</v>
      </c>
      <c r="E2572" t="s">
        <v>7226</v>
      </c>
    </row>
    <row r="2573" spans="1:5" x14ac:dyDescent="0.25">
      <c r="A2573" t="s">
        <v>1640</v>
      </c>
      <c r="B2573" t="s">
        <v>7240</v>
      </c>
      <c r="C2573" t="s">
        <v>7241</v>
      </c>
      <c r="D2573" t="s">
        <v>2646</v>
      </c>
      <c r="E2573" t="s">
        <v>7232</v>
      </c>
    </row>
    <row r="2574" spans="1:5" x14ac:dyDescent="0.25">
      <c r="A2574" t="s">
        <v>1640</v>
      </c>
      <c r="B2574" t="s">
        <v>7242</v>
      </c>
      <c r="C2574" t="s">
        <v>7243</v>
      </c>
      <c r="D2574" t="s">
        <v>2646</v>
      </c>
      <c r="E2574" t="s">
        <v>7234</v>
      </c>
    </row>
    <row r="2575" spans="1:5" x14ac:dyDescent="0.25">
      <c r="A2575" t="s">
        <v>1640</v>
      </c>
      <c r="B2575" t="s">
        <v>7244</v>
      </c>
      <c r="C2575" t="s">
        <v>7245</v>
      </c>
      <c r="D2575" t="s">
        <v>2646</v>
      </c>
      <c r="E2575" t="s">
        <v>7222</v>
      </c>
    </row>
    <row r="2576" spans="1:5" x14ac:dyDescent="0.25">
      <c r="A2576" t="s">
        <v>1640</v>
      </c>
      <c r="B2576" t="s">
        <v>7246</v>
      </c>
      <c r="C2576" t="s">
        <v>7247</v>
      </c>
      <c r="D2576" t="s">
        <v>2646</v>
      </c>
      <c r="E2576" t="s">
        <v>7220</v>
      </c>
    </row>
    <row r="2577" spans="1:5" x14ac:dyDescent="0.25">
      <c r="A2577" t="s">
        <v>1640</v>
      </c>
      <c r="B2577" t="s">
        <v>7248</v>
      </c>
      <c r="C2577" t="s">
        <v>7249</v>
      </c>
      <c r="D2577" t="s">
        <v>2646</v>
      </c>
      <c r="E2577" t="s">
        <v>7222</v>
      </c>
    </row>
    <row r="2578" spans="1:5" x14ac:dyDescent="0.25">
      <c r="A2578" t="s">
        <v>1640</v>
      </c>
      <c r="B2578" t="s">
        <v>7250</v>
      </c>
      <c r="C2578" t="s">
        <v>7251</v>
      </c>
      <c r="D2578" t="s">
        <v>2646</v>
      </c>
      <c r="E2578" t="s">
        <v>7228</v>
      </c>
    </row>
    <row r="2579" spans="1:5" x14ac:dyDescent="0.25">
      <c r="A2579" t="s">
        <v>1640</v>
      </c>
      <c r="B2579" t="s">
        <v>7252</v>
      </c>
      <c r="C2579" t="s">
        <v>7253</v>
      </c>
      <c r="D2579" t="s">
        <v>2646</v>
      </c>
      <c r="E2579" t="s">
        <v>7220</v>
      </c>
    </row>
    <row r="2580" spans="1:5" x14ac:dyDescent="0.25">
      <c r="A2580" t="s">
        <v>1640</v>
      </c>
      <c r="B2580" t="s">
        <v>7254</v>
      </c>
      <c r="C2580" t="s">
        <v>7255</v>
      </c>
      <c r="D2580" t="s">
        <v>2646</v>
      </c>
      <c r="E2580" t="s">
        <v>7230</v>
      </c>
    </row>
    <row r="2581" spans="1:5" x14ac:dyDescent="0.25">
      <c r="A2581" t="s">
        <v>1640</v>
      </c>
      <c r="B2581" t="s">
        <v>7256</v>
      </c>
      <c r="C2581" t="s">
        <v>7257</v>
      </c>
      <c r="D2581" t="s">
        <v>2646</v>
      </c>
      <c r="E2581" t="s">
        <v>7220</v>
      </c>
    </row>
    <row r="2582" spans="1:5" x14ac:dyDescent="0.25">
      <c r="A2582" t="s">
        <v>1640</v>
      </c>
      <c r="B2582" t="s">
        <v>7258</v>
      </c>
      <c r="C2582" t="s">
        <v>7259</v>
      </c>
      <c r="D2582" t="s">
        <v>2646</v>
      </c>
      <c r="E2582" t="s">
        <v>7236</v>
      </c>
    </row>
    <row r="2583" spans="1:5" x14ac:dyDescent="0.25">
      <c r="A2583" t="s">
        <v>1640</v>
      </c>
      <c r="B2583" t="s">
        <v>7260</v>
      </c>
      <c r="C2583" t="s">
        <v>7261</v>
      </c>
      <c r="D2583" t="s">
        <v>2646</v>
      </c>
      <c r="E2583" t="s">
        <v>7226</v>
      </c>
    </row>
    <row r="2584" spans="1:5" x14ac:dyDescent="0.25">
      <c r="A2584" t="s">
        <v>1640</v>
      </c>
      <c r="B2584" t="s">
        <v>7262</v>
      </c>
      <c r="C2584" t="s">
        <v>7263</v>
      </c>
      <c r="D2584" t="s">
        <v>2646</v>
      </c>
      <c r="E2584" t="s">
        <v>7224</v>
      </c>
    </row>
    <row r="2585" spans="1:5" x14ac:dyDescent="0.25">
      <c r="A2585" t="s">
        <v>1640</v>
      </c>
      <c r="B2585" t="s">
        <v>7264</v>
      </c>
      <c r="C2585" t="s">
        <v>7265</v>
      </c>
      <c r="D2585" t="s">
        <v>2646</v>
      </c>
      <c r="E2585" t="s">
        <v>7230</v>
      </c>
    </row>
    <row r="2586" spans="1:5" x14ac:dyDescent="0.25">
      <c r="A2586" t="s">
        <v>1640</v>
      </c>
      <c r="B2586" t="s">
        <v>7266</v>
      </c>
      <c r="C2586" t="s">
        <v>7267</v>
      </c>
      <c r="D2586" t="s">
        <v>2646</v>
      </c>
      <c r="E2586" t="s">
        <v>7224</v>
      </c>
    </row>
    <row r="2587" spans="1:5" x14ac:dyDescent="0.25">
      <c r="A2587" t="s">
        <v>1640</v>
      </c>
      <c r="B2587" t="s">
        <v>7268</v>
      </c>
      <c r="C2587" t="s">
        <v>7269</v>
      </c>
      <c r="D2587" t="s">
        <v>2646</v>
      </c>
      <c r="E2587" t="s">
        <v>7222</v>
      </c>
    </row>
    <row r="2588" spans="1:5" x14ac:dyDescent="0.25">
      <c r="A2588" t="s">
        <v>1640</v>
      </c>
      <c r="B2588" t="s">
        <v>7270</v>
      </c>
      <c r="C2588" t="s">
        <v>7271</v>
      </c>
      <c r="D2588" t="s">
        <v>2646</v>
      </c>
      <c r="E2588" t="s">
        <v>7234</v>
      </c>
    </row>
    <row r="2589" spans="1:5" x14ac:dyDescent="0.25">
      <c r="A2589" t="s">
        <v>1640</v>
      </c>
      <c r="B2589" t="s">
        <v>7272</v>
      </c>
      <c r="C2589" t="s">
        <v>7273</v>
      </c>
      <c r="D2589" t="s">
        <v>2646</v>
      </c>
      <c r="E2589" t="s">
        <v>7230</v>
      </c>
    </row>
    <row r="2590" spans="1:5" x14ac:dyDescent="0.25">
      <c r="A2590" t="s">
        <v>1640</v>
      </c>
      <c r="B2590" t="s">
        <v>7274</v>
      </c>
      <c r="C2590" t="s">
        <v>7275</v>
      </c>
      <c r="D2590" t="s">
        <v>2646</v>
      </c>
      <c r="E2590" t="s">
        <v>7224</v>
      </c>
    </row>
    <row r="2591" spans="1:5" x14ac:dyDescent="0.25">
      <c r="A2591" t="s">
        <v>1640</v>
      </c>
      <c r="B2591" t="s">
        <v>7276</v>
      </c>
      <c r="C2591" t="s">
        <v>7277</v>
      </c>
      <c r="D2591" t="s">
        <v>2646</v>
      </c>
      <c r="E2591" t="s">
        <v>7232</v>
      </c>
    </row>
    <row r="2592" spans="1:5" x14ac:dyDescent="0.25">
      <c r="A2592" t="s">
        <v>1640</v>
      </c>
      <c r="B2592" t="s">
        <v>7278</v>
      </c>
      <c r="C2592" t="s">
        <v>7279</v>
      </c>
      <c r="D2592" t="s">
        <v>2646</v>
      </c>
      <c r="E2592" t="s">
        <v>7236</v>
      </c>
    </row>
    <row r="2593" spans="1:5" x14ac:dyDescent="0.25">
      <c r="A2593" t="s">
        <v>1640</v>
      </c>
      <c r="B2593" t="s">
        <v>7280</v>
      </c>
      <c r="C2593" t="s">
        <v>7281</v>
      </c>
      <c r="D2593" t="s">
        <v>2646</v>
      </c>
      <c r="E2593" t="s">
        <v>7228</v>
      </c>
    </row>
    <row r="2594" spans="1:5" x14ac:dyDescent="0.25">
      <c r="A2594" t="s">
        <v>1640</v>
      </c>
      <c r="B2594" t="s">
        <v>7282</v>
      </c>
      <c r="C2594" t="s">
        <v>7283</v>
      </c>
      <c r="D2594" t="s">
        <v>2646</v>
      </c>
      <c r="E2594" t="s">
        <v>7226</v>
      </c>
    </row>
    <row r="2595" spans="1:5" x14ac:dyDescent="0.25">
      <c r="A2595" t="s">
        <v>1640</v>
      </c>
      <c r="B2595" t="s">
        <v>7284</v>
      </c>
      <c r="C2595" t="s">
        <v>7285</v>
      </c>
      <c r="D2595" t="s">
        <v>2646</v>
      </c>
      <c r="E2595" t="s">
        <v>7230</v>
      </c>
    </row>
    <row r="2596" spans="1:5" x14ac:dyDescent="0.25">
      <c r="A2596" t="s">
        <v>1640</v>
      </c>
      <c r="B2596" t="s">
        <v>7286</v>
      </c>
      <c r="C2596" t="s">
        <v>7287</v>
      </c>
      <c r="D2596" t="s">
        <v>2646</v>
      </c>
      <c r="E2596" t="s">
        <v>7230</v>
      </c>
    </row>
    <row r="2597" spans="1:5" x14ac:dyDescent="0.25">
      <c r="A2597" t="s">
        <v>1643</v>
      </c>
      <c r="B2597" t="s">
        <v>7288</v>
      </c>
      <c r="C2597" t="s">
        <v>7289</v>
      </c>
      <c r="D2597" t="s">
        <v>2286</v>
      </c>
      <c r="E2597" t="s">
        <v>2170</v>
      </c>
    </row>
    <row r="2598" spans="1:5" x14ac:dyDescent="0.25">
      <c r="A2598" t="s">
        <v>1643</v>
      </c>
      <c r="B2598" t="s">
        <v>7290</v>
      </c>
      <c r="C2598" t="s">
        <v>7291</v>
      </c>
      <c r="D2598" t="s">
        <v>2286</v>
      </c>
      <c r="E2598" t="s">
        <v>2170</v>
      </c>
    </row>
    <row r="2599" spans="1:5" x14ac:dyDescent="0.25">
      <c r="A2599" t="s">
        <v>1643</v>
      </c>
      <c r="B2599" t="s">
        <v>7292</v>
      </c>
      <c r="C2599" t="s">
        <v>7293</v>
      </c>
      <c r="D2599" t="s">
        <v>2286</v>
      </c>
      <c r="E2599" t="s">
        <v>2170</v>
      </c>
    </row>
    <row r="2600" spans="1:5" x14ac:dyDescent="0.25">
      <c r="A2600" t="s">
        <v>1643</v>
      </c>
      <c r="B2600" t="s">
        <v>7294</v>
      </c>
      <c r="C2600" t="s">
        <v>7295</v>
      </c>
      <c r="D2600" t="s">
        <v>2286</v>
      </c>
      <c r="E2600" t="s">
        <v>2170</v>
      </c>
    </row>
    <row r="2601" spans="1:5" x14ac:dyDescent="0.25">
      <c r="A2601" t="s">
        <v>1643</v>
      </c>
      <c r="B2601" t="s">
        <v>7296</v>
      </c>
      <c r="C2601" t="s">
        <v>7297</v>
      </c>
      <c r="D2601" t="s">
        <v>2286</v>
      </c>
      <c r="E2601" t="s">
        <v>2170</v>
      </c>
    </row>
    <row r="2602" spans="1:5" x14ac:dyDescent="0.25">
      <c r="A2602" t="s">
        <v>1643</v>
      </c>
      <c r="B2602" t="s">
        <v>7298</v>
      </c>
      <c r="C2602" t="s">
        <v>7299</v>
      </c>
      <c r="D2602" t="s">
        <v>2286</v>
      </c>
      <c r="E2602" t="s">
        <v>2170</v>
      </c>
    </row>
    <row r="2603" spans="1:5" x14ac:dyDescent="0.25">
      <c r="A2603" t="s">
        <v>1643</v>
      </c>
      <c r="B2603" t="s">
        <v>7300</v>
      </c>
      <c r="C2603" t="s">
        <v>7301</v>
      </c>
      <c r="D2603" t="s">
        <v>2286</v>
      </c>
      <c r="E2603" t="s">
        <v>2170</v>
      </c>
    </row>
    <row r="2604" spans="1:5" x14ac:dyDescent="0.25">
      <c r="A2604" t="s">
        <v>1643</v>
      </c>
      <c r="B2604" t="s">
        <v>7302</v>
      </c>
      <c r="C2604" t="s">
        <v>7303</v>
      </c>
      <c r="D2604" t="s">
        <v>2286</v>
      </c>
      <c r="E2604" t="s">
        <v>2170</v>
      </c>
    </row>
    <row r="2605" spans="1:5" x14ac:dyDescent="0.25">
      <c r="A2605" t="s">
        <v>1643</v>
      </c>
      <c r="B2605" t="s">
        <v>7304</v>
      </c>
      <c r="C2605" t="s">
        <v>7305</v>
      </c>
      <c r="D2605" t="s">
        <v>2286</v>
      </c>
      <c r="E2605" t="s">
        <v>2170</v>
      </c>
    </row>
    <row r="2606" spans="1:5" x14ac:dyDescent="0.25">
      <c r="A2606" t="s">
        <v>1643</v>
      </c>
      <c r="B2606" t="s">
        <v>7306</v>
      </c>
      <c r="C2606" t="s">
        <v>2102</v>
      </c>
      <c r="D2606" t="s">
        <v>2286</v>
      </c>
      <c r="E2606" t="s">
        <v>2170</v>
      </c>
    </row>
    <row r="2607" spans="1:5" x14ac:dyDescent="0.25">
      <c r="A2607" t="s">
        <v>1643</v>
      </c>
      <c r="B2607" t="s">
        <v>7307</v>
      </c>
      <c r="C2607" t="s">
        <v>7308</v>
      </c>
      <c r="D2607" t="s">
        <v>2286</v>
      </c>
      <c r="E2607" t="s">
        <v>2170</v>
      </c>
    </row>
    <row r="2608" spans="1:5" x14ac:dyDescent="0.25">
      <c r="A2608" t="s">
        <v>1643</v>
      </c>
      <c r="B2608" t="s">
        <v>7309</v>
      </c>
      <c r="C2608" t="s">
        <v>7310</v>
      </c>
      <c r="D2608" t="s">
        <v>2286</v>
      </c>
      <c r="E2608" t="s">
        <v>2170</v>
      </c>
    </row>
    <row r="2609" spans="1:5" x14ac:dyDescent="0.25">
      <c r="A2609" t="s">
        <v>1643</v>
      </c>
      <c r="B2609" t="s">
        <v>7311</v>
      </c>
      <c r="C2609" t="s">
        <v>7312</v>
      </c>
      <c r="D2609" t="s">
        <v>2286</v>
      </c>
      <c r="E2609" t="s">
        <v>2170</v>
      </c>
    </row>
    <row r="2610" spans="1:5" x14ac:dyDescent="0.25">
      <c r="A2610" t="s">
        <v>1643</v>
      </c>
      <c r="B2610" t="s">
        <v>7313</v>
      </c>
      <c r="C2610" t="s">
        <v>7314</v>
      </c>
      <c r="D2610" t="s">
        <v>2286</v>
      </c>
      <c r="E2610" t="s">
        <v>2170</v>
      </c>
    </row>
    <row r="2611" spans="1:5" x14ac:dyDescent="0.25">
      <c r="A2611" t="s">
        <v>1643</v>
      </c>
      <c r="B2611" t="s">
        <v>7315</v>
      </c>
      <c r="C2611" t="s">
        <v>7316</v>
      </c>
      <c r="D2611" t="s">
        <v>2286</v>
      </c>
      <c r="E2611" t="s">
        <v>2170</v>
      </c>
    </row>
    <row r="2612" spans="1:5" x14ac:dyDescent="0.25">
      <c r="A2612" t="s">
        <v>1646</v>
      </c>
      <c r="B2612" t="s">
        <v>7317</v>
      </c>
      <c r="C2612" t="s">
        <v>7318</v>
      </c>
      <c r="D2612" t="s">
        <v>2646</v>
      </c>
      <c r="E2612" t="s">
        <v>2170</v>
      </c>
    </row>
    <row r="2613" spans="1:5" x14ac:dyDescent="0.25">
      <c r="A2613" t="s">
        <v>1646</v>
      </c>
      <c r="B2613" t="s">
        <v>7319</v>
      </c>
      <c r="C2613" t="s">
        <v>7320</v>
      </c>
      <c r="D2613" t="s">
        <v>2646</v>
      </c>
      <c r="E2613" t="s">
        <v>2170</v>
      </c>
    </row>
    <row r="2614" spans="1:5" x14ac:dyDescent="0.25">
      <c r="A2614" t="s">
        <v>1646</v>
      </c>
      <c r="B2614" t="s">
        <v>7321</v>
      </c>
      <c r="C2614" t="s">
        <v>7322</v>
      </c>
      <c r="D2614" t="s">
        <v>2646</v>
      </c>
      <c r="E2614" t="s">
        <v>2170</v>
      </c>
    </row>
    <row r="2615" spans="1:5" x14ac:dyDescent="0.25">
      <c r="A2615" t="s">
        <v>1646</v>
      </c>
      <c r="B2615" t="s">
        <v>7323</v>
      </c>
      <c r="C2615" t="s">
        <v>7324</v>
      </c>
      <c r="D2615" t="s">
        <v>2646</v>
      </c>
      <c r="E2615" t="s">
        <v>2170</v>
      </c>
    </row>
    <row r="2616" spans="1:5" x14ac:dyDescent="0.25">
      <c r="A2616" t="s">
        <v>1646</v>
      </c>
      <c r="B2616" t="s">
        <v>7325</v>
      </c>
      <c r="C2616" t="s">
        <v>1645</v>
      </c>
      <c r="D2616" t="s">
        <v>2646</v>
      </c>
      <c r="E2616" t="s">
        <v>2170</v>
      </c>
    </row>
    <row r="2617" spans="1:5" x14ac:dyDescent="0.25">
      <c r="A2617" t="s">
        <v>1646</v>
      </c>
      <c r="B2617" t="s">
        <v>7326</v>
      </c>
      <c r="C2617" t="s">
        <v>7327</v>
      </c>
      <c r="D2617" t="s">
        <v>2646</v>
      </c>
      <c r="E2617" t="s">
        <v>2170</v>
      </c>
    </row>
    <row r="2618" spans="1:5" x14ac:dyDescent="0.25">
      <c r="A2618" t="s">
        <v>1646</v>
      </c>
      <c r="B2618" t="s">
        <v>7328</v>
      </c>
      <c r="C2618" t="s">
        <v>7329</v>
      </c>
      <c r="D2618" t="s">
        <v>2646</v>
      </c>
      <c r="E2618" t="s">
        <v>2170</v>
      </c>
    </row>
    <row r="2619" spans="1:5" x14ac:dyDescent="0.25">
      <c r="A2619" t="s">
        <v>1646</v>
      </c>
      <c r="B2619" t="s">
        <v>7330</v>
      </c>
      <c r="C2619" t="s">
        <v>7331</v>
      </c>
      <c r="D2619" t="s">
        <v>2646</v>
      </c>
      <c r="E2619" t="s">
        <v>2170</v>
      </c>
    </row>
    <row r="2620" spans="1:5" x14ac:dyDescent="0.25">
      <c r="A2620" t="s">
        <v>1646</v>
      </c>
      <c r="B2620" t="s">
        <v>7332</v>
      </c>
      <c r="C2620" t="s">
        <v>7333</v>
      </c>
      <c r="D2620" t="s">
        <v>2646</v>
      </c>
      <c r="E2620" t="s">
        <v>2170</v>
      </c>
    </row>
    <row r="2621" spans="1:5" x14ac:dyDescent="0.25">
      <c r="A2621" t="s">
        <v>1646</v>
      </c>
      <c r="B2621" t="s">
        <v>7334</v>
      </c>
      <c r="C2621" t="s">
        <v>7335</v>
      </c>
      <c r="D2621" t="s">
        <v>2646</v>
      </c>
      <c r="E2621" t="s">
        <v>2170</v>
      </c>
    </row>
    <row r="2622" spans="1:5" x14ac:dyDescent="0.25">
      <c r="A2622" t="s">
        <v>1649</v>
      </c>
      <c r="B2622" t="s">
        <v>7336</v>
      </c>
      <c r="C2622" t="s">
        <v>7337</v>
      </c>
      <c r="D2622" t="s">
        <v>2286</v>
      </c>
      <c r="E2622" t="s">
        <v>2170</v>
      </c>
    </row>
    <row r="2623" spans="1:5" x14ac:dyDescent="0.25">
      <c r="A2623" t="s">
        <v>1649</v>
      </c>
      <c r="B2623" t="s">
        <v>7338</v>
      </c>
      <c r="C2623" t="s">
        <v>7339</v>
      </c>
      <c r="D2623" t="s">
        <v>2286</v>
      </c>
      <c r="E2623" t="s">
        <v>2170</v>
      </c>
    </row>
    <row r="2624" spans="1:5" x14ac:dyDescent="0.25">
      <c r="A2624" t="s">
        <v>1649</v>
      </c>
      <c r="B2624" t="s">
        <v>7340</v>
      </c>
      <c r="C2624" t="s">
        <v>7341</v>
      </c>
      <c r="D2624" t="s">
        <v>2286</v>
      </c>
      <c r="E2624" t="s">
        <v>2170</v>
      </c>
    </row>
    <row r="2625" spans="1:5" x14ac:dyDescent="0.25">
      <c r="A2625" t="s">
        <v>1649</v>
      </c>
      <c r="B2625" t="s">
        <v>7342</v>
      </c>
      <c r="C2625" t="s">
        <v>7343</v>
      </c>
      <c r="D2625" t="s">
        <v>2286</v>
      </c>
      <c r="E2625" t="s">
        <v>2170</v>
      </c>
    </row>
    <row r="2626" spans="1:5" x14ac:dyDescent="0.25">
      <c r="A2626" t="s">
        <v>1649</v>
      </c>
      <c r="B2626" t="s">
        <v>7344</v>
      </c>
      <c r="C2626" t="s">
        <v>7345</v>
      </c>
      <c r="D2626" t="s">
        <v>2286</v>
      </c>
      <c r="E2626" t="s">
        <v>2170</v>
      </c>
    </row>
    <row r="2627" spans="1:5" x14ac:dyDescent="0.25">
      <c r="A2627" t="s">
        <v>1649</v>
      </c>
      <c r="B2627" t="s">
        <v>7346</v>
      </c>
      <c r="C2627" t="s">
        <v>7347</v>
      </c>
      <c r="D2627" t="s">
        <v>2286</v>
      </c>
      <c r="E2627" t="s">
        <v>2170</v>
      </c>
    </row>
    <row r="2628" spans="1:5" x14ac:dyDescent="0.25">
      <c r="A2628" t="s">
        <v>1649</v>
      </c>
      <c r="B2628" t="s">
        <v>7348</v>
      </c>
      <c r="C2628" t="s">
        <v>7349</v>
      </c>
      <c r="D2628" t="s">
        <v>2286</v>
      </c>
      <c r="E2628" t="s">
        <v>2170</v>
      </c>
    </row>
    <row r="2629" spans="1:5" x14ac:dyDescent="0.25">
      <c r="A2629" t="s">
        <v>1649</v>
      </c>
      <c r="B2629" t="s">
        <v>7350</v>
      </c>
      <c r="C2629" t="s">
        <v>7351</v>
      </c>
      <c r="D2629" t="s">
        <v>2286</v>
      </c>
      <c r="E2629" t="s">
        <v>2170</v>
      </c>
    </row>
    <row r="2630" spans="1:5" x14ac:dyDescent="0.25">
      <c r="A2630" t="s">
        <v>1649</v>
      </c>
      <c r="B2630" t="s">
        <v>7352</v>
      </c>
      <c r="C2630" t="s">
        <v>7353</v>
      </c>
      <c r="D2630" t="s">
        <v>2286</v>
      </c>
      <c r="E2630" t="s">
        <v>2170</v>
      </c>
    </row>
    <row r="2631" spans="1:5" x14ac:dyDescent="0.25">
      <c r="A2631" t="s">
        <v>1649</v>
      </c>
      <c r="B2631" t="s">
        <v>7354</v>
      </c>
      <c r="C2631" t="s">
        <v>7355</v>
      </c>
      <c r="D2631" t="s">
        <v>2286</v>
      </c>
      <c r="E2631" t="s">
        <v>2170</v>
      </c>
    </row>
    <row r="2632" spans="1:5" x14ac:dyDescent="0.25">
      <c r="A2632" t="s">
        <v>1649</v>
      </c>
      <c r="B2632" t="s">
        <v>7356</v>
      </c>
      <c r="C2632" t="s">
        <v>7357</v>
      </c>
      <c r="D2632" t="s">
        <v>7358</v>
      </c>
      <c r="E2632" t="s">
        <v>7346</v>
      </c>
    </row>
    <row r="2633" spans="1:5" x14ac:dyDescent="0.25">
      <c r="A2633" t="s">
        <v>1649</v>
      </c>
      <c r="B2633" t="s">
        <v>7359</v>
      </c>
      <c r="C2633" t="s">
        <v>7360</v>
      </c>
      <c r="D2633" t="s">
        <v>7361</v>
      </c>
      <c r="E2633" t="s">
        <v>7336</v>
      </c>
    </row>
    <row r="2634" spans="1:5" x14ac:dyDescent="0.25">
      <c r="A2634" t="s">
        <v>1649</v>
      </c>
      <c r="B2634" t="s">
        <v>7362</v>
      </c>
      <c r="C2634" t="s">
        <v>7363</v>
      </c>
      <c r="D2634" t="s">
        <v>7358</v>
      </c>
      <c r="E2634" t="s">
        <v>7336</v>
      </c>
    </row>
    <row r="2635" spans="1:5" x14ac:dyDescent="0.25">
      <c r="A2635" t="s">
        <v>1649</v>
      </c>
      <c r="B2635" t="s">
        <v>7364</v>
      </c>
      <c r="C2635" t="s">
        <v>7365</v>
      </c>
      <c r="D2635" t="s">
        <v>7358</v>
      </c>
      <c r="E2635" t="s">
        <v>7352</v>
      </c>
    </row>
    <row r="2636" spans="1:5" x14ac:dyDescent="0.25">
      <c r="A2636" t="s">
        <v>1649</v>
      </c>
      <c r="B2636" t="s">
        <v>7366</v>
      </c>
      <c r="C2636" t="s">
        <v>7367</v>
      </c>
      <c r="D2636" t="s">
        <v>2469</v>
      </c>
      <c r="E2636" t="s">
        <v>7338</v>
      </c>
    </row>
    <row r="2637" spans="1:5" x14ac:dyDescent="0.25">
      <c r="A2637" t="s">
        <v>1649</v>
      </c>
      <c r="B2637" t="s">
        <v>7368</v>
      </c>
      <c r="C2637" t="s">
        <v>7369</v>
      </c>
      <c r="D2637" t="s">
        <v>7358</v>
      </c>
      <c r="E2637" t="s">
        <v>7344</v>
      </c>
    </row>
    <row r="2638" spans="1:5" x14ac:dyDescent="0.25">
      <c r="A2638" t="s">
        <v>1649</v>
      </c>
      <c r="B2638" t="s">
        <v>7370</v>
      </c>
      <c r="C2638" t="s">
        <v>7371</v>
      </c>
      <c r="D2638" t="s">
        <v>2469</v>
      </c>
      <c r="E2638" t="s">
        <v>7336</v>
      </c>
    </row>
    <row r="2639" spans="1:5" x14ac:dyDescent="0.25">
      <c r="A2639" t="s">
        <v>1649</v>
      </c>
      <c r="B2639" t="s">
        <v>7372</v>
      </c>
      <c r="C2639" t="s">
        <v>7373</v>
      </c>
      <c r="D2639" t="s">
        <v>2469</v>
      </c>
      <c r="E2639" t="s">
        <v>7354</v>
      </c>
    </row>
    <row r="2640" spans="1:5" x14ac:dyDescent="0.25">
      <c r="A2640" t="s">
        <v>1649</v>
      </c>
      <c r="B2640" t="s">
        <v>7374</v>
      </c>
      <c r="C2640" t="s">
        <v>7375</v>
      </c>
      <c r="D2640" t="s">
        <v>7358</v>
      </c>
      <c r="E2640" t="s">
        <v>7352</v>
      </c>
    </row>
    <row r="2641" spans="1:5" x14ac:dyDescent="0.25">
      <c r="A2641" t="s">
        <v>1649</v>
      </c>
      <c r="B2641" t="s">
        <v>7376</v>
      </c>
      <c r="C2641" t="s">
        <v>7377</v>
      </c>
      <c r="D2641" t="s">
        <v>7358</v>
      </c>
      <c r="E2641" t="s">
        <v>7338</v>
      </c>
    </row>
    <row r="2642" spans="1:5" x14ac:dyDescent="0.25">
      <c r="A2642" t="s">
        <v>1649</v>
      </c>
      <c r="B2642" t="s">
        <v>7378</v>
      </c>
      <c r="C2642" t="s">
        <v>7379</v>
      </c>
      <c r="D2642" t="s">
        <v>7358</v>
      </c>
      <c r="E2642" t="s">
        <v>7346</v>
      </c>
    </row>
    <row r="2643" spans="1:5" x14ac:dyDescent="0.25">
      <c r="A2643" t="s">
        <v>1649</v>
      </c>
      <c r="B2643" t="s">
        <v>7380</v>
      </c>
      <c r="C2643" t="s">
        <v>7381</v>
      </c>
      <c r="D2643" t="s">
        <v>7358</v>
      </c>
      <c r="E2643" t="s">
        <v>7348</v>
      </c>
    </row>
    <row r="2644" spans="1:5" x14ac:dyDescent="0.25">
      <c r="A2644" t="s">
        <v>1649</v>
      </c>
      <c r="B2644" t="s">
        <v>7382</v>
      </c>
      <c r="C2644" t="s">
        <v>7383</v>
      </c>
      <c r="D2644" t="s">
        <v>7358</v>
      </c>
      <c r="E2644" t="s">
        <v>7338</v>
      </c>
    </row>
    <row r="2645" spans="1:5" x14ac:dyDescent="0.25">
      <c r="A2645" t="s">
        <v>1649</v>
      </c>
      <c r="B2645" t="s">
        <v>7384</v>
      </c>
      <c r="C2645" t="s">
        <v>7385</v>
      </c>
      <c r="D2645" t="s">
        <v>2469</v>
      </c>
      <c r="E2645" t="s">
        <v>7342</v>
      </c>
    </row>
    <row r="2646" spans="1:5" x14ac:dyDescent="0.25">
      <c r="A2646" t="s">
        <v>1649</v>
      </c>
      <c r="B2646" t="s">
        <v>7386</v>
      </c>
      <c r="C2646" t="s">
        <v>7387</v>
      </c>
      <c r="D2646" t="s">
        <v>7358</v>
      </c>
      <c r="E2646" t="s">
        <v>7338</v>
      </c>
    </row>
    <row r="2647" spans="1:5" x14ac:dyDescent="0.25">
      <c r="A2647" t="s">
        <v>1649</v>
      </c>
      <c r="B2647" t="s">
        <v>7388</v>
      </c>
      <c r="C2647" t="s">
        <v>7389</v>
      </c>
      <c r="D2647" t="s">
        <v>7361</v>
      </c>
      <c r="E2647" t="s">
        <v>7338</v>
      </c>
    </row>
    <row r="2648" spans="1:5" x14ac:dyDescent="0.25">
      <c r="A2648" t="s">
        <v>1649</v>
      </c>
      <c r="B2648" t="s">
        <v>7390</v>
      </c>
      <c r="C2648" t="s">
        <v>7391</v>
      </c>
      <c r="D2648" t="s">
        <v>2469</v>
      </c>
      <c r="E2648" t="s">
        <v>7342</v>
      </c>
    </row>
    <row r="2649" spans="1:5" x14ac:dyDescent="0.25">
      <c r="A2649" t="s">
        <v>1649</v>
      </c>
      <c r="B2649" t="s">
        <v>7392</v>
      </c>
      <c r="C2649" t="s">
        <v>7393</v>
      </c>
      <c r="D2649" t="s">
        <v>7358</v>
      </c>
      <c r="E2649" t="s">
        <v>7338</v>
      </c>
    </row>
    <row r="2650" spans="1:5" x14ac:dyDescent="0.25">
      <c r="A2650" t="s">
        <v>1649</v>
      </c>
      <c r="B2650" t="s">
        <v>7394</v>
      </c>
      <c r="C2650" t="s">
        <v>7395</v>
      </c>
      <c r="D2650" t="s">
        <v>7358</v>
      </c>
      <c r="E2650" t="s">
        <v>7346</v>
      </c>
    </row>
    <row r="2651" spans="1:5" x14ac:dyDescent="0.25">
      <c r="A2651" t="s">
        <v>1649</v>
      </c>
      <c r="B2651" t="s">
        <v>7396</v>
      </c>
      <c r="C2651" t="s">
        <v>7397</v>
      </c>
      <c r="D2651" t="s">
        <v>7358</v>
      </c>
      <c r="E2651" t="s">
        <v>7340</v>
      </c>
    </row>
    <row r="2652" spans="1:5" x14ac:dyDescent="0.25">
      <c r="A2652" t="s">
        <v>1649</v>
      </c>
      <c r="B2652" t="s">
        <v>7398</v>
      </c>
      <c r="C2652" t="s">
        <v>7399</v>
      </c>
      <c r="D2652" t="s">
        <v>7361</v>
      </c>
      <c r="E2652" t="s">
        <v>7340</v>
      </c>
    </row>
    <row r="2653" spans="1:5" x14ac:dyDescent="0.25">
      <c r="A2653" t="s">
        <v>1649</v>
      </c>
      <c r="B2653" t="s">
        <v>7400</v>
      </c>
      <c r="C2653" t="s">
        <v>7401</v>
      </c>
      <c r="D2653" t="s">
        <v>7358</v>
      </c>
      <c r="E2653" t="s">
        <v>7340</v>
      </c>
    </row>
    <row r="2654" spans="1:5" x14ac:dyDescent="0.25">
      <c r="A2654" t="s">
        <v>1649</v>
      </c>
      <c r="B2654" t="s">
        <v>7402</v>
      </c>
      <c r="C2654" t="s">
        <v>7403</v>
      </c>
      <c r="D2654" t="s">
        <v>7358</v>
      </c>
      <c r="E2654" t="s">
        <v>7344</v>
      </c>
    </row>
    <row r="2655" spans="1:5" x14ac:dyDescent="0.25">
      <c r="A2655" t="s">
        <v>1649</v>
      </c>
      <c r="B2655" t="s">
        <v>7404</v>
      </c>
      <c r="C2655" t="s">
        <v>7405</v>
      </c>
      <c r="D2655" t="s">
        <v>7358</v>
      </c>
      <c r="E2655" t="s">
        <v>7336</v>
      </c>
    </row>
    <row r="2656" spans="1:5" x14ac:dyDescent="0.25">
      <c r="A2656" t="s">
        <v>1649</v>
      </c>
      <c r="B2656" t="s">
        <v>7406</v>
      </c>
      <c r="C2656" t="s">
        <v>7407</v>
      </c>
      <c r="D2656" t="s">
        <v>7358</v>
      </c>
      <c r="E2656" t="s">
        <v>7342</v>
      </c>
    </row>
    <row r="2657" spans="1:5" x14ac:dyDescent="0.25">
      <c r="A2657" t="s">
        <v>1649</v>
      </c>
      <c r="B2657" t="s">
        <v>7408</v>
      </c>
      <c r="C2657" t="s">
        <v>7409</v>
      </c>
      <c r="D2657" t="s">
        <v>7358</v>
      </c>
      <c r="E2657" t="s">
        <v>7350</v>
      </c>
    </row>
    <row r="2658" spans="1:5" x14ac:dyDescent="0.25">
      <c r="A2658" t="s">
        <v>1649</v>
      </c>
      <c r="B2658" t="s">
        <v>7410</v>
      </c>
      <c r="C2658" t="s">
        <v>7411</v>
      </c>
      <c r="D2658" t="s">
        <v>7358</v>
      </c>
      <c r="E2658" t="s">
        <v>7352</v>
      </c>
    </row>
    <row r="2659" spans="1:5" x14ac:dyDescent="0.25">
      <c r="A2659" t="s">
        <v>1649</v>
      </c>
      <c r="B2659" t="s">
        <v>7412</v>
      </c>
      <c r="C2659" t="s">
        <v>7413</v>
      </c>
      <c r="D2659" t="s">
        <v>2469</v>
      </c>
      <c r="E2659" t="s">
        <v>7340</v>
      </c>
    </row>
    <row r="2660" spans="1:5" x14ac:dyDescent="0.25">
      <c r="A2660" t="s">
        <v>1649</v>
      </c>
      <c r="B2660" t="s">
        <v>7414</v>
      </c>
      <c r="C2660" t="s">
        <v>7415</v>
      </c>
      <c r="D2660" t="s">
        <v>2469</v>
      </c>
      <c r="E2660" t="s">
        <v>7348</v>
      </c>
    </row>
    <row r="2661" spans="1:5" x14ac:dyDescent="0.25">
      <c r="A2661" t="s">
        <v>1649</v>
      </c>
      <c r="B2661" t="s">
        <v>7416</v>
      </c>
      <c r="C2661" t="s">
        <v>7417</v>
      </c>
      <c r="D2661" t="s">
        <v>7358</v>
      </c>
      <c r="E2661" t="s">
        <v>7346</v>
      </c>
    </row>
    <row r="2662" spans="1:5" x14ac:dyDescent="0.25">
      <c r="A2662" t="s">
        <v>1649</v>
      </c>
      <c r="B2662" t="s">
        <v>7418</v>
      </c>
      <c r="C2662" t="s">
        <v>7419</v>
      </c>
      <c r="D2662" t="s">
        <v>7361</v>
      </c>
      <c r="E2662" t="s">
        <v>7340</v>
      </c>
    </row>
    <row r="2663" spans="1:5" x14ac:dyDescent="0.25">
      <c r="A2663" t="s">
        <v>1649</v>
      </c>
      <c r="B2663" t="s">
        <v>7420</v>
      </c>
      <c r="C2663" t="s">
        <v>7421</v>
      </c>
      <c r="D2663" t="s">
        <v>7361</v>
      </c>
      <c r="E2663" t="s">
        <v>7344</v>
      </c>
    </row>
    <row r="2664" spans="1:5" x14ac:dyDescent="0.25">
      <c r="A2664" t="s">
        <v>1649</v>
      </c>
      <c r="B2664" t="s">
        <v>7422</v>
      </c>
      <c r="C2664" t="s">
        <v>7423</v>
      </c>
      <c r="D2664" t="s">
        <v>7358</v>
      </c>
      <c r="E2664" t="s">
        <v>7344</v>
      </c>
    </row>
    <row r="2665" spans="1:5" x14ac:dyDescent="0.25">
      <c r="A2665" t="s">
        <v>1649</v>
      </c>
      <c r="B2665" t="s">
        <v>7424</v>
      </c>
      <c r="C2665" t="s">
        <v>7425</v>
      </c>
      <c r="D2665" t="s">
        <v>7358</v>
      </c>
      <c r="E2665" t="s">
        <v>7344</v>
      </c>
    </row>
    <row r="2666" spans="1:5" x14ac:dyDescent="0.25">
      <c r="A2666" t="s">
        <v>1649</v>
      </c>
      <c r="B2666" t="s">
        <v>7426</v>
      </c>
      <c r="C2666" t="s">
        <v>7427</v>
      </c>
      <c r="D2666" t="s">
        <v>7358</v>
      </c>
      <c r="E2666" t="s">
        <v>7350</v>
      </c>
    </row>
    <row r="2667" spans="1:5" x14ac:dyDescent="0.25">
      <c r="A2667" t="s">
        <v>1649</v>
      </c>
      <c r="B2667" t="s">
        <v>7428</v>
      </c>
      <c r="C2667" t="s">
        <v>7429</v>
      </c>
      <c r="D2667" t="s">
        <v>7358</v>
      </c>
      <c r="E2667" t="s">
        <v>7338</v>
      </c>
    </row>
    <row r="2668" spans="1:5" x14ac:dyDescent="0.25">
      <c r="A2668" t="s">
        <v>1649</v>
      </c>
      <c r="B2668" t="s">
        <v>7430</v>
      </c>
      <c r="C2668" t="s">
        <v>7431</v>
      </c>
      <c r="D2668" t="s">
        <v>7358</v>
      </c>
      <c r="E2668" t="s">
        <v>7346</v>
      </c>
    </row>
    <row r="2669" spans="1:5" x14ac:dyDescent="0.25">
      <c r="A2669" t="s">
        <v>1649</v>
      </c>
      <c r="B2669" t="s">
        <v>7432</v>
      </c>
      <c r="C2669" t="s">
        <v>7433</v>
      </c>
      <c r="D2669" t="s">
        <v>7358</v>
      </c>
      <c r="E2669" t="s">
        <v>7338</v>
      </c>
    </row>
    <row r="2670" spans="1:5" x14ac:dyDescent="0.25">
      <c r="A2670" t="s">
        <v>1649</v>
      </c>
      <c r="B2670" t="s">
        <v>7434</v>
      </c>
      <c r="C2670" t="s">
        <v>7435</v>
      </c>
      <c r="D2670" t="s">
        <v>2469</v>
      </c>
      <c r="E2670" t="s">
        <v>7350</v>
      </c>
    </row>
    <row r="2671" spans="1:5" x14ac:dyDescent="0.25">
      <c r="A2671" t="s">
        <v>1649</v>
      </c>
      <c r="B2671" t="s">
        <v>7436</v>
      </c>
      <c r="C2671" t="s">
        <v>7437</v>
      </c>
      <c r="D2671" t="s">
        <v>7358</v>
      </c>
      <c r="E2671" t="s">
        <v>7344</v>
      </c>
    </row>
    <row r="2672" spans="1:5" x14ac:dyDescent="0.25">
      <c r="A2672" t="s">
        <v>1649</v>
      </c>
      <c r="B2672" t="s">
        <v>7438</v>
      </c>
      <c r="C2672" t="s">
        <v>7439</v>
      </c>
      <c r="D2672" t="s">
        <v>7358</v>
      </c>
      <c r="E2672" t="s">
        <v>7342</v>
      </c>
    </row>
    <row r="2673" spans="1:5" x14ac:dyDescent="0.25">
      <c r="A2673" t="s">
        <v>1649</v>
      </c>
      <c r="B2673" t="s">
        <v>7440</v>
      </c>
      <c r="C2673" t="s">
        <v>7441</v>
      </c>
      <c r="D2673" t="s">
        <v>7358</v>
      </c>
      <c r="E2673" t="s">
        <v>7354</v>
      </c>
    </row>
    <row r="2674" spans="1:5" x14ac:dyDescent="0.25">
      <c r="A2674" t="s">
        <v>1649</v>
      </c>
      <c r="B2674" t="s">
        <v>7442</v>
      </c>
      <c r="C2674" t="s">
        <v>7443</v>
      </c>
      <c r="D2674" t="s">
        <v>7358</v>
      </c>
      <c r="E2674" t="s">
        <v>7346</v>
      </c>
    </row>
    <row r="2675" spans="1:5" x14ac:dyDescent="0.25">
      <c r="A2675" t="s">
        <v>1649</v>
      </c>
      <c r="B2675" t="s">
        <v>7444</v>
      </c>
      <c r="C2675" t="s">
        <v>7445</v>
      </c>
      <c r="D2675" t="s">
        <v>7361</v>
      </c>
      <c r="E2675" t="s">
        <v>7346</v>
      </c>
    </row>
    <row r="2676" spans="1:5" x14ac:dyDescent="0.25">
      <c r="A2676" t="s">
        <v>1649</v>
      </c>
      <c r="B2676" t="s">
        <v>7446</v>
      </c>
      <c r="C2676" t="s">
        <v>7447</v>
      </c>
      <c r="D2676" t="s">
        <v>7358</v>
      </c>
      <c r="E2676" t="s">
        <v>7348</v>
      </c>
    </row>
    <row r="2677" spans="1:5" x14ac:dyDescent="0.25">
      <c r="A2677" t="s">
        <v>1649</v>
      </c>
      <c r="B2677" t="s">
        <v>7448</v>
      </c>
      <c r="C2677" t="s">
        <v>7449</v>
      </c>
      <c r="D2677" t="s">
        <v>7358</v>
      </c>
      <c r="E2677" t="s">
        <v>7340</v>
      </c>
    </row>
    <row r="2678" spans="1:5" x14ac:dyDescent="0.25">
      <c r="A2678" t="s">
        <v>1649</v>
      </c>
      <c r="B2678" t="s">
        <v>7450</v>
      </c>
      <c r="C2678" t="s">
        <v>7451</v>
      </c>
      <c r="D2678" t="s">
        <v>7358</v>
      </c>
      <c r="E2678" t="s">
        <v>7354</v>
      </c>
    </row>
    <row r="2679" spans="1:5" x14ac:dyDescent="0.25">
      <c r="A2679" t="s">
        <v>1649</v>
      </c>
      <c r="B2679" t="s">
        <v>7452</v>
      </c>
      <c r="C2679" t="s">
        <v>7453</v>
      </c>
      <c r="D2679" t="s">
        <v>7358</v>
      </c>
      <c r="E2679" t="s">
        <v>7340</v>
      </c>
    </row>
    <row r="2680" spans="1:5" x14ac:dyDescent="0.25">
      <c r="A2680" t="s">
        <v>1649</v>
      </c>
      <c r="B2680" t="s">
        <v>7454</v>
      </c>
      <c r="C2680" t="s">
        <v>7455</v>
      </c>
      <c r="D2680" t="s">
        <v>7358</v>
      </c>
      <c r="E2680" t="s">
        <v>7354</v>
      </c>
    </row>
    <row r="2681" spans="1:5" x14ac:dyDescent="0.25">
      <c r="A2681" t="s">
        <v>1649</v>
      </c>
      <c r="B2681" t="s">
        <v>7456</v>
      </c>
      <c r="C2681" t="s">
        <v>7457</v>
      </c>
      <c r="D2681" t="s">
        <v>7358</v>
      </c>
      <c r="E2681" t="s">
        <v>7348</v>
      </c>
    </row>
    <row r="2682" spans="1:5" x14ac:dyDescent="0.25">
      <c r="A2682" t="s">
        <v>1649</v>
      </c>
      <c r="B2682" t="s">
        <v>7458</v>
      </c>
      <c r="C2682" t="s">
        <v>7459</v>
      </c>
      <c r="D2682" t="s">
        <v>7358</v>
      </c>
      <c r="E2682" t="s">
        <v>7350</v>
      </c>
    </row>
    <row r="2683" spans="1:5" x14ac:dyDescent="0.25">
      <c r="A2683" t="s">
        <v>1649</v>
      </c>
      <c r="B2683" t="s">
        <v>7460</v>
      </c>
      <c r="C2683" t="s">
        <v>7461</v>
      </c>
      <c r="D2683" t="s">
        <v>7358</v>
      </c>
      <c r="E2683" t="s">
        <v>7354</v>
      </c>
    </row>
    <row r="2684" spans="1:5" x14ac:dyDescent="0.25">
      <c r="A2684" t="s">
        <v>1649</v>
      </c>
      <c r="B2684" t="s">
        <v>7462</v>
      </c>
      <c r="C2684" t="s">
        <v>7463</v>
      </c>
      <c r="D2684" t="s">
        <v>7358</v>
      </c>
      <c r="E2684" t="s">
        <v>7354</v>
      </c>
    </row>
    <row r="2685" spans="1:5" x14ac:dyDescent="0.25">
      <c r="A2685" t="s">
        <v>1649</v>
      </c>
      <c r="B2685" t="s">
        <v>7464</v>
      </c>
      <c r="C2685" t="s">
        <v>7465</v>
      </c>
      <c r="D2685" t="s">
        <v>7358</v>
      </c>
      <c r="E2685" t="s">
        <v>7352</v>
      </c>
    </row>
    <row r="2686" spans="1:5" x14ac:dyDescent="0.25">
      <c r="A2686" t="s">
        <v>1649</v>
      </c>
      <c r="B2686" t="s">
        <v>7466</v>
      </c>
      <c r="C2686" t="s">
        <v>7467</v>
      </c>
      <c r="D2686" t="s">
        <v>7358</v>
      </c>
      <c r="E2686" t="s">
        <v>7336</v>
      </c>
    </row>
    <row r="2687" spans="1:5" x14ac:dyDescent="0.25">
      <c r="A2687" t="s">
        <v>1649</v>
      </c>
      <c r="B2687" t="s">
        <v>7468</v>
      </c>
      <c r="C2687" t="s">
        <v>7469</v>
      </c>
      <c r="D2687" t="s">
        <v>7358</v>
      </c>
      <c r="E2687" t="s">
        <v>7342</v>
      </c>
    </row>
    <row r="2688" spans="1:5" x14ac:dyDescent="0.25">
      <c r="A2688" t="s">
        <v>1649</v>
      </c>
      <c r="B2688" t="s">
        <v>7470</v>
      </c>
      <c r="C2688" t="s">
        <v>7471</v>
      </c>
      <c r="D2688" t="s">
        <v>7361</v>
      </c>
      <c r="E2688" t="s">
        <v>7354</v>
      </c>
    </row>
    <row r="2689" spans="1:5" x14ac:dyDescent="0.25">
      <c r="A2689" t="s">
        <v>1649</v>
      </c>
      <c r="B2689" t="s">
        <v>7472</v>
      </c>
      <c r="C2689" t="s">
        <v>1648</v>
      </c>
      <c r="D2689" t="s">
        <v>7358</v>
      </c>
      <c r="E2689" t="s">
        <v>7354</v>
      </c>
    </row>
    <row r="2690" spans="1:5" x14ac:dyDescent="0.25">
      <c r="A2690" t="s">
        <v>1649</v>
      </c>
      <c r="B2690" t="s">
        <v>7473</v>
      </c>
      <c r="C2690" t="s">
        <v>7474</v>
      </c>
      <c r="D2690" t="s">
        <v>2469</v>
      </c>
      <c r="E2690" t="s">
        <v>7352</v>
      </c>
    </row>
    <row r="2691" spans="1:5" x14ac:dyDescent="0.25">
      <c r="A2691" t="s">
        <v>1649</v>
      </c>
      <c r="B2691" t="s">
        <v>7475</v>
      </c>
      <c r="C2691" t="s">
        <v>7476</v>
      </c>
      <c r="D2691" t="s">
        <v>7358</v>
      </c>
      <c r="E2691" t="s">
        <v>7352</v>
      </c>
    </row>
    <row r="2692" spans="1:5" x14ac:dyDescent="0.25">
      <c r="A2692" t="s">
        <v>1651</v>
      </c>
      <c r="B2692" t="s">
        <v>7477</v>
      </c>
      <c r="C2692" t="s">
        <v>7478</v>
      </c>
      <c r="D2692" t="s">
        <v>3414</v>
      </c>
      <c r="E2692" t="s">
        <v>2170</v>
      </c>
    </row>
    <row r="2693" spans="1:5" x14ac:dyDescent="0.25">
      <c r="A2693" t="s">
        <v>1651</v>
      </c>
      <c r="B2693" t="s">
        <v>7479</v>
      </c>
      <c r="C2693" t="s">
        <v>7480</v>
      </c>
      <c r="D2693" t="s">
        <v>3414</v>
      </c>
      <c r="E2693" t="s">
        <v>2170</v>
      </c>
    </row>
    <row r="2694" spans="1:5" x14ac:dyDescent="0.25">
      <c r="A2694" t="s">
        <v>1651</v>
      </c>
      <c r="B2694" t="s">
        <v>7481</v>
      </c>
      <c r="C2694" t="s">
        <v>7482</v>
      </c>
      <c r="D2694" t="s">
        <v>3414</v>
      </c>
      <c r="E2694" t="s">
        <v>2170</v>
      </c>
    </row>
    <row r="2695" spans="1:5" x14ac:dyDescent="0.25">
      <c r="A2695" t="s">
        <v>1651</v>
      </c>
      <c r="B2695" t="s">
        <v>7483</v>
      </c>
      <c r="C2695" t="s">
        <v>7484</v>
      </c>
      <c r="D2695" t="s">
        <v>3414</v>
      </c>
      <c r="E2695" t="s">
        <v>2170</v>
      </c>
    </row>
    <row r="2696" spans="1:5" x14ac:dyDescent="0.25">
      <c r="A2696" t="s">
        <v>1651</v>
      </c>
      <c r="B2696" t="s">
        <v>7485</v>
      </c>
      <c r="C2696" t="s">
        <v>7486</v>
      </c>
      <c r="D2696" t="s">
        <v>3414</v>
      </c>
      <c r="E2696" t="s">
        <v>2170</v>
      </c>
    </row>
    <row r="2697" spans="1:5" x14ac:dyDescent="0.25">
      <c r="A2697" t="s">
        <v>1651</v>
      </c>
      <c r="B2697" t="s">
        <v>7487</v>
      </c>
      <c r="C2697" t="s">
        <v>7488</v>
      </c>
      <c r="D2697" t="s">
        <v>3414</v>
      </c>
      <c r="E2697" t="s">
        <v>2170</v>
      </c>
    </row>
    <row r="2698" spans="1:5" x14ac:dyDescent="0.25">
      <c r="A2698" t="s">
        <v>1651</v>
      </c>
      <c r="B2698" t="s">
        <v>7489</v>
      </c>
      <c r="C2698" t="s">
        <v>101</v>
      </c>
      <c r="D2698" t="s">
        <v>3414</v>
      </c>
      <c r="E2698" t="s">
        <v>2170</v>
      </c>
    </row>
    <row r="2699" spans="1:5" x14ac:dyDescent="0.25">
      <c r="A2699" t="s">
        <v>1651</v>
      </c>
      <c r="B2699" t="s">
        <v>7490</v>
      </c>
      <c r="C2699" t="s">
        <v>7491</v>
      </c>
      <c r="D2699" t="s">
        <v>3414</v>
      </c>
      <c r="E2699" t="s">
        <v>2170</v>
      </c>
    </row>
    <row r="2700" spans="1:5" x14ac:dyDescent="0.25">
      <c r="A2700" t="s">
        <v>1651</v>
      </c>
      <c r="B2700" t="s">
        <v>7492</v>
      </c>
      <c r="C2700" t="s">
        <v>7493</v>
      </c>
      <c r="D2700" t="s">
        <v>3414</v>
      </c>
      <c r="E2700" t="s">
        <v>2170</v>
      </c>
    </row>
    <row r="2701" spans="1:5" x14ac:dyDescent="0.25">
      <c r="A2701" t="s">
        <v>1651</v>
      </c>
      <c r="B2701" t="s">
        <v>7494</v>
      </c>
      <c r="C2701" t="s">
        <v>7495</v>
      </c>
      <c r="D2701" t="s">
        <v>3414</v>
      </c>
      <c r="E2701" t="s">
        <v>2170</v>
      </c>
    </row>
    <row r="2702" spans="1:5" x14ac:dyDescent="0.25">
      <c r="A2702" t="s">
        <v>1651</v>
      </c>
      <c r="B2702" t="s">
        <v>7496</v>
      </c>
      <c r="C2702" t="s">
        <v>7497</v>
      </c>
      <c r="D2702" t="s">
        <v>3414</v>
      </c>
      <c r="E2702" t="s">
        <v>2170</v>
      </c>
    </row>
    <row r="2703" spans="1:5" x14ac:dyDescent="0.25">
      <c r="A2703" t="s">
        <v>1651</v>
      </c>
      <c r="B2703" t="s">
        <v>7498</v>
      </c>
      <c r="C2703" t="s">
        <v>7499</v>
      </c>
      <c r="D2703" t="s">
        <v>3414</v>
      </c>
      <c r="E2703" t="s">
        <v>2170</v>
      </c>
    </row>
    <row r="2704" spans="1:5" x14ac:dyDescent="0.25">
      <c r="A2704" t="s">
        <v>1654</v>
      </c>
      <c r="B2704" t="s">
        <v>7500</v>
      </c>
      <c r="C2704" t="s">
        <v>7501</v>
      </c>
      <c r="D2704" t="s">
        <v>2469</v>
      </c>
      <c r="E2704" t="s">
        <v>2170</v>
      </c>
    </row>
    <row r="2705" spans="1:5" x14ac:dyDescent="0.25">
      <c r="A2705" t="s">
        <v>1654</v>
      </c>
      <c r="B2705" t="s">
        <v>7502</v>
      </c>
      <c r="C2705" t="s">
        <v>7503</v>
      </c>
      <c r="D2705" t="s">
        <v>2469</v>
      </c>
      <c r="E2705" t="s">
        <v>2170</v>
      </c>
    </row>
    <row r="2706" spans="1:5" x14ac:dyDescent="0.25">
      <c r="A2706" t="s">
        <v>1654</v>
      </c>
      <c r="B2706" t="s">
        <v>7504</v>
      </c>
      <c r="C2706" t="s">
        <v>7505</v>
      </c>
      <c r="D2706" t="s">
        <v>2469</v>
      </c>
      <c r="E2706" t="s">
        <v>2170</v>
      </c>
    </row>
    <row r="2707" spans="1:5" x14ac:dyDescent="0.25">
      <c r="A2707" t="s">
        <v>1654</v>
      </c>
      <c r="B2707" t="s">
        <v>7506</v>
      </c>
      <c r="C2707" t="s">
        <v>7507</v>
      </c>
      <c r="D2707" t="s">
        <v>2469</v>
      </c>
      <c r="E2707" t="s">
        <v>2170</v>
      </c>
    </row>
    <row r="2708" spans="1:5" x14ac:dyDescent="0.25">
      <c r="A2708" t="s">
        <v>1654</v>
      </c>
      <c r="B2708" t="s">
        <v>7508</v>
      </c>
      <c r="C2708" t="s">
        <v>7509</v>
      </c>
      <c r="D2708" t="s">
        <v>2469</v>
      </c>
      <c r="E2708" t="s">
        <v>2170</v>
      </c>
    </row>
    <row r="2709" spans="1:5" x14ac:dyDescent="0.25">
      <c r="A2709" t="s">
        <v>1654</v>
      </c>
      <c r="B2709" t="s">
        <v>7510</v>
      </c>
      <c r="C2709" t="s">
        <v>7511</v>
      </c>
      <c r="D2709" t="s">
        <v>2469</v>
      </c>
      <c r="E2709" t="s">
        <v>2170</v>
      </c>
    </row>
    <row r="2710" spans="1:5" x14ac:dyDescent="0.25">
      <c r="A2710" t="s">
        <v>1654</v>
      </c>
      <c r="B2710" t="s">
        <v>7512</v>
      </c>
      <c r="C2710" t="s">
        <v>7513</v>
      </c>
      <c r="D2710" t="s">
        <v>2469</v>
      </c>
      <c r="E2710" t="s">
        <v>2170</v>
      </c>
    </row>
    <row r="2711" spans="1:5" x14ac:dyDescent="0.25">
      <c r="A2711" t="s">
        <v>1654</v>
      </c>
      <c r="B2711" t="s">
        <v>7514</v>
      </c>
      <c r="C2711" t="s">
        <v>7515</v>
      </c>
      <c r="D2711" t="s">
        <v>7516</v>
      </c>
      <c r="E2711" t="s">
        <v>2170</v>
      </c>
    </row>
    <row r="2712" spans="1:5" x14ac:dyDescent="0.25">
      <c r="A2712" t="s">
        <v>1654</v>
      </c>
      <c r="B2712" t="s">
        <v>7517</v>
      </c>
      <c r="C2712" t="s">
        <v>7518</v>
      </c>
      <c r="D2712" t="s">
        <v>2469</v>
      </c>
      <c r="E2712" t="s">
        <v>2170</v>
      </c>
    </row>
    <row r="2713" spans="1:5" x14ac:dyDescent="0.25">
      <c r="A2713" t="s">
        <v>1654</v>
      </c>
      <c r="B2713" t="s">
        <v>7519</v>
      </c>
      <c r="C2713" t="s">
        <v>7520</v>
      </c>
      <c r="D2713" t="s">
        <v>2469</v>
      </c>
      <c r="E2713" t="s">
        <v>2170</v>
      </c>
    </row>
    <row r="2714" spans="1:5" x14ac:dyDescent="0.25">
      <c r="A2714" t="s">
        <v>1654</v>
      </c>
      <c r="B2714" t="s">
        <v>7521</v>
      </c>
      <c r="C2714" t="s">
        <v>7522</v>
      </c>
      <c r="D2714" t="s">
        <v>2469</v>
      </c>
      <c r="E2714" t="s">
        <v>2170</v>
      </c>
    </row>
    <row r="2715" spans="1:5" x14ac:dyDescent="0.25">
      <c r="A2715" t="s">
        <v>1654</v>
      </c>
      <c r="B2715" t="s">
        <v>7523</v>
      </c>
      <c r="C2715" t="s">
        <v>7524</v>
      </c>
      <c r="D2715" t="s">
        <v>7516</v>
      </c>
      <c r="E2715" t="s">
        <v>2170</v>
      </c>
    </row>
    <row r="2716" spans="1:5" x14ac:dyDescent="0.25">
      <c r="A2716" t="s">
        <v>1654</v>
      </c>
      <c r="B2716" t="s">
        <v>7525</v>
      </c>
      <c r="C2716" t="s">
        <v>7526</v>
      </c>
      <c r="D2716" t="s">
        <v>2469</v>
      </c>
      <c r="E2716" t="s">
        <v>2170</v>
      </c>
    </row>
    <row r="2717" spans="1:5" x14ac:dyDescent="0.25">
      <c r="A2717" t="s">
        <v>1654</v>
      </c>
      <c r="B2717" t="s">
        <v>7527</v>
      </c>
      <c r="C2717" t="s">
        <v>7528</v>
      </c>
      <c r="D2717" t="s">
        <v>2469</v>
      </c>
      <c r="E2717" t="s">
        <v>2170</v>
      </c>
    </row>
    <row r="2718" spans="1:5" x14ac:dyDescent="0.25">
      <c r="A2718" t="s">
        <v>1654</v>
      </c>
      <c r="B2718" t="s">
        <v>7529</v>
      </c>
      <c r="C2718" t="s">
        <v>7530</v>
      </c>
      <c r="D2718" t="s">
        <v>7516</v>
      </c>
      <c r="E2718" t="s">
        <v>2170</v>
      </c>
    </row>
    <row r="2719" spans="1:5" x14ac:dyDescent="0.25">
      <c r="A2719" t="s">
        <v>1654</v>
      </c>
      <c r="B2719" t="s">
        <v>7531</v>
      </c>
      <c r="C2719" t="s">
        <v>7532</v>
      </c>
      <c r="D2719" t="s">
        <v>2469</v>
      </c>
      <c r="E2719" t="s">
        <v>2170</v>
      </c>
    </row>
    <row r="2720" spans="1:5" x14ac:dyDescent="0.25">
      <c r="A2720" t="s">
        <v>1654</v>
      </c>
      <c r="B2720" t="s">
        <v>7533</v>
      </c>
      <c r="C2720" t="s">
        <v>7534</v>
      </c>
      <c r="D2720" t="s">
        <v>2469</v>
      </c>
      <c r="E2720" t="s">
        <v>2170</v>
      </c>
    </row>
    <row r="2721" spans="1:5" x14ac:dyDescent="0.25">
      <c r="A2721" t="s">
        <v>1654</v>
      </c>
      <c r="B2721" t="s">
        <v>7535</v>
      </c>
      <c r="C2721" t="s">
        <v>7536</v>
      </c>
      <c r="D2721" t="s">
        <v>2469</v>
      </c>
      <c r="E2721" t="s">
        <v>2170</v>
      </c>
    </row>
    <row r="2722" spans="1:5" x14ac:dyDescent="0.25">
      <c r="A2722" t="s">
        <v>1654</v>
      </c>
      <c r="B2722" t="s">
        <v>7537</v>
      </c>
      <c r="C2722" t="s">
        <v>7538</v>
      </c>
      <c r="D2722" t="s">
        <v>7516</v>
      </c>
      <c r="E2722" t="s">
        <v>2170</v>
      </c>
    </row>
    <row r="2723" spans="1:5" x14ac:dyDescent="0.25">
      <c r="A2723" t="s">
        <v>1654</v>
      </c>
      <c r="B2723" t="s">
        <v>7539</v>
      </c>
      <c r="C2723" t="s">
        <v>7540</v>
      </c>
      <c r="D2723" t="s">
        <v>2469</v>
      </c>
      <c r="E2723" t="s">
        <v>2170</v>
      </c>
    </row>
    <row r="2724" spans="1:5" x14ac:dyDescent="0.25">
      <c r="A2724" t="s">
        <v>1654</v>
      </c>
      <c r="B2724" t="s">
        <v>7541</v>
      </c>
      <c r="C2724" t="s">
        <v>7542</v>
      </c>
      <c r="D2724" t="s">
        <v>2469</v>
      </c>
      <c r="E2724" t="s">
        <v>2170</v>
      </c>
    </row>
    <row r="2725" spans="1:5" x14ac:dyDescent="0.25">
      <c r="A2725" t="s">
        <v>1654</v>
      </c>
      <c r="B2725" t="s">
        <v>7543</v>
      </c>
      <c r="C2725" t="s">
        <v>7544</v>
      </c>
      <c r="D2725" t="s">
        <v>2469</v>
      </c>
      <c r="E2725" t="s">
        <v>2170</v>
      </c>
    </row>
    <row r="2726" spans="1:5" x14ac:dyDescent="0.25">
      <c r="A2726" t="s">
        <v>1654</v>
      </c>
      <c r="B2726" t="s">
        <v>7545</v>
      </c>
      <c r="C2726" t="s">
        <v>7546</v>
      </c>
      <c r="D2726" t="s">
        <v>2469</v>
      </c>
      <c r="E2726" t="s">
        <v>2170</v>
      </c>
    </row>
    <row r="2727" spans="1:5" x14ac:dyDescent="0.25">
      <c r="A2727" t="s">
        <v>1654</v>
      </c>
      <c r="B2727" t="s">
        <v>7547</v>
      </c>
      <c r="C2727" t="s">
        <v>7548</v>
      </c>
      <c r="D2727" t="s">
        <v>2469</v>
      </c>
      <c r="E2727" t="s">
        <v>2170</v>
      </c>
    </row>
    <row r="2728" spans="1:5" x14ac:dyDescent="0.25">
      <c r="A2728" t="s">
        <v>1654</v>
      </c>
      <c r="B2728" t="s">
        <v>7549</v>
      </c>
      <c r="C2728" t="s">
        <v>7550</v>
      </c>
      <c r="D2728" t="s">
        <v>2469</v>
      </c>
      <c r="E2728" t="s">
        <v>2170</v>
      </c>
    </row>
    <row r="2729" spans="1:5" x14ac:dyDescent="0.25">
      <c r="A2729" t="s">
        <v>1654</v>
      </c>
      <c r="B2729" t="s">
        <v>7551</v>
      </c>
      <c r="C2729" t="s">
        <v>7552</v>
      </c>
      <c r="D2729" t="s">
        <v>2469</v>
      </c>
      <c r="E2729" t="s">
        <v>2170</v>
      </c>
    </row>
    <row r="2730" spans="1:5" x14ac:dyDescent="0.25">
      <c r="A2730" t="s">
        <v>1654</v>
      </c>
      <c r="B2730" t="s">
        <v>7553</v>
      </c>
      <c r="C2730" t="s">
        <v>7554</v>
      </c>
      <c r="D2730" t="s">
        <v>2469</v>
      </c>
      <c r="E2730" t="s">
        <v>2170</v>
      </c>
    </row>
    <row r="2731" spans="1:5" x14ac:dyDescent="0.25">
      <c r="A2731" t="s">
        <v>1654</v>
      </c>
      <c r="B2731" t="s">
        <v>7555</v>
      </c>
      <c r="C2731" t="s">
        <v>7556</v>
      </c>
      <c r="D2731" t="s">
        <v>7516</v>
      </c>
      <c r="E2731" t="s">
        <v>2170</v>
      </c>
    </row>
    <row r="2732" spans="1:5" x14ac:dyDescent="0.25">
      <c r="A2732" t="s">
        <v>1654</v>
      </c>
      <c r="B2732" t="s">
        <v>7557</v>
      </c>
      <c r="C2732" t="s">
        <v>7558</v>
      </c>
      <c r="D2732" t="s">
        <v>2469</v>
      </c>
      <c r="E2732" t="s">
        <v>2170</v>
      </c>
    </row>
    <row r="2733" spans="1:5" x14ac:dyDescent="0.25">
      <c r="A2733" t="s">
        <v>1654</v>
      </c>
      <c r="B2733" t="s">
        <v>7559</v>
      </c>
      <c r="C2733" t="s">
        <v>7560</v>
      </c>
      <c r="D2733" t="s">
        <v>7516</v>
      </c>
      <c r="E2733" t="s">
        <v>2170</v>
      </c>
    </row>
    <row r="2734" spans="1:5" x14ac:dyDescent="0.25">
      <c r="A2734" t="s">
        <v>1654</v>
      </c>
      <c r="B2734" t="s">
        <v>7561</v>
      </c>
      <c r="C2734" t="s">
        <v>7562</v>
      </c>
      <c r="D2734" t="s">
        <v>2469</v>
      </c>
      <c r="E2734" t="s">
        <v>2170</v>
      </c>
    </row>
    <row r="2735" spans="1:5" x14ac:dyDescent="0.25">
      <c r="A2735" t="s">
        <v>1654</v>
      </c>
      <c r="B2735" t="s">
        <v>7563</v>
      </c>
      <c r="C2735" t="s">
        <v>7564</v>
      </c>
      <c r="D2735" t="s">
        <v>2469</v>
      </c>
      <c r="E2735" t="s">
        <v>2170</v>
      </c>
    </row>
    <row r="2736" spans="1:5" x14ac:dyDescent="0.25">
      <c r="A2736" t="s">
        <v>1654</v>
      </c>
      <c r="B2736" t="s">
        <v>7565</v>
      </c>
      <c r="C2736" t="s">
        <v>7566</v>
      </c>
      <c r="D2736" t="s">
        <v>2469</v>
      </c>
      <c r="E2736" t="s">
        <v>2170</v>
      </c>
    </row>
    <row r="2737" spans="1:5" x14ac:dyDescent="0.25">
      <c r="A2737" t="s">
        <v>1654</v>
      </c>
      <c r="B2737" t="s">
        <v>7567</v>
      </c>
      <c r="C2737" t="s">
        <v>7568</v>
      </c>
      <c r="D2737" t="s">
        <v>2469</v>
      </c>
      <c r="E2737" t="s">
        <v>2170</v>
      </c>
    </row>
    <row r="2738" spans="1:5" x14ac:dyDescent="0.25">
      <c r="A2738" t="s">
        <v>1654</v>
      </c>
      <c r="B2738" t="s">
        <v>7569</v>
      </c>
      <c r="C2738" t="s">
        <v>7570</v>
      </c>
      <c r="D2738" t="s">
        <v>2469</v>
      </c>
      <c r="E2738" t="s">
        <v>2170</v>
      </c>
    </row>
    <row r="2739" spans="1:5" x14ac:dyDescent="0.25">
      <c r="A2739" t="s">
        <v>1654</v>
      </c>
      <c r="B2739" t="s">
        <v>7571</v>
      </c>
      <c r="C2739" t="s">
        <v>7572</v>
      </c>
      <c r="D2739" t="s">
        <v>2469</v>
      </c>
      <c r="E2739" t="s">
        <v>2170</v>
      </c>
    </row>
    <row r="2740" spans="1:5" x14ac:dyDescent="0.25">
      <c r="A2740" t="s">
        <v>1654</v>
      </c>
      <c r="B2740" t="s">
        <v>7573</v>
      </c>
      <c r="C2740" t="s">
        <v>7574</v>
      </c>
      <c r="D2740" t="s">
        <v>2469</v>
      </c>
      <c r="E2740" t="s">
        <v>2170</v>
      </c>
    </row>
    <row r="2741" spans="1:5" x14ac:dyDescent="0.25">
      <c r="A2741" t="s">
        <v>1654</v>
      </c>
      <c r="B2741" t="s">
        <v>7575</v>
      </c>
      <c r="C2741" t="s">
        <v>7576</v>
      </c>
      <c r="D2741" t="s">
        <v>2469</v>
      </c>
      <c r="E2741" t="s">
        <v>2170</v>
      </c>
    </row>
    <row r="2742" spans="1:5" x14ac:dyDescent="0.25">
      <c r="A2742" t="s">
        <v>1654</v>
      </c>
      <c r="B2742" t="s">
        <v>7577</v>
      </c>
      <c r="C2742" t="s">
        <v>7578</v>
      </c>
      <c r="D2742" t="s">
        <v>2469</v>
      </c>
      <c r="E2742" t="s">
        <v>2170</v>
      </c>
    </row>
    <row r="2743" spans="1:5" x14ac:dyDescent="0.25">
      <c r="A2743" t="s">
        <v>1654</v>
      </c>
      <c r="B2743" t="s">
        <v>7579</v>
      </c>
      <c r="C2743" t="s">
        <v>7580</v>
      </c>
      <c r="D2743" t="s">
        <v>2469</v>
      </c>
      <c r="E2743" t="s">
        <v>2170</v>
      </c>
    </row>
    <row r="2744" spans="1:5" x14ac:dyDescent="0.25">
      <c r="A2744" t="s">
        <v>1654</v>
      </c>
      <c r="B2744" t="s">
        <v>7581</v>
      </c>
      <c r="C2744" t="s">
        <v>7582</v>
      </c>
      <c r="D2744" t="s">
        <v>2469</v>
      </c>
      <c r="E2744" t="s">
        <v>2170</v>
      </c>
    </row>
    <row r="2745" spans="1:5" x14ac:dyDescent="0.25">
      <c r="A2745" t="s">
        <v>1654</v>
      </c>
      <c r="B2745" t="s">
        <v>7583</v>
      </c>
      <c r="C2745" t="s">
        <v>7584</v>
      </c>
      <c r="D2745" t="s">
        <v>7516</v>
      </c>
      <c r="E2745" t="s">
        <v>2170</v>
      </c>
    </row>
    <row r="2746" spans="1:5" x14ac:dyDescent="0.25">
      <c r="A2746" t="s">
        <v>1654</v>
      </c>
      <c r="B2746" t="s">
        <v>7585</v>
      </c>
      <c r="C2746" t="s">
        <v>7586</v>
      </c>
      <c r="D2746" t="s">
        <v>2469</v>
      </c>
      <c r="E2746" t="s">
        <v>2170</v>
      </c>
    </row>
    <row r="2747" spans="1:5" x14ac:dyDescent="0.25">
      <c r="A2747" t="s">
        <v>1657</v>
      </c>
      <c r="B2747" t="s">
        <v>7587</v>
      </c>
      <c r="C2747" t="s">
        <v>7588</v>
      </c>
      <c r="D2747" t="s">
        <v>7589</v>
      </c>
      <c r="E2747" t="s">
        <v>2170</v>
      </c>
    </row>
    <row r="2748" spans="1:5" x14ac:dyDescent="0.25">
      <c r="A2748" t="s">
        <v>1657</v>
      </c>
      <c r="B2748" t="s">
        <v>7590</v>
      </c>
      <c r="C2748" t="s">
        <v>7591</v>
      </c>
      <c r="D2748" t="s">
        <v>7589</v>
      </c>
      <c r="E2748" t="s">
        <v>2170</v>
      </c>
    </row>
    <row r="2749" spans="1:5" x14ac:dyDescent="0.25">
      <c r="A2749" t="s">
        <v>1657</v>
      </c>
      <c r="B2749" t="s">
        <v>7592</v>
      </c>
      <c r="C2749" t="s">
        <v>7593</v>
      </c>
      <c r="D2749" t="s">
        <v>7589</v>
      </c>
      <c r="E2749" t="s">
        <v>2170</v>
      </c>
    </row>
    <row r="2750" spans="1:5" x14ac:dyDescent="0.25">
      <c r="A2750" t="s">
        <v>1657</v>
      </c>
      <c r="B2750" t="s">
        <v>7594</v>
      </c>
      <c r="C2750" t="s">
        <v>7595</v>
      </c>
      <c r="D2750" t="s">
        <v>7589</v>
      </c>
      <c r="E2750" t="s">
        <v>2170</v>
      </c>
    </row>
    <row r="2751" spans="1:5" x14ac:dyDescent="0.25">
      <c r="A2751" t="s">
        <v>1657</v>
      </c>
      <c r="B2751" t="s">
        <v>7596</v>
      </c>
      <c r="C2751" t="s">
        <v>7597</v>
      </c>
      <c r="D2751" t="s">
        <v>7589</v>
      </c>
      <c r="E2751" t="s">
        <v>2170</v>
      </c>
    </row>
    <row r="2752" spans="1:5" x14ac:dyDescent="0.25">
      <c r="A2752" t="s">
        <v>1657</v>
      </c>
      <c r="B2752" t="s">
        <v>7598</v>
      </c>
      <c r="C2752" t="s">
        <v>7599</v>
      </c>
      <c r="D2752" t="s">
        <v>7589</v>
      </c>
      <c r="E2752" t="s">
        <v>2170</v>
      </c>
    </row>
    <row r="2753" spans="1:5" x14ac:dyDescent="0.25">
      <c r="A2753" t="s">
        <v>1657</v>
      </c>
      <c r="B2753" t="s">
        <v>7600</v>
      </c>
      <c r="C2753" t="s">
        <v>7601</v>
      </c>
      <c r="D2753" t="s">
        <v>7589</v>
      </c>
      <c r="E2753" t="s">
        <v>2170</v>
      </c>
    </row>
    <row r="2754" spans="1:5" x14ac:dyDescent="0.25">
      <c r="A2754" t="s">
        <v>1657</v>
      </c>
      <c r="B2754" t="s">
        <v>7602</v>
      </c>
      <c r="C2754" t="s">
        <v>7603</v>
      </c>
      <c r="D2754" t="s">
        <v>7589</v>
      </c>
      <c r="E2754" t="s">
        <v>2170</v>
      </c>
    </row>
    <row r="2755" spans="1:5" x14ac:dyDescent="0.25">
      <c r="A2755" t="s">
        <v>1657</v>
      </c>
      <c r="B2755" t="s">
        <v>7604</v>
      </c>
      <c r="C2755" t="s">
        <v>7605</v>
      </c>
      <c r="D2755" t="s">
        <v>7589</v>
      </c>
      <c r="E2755" t="s">
        <v>2170</v>
      </c>
    </row>
    <row r="2756" spans="1:5" x14ac:dyDescent="0.25">
      <c r="A2756" t="s">
        <v>1657</v>
      </c>
      <c r="B2756" t="s">
        <v>7606</v>
      </c>
      <c r="C2756" t="s">
        <v>7607</v>
      </c>
      <c r="D2756" t="s">
        <v>7589</v>
      </c>
      <c r="E2756" t="s">
        <v>2170</v>
      </c>
    </row>
    <row r="2757" spans="1:5" x14ac:dyDescent="0.25">
      <c r="A2757" t="s">
        <v>1657</v>
      </c>
      <c r="B2757" t="s">
        <v>7608</v>
      </c>
      <c r="C2757" t="s">
        <v>7609</v>
      </c>
      <c r="D2757" t="s">
        <v>7589</v>
      </c>
      <c r="E2757" t="s">
        <v>2170</v>
      </c>
    </row>
    <row r="2758" spans="1:5" x14ac:dyDescent="0.25">
      <c r="A2758" t="s">
        <v>1657</v>
      </c>
      <c r="B2758" t="s">
        <v>7610</v>
      </c>
      <c r="C2758" t="s">
        <v>7611</v>
      </c>
      <c r="D2758" t="s">
        <v>7589</v>
      </c>
      <c r="E2758" t="s">
        <v>2170</v>
      </c>
    </row>
    <row r="2759" spans="1:5" x14ac:dyDescent="0.25">
      <c r="A2759" t="s">
        <v>1657</v>
      </c>
      <c r="B2759" t="s">
        <v>7612</v>
      </c>
      <c r="C2759" t="s">
        <v>7613</v>
      </c>
      <c r="D2759" t="s">
        <v>7589</v>
      </c>
      <c r="E2759" t="s">
        <v>2170</v>
      </c>
    </row>
    <row r="2760" spans="1:5" x14ac:dyDescent="0.25">
      <c r="A2760" t="s">
        <v>1657</v>
      </c>
      <c r="B2760" t="s">
        <v>7614</v>
      </c>
      <c r="C2760" t="s">
        <v>7615</v>
      </c>
      <c r="D2760" t="s">
        <v>7589</v>
      </c>
      <c r="E2760" t="s">
        <v>2170</v>
      </c>
    </row>
    <row r="2761" spans="1:5" x14ac:dyDescent="0.25">
      <c r="A2761" t="s">
        <v>1657</v>
      </c>
      <c r="B2761" t="s">
        <v>7616</v>
      </c>
      <c r="C2761" t="s">
        <v>7617</v>
      </c>
      <c r="D2761" t="s">
        <v>7589</v>
      </c>
      <c r="E2761" t="s">
        <v>2170</v>
      </c>
    </row>
    <row r="2762" spans="1:5" x14ac:dyDescent="0.25">
      <c r="A2762" t="s">
        <v>1657</v>
      </c>
      <c r="B2762" t="s">
        <v>7618</v>
      </c>
      <c r="C2762" t="s">
        <v>7619</v>
      </c>
      <c r="D2762" t="s">
        <v>7589</v>
      </c>
      <c r="E2762" t="s">
        <v>2170</v>
      </c>
    </row>
    <row r="2763" spans="1:5" x14ac:dyDescent="0.25">
      <c r="A2763" t="s">
        <v>1657</v>
      </c>
      <c r="B2763" t="s">
        <v>7620</v>
      </c>
      <c r="C2763" t="s">
        <v>7621</v>
      </c>
      <c r="D2763" t="s">
        <v>7589</v>
      </c>
      <c r="E2763" t="s">
        <v>2170</v>
      </c>
    </row>
    <row r="2764" spans="1:5" x14ac:dyDescent="0.25">
      <c r="A2764" t="s">
        <v>1657</v>
      </c>
      <c r="B2764" t="s">
        <v>7622</v>
      </c>
      <c r="C2764" t="s">
        <v>7623</v>
      </c>
      <c r="D2764" t="s">
        <v>7589</v>
      </c>
      <c r="E2764" t="s">
        <v>2170</v>
      </c>
    </row>
    <row r="2765" spans="1:5" x14ac:dyDescent="0.25">
      <c r="A2765" t="s">
        <v>1657</v>
      </c>
      <c r="B2765" t="s">
        <v>7624</v>
      </c>
      <c r="C2765" t="s">
        <v>7625</v>
      </c>
      <c r="D2765" t="s">
        <v>7589</v>
      </c>
      <c r="E2765" t="s">
        <v>2170</v>
      </c>
    </row>
    <row r="2766" spans="1:5" x14ac:dyDescent="0.25">
      <c r="A2766" t="s">
        <v>1657</v>
      </c>
      <c r="B2766" t="s">
        <v>7626</v>
      </c>
      <c r="C2766" t="s">
        <v>7627</v>
      </c>
      <c r="D2766" t="s">
        <v>7589</v>
      </c>
      <c r="E2766" t="s">
        <v>2170</v>
      </c>
    </row>
    <row r="2767" spans="1:5" x14ac:dyDescent="0.25">
      <c r="A2767" t="s">
        <v>1657</v>
      </c>
      <c r="B2767" t="s">
        <v>7628</v>
      </c>
      <c r="C2767" t="s">
        <v>7629</v>
      </c>
      <c r="D2767" t="s">
        <v>7589</v>
      </c>
      <c r="E2767" t="s">
        <v>2170</v>
      </c>
    </row>
    <row r="2768" spans="1:5" x14ac:dyDescent="0.25">
      <c r="A2768" t="s">
        <v>1657</v>
      </c>
      <c r="B2768" t="s">
        <v>7630</v>
      </c>
      <c r="C2768" t="s">
        <v>7631</v>
      </c>
      <c r="D2768" t="s">
        <v>7589</v>
      </c>
      <c r="E2768" t="s">
        <v>2170</v>
      </c>
    </row>
    <row r="2769" spans="1:5" x14ac:dyDescent="0.25">
      <c r="A2769" t="s">
        <v>1441</v>
      </c>
      <c r="B2769" t="s">
        <v>7632</v>
      </c>
      <c r="C2769" t="s">
        <v>7633</v>
      </c>
      <c r="D2769" t="s">
        <v>2311</v>
      </c>
      <c r="E2769" t="s">
        <v>2170</v>
      </c>
    </row>
    <row r="2770" spans="1:5" x14ac:dyDescent="0.25">
      <c r="A2770" t="s">
        <v>1441</v>
      </c>
      <c r="B2770" t="s">
        <v>7634</v>
      </c>
      <c r="C2770" t="s">
        <v>7635</v>
      </c>
      <c r="D2770" t="s">
        <v>2311</v>
      </c>
      <c r="E2770" t="s">
        <v>2170</v>
      </c>
    </row>
    <row r="2771" spans="1:5" x14ac:dyDescent="0.25">
      <c r="A2771" t="s">
        <v>1441</v>
      </c>
      <c r="B2771" t="s">
        <v>7636</v>
      </c>
      <c r="C2771" t="s">
        <v>7637</v>
      </c>
      <c r="D2771" t="s">
        <v>2311</v>
      </c>
      <c r="E2771" t="s">
        <v>2170</v>
      </c>
    </row>
    <row r="2772" spans="1:5" x14ac:dyDescent="0.25">
      <c r="A2772" t="s">
        <v>1441</v>
      </c>
      <c r="B2772" t="s">
        <v>7638</v>
      </c>
      <c r="C2772" t="s">
        <v>7639</v>
      </c>
      <c r="D2772" t="s">
        <v>2311</v>
      </c>
      <c r="E2772" t="s">
        <v>2170</v>
      </c>
    </row>
    <row r="2773" spans="1:5" x14ac:dyDescent="0.25">
      <c r="A2773" t="s">
        <v>1441</v>
      </c>
      <c r="B2773" t="s">
        <v>7640</v>
      </c>
      <c r="C2773" t="s">
        <v>7641</v>
      </c>
      <c r="D2773" t="s">
        <v>2311</v>
      </c>
      <c r="E2773" t="s">
        <v>2170</v>
      </c>
    </row>
    <row r="2774" spans="1:5" x14ac:dyDescent="0.25">
      <c r="A2774" t="s">
        <v>1441</v>
      </c>
      <c r="B2774" t="s">
        <v>7642</v>
      </c>
      <c r="C2774" t="s">
        <v>7643</v>
      </c>
      <c r="D2774" t="s">
        <v>2311</v>
      </c>
      <c r="E2774" t="s">
        <v>2170</v>
      </c>
    </row>
    <row r="2775" spans="1:5" x14ac:dyDescent="0.25">
      <c r="A2775" t="s">
        <v>1441</v>
      </c>
      <c r="B2775" t="s">
        <v>7644</v>
      </c>
      <c r="C2775" t="s">
        <v>7645</v>
      </c>
      <c r="D2775" t="s">
        <v>2311</v>
      </c>
      <c r="E2775" t="s">
        <v>2170</v>
      </c>
    </row>
    <row r="2776" spans="1:5" x14ac:dyDescent="0.25">
      <c r="A2776" t="s">
        <v>1441</v>
      </c>
      <c r="B2776" t="s">
        <v>7646</v>
      </c>
      <c r="C2776" t="s">
        <v>7647</v>
      </c>
      <c r="D2776" t="s">
        <v>2311</v>
      </c>
      <c r="E2776" t="s">
        <v>2170</v>
      </c>
    </row>
    <row r="2777" spans="1:5" x14ac:dyDescent="0.25">
      <c r="A2777" t="s">
        <v>1441</v>
      </c>
      <c r="B2777" t="s">
        <v>7648</v>
      </c>
      <c r="C2777" t="s">
        <v>7649</v>
      </c>
      <c r="D2777" t="s">
        <v>2311</v>
      </c>
      <c r="E2777" t="s">
        <v>2170</v>
      </c>
    </row>
    <row r="2778" spans="1:5" x14ac:dyDescent="0.25">
      <c r="A2778" t="s">
        <v>1441</v>
      </c>
      <c r="B2778" t="s">
        <v>7650</v>
      </c>
      <c r="C2778" t="s">
        <v>7651</v>
      </c>
      <c r="D2778" t="s">
        <v>2311</v>
      </c>
      <c r="E2778" t="s">
        <v>2170</v>
      </c>
    </row>
    <row r="2779" spans="1:5" x14ac:dyDescent="0.25">
      <c r="A2779" t="s">
        <v>1441</v>
      </c>
      <c r="B2779" t="s">
        <v>7652</v>
      </c>
      <c r="C2779" t="s">
        <v>7653</v>
      </c>
      <c r="D2779" t="s">
        <v>2311</v>
      </c>
      <c r="E2779" t="s">
        <v>2170</v>
      </c>
    </row>
    <row r="2780" spans="1:5" x14ac:dyDescent="0.25">
      <c r="A2780" t="s">
        <v>1441</v>
      </c>
      <c r="B2780" t="s">
        <v>7654</v>
      </c>
      <c r="C2780" t="s">
        <v>7655</v>
      </c>
      <c r="D2780" t="s">
        <v>2311</v>
      </c>
      <c r="E2780" t="s">
        <v>2170</v>
      </c>
    </row>
    <row r="2781" spans="1:5" x14ac:dyDescent="0.25">
      <c r="A2781" t="s">
        <v>1441</v>
      </c>
      <c r="B2781" t="s">
        <v>7656</v>
      </c>
      <c r="C2781" t="s">
        <v>7657</v>
      </c>
      <c r="D2781" t="s">
        <v>3356</v>
      </c>
      <c r="E2781" t="s">
        <v>7652</v>
      </c>
    </row>
    <row r="2782" spans="1:5" x14ac:dyDescent="0.25">
      <c r="A2782" t="s">
        <v>1441</v>
      </c>
      <c r="B2782" t="s">
        <v>7658</v>
      </c>
      <c r="C2782" t="s">
        <v>7659</v>
      </c>
      <c r="D2782" t="s">
        <v>2200</v>
      </c>
      <c r="E2782" t="s">
        <v>7648</v>
      </c>
    </row>
    <row r="2783" spans="1:5" x14ac:dyDescent="0.25">
      <c r="A2783" t="s">
        <v>1441</v>
      </c>
      <c r="B2783" t="s">
        <v>7660</v>
      </c>
      <c r="C2783" t="s">
        <v>7661</v>
      </c>
      <c r="D2783" t="s">
        <v>2200</v>
      </c>
      <c r="E2783" t="s">
        <v>7654</v>
      </c>
    </row>
    <row r="2784" spans="1:5" x14ac:dyDescent="0.25">
      <c r="A2784" t="s">
        <v>1441</v>
      </c>
      <c r="B2784" t="s">
        <v>7662</v>
      </c>
      <c r="C2784" t="s">
        <v>7663</v>
      </c>
      <c r="D2784" t="s">
        <v>2200</v>
      </c>
      <c r="E2784" t="s">
        <v>7636</v>
      </c>
    </row>
    <row r="2785" spans="1:5" x14ac:dyDescent="0.25">
      <c r="A2785" t="s">
        <v>1441</v>
      </c>
      <c r="B2785" t="s">
        <v>7664</v>
      </c>
      <c r="C2785" t="s">
        <v>7665</v>
      </c>
      <c r="D2785" t="s">
        <v>2200</v>
      </c>
      <c r="E2785" t="s">
        <v>7642</v>
      </c>
    </row>
    <row r="2786" spans="1:5" x14ac:dyDescent="0.25">
      <c r="A2786" t="s">
        <v>1441</v>
      </c>
      <c r="B2786" t="s">
        <v>7666</v>
      </c>
      <c r="C2786" t="s">
        <v>7667</v>
      </c>
      <c r="D2786" t="s">
        <v>2200</v>
      </c>
      <c r="E2786" t="s">
        <v>7632</v>
      </c>
    </row>
    <row r="2787" spans="1:5" x14ac:dyDescent="0.25">
      <c r="A2787" t="s">
        <v>1441</v>
      </c>
      <c r="B2787" t="s">
        <v>7668</v>
      </c>
      <c r="C2787" t="s">
        <v>7669</v>
      </c>
      <c r="D2787" t="s">
        <v>2200</v>
      </c>
      <c r="E2787" t="s">
        <v>7632</v>
      </c>
    </row>
    <row r="2788" spans="1:5" x14ac:dyDescent="0.25">
      <c r="A2788" t="s">
        <v>1441</v>
      </c>
      <c r="B2788" t="s">
        <v>7670</v>
      </c>
      <c r="C2788" t="s">
        <v>7671</v>
      </c>
      <c r="D2788" t="s">
        <v>2200</v>
      </c>
      <c r="E2788" t="s">
        <v>7634</v>
      </c>
    </row>
    <row r="2789" spans="1:5" x14ac:dyDescent="0.25">
      <c r="A2789" t="s">
        <v>1441</v>
      </c>
      <c r="B2789" t="s">
        <v>7672</v>
      </c>
      <c r="C2789" t="s">
        <v>7673</v>
      </c>
      <c r="D2789" t="s">
        <v>2200</v>
      </c>
      <c r="E2789" t="s">
        <v>7644</v>
      </c>
    </row>
    <row r="2790" spans="1:5" x14ac:dyDescent="0.25">
      <c r="A2790" t="s">
        <v>1441</v>
      </c>
      <c r="B2790" t="s">
        <v>7674</v>
      </c>
      <c r="C2790" t="s">
        <v>7675</v>
      </c>
      <c r="D2790" t="s">
        <v>2200</v>
      </c>
      <c r="E2790" t="s">
        <v>7634</v>
      </c>
    </row>
    <row r="2791" spans="1:5" x14ac:dyDescent="0.25">
      <c r="A2791" t="s">
        <v>1441</v>
      </c>
      <c r="B2791" t="s">
        <v>7676</v>
      </c>
      <c r="C2791" t="s">
        <v>7677</v>
      </c>
      <c r="D2791" t="s">
        <v>2200</v>
      </c>
      <c r="E2791" t="s">
        <v>7646</v>
      </c>
    </row>
    <row r="2792" spans="1:5" x14ac:dyDescent="0.25">
      <c r="A2792" t="s">
        <v>1441</v>
      </c>
      <c r="B2792" t="s">
        <v>7678</v>
      </c>
      <c r="C2792" t="s">
        <v>7679</v>
      </c>
      <c r="D2792" t="s">
        <v>2200</v>
      </c>
      <c r="E2792" t="s">
        <v>7640</v>
      </c>
    </row>
    <row r="2793" spans="1:5" x14ac:dyDescent="0.25">
      <c r="A2793" t="s">
        <v>1441</v>
      </c>
      <c r="B2793" t="s">
        <v>7680</v>
      </c>
      <c r="C2793" t="s">
        <v>1659</v>
      </c>
      <c r="D2793" t="s">
        <v>3356</v>
      </c>
      <c r="E2793" t="s">
        <v>7634</v>
      </c>
    </row>
    <row r="2794" spans="1:5" x14ac:dyDescent="0.25">
      <c r="A2794" t="s">
        <v>1441</v>
      </c>
      <c r="B2794" t="s">
        <v>7681</v>
      </c>
      <c r="C2794" t="s">
        <v>7682</v>
      </c>
      <c r="D2794" t="s">
        <v>2200</v>
      </c>
      <c r="E2794" t="s">
        <v>7654</v>
      </c>
    </row>
    <row r="2795" spans="1:5" x14ac:dyDescent="0.25">
      <c r="A2795" t="s">
        <v>1441</v>
      </c>
      <c r="B2795" t="s">
        <v>7683</v>
      </c>
      <c r="C2795" t="s">
        <v>7684</v>
      </c>
      <c r="D2795" t="s">
        <v>2200</v>
      </c>
      <c r="E2795" t="s">
        <v>7648</v>
      </c>
    </row>
    <row r="2796" spans="1:5" x14ac:dyDescent="0.25">
      <c r="A2796" t="s">
        <v>1441</v>
      </c>
      <c r="B2796" t="s">
        <v>7685</v>
      </c>
      <c r="C2796" t="s">
        <v>7686</v>
      </c>
      <c r="D2796" t="s">
        <v>2200</v>
      </c>
      <c r="E2796" t="s">
        <v>7634</v>
      </c>
    </row>
    <row r="2797" spans="1:5" x14ac:dyDescent="0.25">
      <c r="A2797" t="s">
        <v>1441</v>
      </c>
      <c r="B2797" t="s">
        <v>7687</v>
      </c>
      <c r="C2797" t="s">
        <v>7688</v>
      </c>
      <c r="D2797" t="s">
        <v>2200</v>
      </c>
      <c r="E2797" t="s">
        <v>7644</v>
      </c>
    </row>
    <row r="2798" spans="1:5" x14ac:dyDescent="0.25">
      <c r="A2798" t="s">
        <v>1441</v>
      </c>
      <c r="B2798" t="s">
        <v>7689</v>
      </c>
      <c r="C2798" t="s">
        <v>7690</v>
      </c>
      <c r="D2798" t="s">
        <v>2200</v>
      </c>
      <c r="E2798" t="s">
        <v>7640</v>
      </c>
    </row>
    <row r="2799" spans="1:5" x14ac:dyDescent="0.25">
      <c r="A2799" t="s">
        <v>1441</v>
      </c>
      <c r="B2799" t="s">
        <v>7691</v>
      </c>
      <c r="C2799" t="s">
        <v>7692</v>
      </c>
      <c r="D2799" t="s">
        <v>2200</v>
      </c>
      <c r="E2799" t="s">
        <v>7634</v>
      </c>
    </row>
    <row r="2800" spans="1:5" x14ac:dyDescent="0.25">
      <c r="A2800" t="s">
        <v>1441</v>
      </c>
      <c r="B2800" t="s">
        <v>7693</v>
      </c>
      <c r="C2800" t="s">
        <v>7694</v>
      </c>
      <c r="D2800" t="s">
        <v>2200</v>
      </c>
      <c r="E2800" t="s">
        <v>7648</v>
      </c>
    </row>
    <row r="2801" spans="1:5" x14ac:dyDescent="0.25">
      <c r="A2801" t="s">
        <v>1441</v>
      </c>
      <c r="B2801" t="s">
        <v>7695</v>
      </c>
      <c r="C2801" t="s">
        <v>7696</v>
      </c>
      <c r="D2801" t="s">
        <v>2200</v>
      </c>
      <c r="E2801" t="s">
        <v>7638</v>
      </c>
    </row>
    <row r="2802" spans="1:5" x14ac:dyDescent="0.25">
      <c r="A2802" t="s">
        <v>1441</v>
      </c>
      <c r="B2802" t="s">
        <v>7697</v>
      </c>
      <c r="C2802" t="s">
        <v>7698</v>
      </c>
      <c r="D2802" t="s">
        <v>2200</v>
      </c>
      <c r="E2802" t="s">
        <v>7646</v>
      </c>
    </row>
    <row r="2803" spans="1:5" x14ac:dyDescent="0.25">
      <c r="A2803" t="s">
        <v>1441</v>
      </c>
      <c r="B2803" t="s">
        <v>7699</v>
      </c>
      <c r="C2803" t="s">
        <v>7700</v>
      </c>
      <c r="D2803" t="s">
        <v>2200</v>
      </c>
      <c r="E2803" t="s">
        <v>7648</v>
      </c>
    </row>
    <row r="2804" spans="1:5" x14ac:dyDescent="0.25">
      <c r="A2804" t="s">
        <v>1441</v>
      </c>
      <c r="B2804" t="s">
        <v>7701</v>
      </c>
      <c r="C2804" t="s">
        <v>7702</v>
      </c>
      <c r="D2804" t="s">
        <v>2200</v>
      </c>
      <c r="E2804" t="s">
        <v>7654</v>
      </c>
    </row>
    <row r="2805" spans="1:5" x14ac:dyDescent="0.25">
      <c r="A2805" t="s">
        <v>1441</v>
      </c>
      <c r="B2805" t="s">
        <v>7703</v>
      </c>
      <c r="C2805" t="s">
        <v>7704</v>
      </c>
      <c r="D2805" t="s">
        <v>3356</v>
      </c>
      <c r="E2805" t="s">
        <v>7640</v>
      </c>
    </row>
    <row r="2806" spans="1:5" x14ac:dyDescent="0.25">
      <c r="A2806" t="s">
        <v>1441</v>
      </c>
      <c r="B2806" t="s">
        <v>7705</v>
      </c>
      <c r="C2806" t="s">
        <v>7706</v>
      </c>
      <c r="D2806" t="s">
        <v>2200</v>
      </c>
      <c r="E2806" t="s">
        <v>7644</v>
      </c>
    </row>
    <row r="2807" spans="1:5" x14ac:dyDescent="0.25">
      <c r="A2807" t="s">
        <v>1441</v>
      </c>
      <c r="B2807" t="s">
        <v>7707</v>
      </c>
      <c r="C2807" t="s">
        <v>7708</v>
      </c>
      <c r="D2807" t="s">
        <v>2200</v>
      </c>
      <c r="E2807" t="s">
        <v>7632</v>
      </c>
    </row>
    <row r="2808" spans="1:5" x14ac:dyDescent="0.25">
      <c r="A2808" t="s">
        <v>1441</v>
      </c>
      <c r="B2808" t="s">
        <v>7709</v>
      </c>
      <c r="C2808" t="s">
        <v>7710</v>
      </c>
      <c r="D2808" t="s">
        <v>2200</v>
      </c>
      <c r="E2808" t="s">
        <v>7642</v>
      </c>
    </row>
    <row r="2809" spans="1:5" x14ac:dyDescent="0.25">
      <c r="A2809" t="s">
        <v>1441</v>
      </c>
      <c r="B2809" t="s">
        <v>7711</v>
      </c>
      <c r="C2809" t="s">
        <v>7712</v>
      </c>
      <c r="D2809" t="s">
        <v>2200</v>
      </c>
      <c r="E2809" t="s">
        <v>7644</v>
      </c>
    </row>
    <row r="2810" spans="1:5" x14ac:dyDescent="0.25">
      <c r="A2810" t="s">
        <v>1441</v>
      </c>
      <c r="B2810" t="s">
        <v>7713</v>
      </c>
      <c r="C2810" t="s">
        <v>7714</v>
      </c>
      <c r="D2810" t="s">
        <v>2200</v>
      </c>
      <c r="E2810" t="s">
        <v>7640</v>
      </c>
    </row>
    <row r="2811" spans="1:5" x14ac:dyDescent="0.25">
      <c r="A2811" t="s">
        <v>1441</v>
      </c>
      <c r="B2811" t="s">
        <v>7715</v>
      </c>
      <c r="C2811" t="s">
        <v>7716</v>
      </c>
      <c r="D2811" t="s">
        <v>3356</v>
      </c>
      <c r="E2811" t="s">
        <v>7652</v>
      </c>
    </row>
    <row r="2812" spans="1:5" x14ac:dyDescent="0.25">
      <c r="A2812" t="s">
        <v>1441</v>
      </c>
      <c r="B2812" t="s">
        <v>7717</v>
      </c>
      <c r="C2812" t="s">
        <v>7718</v>
      </c>
      <c r="D2812" t="s">
        <v>2200</v>
      </c>
      <c r="E2812" t="s">
        <v>7644</v>
      </c>
    </row>
    <row r="2813" spans="1:5" x14ac:dyDescent="0.25">
      <c r="A2813" t="s">
        <v>1441</v>
      </c>
      <c r="B2813" t="s">
        <v>7719</v>
      </c>
      <c r="C2813" t="s">
        <v>7720</v>
      </c>
      <c r="D2813" t="s">
        <v>2200</v>
      </c>
      <c r="E2813" t="s">
        <v>7650</v>
      </c>
    </row>
    <row r="2814" spans="1:5" x14ac:dyDescent="0.25">
      <c r="A2814" t="s">
        <v>1441</v>
      </c>
      <c r="B2814" t="s">
        <v>7721</v>
      </c>
      <c r="C2814" t="s">
        <v>7722</v>
      </c>
      <c r="D2814" t="s">
        <v>2200</v>
      </c>
      <c r="E2814" t="s">
        <v>7650</v>
      </c>
    </row>
    <row r="2815" spans="1:5" x14ac:dyDescent="0.25">
      <c r="A2815" t="s">
        <v>1441</v>
      </c>
      <c r="B2815" t="s">
        <v>7723</v>
      </c>
      <c r="C2815" t="s">
        <v>7724</v>
      </c>
      <c r="D2815" t="s">
        <v>2200</v>
      </c>
      <c r="E2815" t="s">
        <v>7632</v>
      </c>
    </row>
    <row r="2816" spans="1:5" x14ac:dyDescent="0.25">
      <c r="A2816" t="s">
        <v>1441</v>
      </c>
      <c r="B2816" t="s">
        <v>7725</v>
      </c>
      <c r="C2816" t="s">
        <v>7726</v>
      </c>
      <c r="D2816" t="s">
        <v>2200</v>
      </c>
      <c r="E2816" t="s">
        <v>7632</v>
      </c>
    </row>
    <row r="2817" spans="1:5" x14ac:dyDescent="0.25">
      <c r="A2817" t="s">
        <v>1441</v>
      </c>
      <c r="B2817" t="s">
        <v>7727</v>
      </c>
      <c r="C2817" t="s">
        <v>7728</v>
      </c>
      <c r="D2817" t="s">
        <v>2200</v>
      </c>
      <c r="E2817" t="s">
        <v>7646</v>
      </c>
    </row>
    <row r="2818" spans="1:5" x14ac:dyDescent="0.25">
      <c r="A2818" t="s">
        <v>1441</v>
      </c>
      <c r="B2818" t="s">
        <v>7729</v>
      </c>
      <c r="C2818" t="s">
        <v>7730</v>
      </c>
      <c r="D2818" t="s">
        <v>2200</v>
      </c>
      <c r="E2818" t="s">
        <v>7654</v>
      </c>
    </row>
    <row r="2819" spans="1:5" x14ac:dyDescent="0.25">
      <c r="A2819" t="s">
        <v>1441</v>
      </c>
      <c r="B2819" t="s">
        <v>7731</v>
      </c>
      <c r="C2819" t="s">
        <v>7732</v>
      </c>
      <c r="D2819" t="s">
        <v>3356</v>
      </c>
      <c r="E2819" t="s">
        <v>7654</v>
      </c>
    </row>
    <row r="2820" spans="1:5" x14ac:dyDescent="0.25">
      <c r="A2820" t="s">
        <v>1441</v>
      </c>
      <c r="B2820" t="s">
        <v>7733</v>
      </c>
      <c r="C2820" t="s">
        <v>7734</v>
      </c>
      <c r="D2820" t="s">
        <v>3356</v>
      </c>
      <c r="E2820" t="s">
        <v>7648</v>
      </c>
    </row>
    <row r="2821" spans="1:5" x14ac:dyDescent="0.25">
      <c r="A2821" t="s">
        <v>1441</v>
      </c>
      <c r="B2821" t="s">
        <v>7735</v>
      </c>
      <c r="C2821" t="s">
        <v>7736</v>
      </c>
      <c r="D2821" t="s">
        <v>2200</v>
      </c>
      <c r="E2821" t="s">
        <v>7634</v>
      </c>
    </row>
    <row r="2822" spans="1:5" x14ac:dyDescent="0.25">
      <c r="A2822" t="s">
        <v>1441</v>
      </c>
      <c r="B2822" t="s">
        <v>7737</v>
      </c>
      <c r="C2822" t="s">
        <v>7738</v>
      </c>
      <c r="D2822" t="s">
        <v>3356</v>
      </c>
      <c r="E2822" t="s">
        <v>7640</v>
      </c>
    </row>
    <row r="2823" spans="1:5" x14ac:dyDescent="0.25">
      <c r="A2823" t="s">
        <v>1441</v>
      </c>
      <c r="B2823" t="s">
        <v>7739</v>
      </c>
      <c r="C2823" t="s">
        <v>7740</v>
      </c>
      <c r="D2823" t="s">
        <v>2200</v>
      </c>
      <c r="E2823" t="s">
        <v>7638</v>
      </c>
    </row>
    <row r="2824" spans="1:5" x14ac:dyDescent="0.25">
      <c r="A2824" t="s">
        <v>1441</v>
      </c>
      <c r="B2824" t="s">
        <v>7741</v>
      </c>
      <c r="C2824" t="s">
        <v>7742</v>
      </c>
      <c r="D2824" t="s">
        <v>3356</v>
      </c>
      <c r="E2824" t="s">
        <v>7634</v>
      </c>
    </row>
    <row r="2825" spans="1:5" x14ac:dyDescent="0.25">
      <c r="A2825" t="s">
        <v>1441</v>
      </c>
      <c r="B2825" t="s">
        <v>7743</v>
      </c>
      <c r="C2825" t="s">
        <v>7744</v>
      </c>
      <c r="D2825" t="s">
        <v>2200</v>
      </c>
      <c r="E2825" t="s">
        <v>7640</v>
      </c>
    </row>
    <row r="2826" spans="1:5" x14ac:dyDescent="0.25">
      <c r="A2826" t="s">
        <v>1441</v>
      </c>
      <c r="B2826" t="s">
        <v>7745</v>
      </c>
      <c r="C2826" t="s">
        <v>7746</v>
      </c>
      <c r="D2826" t="s">
        <v>2200</v>
      </c>
      <c r="E2826" t="s">
        <v>7644</v>
      </c>
    </row>
    <row r="2827" spans="1:5" x14ac:dyDescent="0.25">
      <c r="A2827" t="s">
        <v>1441</v>
      </c>
      <c r="B2827" t="s">
        <v>7747</v>
      </c>
      <c r="C2827" t="s">
        <v>7748</v>
      </c>
      <c r="D2827" t="s">
        <v>2200</v>
      </c>
      <c r="E2827" t="s">
        <v>7650</v>
      </c>
    </row>
    <row r="2828" spans="1:5" x14ac:dyDescent="0.25">
      <c r="A2828" t="s">
        <v>1441</v>
      </c>
      <c r="B2828" t="s">
        <v>7749</v>
      </c>
      <c r="C2828" t="s">
        <v>7750</v>
      </c>
      <c r="D2828" t="s">
        <v>2200</v>
      </c>
      <c r="E2828" t="s">
        <v>7638</v>
      </c>
    </row>
    <row r="2829" spans="1:5" x14ac:dyDescent="0.25">
      <c r="A2829" t="s">
        <v>1441</v>
      </c>
      <c r="B2829" t="s">
        <v>7751</v>
      </c>
      <c r="C2829" t="s">
        <v>7752</v>
      </c>
      <c r="D2829" t="s">
        <v>2200</v>
      </c>
      <c r="E2829" t="s">
        <v>7636</v>
      </c>
    </row>
    <row r="2830" spans="1:5" x14ac:dyDescent="0.25">
      <c r="A2830" t="s">
        <v>1441</v>
      </c>
      <c r="B2830" t="s">
        <v>7753</v>
      </c>
      <c r="C2830" t="s">
        <v>7754</v>
      </c>
      <c r="D2830" t="s">
        <v>2200</v>
      </c>
      <c r="E2830" t="s">
        <v>7654</v>
      </c>
    </row>
    <row r="2831" spans="1:5" x14ac:dyDescent="0.25">
      <c r="A2831" t="s">
        <v>1441</v>
      </c>
      <c r="B2831" t="s">
        <v>7755</v>
      </c>
      <c r="C2831" t="s">
        <v>7756</v>
      </c>
      <c r="D2831" t="s">
        <v>3356</v>
      </c>
      <c r="E2831" t="s">
        <v>7644</v>
      </c>
    </row>
    <row r="2832" spans="1:5" x14ac:dyDescent="0.25">
      <c r="A2832" t="s">
        <v>1441</v>
      </c>
      <c r="B2832" t="s">
        <v>7757</v>
      </c>
      <c r="C2832" t="s">
        <v>7758</v>
      </c>
      <c r="D2832" t="s">
        <v>3356</v>
      </c>
      <c r="E2832" t="s">
        <v>7650</v>
      </c>
    </row>
    <row r="2833" spans="1:5" x14ac:dyDescent="0.25">
      <c r="A2833" t="s">
        <v>1441</v>
      </c>
      <c r="B2833" t="s">
        <v>7759</v>
      </c>
      <c r="C2833" t="s">
        <v>7760</v>
      </c>
      <c r="D2833" t="s">
        <v>2200</v>
      </c>
      <c r="E2833" t="s">
        <v>7648</v>
      </c>
    </row>
    <row r="2834" spans="1:5" x14ac:dyDescent="0.25">
      <c r="A2834" t="s">
        <v>1441</v>
      </c>
      <c r="B2834" t="s">
        <v>7761</v>
      </c>
      <c r="C2834" t="s">
        <v>7762</v>
      </c>
      <c r="D2834" t="s">
        <v>2200</v>
      </c>
      <c r="E2834" t="s">
        <v>7648</v>
      </c>
    </row>
    <row r="2835" spans="1:5" x14ac:dyDescent="0.25">
      <c r="A2835" t="s">
        <v>1441</v>
      </c>
      <c r="B2835" t="s">
        <v>7763</v>
      </c>
      <c r="C2835" t="s">
        <v>7764</v>
      </c>
      <c r="D2835" t="s">
        <v>3356</v>
      </c>
      <c r="E2835" t="s">
        <v>7650</v>
      </c>
    </row>
    <row r="2836" spans="1:5" x14ac:dyDescent="0.25">
      <c r="A2836" t="s">
        <v>1441</v>
      </c>
      <c r="B2836" t="s">
        <v>7765</v>
      </c>
      <c r="C2836" t="s">
        <v>7766</v>
      </c>
      <c r="D2836" t="s">
        <v>2200</v>
      </c>
      <c r="E2836" t="s">
        <v>7640</v>
      </c>
    </row>
    <row r="2837" spans="1:5" x14ac:dyDescent="0.25">
      <c r="A2837" t="s">
        <v>1441</v>
      </c>
      <c r="B2837" t="s">
        <v>7767</v>
      </c>
      <c r="C2837" t="s">
        <v>7768</v>
      </c>
      <c r="D2837" t="s">
        <v>2200</v>
      </c>
      <c r="E2837" t="s">
        <v>7634</v>
      </c>
    </row>
    <row r="2838" spans="1:5" x14ac:dyDescent="0.25">
      <c r="A2838" t="s">
        <v>1441</v>
      </c>
      <c r="B2838" t="s">
        <v>7769</v>
      </c>
      <c r="C2838" t="s">
        <v>7770</v>
      </c>
      <c r="D2838" t="s">
        <v>2200</v>
      </c>
      <c r="E2838" t="s">
        <v>7634</v>
      </c>
    </row>
    <row r="2839" spans="1:5" x14ac:dyDescent="0.25">
      <c r="A2839" t="s">
        <v>1441</v>
      </c>
      <c r="B2839" t="s">
        <v>7771</v>
      </c>
      <c r="C2839" t="s">
        <v>7772</v>
      </c>
      <c r="D2839" t="s">
        <v>2200</v>
      </c>
      <c r="E2839" t="s">
        <v>7642</v>
      </c>
    </row>
    <row r="2840" spans="1:5" x14ac:dyDescent="0.25">
      <c r="A2840" t="s">
        <v>1441</v>
      </c>
      <c r="B2840" t="s">
        <v>7773</v>
      </c>
      <c r="C2840" t="s">
        <v>7774</v>
      </c>
      <c r="D2840" t="s">
        <v>2200</v>
      </c>
      <c r="E2840" t="s">
        <v>7650</v>
      </c>
    </row>
    <row r="2841" spans="1:5" x14ac:dyDescent="0.25">
      <c r="A2841" t="s">
        <v>1441</v>
      </c>
      <c r="B2841" t="s">
        <v>7775</v>
      </c>
      <c r="C2841" t="s">
        <v>7776</v>
      </c>
      <c r="D2841" t="s">
        <v>2200</v>
      </c>
      <c r="E2841" t="s">
        <v>7650</v>
      </c>
    </row>
    <row r="2842" spans="1:5" x14ac:dyDescent="0.25">
      <c r="A2842" t="s">
        <v>1441</v>
      </c>
      <c r="B2842" t="s">
        <v>7777</v>
      </c>
      <c r="C2842" t="s">
        <v>7778</v>
      </c>
      <c r="D2842" t="s">
        <v>3356</v>
      </c>
      <c r="E2842" t="s">
        <v>7650</v>
      </c>
    </row>
    <row r="2843" spans="1:5" x14ac:dyDescent="0.25">
      <c r="A2843" t="s">
        <v>1441</v>
      </c>
      <c r="B2843" t="s">
        <v>7779</v>
      </c>
      <c r="C2843" t="s">
        <v>7780</v>
      </c>
      <c r="D2843" t="s">
        <v>2200</v>
      </c>
      <c r="E2843" t="s">
        <v>7642</v>
      </c>
    </row>
    <row r="2844" spans="1:5" x14ac:dyDescent="0.25">
      <c r="A2844" t="s">
        <v>1441</v>
      </c>
      <c r="B2844" t="s">
        <v>7781</v>
      </c>
      <c r="C2844" t="s">
        <v>7782</v>
      </c>
      <c r="D2844" t="s">
        <v>3356</v>
      </c>
      <c r="E2844" t="s">
        <v>7654</v>
      </c>
    </row>
    <row r="2845" spans="1:5" x14ac:dyDescent="0.25">
      <c r="A2845" t="s">
        <v>1441</v>
      </c>
      <c r="B2845" t="s">
        <v>7783</v>
      </c>
      <c r="C2845" t="s">
        <v>7784</v>
      </c>
      <c r="D2845" t="s">
        <v>2200</v>
      </c>
      <c r="E2845" t="s">
        <v>7640</v>
      </c>
    </row>
    <row r="2846" spans="1:5" x14ac:dyDescent="0.25">
      <c r="A2846" t="s">
        <v>1441</v>
      </c>
      <c r="B2846" t="s">
        <v>7785</v>
      </c>
      <c r="C2846" t="s">
        <v>7786</v>
      </c>
      <c r="D2846" t="s">
        <v>2200</v>
      </c>
      <c r="E2846" t="s">
        <v>7644</v>
      </c>
    </row>
    <row r="2847" spans="1:5" x14ac:dyDescent="0.25">
      <c r="A2847" t="s">
        <v>1441</v>
      </c>
      <c r="B2847" t="s">
        <v>7787</v>
      </c>
      <c r="C2847" t="s">
        <v>7788</v>
      </c>
      <c r="D2847" t="s">
        <v>2200</v>
      </c>
      <c r="E2847" t="s">
        <v>7646</v>
      </c>
    </row>
    <row r="2848" spans="1:5" x14ac:dyDescent="0.25">
      <c r="A2848" t="s">
        <v>1441</v>
      </c>
      <c r="B2848" t="s">
        <v>7789</v>
      </c>
      <c r="C2848" t="s">
        <v>7790</v>
      </c>
      <c r="D2848" t="s">
        <v>2200</v>
      </c>
      <c r="E2848" t="s">
        <v>7652</v>
      </c>
    </row>
    <row r="2849" spans="1:5" x14ac:dyDescent="0.25">
      <c r="A2849" t="s">
        <v>1441</v>
      </c>
      <c r="B2849" t="s">
        <v>7791</v>
      </c>
      <c r="C2849" t="s">
        <v>7792</v>
      </c>
      <c r="D2849" t="s">
        <v>2200</v>
      </c>
      <c r="E2849" t="s">
        <v>7652</v>
      </c>
    </row>
    <row r="2850" spans="1:5" x14ac:dyDescent="0.25">
      <c r="A2850" t="s">
        <v>1441</v>
      </c>
      <c r="B2850" t="s">
        <v>7793</v>
      </c>
      <c r="C2850" t="s">
        <v>7794</v>
      </c>
      <c r="D2850" t="s">
        <v>2200</v>
      </c>
      <c r="E2850" t="s">
        <v>7640</v>
      </c>
    </row>
    <row r="2851" spans="1:5" x14ac:dyDescent="0.25">
      <c r="A2851" t="s">
        <v>1441</v>
      </c>
      <c r="B2851" t="s">
        <v>7795</v>
      </c>
      <c r="C2851" t="s">
        <v>7796</v>
      </c>
      <c r="D2851" t="s">
        <v>2200</v>
      </c>
      <c r="E2851" t="s">
        <v>7654</v>
      </c>
    </row>
    <row r="2852" spans="1:5" x14ac:dyDescent="0.25">
      <c r="A2852" t="s">
        <v>1441</v>
      </c>
      <c r="B2852" t="s">
        <v>7797</v>
      </c>
      <c r="C2852" t="s">
        <v>7798</v>
      </c>
      <c r="D2852" t="s">
        <v>2200</v>
      </c>
      <c r="E2852" t="s">
        <v>7638</v>
      </c>
    </row>
    <row r="2853" spans="1:5" x14ac:dyDescent="0.25">
      <c r="A2853" t="s">
        <v>1441</v>
      </c>
      <c r="B2853" t="s">
        <v>7799</v>
      </c>
      <c r="C2853" t="s">
        <v>7800</v>
      </c>
      <c r="D2853" t="s">
        <v>2200</v>
      </c>
      <c r="E2853" t="s">
        <v>7652</v>
      </c>
    </row>
    <row r="2854" spans="1:5" x14ac:dyDescent="0.25">
      <c r="A2854" t="s">
        <v>1441</v>
      </c>
      <c r="B2854" t="s">
        <v>7801</v>
      </c>
      <c r="C2854" t="s">
        <v>7802</v>
      </c>
      <c r="D2854" t="s">
        <v>2200</v>
      </c>
      <c r="E2854" t="s">
        <v>7648</v>
      </c>
    </row>
    <row r="2855" spans="1:5" x14ac:dyDescent="0.25">
      <c r="A2855" t="s">
        <v>1441</v>
      </c>
      <c r="B2855" t="s">
        <v>7803</v>
      </c>
      <c r="C2855" t="s">
        <v>7804</v>
      </c>
      <c r="D2855" t="s">
        <v>2200</v>
      </c>
      <c r="E2855" t="s">
        <v>7638</v>
      </c>
    </row>
    <row r="2856" spans="1:5" x14ac:dyDescent="0.25">
      <c r="A2856" t="s">
        <v>1660</v>
      </c>
      <c r="B2856" t="s">
        <v>7805</v>
      </c>
      <c r="C2856" t="s">
        <v>7806</v>
      </c>
      <c r="D2856" t="s">
        <v>7807</v>
      </c>
      <c r="E2856" t="s">
        <v>2170</v>
      </c>
    </row>
    <row r="2857" spans="1:5" x14ac:dyDescent="0.25">
      <c r="A2857" t="s">
        <v>1660</v>
      </c>
      <c r="B2857" t="s">
        <v>7808</v>
      </c>
      <c r="C2857" t="s">
        <v>7809</v>
      </c>
      <c r="D2857" t="s">
        <v>7807</v>
      </c>
      <c r="E2857" t="s">
        <v>2170</v>
      </c>
    </row>
    <row r="2858" spans="1:5" x14ac:dyDescent="0.25">
      <c r="A2858" t="s">
        <v>1660</v>
      </c>
      <c r="B2858" t="s">
        <v>7810</v>
      </c>
      <c r="C2858" t="s">
        <v>7811</v>
      </c>
      <c r="D2858" t="s">
        <v>7807</v>
      </c>
      <c r="E2858" t="s">
        <v>2170</v>
      </c>
    </row>
    <row r="2859" spans="1:5" x14ac:dyDescent="0.25">
      <c r="A2859" t="s">
        <v>1660</v>
      </c>
      <c r="B2859" t="s">
        <v>7812</v>
      </c>
      <c r="C2859" t="s">
        <v>7813</v>
      </c>
      <c r="D2859" t="s">
        <v>7807</v>
      </c>
      <c r="E2859" t="s">
        <v>2170</v>
      </c>
    </row>
    <row r="2860" spans="1:5" x14ac:dyDescent="0.25">
      <c r="A2860" t="s">
        <v>1660</v>
      </c>
      <c r="B2860" t="s">
        <v>7814</v>
      </c>
      <c r="C2860" t="s">
        <v>7815</v>
      </c>
      <c r="D2860" t="s">
        <v>7807</v>
      </c>
      <c r="E2860" t="s">
        <v>2170</v>
      </c>
    </row>
    <row r="2861" spans="1:5" x14ac:dyDescent="0.25">
      <c r="A2861" t="s">
        <v>1660</v>
      </c>
      <c r="B2861" t="s">
        <v>7816</v>
      </c>
      <c r="C2861" t="s">
        <v>7817</v>
      </c>
      <c r="D2861" t="s">
        <v>7807</v>
      </c>
      <c r="E2861" t="s">
        <v>2170</v>
      </c>
    </row>
    <row r="2862" spans="1:5" x14ac:dyDescent="0.25">
      <c r="A2862" t="s">
        <v>1660</v>
      </c>
      <c r="B2862" t="s">
        <v>7818</v>
      </c>
      <c r="C2862" t="s">
        <v>7819</v>
      </c>
      <c r="D2862" t="s">
        <v>7807</v>
      </c>
      <c r="E2862" t="s">
        <v>2170</v>
      </c>
    </row>
    <row r="2863" spans="1:5" x14ac:dyDescent="0.25">
      <c r="A2863" t="s">
        <v>1660</v>
      </c>
      <c r="B2863" t="s">
        <v>7820</v>
      </c>
      <c r="C2863" t="s">
        <v>7821</v>
      </c>
      <c r="D2863" t="s">
        <v>7807</v>
      </c>
      <c r="E2863" t="s">
        <v>2170</v>
      </c>
    </row>
    <row r="2864" spans="1:5" x14ac:dyDescent="0.25">
      <c r="A2864" t="s">
        <v>1660</v>
      </c>
      <c r="B2864" t="s">
        <v>7822</v>
      </c>
      <c r="C2864" t="s">
        <v>7823</v>
      </c>
      <c r="D2864" t="s">
        <v>7807</v>
      </c>
      <c r="E2864" t="s">
        <v>2170</v>
      </c>
    </row>
    <row r="2865" spans="1:5" x14ac:dyDescent="0.25">
      <c r="A2865" t="s">
        <v>1660</v>
      </c>
      <c r="B2865" t="s">
        <v>7824</v>
      </c>
      <c r="C2865" t="s">
        <v>7825</v>
      </c>
      <c r="D2865" t="s">
        <v>7807</v>
      </c>
      <c r="E2865" t="s">
        <v>2170</v>
      </c>
    </row>
    <row r="2866" spans="1:5" x14ac:dyDescent="0.25">
      <c r="A2866" t="s">
        <v>1660</v>
      </c>
      <c r="B2866" t="s">
        <v>7826</v>
      </c>
      <c r="C2866" t="s">
        <v>7827</v>
      </c>
      <c r="D2866" t="s">
        <v>7807</v>
      </c>
      <c r="E2866" t="s">
        <v>2170</v>
      </c>
    </row>
    <row r="2867" spans="1:5" x14ac:dyDescent="0.25">
      <c r="A2867" t="s">
        <v>1660</v>
      </c>
      <c r="B2867" t="s">
        <v>7828</v>
      </c>
      <c r="C2867" t="s">
        <v>7829</v>
      </c>
      <c r="D2867" t="s">
        <v>7807</v>
      </c>
      <c r="E2867" t="s">
        <v>2170</v>
      </c>
    </row>
    <row r="2868" spans="1:5" x14ac:dyDescent="0.25">
      <c r="A2868" t="s">
        <v>1660</v>
      </c>
      <c r="B2868" t="s">
        <v>7830</v>
      </c>
      <c r="C2868" t="s">
        <v>7831</v>
      </c>
      <c r="D2868" t="s">
        <v>7807</v>
      </c>
      <c r="E2868" t="s">
        <v>2170</v>
      </c>
    </row>
    <row r="2869" spans="1:5" x14ac:dyDescent="0.25">
      <c r="A2869" t="s">
        <v>1660</v>
      </c>
      <c r="B2869" t="s">
        <v>7832</v>
      </c>
      <c r="C2869" t="s">
        <v>7833</v>
      </c>
      <c r="D2869" t="s">
        <v>7807</v>
      </c>
      <c r="E2869" t="s">
        <v>2170</v>
      </c>
    </row>
    <row r="2870" spans="1:5" x14ac:dyDescent="0.25">
      <c r="A2870" t="s">
        <v>1660</v>
      </c>
      <c r="B2870" t="s">
        <v>7834</v>
      </c>
      <c r="C2870" t="s">
        <v>7835</v>
      </c>
      <c r="D2870" t="s">
        <v>7807</v>
      </c>
      <c r="E2870" t="s">
        <v>2170</v>
      </c>
    </row>
    <row r="2871" spans="1:5" x14ac:dyDescent="0.25">
      <c r="A2871" t="s">
        <v>1660</v>
      </c>
      <c r="B2871" t="s">
        <v>7836</v>
      </c>
      <c r="C2871" t="s">
        <v>7837</v>
      </c>
      <c r="D2871" t="s">
        <v>7807</v>
      </c>
      <c r="E2871" t="s">
        <v>2170</v>
      </c>
    </row>
    <row r="2872" spans="1:5" x14ac:dyDescent="0.25">
      <c r="A2872" t="s">
        <v>1660</v>
      </c>
      <c r="B2872" t="s">
        <v>7838</v>
      </c>
      <c r="C2872" t="s">
        <v>7839</v>
      </c>
      <c r="D2872" t="s">
        <v>7807</v>
      </c>
      <c r="E2872" t="s">
        <v>2170</v>
      </c>
    </row>
    <row r="2873" spans="1:5" x14ac:dyDescent="0.25">
      <c r="A2873" t="s">
        <v>1663</v>
      </c>
      <c r="B2873" t="s">
        <v>7840</v>
      </c>
      <c r="C2873" t="s">
        <v>7841</v>
      </c>
      <c r="D2873" t="s">
        <v>2646</v>
      </c>
      <c r="E2873" t="s">
        <v>2170</v>
      </c>
    </row>
    <row r="2874" spans="1:5" x14ac:dyDescent="0.25">
      <c r="A2874" t="s">
        <v>1663</v>
      </c>
      <c r="B2874" t="s">
        <v>7842</v>
      </c>
      <c r="C2874" t="s">
        <v>7843</v>
      </c>
      <c r="D2874" t="s">
        <v>2646</v>
      </c>
      <c r="E2874" t="s">
        <v>2170</v>
      </c>
    </row>
    <row r="2875" spans="1:5" x14ac:dyDescent="0.25">
      <c r="A2875" t="s">
        <v>1663</v>
      </c>
      <c r="B2875" t="s">
        <v>7844</v>
      </c>
      <c r="C2875" t="s">
        <v>7845</v>
      </c>
      <c r="D2875" t="s">
        <v>2318</v>
      </c>
      <c r="E2875" t="s">
        <v>2170</v>
      </c>
    </row>
    <row r="2876" spans="1:5" x14ac:dyDescent="0.25">
      <c r="A2876" t="s">
        <v>1663</v>
      </c>
      <c r="B2876" t="s">
        <v>7846</v>
      </c>
      <c r="C2876" t="s">
        <v>7847</v>
      </c>
      <c r="D2876" t="s">
        <v>2318</v>
      </c>
      <c r="E2876" t="s">
        <v>2170</v>
      </c>
    </row>
    <row r="2877" spans="1:5" x14ac:dyDescent="0.25">
      <c r="A2877" t="s">
        <v>1663</v>
      </c>
      <c r="B2877" t="s">
        <v>7848</v>
      </c>
      <c r="C2877" t="s">
        <v>7849</v>
      </c>
      <c r="D2877" t="s">
        <v>2646</v>
      </c>
      <c r="E2877" t="s">
        <v>2170</v>
      </c>
    </row>
    <row r="2878" spans="1:5" x14ac:dyDescent="0.25">
      <c r="A2878" t="s">
        <v>1663</v>
      </c>
      <c r="B2878" t="s">
        <v>7850</v>
      </c>
      <c r="C2878" t="s">
        <v>7851</v>
      </c>
      <c r="D2878" t="s">
        <v>2646</v>
      </c>
      <c r="E2878" t="s">
        <v>2170</v>
      </c>
    </row>
    <row r="2879" spans="1:5" x14ac:dyDescent="0.25">
      <c r="A2879" t="s">
        <v>1663</v>
      </c>
      <c r="B2879" t="s">
        <v>7852</v>
      </c>
      <c r="C2879" t="s">
        <v>7853</v>
      </c>
      <c r="D2879" t="s">
        <v>2646</v>
      </c>
      <c r="E2879" t="s">
        <v>2170</v>
      </c>
    </row>
    <row r="2880" spans="1:5" x14ac:dyDescent="0.25">
      <c r="A2880" t="s">
        <v>1663</v>
      </c>
      <c r="B2880" t="s">
        <v>7854</v>
      </c>
      <c r="C2880" t="s">
        <v>7855</v>
      </c>
      <c r="D2880" t="s">
        <v>2646</v>
      </c>
      <c r="E2880" t="s">
        <v>2170</v>
      </c>
    </row>
    <row r="2881" spans="1:5" x14ac:dyDescent="0.25">
      <c r="A2881" t="s">
        <v>1663</v>
      </c>
      <c r="B2881" t="s">
        <v>7856</v>
      </c>
      <c r="C2881" t="s">
        <v>7857</v>
      </c>
      <c r="D2881" t="s">
        <v>2646</v>
      </c>
      <c r="E2881" t="s">
        <v>2170</v>
      </c>
    </row>
    <row r="2882" spans="1:5" x14ac:dyDescent="0.25">
      <c r="A2882" t="s">
        <v>1663</v>
      </c>
      <c r="B2882" t="s">
        <v>7858</v>
      </c>
      <c r="C2882" t="s">
        <v>7859</v>
      </c>
      <c r="D2882" t="s">
        <v>2318</v>
      </c>
      <c r="E2882" t="s">
        <v>2170</v>
      </c>
    </row>
    <row r="2883" spans="1:5" x14ac:dyDescent="0.25">
      <c r="A2883" t="s">
        <v>1663</v>
      </c>
      <c r="B2883" t="s">
        <v>7860</v>
      </c>
      <c r="C2883" t="s">
        <v>7861</v>
      </c>
      <c r="D2883" t="s">
        <v>2646</v>
      </c>
      <c r="E2883" t="s">
        <v>2170</v>
      </c>
    </row>
    <row r="2884" spans="1:5" x14ac:dyDescent="0.25">
      <c r="A2884" t="s">
        <v>1663</v>
      </c>
      <c r="B2884" t="s">
        <v>7862</v>
      </c>
      <c r="C2884" t="s">
        <v>7863</v>
      </c>
      <c r="D2884" t="s">
        <v>2646</v>
      </c>
      <c r="E2884" t="s">
        <v>2170</v>
      </c>
    </row>
    <row r="2885" spans="1:5" x14ac:dyDescent="0.25">
      <c r="A2885" t="s">
        <v>1663</v>
      </c>
      <c r="B2885" t="s">
        <v>7864</v>
      </c>
      <c r="C2885" t="s">
        <v>7865</v>
      </c>
      <c r="D2885" t="s">
        <v>2646</v>
      </c>
      <c r="E2885" t="s">
        <v>2170</v>
      </c>
    </row>
    <row r="2886" spans="1:5" x14ac:dyDescent="0.25">
      <c r="A2886" t="s">
        <v>1663</v>
      </c>
      <c r="B2886" t="s">
        <v>7866</v>
      </c>
      <c r="C2886" t="s">
        <v>7867</v>
      </c>
      <c r="D2886" t="s">
        <v>2646</v>
      </c>
      <c r="E2886" t="s">
        <v>2170</v>
      </c>
    </row>
    <row r="2887" spans="1:5" x14ac:dyDescent="0.25">
      <c r="A2887" t="s">
        <v>1663</v>
      </c>
      <c r="B2887" t="s">
        <v>7868</v>
      </c>
      <c r="C2887" t="s">
        <v>7869</v>
      </c>
      <c r="D2887" t="s">
        <v>2646</v>
      </c>
      <c r="E2887" t="s">
        <v>2170</v>
      </c>
    </row>
    <row r="2888" spans="1:5" x14ac:dyDescent="0.25">
      <c r="A2888" t="s">
        <v>1663</v>
      </c>
      <c r="B2888" t="s">
        <v>7870</v>
      </c>
      <c r="C2888" t="s">
        <v>7871</v>
      </c>
      <c r="D2888" t="s">
        <v>2646</v>
      </c>
      <c r="E2888" t="s">
        <v>2170</v>
      </c>
    </row>
    <row r="2889" spans="1:5" x14ac:dyDescent="0.25">
      <c r="A2889" t="s">
        <v>1663</v>
      </c>
      <c r="B2889" t="s">
        <v>7872</v>
      </c>
      <c r="C2889" t="s">
        <v>7873</v>
      </c>
      <c r="D2889" t="s">
        <v>2646</v>
      </c>
      <c r="E2889" t="s">
        <v>2170</v>
      </c>
    </row>
    <row r="2890" spans="1:5" x14ac:dyDescent="0.25">
      <c r="A2890" t="s">
        <v>1663</v>
      </c>
      <c r="B2890" t="s">
        <v>7874</v>
      </c>
      <c r="C2890" t="s">
        <v>7875</v>
      </c>
      <c r="D2890" t="s">
        <v>2646</v>
      </c>
      <c r="E2890" t="s">
        <v>2170</v>
      </c>
    </row>
    <row r="2891" spans="1:5" x14ac:dyDescent="0.25">
      <c r="A2891" t="s">
        <v>1663</v>
      </c>
      <c r="B2891" t="s">
        <v>7876</v>
      </c>
      <c r="C2891" t="s">
        <v>7877</v>
      </c>
      <c r="D2891" t="s">
        <v>7878</v>
      </c>
      <c r="E2891" t="s">
        <v>2170</v>
      </c>
    </row>
    <row r="2892" spans="1:5" x14ac:dyDescent="0.25">
      <c r="A2892" t="s">
        <v>1663</v>
      </c>
      <c r="B2892" t="s">
        <v>7879</v>
      </c>
      <c r="C2892" t="s">
        <v>7880</v>
      </c>
      <c r="D2892" t="s">
        <v>2646</v>
      </c>
      <c r="E2892" t="s">
        <v>2170</v>
      </c>
    </row>
    <row r="2893" spans="1:5" x14ac:dyDescent="0.25">
      <c r="A2893" t="s">
        <v>1663</v>
      </c>
      <c r="B2893" t="s">
        <v>7881</v>
      </c>
      <c r="C2893" t="s">
        <v>7882</v>
      </c>
      <c r="D2893" t="s">
        <v>2646</v>
      </c>
      <c r="E2893" t="s">
        <v>2170</v>
      </c>
    </row>
    <row r="2894" spans="1:5" x14ac:dyDescent="0.25">
      <c r="A2894" t="s">
        <v>1663</v>
      </c>
      <c r="B2894" t="s">
        <v>7883</v>
      </c>
      <c r="C2894" t="s">
        <v>7884</v>
      </c>
      <c r="D2894" t="s">
        <v>2646</v>
      </c>
      <c r="E2894" t="s">
        <v>2170</v>
      </c>
    </row>
    <row r="2895" spans="1:5" x14ac:dyDescent="0.25">
      <c r="A2895" t="s">
        <v>1663</v>
      </c>
      <c r="B2895" t="s">
        <v>7885</v>
      </c>
      <c r="C2895" t="s">
        <v>7886</v>
      </c>
      <c r="D2895" t="s">
        <v>2646</v>
      </c>
      <c r="E2895" t="s">
        <v>2170</v>
      </c>
    </row>
    <row r="2896" spans="1:5" x14ac:dyDescent="0.25">
      <c r="A2896" t="s">
        <v>1663</v>
      </c>
      <c r="B2896" t="s">
        <v>7887</v>
      </c>
      <c r="C2896" t="s">
        <v>7888</v>
      </c>
      <c r="D2896" t="s">
        <v>2646</v>
      </c>
      <c r="E2896" t="s">
        <v>2170</v>
      </c>
    </row>
    <row r="2897" spans="1:5" x14ac:dyDescent="0.25">
      <c r="A2897" t="s">
        <v>1663</v>
      </c>
      <c r="B2897" t="s">
        <v>7889</v>
      </c>
      <c r="C2897" t="s">
        <v>7890</v>
      </c>
      <c r="D2897" t="s">
        <v>2646</v>
      </c>
      <c r="E2897" t="s">
        <v>2170</v>
      </c>
    </row>
    <row r="2898" spans="1:5" x14ac:dyDescent="0.25">
      <c r="A2898" t="s">
        <v>1663</v>
      </c>
      <c r="B2898" t="s">
        <v>7891</v>
      </c>
      <c r="C2898" t="s">
        <v>7892</v>
      </c>
      <c r="D2898" t="s">
        <v>2646</v>
      </c>
      <c r="E2898" t="s">
        <v>2170</v>
      </c>
    </row>
    <row r="2899" spans="1:5" x14ac:dyDescent="0.25">
      <c r="A2899" t="s">
        <v>1663</v>
      </c>
      <c r="B2899" t="s">
        <v>7893</v>
      </c>
      <c r="C2899" t="s">
        <v>7894</v>
      </c>
      <c r="D2899" t="s">
        <v>2646</v>
      </c>
      <c r="E2899" t="s">
        <v>2170</v>
      </c>
    </row>
    <row r="2900" spans="1:5" x14ac:dyDescent="0.25">
      <c r="A2900" t="s">
        <v>1663</v>
      </c>
      <c r="B2900" t="s">
        <v>7895</v>
      </c>
      <c r="C2900" t="s">
        <v>7896</v>
      </c>
      <c r="D2900" t="s">
        <v>2646</v>
      </c>
      <c r="E2900" t="s">
        <v>2170</v>
      </c>
    </row>
    <row r="2901" spans="1:5" x14ac:dyDescent="0.25">
      <c r="A2901" t="s">
        <v>1663</v>
      </c>
      <c r="B2901" t="s">
        <v>7897</v>
      </c>
      <c r="C2901" t="s">
        <v>7898</v>
      </c>
      <c r="D2901" t="s">
        <v>2646</v>
      </c>
      <c r="E2901" t="s">
        <v>2170</v>
      </c>
    </row>
    <row r="2902" spans="1:5" x14ac:dyDescent="0.25">
      <c r="A2902" t="s">
        <v>1663</v>
      </c>
      <c r="B2902" t="s">
        <v>7899</v>
      </c>
      <c r="C2902" t="s">
        <v>7900</v>
      </c>
      <c r="D2902" t="s">
        <v>2646</v>
      </c>
      <c r="E2902" t="s">
        <v>2170</v>
      </c>
    </row>
    <row r="2903" spans="1:5" x14ac:dyDescent="0.25">
      <c r="A2903" t="s">
        <v>1663</v>
      </c>
      <c r="B2903" t="s">
        <v>7901</v>
      </c>
      <c r="C2903" t="s">
        <v>7902</v>
      </c>
      <c r="D2903" t="s">
        <v>7903</v>
      </c>
      <c r="E2903" t="s">
        <v>2170</v>
      </c>
    </row>
    <row r="2904" spans="1:5" x14ac:dyDescent="0.25">
      <c r="A2904" t="s">
        <v>1663</v>
      </c>
      <c r="B2904" t="s">
        <v>7904</v>
      </c>
      <c r="C2904" t="s">
        <v>7905</v>
      </c>
      <c r="D2904" t="s">
        <v>2646</v>
      </c>
      <c r="E2904" t="s">
        <v>2170</v>
      </c>
    </row>
    <row r="2905" spans="1:5" x14ac:dyDescent="0.25">
      <c r="A2905" t="s">
        <v>1663</v>
      </c>
      <c r="B2905" t="s">
        <v>7906</v>
      </c>
      <c r="C2905" t="s">
        <v>7907</v>
      </c>
      <c r="D2905" t="s">
        <v>2646</v>
      </c>
      <c r="E2905" t="s">
        <v>2170</v>
      </c>
    </row>
    <row r="2906" spans="1:5" x14ac:dyDescent="0.25">
      <c r="A2906" t="s">
        <v>1663</v>
      </c>
      <c r="B2906" t="s">
        <v>7908</v>
      </c>
      <c r="C2906" t="s">
        <v>7909</v>
      </c>
      <c r="D2906" t="s">
        <v>2646</v>
      </c>
      <c r="E2906" t="s">
        <v>2170</v>
      </c>
    </row>
    <row r="2907" spans="1:5" x14ac:dyDescent="0.25">
      <c r="A2907" t="s">
        <v>1663</v>
      </c>
      <c r="B2907" t="s">
        <v>7910</v>
      </c>
      <c r="C2907" t="s">
        <v>7911</v>
      </c>
      <c r="D2907" t="s">
        <v>2646</v>
      </c>
      <c r="E2907" t="s">
        <v>2170</v>
      </c>
    </row>
    <row r="2908" spans="1:5" x14ac:dyDescent="0.25">
      <c r="A2908" t="s">
        <v>1663</v>
      </c>
      <c r="B2908" t="s">
        <v>7912</v>
      </c>
      <c r="C2908" t="s">
        <v>7913</v>
      </c>
      <c r="D2908" t="s">
        <v>2646</v>
      </c>
      <c r="E2908" t="s">
        <v>2170</v>
      </c>
    </row>
    <row r="2909" spans="1:5" x14ac:dyDescent="0.25">
      <c r="A2909" t="s">
        <v>1663</v>
      </c>
      <c r="B2909" t="s">
        <v>7914</v>
      </c>
      <c r="C2909" t="s">
        <v>7915</v>
      </c>
      <c r="D2909" t="s">
        <v>2646</v>
      </c>
      <c r="E2909" t="s">
        <v>2170</v>
      </c>
    </row>
    <row r="2910" spans="1:5" x14ac:dyDescent="0.25">
      <c r="A2910" t="s">
        <v>1666</v>
      </c>
      <c r="B2910" t="s">
        <v>7916</v>
      </c>
      <c r="C2910" t="s">
        <v>7917</v>
      </c>
      <c r="D2910" t="s">
        <v>2469</v>
      </c>
      <c r="E2910" t="s">
        <v>2170</v>
      </c>
    </row>
    <row r="2911" spans="1:5" x14ac:dyDescent="0.25">
      <c r="A2911" t="s">
        <v>1666</v>
      </c>
      <c r="B2911" t="s">
        <v>7918</v>
      </c>
      <c r="C2911" t="s">
        <v>7919</v>
      </c>
      <c r="D2911" t="s">
        <v>2469</v>
      </c>
      <c r="E2911" t="s">
        <v>2170</v>
      </c>
    </row>
    <row r="2912" spans="1:5" x14ac:dyDescent="0.25">
      <c r="A2912" t="s">
        <v>1666</v>
      </c>
      <c r="B2912" t="s">
        <v>7920</v>
      </c>
      <c r="C2912" t="s">
        <v>7921</v>
      </c>
      <c r="D2912" t="s">
        <v>2469</v>
      </c>
      <c r="E2912" t="s">
        <v>2170</v>
      </c>
    </row>
    <row r="2913" spans="1:5" x14ac:dyDescent="0.25">
      <c r="A2913" t="s">
        <v>1666</v>
      </c>
      <c r="B2913" t="s">
        <v>7922</v>
      </c>
      <c r="C2913" t="s">
        <v>7923</v>
      </c>
      <c r="D2913" t="s">
        <v>2469</v>
      </c>
      <c r="E2913" t="s">
        <v>2170</v>
      </c>
    </row>
    <row r="2914" spans="1:5" x14ac:dyDescent="0.25">
      <c r="A2914" t="s">
        <v>1666</v>
      </c>
      <c r="B2914" t="s">
        <v>7924</v>
      </c>
      <c r="C2914" t="s">
        <v>7925</v>
      </c>
      <c r="D2914" t="s">
        <v>2469</v>
      </c>
      <c r="E2914" t="s">
        <v>2170</v>
      </c>
    </row>
    <row r="2915" spans="1:5" x14ac:dyDescent="0.25">
      <c r="A2915" t="s">
        <v>1666</v>
      </c>
      <c r="B2915" t="s">
        <v>7926</v>
      </c>
      <c r="C2915" t="s">
        <v>7927</v>
      </c>
      <c r="D2915" t="s">
        <v>2469</v>
      </c>
      <c r="E2915" t="s">
        <v>2170</v>
      </c>
    </row>
    <row r="2916" spans="1:5" x14ac:dyDescent="0.25">
      <c r="A2916" t="s">
        <v>1666</v>
      </c>
      <c r="B2916" t="s">
        <v>7928</v>
      </c>
      <c r="C2916" t="s">
        <v>7929</v>
      </c>
      <c r="D2916" t="s">
        <v>2469</v>
      </c>
      <c r="E2916" t="s">
        <v>2170</v>
      </c>
    </row>
    <row r="2917" spans="1:5" x14ac:dyDescent="0.25">
      <c r="A2917" t="s">
        <v>1666</v>
      </c>
      <c r="B2917" t="s">
        <v>7930</v>
      </c>
      <c r="C2917" t="s">
        <v>7931</v>
      </c>
      <c r="D2917" t="s">
        <v>2469</v>
      </c>
      <c r="E2917" t="s">
        <v>2170</v>
      </c>
    </row>
    <row r="2918" spans="1:5" x14ac:dyDescent="0.25">
      <c r="A2918" t="s">
        <v>1666</v>
      </c>
      <c r="B2918" t="s">
        <v>7932</v>
      </c>
      <c r="C2918" t="s">
        <v>7933</v>
      </c>
      <c r="D2918" t="s">
        <v>2469</v>
      </c>
      <c r="E2918" t="s">
        <v>2170</v>
      </c>
    </row>
    <row r="2919" spans="1:5" x14ac:dyDescent="0.25">
      <c r="A2919" t="s">
        <v>1666</v>
      </c>
      <c r="B2919" t="s">
        <v>7934</v>
      </c>
      <c r="C2919" t="s">
        <v>7935</v>
      </c>
      <c r="D2919" t="s">
        <v>2469</v>
      </c>
      <c r="E2919" t="s">
        <v>2170</v>
      </c>
    </row>
    <row r="2920" spans="1:5" x14ac:dyDescent="0.25">
      <c r="A2920" t="s">
        <v>1666</v>
      </c>
      <c r="B2920" t="s">
        <v>7936</v>
      </c>
      <c r="C2920" t="s">
        <v>7937</v>
      </c>
      <c r="D2920" t="s">
        <v>2469</v>
      </c>
      <c r="E2920" t="s">
        <v>2170</v>
      </c>
    </row>
    <row r="2921" spans="1:5" x14ac:dyDescent="0.25">
      <c r="A2921" t="s">
        <v>1666</v>
      </c>
      <c r="B2921" t="s">
        <v>7938</v>
      </c>
      <c r="C2921" t="s">
        <v>7939</v>
      </c>
      <c r="D2921" t="s">
        <v>2469</v>
      </c>
      <c r="E2921" t="s">
        <v>2170</v>
      </c>
    </row>
    <row r="2922" spans="1:5" x14ac:dyDescent="0.25">
      <c r="A2922" t="s">
        <v>1666</v>
      </c>
      <c r="B2922" t="s">
        <v>7940</v>
      </c>
      <c r="C2922" t="s">
        <v>7941</v>
      </c>
      <c r="D2922" t="s">
        <v>2469</v>
      </c>
      <c r="E2922" t="s">
        <v>2170</v>
      </c>
    </row>
    <row r="2923" spans="1:5" x14ac:dyDescent="0.25">
      <c r="A2923" t="s">
        <v>1666</v>
      </c>
      <c r="B2923" t="s">
        <v>7942</v>
      </c>
      <c r="C2923" t="s">
        <v>7943</v>
      </c>
      <c r="D2923" t="s">
        <v>2469</v>
      </c>
      <c r="E2923" t="s">
        <v>2170</v>
      </c>
    </row>
    <row r="2924" spans="1:5" x14ac:dyDescent="0.25">
      <c r="A2924" t="s">
        <v>1666</v>
      </c>
      <c r="B2924" t="s">
        <v>7944</v>
      </c>
      <c r="C2924" t="s">
        <v>7945</v>
      </c>
      <c r="D2924" t="s">
        <v>2469</v>
      </c>
      <c r="E2924" t="s">
        <v>2170</v>
      </c>
    </row>
    <row r="2925" spans="1:5" x14ac:dyDescent="0.25">
      <c r="A2925" t="s">
        <v>1666</v>
      </c>
      <c r="B2925" t="s">
        <v>7946</v>
      </c>
      <c r="C2925" t="s">
        <v>7947</v>
      </c>
      <c r="D2925" t="s">
        <v>2469</v>
      </c>
      <c r="E2925" t="s">
        <v>2170</v>
      </c>
    </row>
    <row r="2926" spans="1:5" x14ac:dyDescent="0.25">
      <c r="A2926" t="s">
        <v>1666</v>
      </c>
      <c r="B2926" t="s">
        <v>7948</v>
      </c>
      <c r="C2926" t="s">
        <v>7949</v>
      </c>
      <c r="D2926" t="s">
        <v>2469</v>
      </c>
      <c r="E2926" t="s">
        <v>2170</v>
      </c>
    </row>
    <row r="2927" spans="1:5" x14ac:dyDescent="0.25">
      <c r="A2927" t="s">
        <v>1666</v>
      </c>
      <c r="B2927" t="s">
        <v>7950</v>
      </c>
      <c r="C2927" t="s">
        <v>1665</v>
      </c>
      <c r="D2927" t="s">
        <v>2469</v>
      </c>
      <c r="E2927" t="s">
        <v>2170</v>
      </c>
    </row>
    <row r="2928" spans="1:5" x14ac:dyDescent="0.25">
      <c r="A2928" t="s">
        <v>1666</v>
      </c>
      <c r="B2928" t="s">
        <v>7951</v>
      </c>
      <c r="C2928" t="s">
        <v>7952</v>
      </c>
      <c r="D2928" t="s">
        <v>2469</v>
      </c>
      <c r="E2928" t="s">
        <v>2170</v>
      </c>
    </row>
    <row r="2929" spans="1:5" x14ac:dyDescent="0.25">
      <c r="A2929" t="s">
        <v>1666</v>
      </c>
      <c r="B2929" t="s">
        <v>7953</v>
      </c>
      <c r="C2929" t="s">
        <v>7954</v>
      </c>
      <c r="D2929" t="s">
        <v>2469</v>
      </c>
      <c r="E2929" t="s">
        <v>2170</v>
      </c>
    </row>
    <row r="2930" spans="1:5" x14ac:dyDescent="0.25">
      <c r="A2930" t="s">
        <v>1666</v>
      </c>
      <c r="B2930" t="s">
        <v>7955</v>
      </c>
      <c r="C2930" t="s">
        <v>7956</v>
      </c>
      <c r="D2930" t="s">
        <v>2469</v>
      </c>
      <c r="E2930" t="s">
        <v>2170</v>
      </c>
    </row>
    <row r="2931" spans="1:5" x14ac:dyDescent="0.25">
      <c r="A2931" t="s">
        <v>1666</v>
      </c>
      <c r="B2931" t="s">
        <v>7957</v>
      </c>
      <c r="C2931" t="s">
        <v>7958</v>
      </c>
      <c r="D2931" t="s">
        <v>2469</v>
      </c>
      <c r="E2931" t="s">
        <v>2170</v>
      </c>
    </row>
    <row r="2932" spans="1:5" x14ac:dyDescent="0.25">
      <c r="A2932" t="s">
        <v>1666</v>
      </c>
      <c r="B2932" t="s">
        <v>7959</v>
      </c>
      <c r="C2932" t="s">
        <v>7960</v>
      </c>
      <c r="D2932" t="s">
        <v>2469</v>
      </c>
      <c r="E2932" t="s">
        <v>2170</v>
      </c>
    </row>
    <row r="2933" spans="1:5" x14ac:dyDescent="0.25">
      <c r="A2933" t="s">
        <v>1666</v>
      </c>
      <c r="B2933" t="s">
        <v>7961</v>
      </c>
      <c r="C2933" t="s">
        <v>7962</v>
      </c>
      <c r="D2933" t="s">
        <v>2469</v>
      </c>
      <c r="E2933" t="s">
        <v>2170</v>
      </c>
    </row>
    <row r="2934" spans="1:5" x14ac:dyDescent="0.25">
      <c r="A2934" t="s">
        <v>1666</v>
      </c>
      <c r="B2934" t="s">
        <v>7963</v>
      </c>
      <c r="C2934" t="s">
        <v>7964</v>
      </c>
      <c r="D2934" t="s">
        <v>2469</v>
      </c>
      <c r="E2934" t="s">
        <v>2170</v>
      </c>
    </row>
    <row r="2935" spans="1:5" x14ac:dyDescent="0.25">
      <c r="A2935" t="s">
        <v>1672</v>
      </c>
      <c r="B2935" t="s">
        <v>7965</v>
      </c>
      <c r="C2935" t="s">
        <v>1671</v>
      </c>
      <c r="D2935" t="s">
        <v>2200</v>
      </c>
      <c r="E2935" t="s">
        <v>2170</v>
      </c>
    </row>
    <row r="2936" spans="1:5" x14ac:dyDescent="0.25">
      <c r="A2936" t="s">
        <v>1672</v>
      </c>
      <c r="B2936" t="s">
        <v>7966</v>
      </c>
      <c r="C2936" t="s">
        <v>7967</v>
      </c>
      <c r="D2936" t="s">
        <v>2200</v>
      </c>
      <c r="E2936" t="s">
        <v>2170</v>
      </c>
    </row>
    <row r="2937" spans="1:5" x14ac:dyDescent="0.25">
      <c r="A2937" t="s">
        <v>1672</v>
      </c>
      <c r="B2937" t="s">
        <v>7968</v>
      </c>
      <c r="C2937" t="s">
        <v>7969</v>
      </c>
      <c r="D2937" t="s">
        <v>2200</v>
      </c>
      <c r="E2937" t="s">
        <v>2170</v>
      </c>
    </row>
    <row r="2938" spans="1:5" x14ac:dyDescent="0.25">
      <c r="A2938" t="s">
        <v>1672</v>
      </c>
      <c r="B2938" t="s">
        <v>7970</v>
      </c>
      <c r="C2938" t="s">
        <v>7971</v>
      </c>
      <c r="D2938" t="s">
        <v>2200</v>
      </c>
      <c r="E2938" t="s">
        <v>2170</v>
      </c>
    </row>
    <row r="2939" spans="1:5" x14ac:dyDescent="0.25">
      <c r="A2939" t="s">
        <v>1672</v>
      </c>
      <c r="B2939" t="s">
        <v>7972</v>
      </c>
      <c r="C2939" t="s">
        <v>7973</v>
      </c>
      <c r="D2939" t="s">
        <v>2200</v>
      </c>
      <c r="E2939" t="s">
        <v>2170</v>
      </c>
    </row>
    <row r="2940" spans="1:5" x14ac:dyDescent="0.25">
      <c r="A2940" t="s">
        <v>1672</v>
      </c>
      <c r="B2940" t="s">
        <v>7974</v>
      </c>
      <c r="C2940" t="s">
        <v>7975</v>
      </c>
      <c r="D2940" t="s">
        <v>2200</v>
      </c>
      <c r="E2940" t="s">
        <v>2170</v>
      </c>
    </row>
    <row r="2941" spans="1:5" x14ac:dyDescent="0.25">
      <c r="A2941" t="s">
        <v>1675</v>
      </c>
      <c r="B2941" t="s">
        <v>7976</v>
      </c>
      <c r="C2941" t="s">
        <v>7977</v>
      </c>
      <c r="D2941" t="s">
        <v>5939</v>
      </c>
      <c r="E2941" t="s">
        <v>2170</v>
      </c>
    </row>
    <row r="2942" spans="1:5" x14ac:dyDescent="0.25">
      <c r="A2942" t="s">
        <v>1675</v>
      </c>
      <c r="B2942" t="s">
        <v>7978</v>
      </c>
      <c r="C2942" t="s">
        <v>7979</v>
      </c>
      <c r="D2942" t="s">
        <v>5939</v>
      </c>
      <c r="E2942" t="s">
        <v>2170</v>
      </c>
    </row>
    <row r="2943" spans="1:5" x14ac:dyDescent="0.25">
      <c r="A2943" t="s">
        <v>1675</v>
      </c>
      <c r="B2943" t="s">
        <v>7980</v>
      </c>
      <c r="C2943" t="s">
        <v>7981</v>
      </c>
      <c r="D2943" t="s">
        <v>2469</v>
      </c>
      <c r="E2943" t="s">
        <v>7976</v>
      </c>
    </row>
    <row r="2944" spans="1:5" x14ac:dyDescent="0.25">
      <c r="A2944" t="s">
        <v>1675</v>
      </c>
      <c r="B2944" t="s">
        <v>7982</v>
      </c>
      <c r="C2944" t="s">
        <v>7983</v>
      </c>
      <c r="D2944" t="s">
        <v>2469</v>
      </c>
      <c r="E2944" t="s">
        <v>7978</v>
      </c>
    </row>
    <row r="2945" spans="1:5" x14ac:dyDescent="0.25">
      <c r="A2945" t="s">
        <v>1675</v>
      </c>
      <c r="B2945" t="s">
        <v>7984</v>
      </c>
      <c r="C2945" t="s">
        <v>7985</v>
      </c>
      <c r="D2945" t="s">
        <v>2469</v>
      </c>
      <c r="E2945" t="s">
        <v>7978</v>
      </c>
    </row>
    <row r="2946" spans="1:5" x14ac:dyDescent="0.25">
      <c r="A2946" t="s">
        <v>1675</v>
      </c>
      <c r="B2946" t="s">
        <v>7986</v>
      </c>
      <c r="C2946" t="s">
        <v>7987</v>
      </c>
      <c r="D2946" t="s">
        <v>2469</v>
      </c>
      <c r="E2946" t="s">
        <v>7978</v>
      </c>
    </row>
    <row r="2947" spans="1:5" x14ac:dyDescent="0.25">
      <c r="A2947" t="s">
        <v>1675</v>
      </c>
      <c r="B2947" t="s">
        <v>7988</v>
      </c>
      <c r="C2947" t="s">
        <v>7989</v>
      </c>
      <c r="D2947" t="s">
        <v>2469</v>
      </c>
      <c r="E2947" t="s">
        <v>7976</v>
      </c>
    </row>
    <row r="2948" spans="1:5" x14ac:dyDescent="0.25">
      <c r="A2948" t="s">
        <v>1675</v>
      </c>
      <c r="B2948" t="s">
        <v>7990</v>
      </c>
      <c r="C2948" t="s">
        <v>7991</v>
      </c>
      <c r="D2948" t="s">
        <v>2469</v>
      </c>
      <c r="E2948" t="s">
        <v>7976</v>
      </c>
    </row>
    <row r="2949" spans="1:5" x14ac:dyDescent="0.25">
      <c r="A2949" t="s">
        <v>1675</v>
      </c>
      <c r="B2949" t="s">
        <v>7992</v>
      </c>
      <c r="C2949" t="s">
        <v>7993</v>
      </c>
      <c r="D2949" t="s">
        <v>2469</v>
      </c>
      <c r="E2949" t="s">
        <v>7976</v>
      </c>
    </row>
    <row r="2950" spans="1:5" x14ac:dyDescent="0.25">
      <c r="A2950" t="s">
        <v>1675</v>
      </c>
      <c r="B2950" t="s">
        <v>7994</v>
      </c>
      <c r="C2950" t="s">
        <v>7995</v>
      </c>
      <c r="D2950" t="s">
        <v>2469</v>
      </c>
      <c r="E2950" t="s">
        <v>7976</v>
      </c>
    </row>
    <row r="2951" spans="1:5" x14ac:dyDescent="0.25">
      <c r="A2951" t="s">
        <v>1675</v>
      </c>
      <c r="B2951" t="s">
        <v>7996</v>
      </c>
      <c r="C2951" t="s">
        <v>7997</v>
      </c>
      <c r="D2951" t="s">
        <v>2469</v>
      </c>
      <c r="E2951" t="s">
        <v>7976</v>
      </c>
    </row>
    <row r="2952" spans="1:5" x14ac:dyDescent="0.25">
      <c r="A2952" t="s">
        <v>1675</v>
      </c>
      <c r="B2952" t="s">
        <v>7998</v>
      </c>
      <c r="C2952" t="s">
        <v>7999</v>
      </c>
      <c r="D2952" t="s">
        <v>2469</v>
      </c>
      <c r="E2952" t="s">
        <v>7976</v>
      </c>
    </row>
    <row r="2953" spans="1:5" x14ac:dyDescent="0.25">
      <c r="A2953" t="s">
        <v>1675</v>
      </c>
      <c r="B2953" t="s">
        <v>8000</v>
      </c>
      <c r="C2953" t="s">
        <v>8001</v>
      </c>
      <c r="D2953" t="s">
        <v>2469</v>
      </c>
      <c r="E2953" t="s">
        <v>7976</v>
      </c>
    </row>
    <row r="2954" spans="1:5" x14ac:dyDescent="0.25">
      <c r="A2954" t="s">
        <v>1675</v>
      </c>
      <c r="B2954" t="s">
        <v>8002</v>
      </c>
      <c r="C2954" t="s">
        <v>8003</v>
      </c>
      <c r="D2954" t="s">
        <v>2469</v>
      </c>
      <c r="E2954" t="s">
        <v>7976</v>
      </c>
    </row>
    <row r="2955" spans="1:5" x14ac:dyDescent="0.25">
      <c r="A2955" t="s">
        <v>1675</v>
      </c>
      <c r="B2955" t="s">
        <v>8004</v>
      </c>
      <c r="C2955" t="s">
        <v>8005</v>
      </c>
      <c r="D2955" t="s">
        <v>2469</v>
      </c>
      <c r="E2955" t="s">
        <v>7978</v>
      </c>
    </row>
    <row r="2956" spans="1:5" x14ac:dyDescent="0.25">
      <c r="A2956" t="s">
        <v>1675</v>
      </c>
      <c r="B2956" t="s">
        <v>8006</v>
      </c>
      <c r="C2956" t="s">
        <v>1674</v>
      </c>
      <c r="D2956" t="s">
        <v>2469</v>
      </c>
      <c r="E2956" t="s">
        <v>7978</v>
      </c>
    </row>
    <row r="2957" spans="1:5" x14ac:dyDescent="0.25">
      <c r="A2957" t="s">
        <v>1675</v>
      </c>
      <c r="B2957" t="s">
        <v>8007</v>
      </c>
      <c r="C2957" t="s">
        <v>8008</v>
      </c>
      <c r="D2957" t="s">
        <v>2469</v>
      </c>
      <c r="E2957" t="s">
        <v>7978</v>
      </c>
    </row>
    <row r="2958" spans="1:5" x14ac:dyDescent="0.25">
      <c r="A2958" t="s">
        <v>1675</v>
      </c>
      <c r="B2958" t="s">
        <v>8009</v>
      </c>
      <c r="C2958" t="s">
        <v>8010</v>
      </c>
      <c r="D2958" t="s">
        <v>2469</v>
      </c>
      <c r="E2958" t="s">
        <v>7978</v>
      </c>
    </row>
    <row r="2959" spans="1:5" x14ac:dyDescent="0.25">
      <c r="A2959" t="s">
        <v>1675</v>
      </c>
      <c r="B2959" t="s">
        <v>8011</v>
      </c>
      <c r="C2959" t="s">
        <v>8012</v>
      </c>
      <c r="D2959" t="s">
        <v>2469</v>
      </c>
      <c r="E2959" t="s">
        <v>7978</v>
      </c>
    </row>
    <row r="2960" spans="1:5" x14ac:dyDescent="0.25">
      <c r="A2960" t="s">
        <v>1675</v>
      </c>
      <c r="B2960" t="s">
        <v>8013</v>
      </c>
      <c r="C2960" t="s">
        <v>8014</v>
      </c>
      <c r="D2960" t="s">
        <v>2469</v>
      </c>
      <c r="E2960" t="s">
        <v>7976</v>
      </c>
    </row>
    <row r="2961" spans="1:5" x14ac:dyDescent="0.25">
      <c r="A2961" t="s">
        <v>1675</v>
      </c>
      <c r="B2961" t="s">
        <v>8015</v>
      </c>
      <c r="C2961" t="s">
        <v>8016</v>
      </c>
      <c r="D2961" t="s">
        <v>2469</v>
      </c>
      <c r="E2961" t="s">
        <v>7976</v>
      </c>
    </row>
    <row r="2962" spans="1:5" x14ac:dyDescent="0.25">
      <c r="A2962" t="s">
        <v>1675</v>
      </c>
      <c r="B2962" t="s">
        <v>8017</v>
      </c>
      <c r="C2962" t="s">
        <v>8018</v>
      </c>
      <c r="D2962" t="s">
        <v>2469</v>
      </c>
      <c r="E2962" t="s">
        <v>7976</v>
      </c>
    </row>
    <row r="2963" spans="1:5" x14ac:dyDescent="0.25">
      <c r="A2963" t="s">
        <v>1675</v>
      </c>
      <c r="B2963" t="s">
        <v>8019</v>
      </c>
      <c r="C2963" t="s">
        <v>8020</v>
      </c>
      <c r="D2963" t="s">
        <v>2469</v>
      </c>
      <c r="E2963" t="s">
        <v>7976</v>
      </c>
    </row>
    <row r="2964" spans="1:5" x14ac:dyDescent="0.25">
      <c r="A2964" t="s">
        <v>1675</v>
      </c>
      <c r="B2964" t="s">
        <v>8021</v>
      </c>
      <c r="C2964" t="s">
        <v>8022</v>
      </c>
      <c r="D2964" t="s">
        <v>2469</v>
      </c>
      <c r="E2964" t="s">
        <v>7978</v>
      </c>
    </row>
    <row r="2965" spans="1:5" x14ac:dyDescent="0.25">
      <c r="A2965" t="s">
        <v>1675</v>
      </c>
      <c r="B2965" t="s">
        <v>8023</v>
      </c>
      <c r="C2965" t="s">
        <v>8024</v>
      </c>
      <c r="D2965" t="s">
        <v>2469</v>
      </c>
      <c r="E2965" t="s">
        <v>7976</v>
      </c>
    </row>
    <row r="2966" spans="1:5" x14ac:dyDescent="0.25">
      <c r="A2966" t="s">
        <v>1675</v>
      </c>
      <c r="B2966" t="s">
        <v>8025</v>
      </c>
      <c r="C2966" t="s">
        <v>8026</v>
      </c>
      <c r="D2966" t="s">
        <v>2469</v>
      </c>
      <c r="E2966" t="s">
        <v>7978</v>
      </c>
    </row>
    <row r="2967" spans="1:5" x14ac:dyDescent="0.25">
      <c r="A2967" t="s">
        <v>1678</v>
      </c>
      <c r="B2967" t="s">
        <v>8027</v>
      </c>
      <c r="C2967" t="s">
        <v>8028</v>
      </c>
      <c r="D2967" t="s">
        <v>2469</v>
      </c>
      <c r="E2967" t="s">
        <v>2170</v>
      </c>
    </row>
    <row r="2968" spans="1:5" x14ac:dyDescent="0.25">
      <c r="A2968" t="s">
        <v>1678</v>
      </c>
      <c r="B2968" t="s">
        <v>8029</v>
      </c>
      <c r="C2968" t="s">
        <v>8030</v>
      </c>
      <c r="D2968" t="s">
        <v>2469</v>
      </c>
      <c r="E2968" t="s">
        <v>2170</v>
      </c>
    </row>
    <row r="2969" spans="1:5" x14ac:dyDescent="0.25">
      <c r="A2969" t="s">
        <v>1678</v>
      </c>
      <c r="B2969" t="s">
        <v>8031</v>
      </c>
      <c r="C2969" t="s">
        <v>8032</v>
      </c>
      <c r="D2969" t="s">
        <v>2469</v>
      </c>
      <c r="E2969" t="s">
        <v>2170</v>
      </c>
    </row>
    <row r="2970" spans="1:5" x14ac:dyDescent="0.25">
      <c r="A2970" t="s">
        <v>1678</v>
      </c>
      <c r="B2970" t="s">
        <v>8033</v>
      </c>
      <c r="C2970" t="s">
        <v>8034</v>
      </c>
      <c r="D2970" t="s">
        <v>2469</v>
      </c>
      <c r="E2970" t="s">
        <v>2170</v>
      </c>
    </row>
    <row r="2971" spans="1:5" x14ac:dyDescent="0.25">
      <c r="A2971" t="s">
        <v>1678</v>
      </c>
      <c r="B2971" t="s">
        <v>8035</v>
      </c>
      <c r="C2971" t="s">
        <v>8036</v>
      </c>
      <c r="D2971" t="s">
        <v>2469</v>
      </c>
      <c r="E2971" t="s">
        <v>2170</v>
      </c>
    </row>
    <row r="2972" spans="1:5" x14ac:dyDescent="0.25">
      <c r="A2972" t="s">
        <v>1678</v>
      </c>
      <c r="B2972" t="s">
        <v>8037</v>
      </c>
      <c r="C2972" t="s">
        <v>8038</v>
      </c>
      <c r="D2972" t="s">
        <v>2469</v>
      </c>
      <c r="E2972" t="s">
        <v>2170</v>
      </c>
    </row>
    <row r="2973" spans="1:5" x14ac:dyDescent="0.25">
      <c r="A2973" t="s">
        <v>1678</v>
      </c>
      <c r="B2973" t="s">
        <v>8039</v>
      </c>
      <c r="C2973" t="s">
        <v>8040</v>
      </c>
      <c r="D2973" t="s">
        <v>2469</v>
      </c>
      <c r="E2973" t="s">
        <v>2170</v>
      </c>
    </row>
    <row r="2974" spans="1:5" x14ac:dyDescent="0.25">
      <c r="A2974" t="s">
        <v>1678</v>
      </c>
      <c r="B2974" t="s">
        <v>8041</v>
      </c>
      <c r="C2974" t="s">
        <v>8042</v>
      </c>
      <c r="D2974" t="s">
        <v>2469</v>
      </c>
      <c r="E2974" t="s">
        <v>2170</v>
      </c>
    </row>
    <row r="2975" spans="1:5" x14ac:dyDescent="0.25">
      <c r="A2975" t="s">
        <v>1678</v>
      </c>
      <c r="B2975" t="s">
        <v>8043</v>
      </c>
      <c r="C2975" t="s">
        <v>8044</v>
      </c>
      <c r="D2975" t="s">
        <v>2469</v>
      </c>
      <c r="E2975" t="s">
        <v>2170</v>
      </c>
    </row>
    <row r="2976" spans="1:5" x14ac:dyDescent="0.25">
      <c r="A2976" t="s">
        <v>1678</v>
      </c>
      <c r="B2976" t="s">
        <v>8045</v>
      </c>
      <c r="C2976" t="s">
        <v>8046</v>
      </c>
      <c r="D2976" t="s">
        <v>2469</v>
      </c>
      <c r="E2976" t="s">
        <v>2170</v>
      </c>
    </row>
    <row r="2977" spans="1:5" x14ac:dyDescent="0.25">
      <c r="A2977" t="s">
        <v>1678</v>
      </c>
      <c r="B2977" t="s">
        <v>8047</v>
      </c>
      <c r="C2977" t="s">
        <v>8048</v>
      </c>
      <c r="D2977" t="s">
        <v>2469</v>
      </c>
      <c r="E2977" t="s">
        <v>2170</v>
      </c>
    </row>
    <row r="2978" spans="1:5" x14ac:dyDescent="0.25">
      <c r="A2978" t="s">
        <v>1678</v>
      </c>
      <c r="B2978" t="s">
        <v>8049</v>
      </c>
      <c r="C2978" t="s">
        <v>8050</v>
      </c>
      <c r="D2978" t="s">
        <v>2469</v>
      </c>
      <c r="E2978" t="s">
        <v>2170</v>
      </c>
    </row>
    <row r="2979" spans="1:5" x14ac:dyDescent="0.25">
      <c r="A2979" t="s">
        <v>1678</v>
      </c>
      <c r="B2979" t="s">
        <v>8051</v>
      </c>
      <c r="C2979" t="s">
        <v>8052</v>
      </c>
      <c r="D2979" t="s">
        <v>2469</v>
      </c>
      <c r="E2979" t="s">
        <v>2170</v>
      </c>
    </row>
    <row r="2980" spans="1:5" x14ac:dyDescent="0.25">
      <c r="A2980" t="s">
        <v>1678</v>
      </c>
      <c r="B2980" t="s">
        <v>8053</v>
      </c>
      <c r="C2980" t="s">
        <v>8054</v>
      </c>
      <c r="D2980" t="s">
        <v>2469</v>
      </c>
      <c r="E2980" t="s">
        <v>2170</v>
      </c>
    </row>
    <row r="2981" spans="1:5" x14ac:dyDescent="0.25">
      <c r="A2981" t="s">
        <v>1678</v>
      </c>
      <c r="B2981" t="s">
        <v>8055</v>
      </c>
      <c r="C2981" t="s">
        <v>8056</v>
      </c>
      <c r="D2981" t="s">
        <v>2469</v>
      </c>
      <c r="E2981" t="s">
        <v>2170</v>
      </c>
    </row>
    <row r="2982" spans="1:5" x14ac:dyDescent="0.25">
      <c r="A2982" t="s">
        <v>1678</v>
      </c>
      <c r="B2982" t="s">
        <v>8057</v>
      </c>
      <c r="C2982" t="s">
        <v>8058</v>
      </c>
      <c r="D2982" t="s">
        <v>2469</v>
      </c>
      <c r="E2982" t="s">
        <v>2170</v>
      </c>
    </row>
    <row r="2983" spans="1:5" x14ac:dyDescent="0.25">
      <c r="A2983" t="s">
        <v>1678</v>
      </c>
      <c r="B2983" t="s">
        <v>8059</v>
      </c>
      <c r="C2983" t="s">
        <v>8060</v>
      </c>
      <c r="D2983" t="s">
        <v>2469</v>
      </c>
      <c r="E2983" t="s">
        <v>2170</v>
      </c>
    </row>
    <row r="2984" spans="1:5" x14ac:dyDescent="0.25">
      <c r="A2984" t="s">
        <v>1678</v>
      </c>
      <c r="B2984" t="s">
        <v>8061</v>
      </c>
      <c r="C2984" t="s">
        <v>8062</v>
      </c>
      <c r="D2984" t="s">
        <v>2469</v>
      </c>
      <c r="E2984" t="s">
        <v>2170</v>
      </c>
    </row>
    <row r="2985" spans="1:5" x14ac:dyDescent="0.25">
      <c r="A2985" t="s">
        <v>1678</v>
      </c>
      <c r="B2985" t="s">
        <v>8063</v>
      </c>
      <c r="C2985" t="s">
        <v>8064</v>
      </c>
      <c r="D2985" t="s">
        <v>2469</v>
      </c>
      <c r="E2985" t="s">
        <v>2170</v>
      </c>
    </row>
    <row r="2986" spans="1:5" x14ac:dyDescent="0.25">
      <c r="A2986" t="s">
        <v>1678</v>
      </c>
      <c r="B2986" t="s">
        <v>8065</v>
      </c>
      <c r="C2986" t="s">
        <v>8066</v>
      </c>
      <c r="D2986" t="s">
        <v>2469</v>
      </c>
      <c r="E2986" t="s">
        <v>2170</v>
      </c>
    </row>
    <row r="2987" spans="1:5" x14ac:dyDescent="0.25">
      <c r="A2987" t="s">
        <v>1678</v>
      </c>
      <c r="B2987" t="s">
        <v>8067</v>
      </c>
      <c r="C2987" t="s">
        <v>8068</v>
      </c>
      <c r="D2987" t="s">
        <v>2469</v>
      </c>
      <c r="E2987" t="s">
        <v>2170</v>
      </c>
    </row>
    <row r="2988" spans="1:5" x14ac:dyDescent="0.25">
      <c r="A2988" t="s">
        <v>1678</v>
      </c>
      <c r="B2988" t="s">
        <v>8069</v>
      </c>
      <c r="C2988" t="s">
        <v>8070</v>
      </c>
      <c r="D2988" t="s">
        <v>2469</v>
      </c>
      <c r="E2988" t="s">
        <v>2170</v>
      </c>
    </row>
    <row r="2989" spans="1:5" x14ac:dyDescent="0.25">
      <c r="A2989" t="s">
        <v>1678</v>
      </c>
      <c r="B2989" t="s">
        <v>8071</v>
      </c>
      <c r="C2989" t="s">
        <v>8072</v>
      </c>
      <c r="D2989" t="s">
        <v>2469</v>
      </c>
      <c r="E2989" t="s">
        <v>2170</v>
      </c>
    </row>
    <row r="2990" spans="1:5" x14ac:dyDescent="0.25">
      <c r="A2990" t="s">
        <v>1678</v>
      </c>
      <c r="B2990" t="s">
        <v>8073</v>
      </c>
      <c r="C2990" t="s">
        <v>8074</v>
      </c>
      <c r="D2990" t="s">
        <v>2469</v>
      </c>
      <c r="E2990" t="s">
        <v>2170</v>
      </c>
    </row>
    <row r="2991" spans="1:5" x14ac:dyDescent="0.25">
      <c r="A2991" t="s">
        <v>1678</v>
      </c>
      <c r="B2991" t="s">
        <v>8075</v>
      </c>
      <c r="C2991" t="s">
        <v>8076</v>
      </c>
      <c r="D2991" t="s">
        <v>2469</v>
      </c>
      <c r="E2991" t="s">
        <v>2170</v>
      </c>
    </row>
    <row r="2992" spans="1:5" x14ac:dyDescent="0.25">
      <c r="A2992" t="s">
        <v>1678</v>
      </c>
      <c r="B2992" t="s">
        <v>8077</v>
      </c>
      <c r="C2992" t="s">
        <v>8078</v>
      </c>
      <c r="D2992" t="s">
        <v>2469</v>
      </c>
      <c r="E2992" t="s">
        <v>2170</v>
      </c>
    </row>
    <row r="2993" spans="1:5" x14ac:dyDescent="0.25">
      <c r="A2993" t="s">
        <v>1678</v>
      </c>
      <c r="B2993" t="s">
        <v>8079</v>
      </c>
      <c r="C2993" t="s">
        <v>8080</v>
      </c>
      <c r="D2993" t="s">
        <v>2469</v>
      </c>
      <c r="E2993" t="s">
        <v>2170</v>
      </c>
    </row>
    <row r="2994" spans="1:5" x14ac:dyDescent="0.25">
      <c r="A2994" t="s">
        <v>1678</v>
      </c>
      <c r="B2994" t="s">
        <v>8081</v>
      </c>
      <c r="C2994" t="s">
        <v>8082</v>
      </c>
      <c r="D2994" t="s">
        <v>2469</v>
      </c>
      <c r="E2994" t="s">
        <v>2170</v>
      </c>
    </row>
    <row r="2995" spans="1:5" x14ac:dyDescent="0.25">
      <c r="A2995" t="s">
        <v>1678</v>
      </c>
      <c r="B2995" t="s">
        <v>8083</v>
      </c>
      <c r="C2995" t="s">
        <v>8084</v>
      </c>
      <c r="D2995" t="s">
        <v>2469</v>
      </c>
      <c r="E2995" t="s">
        <v>2170</v>
      </c>
    </row>
    <row r="2996" spans="1:5" x14ac:dyDescent="0.25">
      <c r="A2996" t="s">
        <v>1678</v>
      </c>
      <c r="B2996" t="s">
        <v>8085</v>
      </c>
      <c r="C2996" t="s">
        <v>8086</v>
      </c>
      <c r="D2996" t="s">
        <v>2469</v>
      </c>
      <c r="E2996" t="s">
        <v>2170</v>
      </c>
    </row>
    <row r="2997" spans="1:5" x14ac:dyDescent="0.25">
      <c r="A2997" t="s">
        <v>1678</v>
      </c>
      <c r="B2997" t="s">
        <v>8087</v>
      </c>
      <c r="C2997" t="s">
        <v>8088</v>
      </c>
      <c r="D2997" t="s">
        <v>2469</v>
      </c>
      <c r="E2997" t="s">
        <v>2170</v>
      </c>
    </row>
    <row r="2998" spans="1:5" x14ac:dyDescent="0.25">
      <c r="A2998" t="s">
        <v>1678</v>
      </c>
      <c r="B2998" t="s">
        <v>8089</v>
      </c>
      <c r="C2998" t="s">
        <v>8090</v>
      </c>
      <c r="D2998" t="s">
        <v>2469</v>
      </c>
      <c r="E2998" t="s">
        <v>2170</v>
      </c>
    </row>
    <row r="2999" spans="1:5" x14ac:dyDescent="0.25">
      <c r="A2999" t="s">
        <v>1678</v>
      </c>
      <c r="B2999" t="s">
        <v>8091</v>
      </c>
      <c r="C2999" t="s">
        <v>8092</v>
      </c>
      <c r="D2999" t="s">
        <v>2469</v>
      </c>
      <c r="E2999" t="s">
        <v>2170</v>
      </c>
    </row>
    <row r="3000" spans="1:5" x14ac:dyDescent="0.25">
      <c r="A3000" t="s">
        <v>1678</v>
      </c>
      <c r="B3000" t="s">
        <v>8093</v>
      </c>
      <c r="C3000" t="s">
        <v>8094</v>
      </c>
      <c r="D3000" t="s">
        <v>2469</v>
      </c>
      <c r="E3000" t="s">
        <v>2170</v>
      </c>
    </row>
    <row r="3001" spans="1:5" x14ac:dyDescent="0.25">
      <c r="A3001" t="s">
        <v>1678</v>
      </c>
      <c r="B3001" t="s">
        <v>8095</v>
      </c>
      <c r="C3001" t="s">
        <v>8096</v>
      </c>
      <c r="D3001" t="s">
        <v>2469</v>
      </c>
      <c r="E3001" t="s">
        <v>2170</v>
      </c>
    </row>
    <row r="3002" spans="1:5" x14ac:dyDescent="0.25">
      <c r="A3002" t="s">
        <v>1678</v>
      </c>
      <c r="B3002" t="s">
        <v>8097</v>
      </c>
      <c r="C3002" t="s">
        <v>8098</v>
      </c>
      <c r="D3002" t="s">
        <v>2469</v>
      </c>
      <c r="E3002" t="s">
        <v>2170</v>
      </c>
    </row>
    <row r="3003" spans="1:5" x14ac:dyDescent="0.25">
      <c r="A3003" t="s">
        <v>1678</v>
      </c>
      <c r="B3003" t="s">
        <v>8099</v>
      </c>
      <c r="C3003" t="s">
        <v>8100</v>
      </c>
      <c r="D3003" t="s">
        <v>2469</v>
      </c>
      <c r="E3003" t="s">
        <v>2170</v>
      </c>
    </row>
    <row r="3004" spans="1:5" x14ac:dyDescent="0.25">
      <c r="A3004" t="s">
        <v>1678</v>
      </c>
      <c r="B3004" t="s">
        <v>8101</v>
      </c>
      <c r="C3004" t="s">
        <v>8102</v>
      </c>
      <c r="D3004" t="s">
        <v>2469</v>
      </c>
      <c r="E3004" t="s">
        <v>2170</v>
      </c>
    </row>
    <row r="3005" spans="1:5" x14ac:dyDescent="0.25">
      <c r="A3005" t="s">
        <v>1678</v>
      </c>
      <c r="B3005" t="s">
        <v>8103</v>
      </c>
      <c r="C3005" t="s">
        <v>8104</v>
      </c>
      <c r="D3005" t="s">
        <v>2469</v>
      </c>
      <c r="E3005" t="s">
        <v>2170</v>
      </c>
    </row>
    <row r="3006" spans="1:5" x14ac:dyDescent="0.25">
      <c r="A3006" t="s">
        <v>1678</v>
      </c>
      <c r="B3006" t="s">
        <v>8105</v>
      </c>
      <c r="C3006" t="s">
        <v>8106</v>
      </c>
      <c r="D3006" t="s">
        <v>2469</v>
      </c>
      <c r="E3006" t="s">
        <v>2170</v>
      </c>
    </row>
    <row r="3007" spans="1:5" x14ac:dyDescent="0.25">
      <c r="A3007" t="s">
        <v>1678</v>
      </c>
      <c r="B3007" t="s">
        <v>8107</v>
      </c>
      <c r="C3007" t="s">
        <v>8108</v>
      </c>
      <c r="D3007" t="s">
        <v>2469</v>
      </c>
      <c r="E3007" t="s">
        <v>2170</v>
      </c>
    </row>
    <row r="3008" spans="1:5" x14ac:dyDescent="0.25">
      <c r="A3008" t="s">
        <v>1678</v>
      </c>
      <c r="B3008" t="s">
        <v>8109</v>
      </c>
      <c r="C3008" t="s">
        <v>8110</v>
      </c>
      <c r="D3008" t="s">
        <v>2469</v>
      </c>
      <c r="E3008" t="s">
        <v>2170</v>
      </c>
    </row>
    <row r="3009" spans="1:5" x14ac:dyDescent="0.25">
      <c r="A3009" t="s">
        <v>1678</v>
      </c>
      <c r="B3009" t="s">
        <v>8111</v>
      </c>
      <c r="C3009" t="s">
        <v>8112</v>
      </c>
      <c r="D3009" t="s">
        <v>2469</v>
      </c>
      <c r="E3009" t="s">
        <v>2170</v>
      </c>
    </row>
    <row r="3010" spans="1:5" x14ac:dyDescent="0.25">
      <c r="A3010" t="s">
        <v>1678</v>
      </c>
      <c r="B3010" t="s">
        <v>8113</v>
      </c>
      <c r="C3010" t="s">
        <v>8114</v>
      </c>
      <c r="D3010" t="s">
        <v>2469</v>
      </c>
      <c r="E3010" t="s">
        <v>2170</v>
      </c>
    </row>
    <row r="3011" spans="1:5" x14ac:dyDescent="0.25">
      <c r="A3011" t="s">
        <v>1678</v>
      </c>
      <c r="B3011" t="s">
        <v>8115</v>
      </c>
      <c r="C3011" t="s">
        <v>8116</v>
      </c>
      <c r="D3011" t="s">
        <v>2469</v>
      </c>
      <c r="E3011" t="s">
        <v>2170</v>
      </c>
    </row>
    <row r="3012" spans="1:5" x14ac:dyDescent="0.25">
      <c r="A3012" t="s">
        <v>1678</v>
      </c>
      <c r="B3012" t="s">
        <v>8117</v>
      </c>
      <c r="C3012" t="s">
        <v>8118</v>
      </c>
      <c r="D3012" t="s">
        <v>2469</v>
      </c>
      <c r="E3012" t="s">
        <v>2170</v>
      </c>
    </row>
    <row r="3013" spans="1:5" x14ac:dyDescent="0.25">
      <c r="A3013" t="s">
        <v>1678</v>
      </c>
      <c r="B3013" t="s">
        <v>8119</v>
      </c>
      <c r="C3013" t="s">
        <v>8120</v>
      </c>
      <c r="D3013" t="s">
        <v>2469</v>
      </c>
      <c r="E3013" t="s">
        <v>2170</v>
      </c>
    </row>
    <row r="3014" spans="1:5" x14ac:dyDescent="0.25">
      <c r="A3014" t="s">
        <v>1678</v>
      </c>
      <c r="B3014" t="s">
        <v>8121</v>
      </c>
      <c r="C3014" t="s">
        <v>8122</v>
      </c>
      <c r="D3014" t="s">
        <v>2469</v>
      </c>
      <c r="E3014" t="s">
        <v>2170</v>
      </c>
    </row>
    <row r="3015" spans="1:5" x14ac:dyDescent="0.25">
      <c r="A3015" t="s">
        <v>1678</v>
      </c>
      <c r="B3015" t="s">
        <v>8123</v>
      </c>
      <c r="C3015" t="s">
        <v>8124</v>
      </c>
      <c r="D3015" t="s">
        <v>2469</v>
      </c>
      <c r="E3015" t="s">
        <v>2170</v>
      </c>
    </row>
    <row r="3016" spans="1:5" x14ac:dyDescent="0.25">
      <c r="A3016" t="s">
        <v>1678</v>
      </c>
      <c r="B3016" t="s">
        <v>8125</v>
      </c>
      <c r="C3016" t="s">
        <v>8126</v>
      </c>
      <c r="D3016" t="s">
        <v>2469</v>
      </c>
      <c r="E3016" t="s">
        <v>2170</v>
      </c>
    </row>
    <row r="3017" spans="1:5" x14ac:dyDescent="0.25">
      <c r="A3017" t="s">
        <v>1678</v>
      </c>
      <c r="B3017" t="s">
        <v>8127</v>
      </c>
      <c r="C3017" t="s">
        <v>8128</v>
      </c>
      <c r="D3017" t="s">
        <v>2469</v>
      </c>
      <c r="E3017" t="s">
        <v>2170</v>
      </c>
    </row>
    <row r="3018" spans="1:5" x14ac:dyDescent="0.25">
      <c r="A3018" t="s">
        <v>1678</v>
      </c>
      <c r="B3018" t="s">
        <v>8129</v>
      </c>
      <c r="C3018" t="s">
        <v>8130</v>
      </c>
      <c r="D3018" t="s">
        <v>2469</v>
      </c>
      <c r="E3018" t="s">
        <v>2170</v>
      </c>
    </row>
    <row r="3019" spans="1:5" x14ac:dyDescent="0.25">
      <c r="A3019" t="s">
        <v>1678</v>
      </c>
      <c r="B3019" t="s">
        <v>8131</v>
      </c>
      <c r="C3019" t="s">
        <v>8132</v>
      </c>
      <c r="D3019" t="s">
        <v>2469</v>
      </c>
      <c r="E3019" t="s">
        <v>2170</v>
      </c>
    </row>
    <row r="3020" spans="1:5" x14ac:dyDescent="0.25">
      <c r="A3020" t="s">
        <v>1678</v>
      </c>
      <c r="B3020" t="s">
        <v>8133</v>
      </c>
      <c r="C3020" t="s">
        <v>8134</v>
      </c>
      <c r="D3020" t="s">
        <v>2469</v>
      </c>
      <c r="E3020" t="s">
        <v>2170</v>
      </c>
    </row>
    <row r="3021" spans="1:5" x14ac:dyDescent="0.25">
      <c r="A3021" t="s">
        <v>1678</v>
      </c>
      <c r="B3021" t="s">
        <v>8135</v>
      </c>
      <c r="C3021" t="s">
        <v>8136</v>
      </c>
      <c r="D3021" t="s">
        <v>2469</v>
      </c>
      <c r="E3021" t="s">
        <v>2170</v>
      </c>
    </row>
    <row r="3022" spans="1:5" x14ac:dyDescent="0.25">
      <c r="A3022" t="s">
        <v>1678</v>
      </c>
      <c r="B3022" t="s">
        <v>8137</v>
      </c>
      <c r="C3022" t="s">
        <v>8138</v>
      </c>
      <c r="D3022" t="s">
        <v>2469</v>
      </c>
      <c r="E3022" t="s">
        <v>2170</v>
      </c>
    </row>
    <row r="3023" spans="1:5" x14ac:dyDescent="0.25">
      <c r="A3023" t="s">
        <v>1678</v>
      </c>
      <c r="B3023" t="s">
        <v>8139</v>
      </c>
      <c r="C3023" t="s">
        <v>8140</v>
      </c>
      <c r="D3023" t="s">
        <v>2469</v>
      </c>
      <c r="E3023" t="s">
        <v>2170</v>
      </c>
    </row>
    <row r="3024" spans="1:5" x14ac:dyDescent="0.25">
      <c r="A3024" t="s">
        <v>1678</v>
      </c>
      <c r="B3024" t="s">
        <v>8141</v>
      </c>
      <c r="C3024" t="s">
        <v>8142</v>
      </c>
      <c r="D3024" t="s">
        <v>2469</v>
      </c>
      <c r="E3024" t="s">
        <v>2170</v>
      </c>
    </row>
    <row r="3025" spans="1:5" x14ac:dyDescent="0.25">
      <c r="A3025" t="s">
        <v>1678</v>
      </c>
      <c r="B3025" t="s">
        <v>8143</v>
      </c>
      <c r="C3025" t="s">
        <v>8144</v>
      </c>
      <c r="D3025" t="s">
        <v>2469</v>
      </c>
      <c r="E3025" t="s">
        <v>2170</v>
      </c>
    </row>
    <row r="3026" spans="1:5" x14ac:dyDescent="0.25">
      <c r="A3026" t="s">
        <v>1678</v>
      </c>
      <c r="B3026" t="s">
        <v>8145</v>
      </c>
      <c r="C3026" t="s">
        <v>8146</v>
      </c>
      <c r="D3026" t="s">
        <v>2469</v>
      </c>
      <c r="E3026" t="s">
        <v>2170</v>
      </c>
    </row>
    <row r="3027" spans="1:5" x14ac:dyDescent="0.25">
      <c r="A3027" t="s">
        <v>1678</v>
      </c>
      <c r="B3027" t="s">
        <v>8147</v>
      </c>
      <c r="C3027" t="s">
        <v>8148</v>
      </c>
      <c r="D3027" t="s">
        <v>2469</v>
      </c>
      <c r="E3027" t="s">
        <v>2170</v>
      </c>
    </row>
    <row r="3028" spans="1:5" x14ac:dyDescent="0.25">
      <c r="A3028" t="s">
        <v>1678</v>
      </c>
      <c r="B3028" t="s">
        <v>8149</v>
      </c>
      <c r="C3028" t="s">
        <v>8150</v>
      </c>
      <c r="D3028" t="s">
        <v>2469</v>
      </c>
      <c r="E3028" t="s">
        <v>2170</v>
      </c>
    </row>
    <row r="3029" spans="1:5" x14ac:dyDescent="0.25">
      <c r="A3029" t="s">
        <v>1678</v>
      </c>
      <c r="B3029" t="s">
        <v>8151</v>
      </c>
      <c r="C3029" t="s">
        <v>8152</v>
      </c>
      <c r="D3029" t="s">
        <v>2469</v>
      </c>
      <c r="E3029" t="s">
        <v>2170</v>
      </c>
    </row>
    <row r="3030" spans="1:5" x14ac:dyDescent="0.25">
      <c r="A3030" t="s">
        <v>1678</v>
      </c>
      <c r="B3030" t="s">
        <v>8153</v>
      </c>
      <c r="C3030" t="s">
        <v>8154</v>
      </c>
      <c r="D3030" t="s">
        <v>2469</v>
      </c>
      <c r="E3030" t="s">
        <v>2170</v>
      </c>
    </row>
    <row r="3031" spans="1:5" x14ac:dyDescent="0.25">
      <c r="A3031" t="s">
        <v>1678</v>
      </c>
      <c r="B3031" t="s">
        <v>8155</v>
      </c>
      <c r="C3031" t="s">
        <v>8156</v>
      </c>
      <c r="D3031" t="s">
        <v>2469</v>
      </c>
      <c r="E3031" t="s">
        <v>2170</v>
      </c>
    </row>
    <row r="3032" spans="1:5" x14ac:dyDescent="0.25">
      <c r="A3032" t="s">
        <v>1678</v>
      </c>
      <c r="B3032" t="s">
        <v>8157</v>
      </c>
      <c r="C3032" t="s">
        <v>8158</v>
      </c>
      <c r="D3032" t="s">
        <v>2469</v>
      </c>
      <c r="E3032" t="s">
        <v>2170</v>
      </c>
    </row>
    <row r="3033" spans="1:5" x14ac:dyDescent="0.25">
      <c r="A3033" t="s">
        <v>1678</v>
      </c>
      <c r="B3033" t="s">
        <v>8159</v>
      </c>
      <c r="C3033" t="s">
        <v>8160</v>
      </c>
      <c r="D3033" t="s">
        <v>2469</v>
      </c>
      <c r="E3033" t="s">
        <v>2170</v>
      </c>
    </row>
    <row r="3034" spans="1:5" x14ac:dyDescent="0.25">
      <c r="A3034" t="s">
        <v>1678</v>
      </c>
      <c r="B3034" t="s">
        <v>8161</v>
      </c>
      <c r="C3034" t="s">
        <v>8162</v>
      </c>
      <c r="D3034" t="s">
        <v>2469</v>
      </c>
      <c r="E3034" t="s">
        <v>2170</v>
      </c>
    </row>
    <row r="3035" spans="1:5" x14ac:dyDescent="0.25">
      <c r="A3035" t="s">
        <v>1678</v>
      </c>
      <c r="B3035" t="s">
        <v>8163</v>
      </c>
      <c r="C3035" t="s">
        <v>8164</v>
      </c>
      <c r="D3035" t="s">
        <v>2469</v>
      </c>
      <c r="E3035" t="s">
        <v>2170</v>
      </c>
    </row>
    <row r="3036" spans="1:5" x14ac:dyDescent="0.25">
      <c r="A3036" t="s">
        <v>1678</v>
      </c>
      <c r="B3036" t="s">
        <v>8165</v>
      </c>
      <c r="C3036" t="s">
        <v>8166</v>
      </c>
      <c r="D3036" t="s">
        <v>2469</v>
      </c>
      <c r="E3036" t="s">
        <v>2170</v>
      </c>
    </row>
    <row r="3037" spans="1:5" x14ac:dyDescent="0.25">
      <c r="A3037" t="s">
        <v>1678</v>
      </c>
      <c r="B3037" t="s">
        <v>8167</v>
      </c>
      <c r="C3037" t="s">
        <v>8168</v>
      </c>
      <c r="D3037" t="s">
        <v>2469</v>
      </c>
      <c r="E3037" t="s">
        <v>2170</v>
      </c>
    </row>
    <row r="3038" spans="1:5" x14ac:dyDescent="0.25">
      <c r="A3038" t="s">
        <v>1678</v>
      </c>
      <c r="B3038" t="s">
        <v>8169</v>
      </c>
      <c r="C3038" t="s">
        <v>8170</v>
      </c>
      <c r="D3038" t="s">
        <v>2469</v>
      </c>
      <c r="E3038" t="s">
        <v>2170</v>
      </c>
    </row>
    <row r="3039" spans="1:5" x14ac:dyDescent="0.25">
      <c r="A3039" t="s">
        <v>1678</v>
      </c>
      <c r="B3039" t="s">
        <v>8171</v>
      </c>
      <c r="C3039" t="s">
        <v>8172</v>
      </c>
      <c r="D3039" t="s">
        <v>2469</v>
      </c>
      <c r="E3039" t="s">
        <v>2170</v>
      </c>
    </row>
    <row r="3040" spans="1:5" x14ac:dyDescent="0.25">
      <c r="A3040" t="s">
        <v>1678</v>
      </c>
      <c r="B3040" t="s">
        <v>8173</v>
      </c>
      <c r="C3040" t="s">
        <v>8174</v>
      </c>
      <c r="D3040" t="s">
        <v>2469</v>
      </c>
      <c r="E3040" t="s">
        <v>2170</v>
      </c>
    </row>
    <row r="3041" spans="1:5" x14ac:dyDescent="0.25">
      <c r="A3041" t="s">
        <v>1678</v>
      </c>
      <c r="B3041" t="s">
        <v>8175</v>
      </c>
      <c r="C3041" t="s">
        <v>8176</v>
      </c>
      <c r="D3041" t="s">
        <v>2469</v>
      </c>
      <c r="E3041" t="s">
        <v>2170</v>
      </c>
    </row>
    <row r="3042" spans="1:5" x14ac:dyDescent="0.25">
      <c r="A3042" t="s">
        <v>1678</v>
      </c>
      <c r="B3042" t="s">
        <v>8177</v>
      </c>
      <c r="C3042" t="s">
        <v>8178</v>
      </c>
      <c r="D3042" t="s">
        <v>2469</v>
      </c>
      <c r="E3042" t="s">
        <v>2170</v>
      </c>
    </row>
    <row r="3043" spans="1:5" x14ac:dyDescent="0.25">
      <c r="A3043" t="s">
        <v>1678</v>
      </c>
      <c r="B3043" t="s">
        <v>8179</v>
      </c>
      <c r="C3043" t="s">
        <v>8180</v>
      </c>
      <c r="D3043" t="s">
        <v>2469</v>
      </c>
      <c r="E3043" t="s">
        <v>2170</v>
      </c>
    </row>
    <row r="3044" spans="1:5" x14ac:dyDescent="0.25">
      <c r="A3044" t="s">
        <v>1678</v>
      </c>
      <c r="B3044" t="s">
        <v>8181</v>
      </c>
      <c r="C3044" t="s">
        <v>8182</v>
      </c>
      <c r="D3044" t="s">
        <v>2469</v>
      </c>
      <c r="E3044" t="s">
        <v>2170</v>
      </c>
    </row>
    <row r="3045" spans="1:5" x14ac:dyDescent="0.25">
      <c r="A3045" t="s">
        <v>1678</v>
      </c>
      <c r="B3045" t="s">
        <v>8183</v>
      </c>
      <c r="C3045" t="s">
        <v>8184</v>
      </c>
      <c r="D3045" t="s">
        <v>2469</v>
      </c>
      <c r="E3045" t="s">
        <v>2170</v>
      </c>
    </row>
    <row r="3046" spans="1:5" x14ac:dyDescent="0.25">
      <c r="A3046" t="s">
        <v>1678</v>
      </c>
      <c r="B3046" t="s">
        <v>8185</v>
      </c>
      <c r="C3046" t="s">
        <v>8186</v>
      </c>
      <c r="D3046" t="s">
        <v>2469</v>
      </c>
      <c r="E3046" t="s">
        <v>2170</v>
      </c>
    </row>
    <row r="3047" spans="1:5" x14ac:dyDescent="0.25">
      <c r="A3047" t="s">
        <v>1681</v>
      </c>
      <c r="B3047" t="s">
        <v>8187</v>
      </c>
      <c r="C3047" t="s">
        <v>1680</v>
      </c>
      <c r="D3047" t="s">
        <v>2646</v>
      </c>
      <c r="E3047" t="s">
        <v>2170</v>
      </c>
    </row>
    <row r="3048" spans="1:5" x14ac:dyDescent="0.25">
      <c r="A3048" t="s">
        <v>1681</v>
      </c>
      <c r="B3048" t="s">
        <v>8188</v>
      </c>
      <c r="C3048" t="s">
        <v>8189</v>
      </c>
      <c r="D3048" t="s">
        <v>2311</v>
      </c>
      <c r="E3048" t="s">
        <v>2170</v>
      </c>
    </row>
    <row r="3049" spans="1:5" x14ac:dyDescent="0.25">
      <c r="A3049" t="s">
        <v>1681</v>
      </c>
      <c r="B3049" t="s">
        <v>8190</v>
      </c>
      <c r="C3049" t="s">
        <v>8191</v>
      </c>
      <c r="D3049" t="s">
        <v>2311</v>
      </c>
      <c r="E3049" t="s">
        <v>2170</v>
      </c>
    </row>
    <row r="3050" spans="1:5" x14ac:dyDescent="0.25">
      <c r="A3050" t="s">
        <v>1681</v>
      </c>
      <c r="B3050" t="s">
        <v>8192</v>
      </c>
      <c r="C3050" t="s">
        <v>8193</v>
      </c>
      <c r="D3050" t="s">
        <v>2311</v>
      </c>
      <c r="E3050" t="s">
        <v>2170</v>
      </c>
    </row>
    <row r="3051" spans="1:5" x14ac:dyDescent="0.25">
      <c r="A3051" t="s">
        <v>1681</v>
      </c>
      <c r="B3051" t="s">
        <v>8194</v>
      </c>
      <c r="C3051" t="s">
        <v>8195</v>
      </c>
      <c r="D3051" t="s">
        <v>2311</v>
      </c>
      <c r="E3051" t="s">
        <v>2170</v>
      </c>
    </row>
    <row r="3052" spans="1:5" x14ac:dyDescent="0.25">
      <c r="A3052" t="s">
        <v>1681</v>
      </c>
      <c r="B3052" t="s">
        <v>8196</v>
      </c>
      <c r="C3052" t="s">
        <v>8197</v>
      </c>
      <c r="D3052" t="s">
        <v>2311</v>
      </c>
      <c r="E3052" t="s">
        <v>2170</v>
      </c>
    </row>
    <row r="3053" spans="1:5" x14ac:dyDescent="0.25">
      <c r="A3053" t="s">
        <v>1681</v>
      </c>
      <c r="B3053" t="s">
        <v>8198</v>
      </c>
      <c r="C3053" t="s">
        <v>8199</v>
      </c>
      <c r="D3053" t="s">
        <v>2311</v>
      </c>
      <c r="E3053" t="s">
        <v>2170</v>
      </c>
    </row>
    <row r="3054" spans="1:5" x14ac:dyDescent="0.25">
      <c r="A3054" t="s">
        <v>1681</v>
      </c>
      <c r="B3054" t="s">
        <v>8200</v>
      </c>
      <c r="C3054" t="s">
        <v>8201</v>
      </c>
      <c r="D3054" t="s">
        <v>2311</v>
      </c>
      <c r="E3054" t="s">
        <v>2170</v>
      </c>
    </row>
    <row r="3055" spans="1:5" x14ac:dyDescent="0.25">
      <c r="A3055" t="s">
        <v>1681</v>
      </c>
      <c r="B3055" t="s">
        <v>8202</v>
      </c>
      <c r="C3055" t="s">
        <v>8203</v>
      </c>
      <c r="D3055" t="s">
        <v>2311</v>
      </c>
      <c r="E3055" t="s">
        <v>2170</v>
      </c>
    </row>
    <row r="3056" spans="1:5" x14ac:dyDescent="0.25">
      <c r="A3056" t="s">
        <v>1681</v>
      </c>
      <c r="B3056" t="s">
        <v>8204</v>
      </c>
      <c r="C3056" t="s">
        <v>8205</v>
      </c>
      <c r="D3056" t="s">
        <v>2311</v>
      </c>
      <c r="E3056" t="s">
        <v>2170</v>
      </c>
    </row>
    <row r="3057" spans="1:5" x14ac:dyDescent="0.25">
      <c r="A3057" t="s">
        <v>1681</v>
      </c>
      <c r="B3057" t="s">
        <v>8206</v>
      </c>
      <c r="C3057" t="s">
        <v>8207</v>
      </c>
      <c r="D3057" t="s">
        <v>2311</v>
      </c>
      <c r="E3057" t="s">
        <v>2170</v>
      </c>
    </row>
    <row r="3058" spans="1:5" x14ac:dyDescent="0.25">
      <c r="A3058" t="s">
        <v>1684</v>
      </c>
      <c r="B3058" t="s">
        <v>8208</v>
      </c>
      <c r="C3058" t="s">
        <v>8209</v>
      </c>
      <c r="D3058" t="s">
        <v>2311</v>
      </c>
      <c r="E3058" t="s">
        <v>2170</v>
      </c>
    </row>
    <row r="3059" spans="1:5" x14ac:dyDescent="0.25">
      <c r="A3059" t="s">
        <v>1684</v>
      </c>
      <c r="B3059" t="s">
        <v>8210</v>
      </c>
      <c r="C3059" t="s">
        <v>8211</v>
      </c>
      <c r="D3059" t="s">
        <v>2311</v>
      </c>
      <c r="E3059" t="s">
        <v>2170</v>
      </c>
    </row>
    <row r="3060" spans="1:5" x14ac:dyDescent="0.25">
      <c r="A3060" t="s">
        <v>1684</v>
      </c>
      <c r="B3060" t="s">
        <v>8212</v>
      </c>
      <c r="C3060" t="s">
        <v>8213</v>
      </c>
      <c r="D3060" t="s">
        <v>2415</v>
      </c>
      <c r="E3060" t="s">
        <v>2170</v>
      </c>
    </row>
    <row r="3061" spans="1:5" x14ac:dyDescent="0.25">
      <c r="A3061" t="s">
        <v>1684</v>
      </c>
      <c r="B3061" t="s">
        <v>8214</v>
      </c>
      <c r="C3061" t="s">
        <v>8215</v>
      </c>
      <c r="D3061" t="s">
        <v>2415</v>
      </c>
      <c r="E3061" t="s">
        <v>2170</v>
      </c>
    </row>
    <row r="3062" spans="1:5" x14ac:dyDescent="0.25">
      <c r="A3062" t="s">
        <v>1684</v>
      </c>
      <c r="B3062" t="s">
        <v>8216</v>
      </c>
      <c r="C3062" t="s">
        <v>8217</v>
      </c>
      <c r="D3062" t="s">
        <v>2415</v>
      </c>
      <c r="E3062" t="s">
        <v>2170</v>
      </c>
    </row>
    <row r="3063" spans="1:5" x14ac:dyDescent="0.25">
      <c r="A3063" t="s">
        <v>1684</v>
      </c>
      <c r="B3063" t="s">
        <v>8218</v>
      </c>
      <c r="C3063" t="s">
        <v>8219</v>
      </c>
      <c r="D3063" t="s">
        <v>2415</v>
      </c>
      <c r="E3063" t="s">
        <v>2170</v>
      </c>
    </row>
    <row r="3064" spans="1:5" x14ac:dyDescent="0.25">
      <c r="A3064" t="s">
        <v>1684</v>
      </c>
      <c r="B3064" t="s">
        <v>8220</v>
      </c>
      <c r="C3064" t="s">
        <v>8221</v>
      </c>
      <c r="D3064" t="s">
        <v>2311</v>
      </c>
      <c r="E3064" t="s">
        <v>2170</v>
      </c>
    </row>
    <row r="3065" spans="1:5" x14ac:dyDescent="0.25">
      <c r="A3065" t="s">
        <v>1684</v>
      </c>
      <c r="B3065" t="s">
        <v>8222</v>
      </c>
      <c r="C3065" t="s">
        <v>8223</v>
      </c>
      <c r="D3065" t="s">
        <v>2311</v>
      </c>
      <c r="E3065" t="s">
        <v>2170</v>
      </c>
    </row>
    <row r="3066" spans="1:5" x14ac:dyDescent="0.25">
      <c r="A3066" t="s">
        <v>1684</v>
      </c>
      <c r="B3066" t="s">
        <v>8224</v>
      </c>
      <c r="C3066" t="s">
        <v>8225</v>
      </c>
      <c r="D3066" t="s">
        <v>2415</v>
      </c>
      <c r="E3066" t="s">
        <v>2170</v>
      </c>
    </row>
    <row r="3067" spans="1:5" x14ac:dyDescent="0.25">
      <c r="A3067" t="s">
        <v>1684</v>
      </c>
      <c r="B3067" t="s">
        <v>8226</v>
      </c>
      <c r="C3067" t="s">
        <v>8227</v>
      </c>
      <c r="D3067" t="s">
        <v>6100</v>
      </c>
      <c r="E3067" t="s">
        <v>2170</v>
      </c>
    </row>
    <row r="3068" spans="1:5" x14ac:dyDescent="0.25">
      <c r="A3068" t="s">
        <v>1684</v>
      </c>
      <c r="B3068" t="s">
        <v>8228</v>
      </c>
      <c r="C3068" t="s">
        <v>8229</v>
      </c>
      <c r="D3068" t="s">
        <v>2415</v>
      </c>
      <c r="E3068" t="s">
        <v>2170</v>
      </c>
    </row>
    <row r="3069" spans="1:5" x14ac:dyDescent="0.25">
      <c r="A3069" t="s">
        <v>1684</v>
      </c>
      <c r="B3069" t="s">
        <v>8230</v>
      </c>
      <c r="C3069" t="s">
        <v>8231</v>
      </c>
      <c r="D3069" t="s">
        <v>2311</v>
      </c>
      <c r="E3069" t="s">
        <v>2170</v>
      </c>
    </row>
    <row r="3070" spans="1:5" x14ac:dyDescent="0.25">
      <c r="A3070" t="s">
        <v>1684</v>
      </c>
      <c r="B3070" t="s">
        <v>8232</v>
      </c>
      <c r="C3070" t="s">
        <v>8233</v>
      </c>
      <c r="D3070" t="s">
        <v>2415</v>
      </c>
      <c r="E3070" t="s">
        <v>2170</v>
      </c>
    </row>
    <row r="3071" spans="1:5" x14ac:dyDescent="0.25">
      <c r="A3071" t="s">
        <v>1684</v>
      </c>
      <c r="B3071" t="s">
        <v>8234</v>
      </c>
      <c r="C3071" t="s">
        <v>8235</v>
      </c>
      <c r="D3071" t="s">
        <v>2311</v>
      </c>
      <c r="E3071" t="s">
        <v>2170</v>
      </c>
    </row>
    <row r="3072" spans="1:5" x14ac:dyDescent="0.25">
      <c r="A3072" t="s">
        <v>1684</v>
      </c>
      <c r="B3072" t="s">
        <v>8236</v>
      </c>
      <c r="C3072" t="s">
        <v>1683</v>
      </c>
      <c r="D3072" t="s">
        <v>2311</v>
      </c>
      <c r="E3072" t="s">
        <v>2170</v>
      </c>
    </row>
    <row r="3073" spans="1:5" x14ac:dyDescent="0.25">
      <c r="A3073" t="s">
        <v>1689</v>
      </c>
      <c r="B3073" t="s">
        <v>8237</v>
      </c>
      <c r="C3073" t="s">
        <v>8238</v>
      </c>
      <c r="D3073" t="s">
        <v>2200</v>
      </c>
      <c r="E3073" t="s">
        <v>2170</v>
      </c>
    </row>
    <row r="3074" spans="1:5" x14ac:dyDescent="0.25">
      <c r="A3074" t="s">
        <v>1689</v>
      </c>
      <c r="B3074" t="s">
        <v>8239</v>
      </c>
      <c r="C3074" t="s">
        <v>8240</v>
      </c>
      <c r="D3074" t="s">
        <v>2200</v>
      </c>
      <c r="E3074" t="s">
        <v>2170</v>
      </c>
    </row>
    <row r="3075" spans="1:5" x14ac:dyDescent="0.25">
      <c r="A3075" t="s">
        <v>1689</v>
      </c>
      <c r="B3075" t="s">
        <v>8241</v>
      </c>
      <c r="C3075" t="s">
        <v>8242</v>
      </c>
      <c r="D3075" t="s">
        <v>2200</v>
      </c>
      <c r="E3075" t="s">
        <v>2170</v>
      </c>
    </row>
    <row r="3076" spans="1:5" x14ac:dyDescent="0.25">
      <c r="A3076" t="s">
        <v>1689</v>
      </c>
      <c r="B3076" t="s">
        <v>8243</v>
      </c>
      <c r="C3076" t="s">
        <v>8244</v>
      </c>
      <c r="D3076" t="s">
        <v>2200</v>
      </c>
      <c r="E3076" t="s">
        <v>2170</v>
      </c>
    </row>
    <row r="3077" spans="1:5" x14ac:dyDescent="0.25">
      <c r="A3077" t="s">
        <v>1689</v>
      </c>
      <c r="B3077" t="s">
        <v>8245</v>
      </c>
      <c r="C3077" t="s">
        <v>8246</v>
      </c>
      <c r="D3077" t="s">
        <v>2200</v>
      </c>
      <c r="E3077" t="s">
        <v>2170</v>
      </c>
    </row>
    <row r="3078" spans="1:5" x14ac:dyDescent="0.25">
      <c r="A3078" t="s">
        <v>1689</v>
      </c>
      <c r="B3078" t="s">
        <v>8247</v>
      </c>
      <c r="C3078" t="s">
        <v>8248</v>
      </c>
      <c r="D3078" t="s">
        <v>2200</v>
      </c>
      <c r="E3078" t="s">
        <v>2170</v>
      </c>
    </row>
    <row r="3079" spans="1:5" x14ac:dyDescent="0.25">
      <c r="A3079" t="s">
        <v>1689</v>
      </c>
      <c r="B3079" t="s">
        <v>8249</v>
      </c>
      <c r="C3079" t="s">
        <v>8250</v>
      </c>
      <c r="D3079" t="s">
        <v>2200</v>
      </c>
      <c r="E3079" t="s">
        <v>2170</v>
      </c>
    </row>
    <row r="3080" spans="1:5" x14ac:dyDescent="0.25">
      <c r="A3080" t="s">
        <v>1689</v>
      </c>
      <c r="B3080" t="s">
        <v>8251</v>
      </c>
      <c r="C3080" t="s">
        <v>8252</v>
      </c>
      <c r="D3080" t="s">
        <v>2200</v>
      </c>
      <c r="E3080" t="s">
        <v>2170</v>
      </c>
    </row>
    <row r="3081" spans="1:5" x14ac:dyDescent="0.25">
      <c r="A3081" t="s">
        <v>1689</v>
      </c>
      <c r="B3081" t="s">
        <v>8253</v>
      </c>
      <c r="C3081" t="s">
        <v>8254</v>
      </c>
      <c r="D3081" t="s">
        <v>2200</v>
      </c>
      <c r="E3081" t="s">
        <v>2170</v>
      </c>
    </row>
    <row r="3082" spans="1:5" x14ac:dyDescent="0.25">
      <c r="A3082" t="s">
        <v>1689</v>
      </c>
      <c r="B3082" t="s">
        <v>8255</v>
      </c>
      <c r="C3082" t="s">
        <v>8256</v>
      </c>
      <c r="D3082" t="s">
        <v>2200</v>
      </c>
      <c r="E3082" t="s">
        <v>2170</v>
      </c>
    </row>
    <row r="3083" spans="1:5" x14ac:dyDescent="0.25">
      <c r="A3083" t="s">
        <v>1689</v>
      </c>
      <c r="B3083" t="s">
        <v>8257</v>
      </c>
      <c r="C3083" t="s">
        <v>8258</v>
      </c>
      <c r="D3083" t="s">
        <v>2200</v>
      </c>
      <c r="E3083" t="s">
        <v>2170</v>
      </c>
    </row>
    <row r="3084" spans="1:5" x14ac:dyDescent="0.25">
      <c r="A3084" t="s">
        <v>1689</v>
      </c>
      <c r="B3084" t="s">
        <v>8259</v>
      </c>
      <c r="C3084" t="s">
        <v>8260</v>
      </c>
      <c r="D3084" t="s">
        <v>2200</v>
      </c>
      <c r="E3084" t="s">
        <v>2170</v>
      </c>
    </row>
    <row r="3085" spans="1:5" x14ac:dyDescent="0.25">
      <c r="A3085" t="s">
        <v>1689</v>
      </c>
      <c r="B3085" t="s">
        <v>8261</v>
      </c>
      <c r="C3085" t="s">
        <v>8262</v>
      </c>
      <c r="D3085" t="s">
        <v>2200</v>
      </c>
      <c r="E3085" t="s">
        <v>2170</v>
      </c>
    </row>
    <row r="3086" spans="1:5" x14ac:dyDescent="0.25">
      <c r="A3086" t="s">
        <v>1689</v>
      </c>
      <c r="B3086" t="s">
        <v>8263</v>
      </c>
      <c r="C3086" t="s">
        <v>8264</v>
      </c>
      <c r="D3086" t="s">
        <v>2200</v>
      </c>
      <c r="E3086" t="s">
        <v>2170</v>
      </c>
    </row>
    <row r="3087" spans="1:5" x14ac:dyDescent="0.25">
      <c r="A3087" t="s">
        <v>1689</v>
      </c>
      <c r="B3087" t="s">
        <v>8265</v>
      </c>
      <c r="C3087" t="s">
        <v>8266</v>
      </c>
      <c r="D3087" t="s">
        <v>2200</v>
      </c>
      <c r="E3087" t="s">
        <v>2170</v>
      </c>
    </row>
    <row r="3088" spans="1:5" x14ac:dyDescent="0.25">
      <c r="A3088" t="s">
        <v>1689</v>
      </c>
      <c r="B3088" t="s">
        <v>8267</v>
      </c>
      <c r="C3088" t="s">
        <v>8268</v>
      </c>
      <c r="D3088" t="s">
        <v>2200</v>
      </c>
      <c r="E3088" t="s">
        <v>2170</v>
      </c>
    </row>
    <row r="3089" spans="1:5" x14ac:dyDescent="0.25">
      <c r="A3089" t="s">
        <v>1689</v>
      </c>
      <c r="B3089" t="s">
        <v>8269</v>
      </c>
      <c r="C3089" t="s">
        <v>8270</v>
      </c>
      <c r="D3089" t="s">
        <v>2200</v>
      </c>
      <c r="E3089" t="s">
        <v>2170</v>
      </c>
    </row>
    <row r="3090" spans="1:5" x14ac:dyDescent="0.25">
      <c r="A3090" t="s">
        <v>1689</v>
      </c>
      <c r="B3090" t="s">
        <v>8271</v>
      </c>
      <c r="C3090" t="s">
        <v>8272</v>
      </c>
      <c r="D3090" t="s">
        <v>2200</v>
      </c>
      <c r="E3090" t="s">
        <v>2170</v>
      </c>
    </row>
    <row r="3091" spans="1:5" x14ac:dyDescent="0.25">
      <c r="A3091" t="s">
        <v>1689</v>
      </c>
      <c r="B3091" t="s">
        <v>8273</v>
      </c>
      <c r="C3091" t="s">
        <v>8274</v>
      </c>
      <c r="D3091" t="s">
        <v>2200</v>
      </c>
      <c r="E3091" t="s">
        <v>2170</v>
      </c>
    </row>
    <row r="3092" spans="1:5" x14ac:dyDescent="0.25">
      <c r="A3092" t="s">
        <v>1689</v>
      </c>
      <c r="B3092" t="s">
        <v>8275</v>
      </c>
      <c r="C3092" t="s">
        <v>8276</v>
      </c>
      <c r="D3092" t="s">
        <v>2200</v>
      </c>
      <c r="E3092" t="s">
        <v>2170</v>
      </c>
    </row>
    <row r="3093" spans="1:5" x14ac:dyDescent="0.25">
      <c r="A3093" t="s">
        <v>1689</v>
      </c>
      <c r="B3093" t="s">
        <v>8277</v>
      </c>
      <c r="C3093" t="s">
        <v>8278</v>
      </c>
      <c r="D3093" t="s">
        <v>3799</v>
      </c>
      <c r="E3093" t="s">
        <v>2170</v>
      </c>
    </row>
    <row r="3094" spans="1:5" x14ac:dyDescent="0.25">
      <c r="A3094" t="s">
        <v>1689</v>
      </c>
      <c r="B3094" t="s">
        <v>8279</v>
      </c>
      <c r="C3094" t="s">
        <v>8280</v>
      </c>
      <c r="D3094" t="s">
        <v>2200</v>
      </c>
      <c r="E3094" t="s">
        <v>2170</v>
      </c>
    </row>
    <row r="3095" spans="1:5" x14ac:dyDescent="0.25">
      <c r="A3095" t="s">
        <v>1701</v>
      </c>
      <c r="B3095" t="s">
        <v>8281</v>
      </c>
      <c r="C3095" t="s">
        <v>4108</v>
      </c>
      <c r="D3095" t="s">
        <v>2311</v>
      </c>
      <c r="E3095" t="s">
        <v>2170</v>
      </c>
    </row>
    <row r="3096" spans="1:5" x14ac:dyDescent="0.25">
      <c r="A3096" t="s">
        <v>1701</v>
      </c>
      <c r="B3096" t="s">
        <v>8282</v>
      </c>
      <c r="C3096" t="s">
        <v>8283</v>
      </c>
      <c r="D3096" t="s">
        <v>2311</v>
      </c>
      <c r="E3096" t="s">
        <v>2170</v>
      </c>
    </row>
    <row r="3097" spans="1:5" x14ac:dyDescent="0.25">
      <c r="A3097" t="s">
        <v>1701</v>
      </c>
      <c r="B3097" t="s">
        <v>8284</v>
      </c>
      <c r="C3097" t="s">
        <v>8285</v>
      </c>
      <c r="D3097" t="s">
        <v>2311</v>
      </c>
      <c r="E3097" t="s">
        <v>2170</v>
      </c>
    </row>
    <row r="3098" spans="1:5" x14ac:dyDescent="0.25">
      <c r="A3098" t="s">
        <v>1701</v>
      </c>
      <c r="B3098" t="s">
        <v>8286</v>
      </c>
      <c r="C3098" t="s">
        <v>8287</v>
      </c>
      <c r="D3098" t="s">
        <v>2311</v>
      </c>
      <c r="E3098" t="s">
        <v>2170</v>
      </c>
    </row>
    <row r="3099" spans="1:5" x14ac:dyDescent="0.25">
      <c r="A3099" t="s">
        <v>1701</v>
      </c>
      <c r="B3099" t="s">
        <v>8288</v>
      </c>
      <c r="C3099" t="s">
        <v>8289</v>
      </c>
      <c r="D3099" t="s">
        <v>2311</v>
      </c>
      <c r="E3099" t="s">
        <v>2170</v>
      </c>
    </row>
    <row r="3100" spans="1:5" x14ac:dyDescent="0.25">
      <c r="A3100" t="s">
        <v>1701</v>
      </c>
      <c r="B3100" t="s">
        <v>8290</v>
      </c>
      <c r="C3100" t="s">
        <v>8291</v>
      </c>
      <c r="D3100" t="s">
        <v>2311</v>
      </c>
      <c r="E3100" t="s">
        <v>2170</v>
      </c>
    </row>
    <row r="3101" spans="1:5" x14ac:dyDescent="0.25">
      <c r="A3101" t="s">
        <v>1701</v>
      </c>
      <c r="B3101" t="s">
        <v>8292</v>
      </c>
      <c r="C3101" t="s">
        <v>8293</v>
      </c>
      <c r="D3101" t="s">
        <v>2311</v>
      </c>
      <c r="E3101" t="s">
        <v>2170</v>
      </c>
    </row>
    <row r="3102" spans="1:5" x14ac:dyDescent="0.25">
      <c r="A3102" t="s">
        <v>1701</v>
      </c>
      <c r="B3102" t="s">
        <v>8294</v>
      </c>
      <c r="C3102" t="s">
        <v>8295</v>
      </c>
      <c r="D3102" t="s">
        <v>2311</v>
      </c>
      <c r="E3102" t="s">
        <v>2170</v>
      </c>
    </row>
    <row r="3103" spans="1:5" x14ac:dyDescent="0.25">
      <c r="A3103" t="s">
        <v>1701</v>
      </c>
      <c r="B3103" t="s">
        <v>8296</v>
      </c>
      <c r="C3103" t="s">
        <v>8297</v>
      </c>
      <c r="D3103" t="s">
        <v>2311</v>
      </c>
      <c r="E3103" t="s">
        <v>2170</v>
      </c>
    </row>
    <row r="3104" spans="1:5" x14ac:dyDescent="0.25">
      <c r="A3104" t="s">
        <v>1701</v>
      </c>
      <c r="B3104" t="s">
        <v>8298</v>
      </c>
      <c r="C3104" t="s">
        <v>8299</v>
      </c>
      <c r="D3104" t="s">
        <v>2311</v>
      </c>
      <c r="E3104" t="s">
        <v>2170</v>
      </c>
    </row>
    <row r="3105" spans="1:5" x14ac:dyDescent="0.25">
      <c r="A3105" t="s">
        <v>1701</v>
      </c>
      <c r="B3105" t="s">
        <v>8300</v>
      </c>
      <c r="C3105" t="s">
        <v>8301</v>
      </c>
      <c r="D3105" t="s">
        <v>2311</v>
      </c>
      <c r="E3105" t="s">
        <v>2170</v>
      </c>
    </row>
    <row r="3106" spans="1:5" x14ac:dyDescent="0.25">
      <c r="A3106" t="s">
        <v>1701</v>
      </c>
      <c r="B3106" t="s">
        <v>8302</v>
      </c>
      <c r="C3106" t="s">
        <v>8303</v>
      </c>
      <c r="D3106" t="s">
        <v>2311</v>
      </c>
      <c r="E3106" t="s">
        <v>2170</v>
      </c>
    </row>
    <row r="3107" spans="1:5" x14ac:dyDescent="0.25">
      <c r="A3107" t="s">
        <v>1701</v>
      </c>
      <c r="B3107" t="s">
        <v>8304</v>
      </c>
      <c r="C3107" t="s">
        <v>8305</v>
      </c>
      <c r="D3107" t="s">
        <v>2311</v>
      </c>
      <c r="E3107" t="s">
        <v>2170</v>
      </c>
    </row>
    <row r="3108" spans="1:5" x14ac:dyDescent="0.25">
      <c r="A3108" t="s">
        <v>1701</v>
      </c>
      <c r="B3108" t="s">
        <v>8306</v>
      </c>
      <c r="C3108" t="s">
        <v>8307</v>
      </c>
      <c r="D3108" t="s">
        <v>2311</v>
      </c>
      <c r="E3108" t="s">
        <v>2170</v>
      </c>
    </row>
    <row r="3109" spans="1:5" x14ac:dyDescent="0.25">
      <c r="A3109" t="s">
        <v>1701</v>
      </c>
      <c r="B3109" t="s">
        <v>8308</v>
      </c>
      <c r="C3109" t="s">
        <v>8309</v>
      </c>
      <c r="D3109" t="s">
        <v>2311</v>
      </c>
      <c r="E3109" t="s">
        <v>2170</v>
      </c>
    </row>
    <row r="3110" spans="1:5" x14ac:dyDescent="0.25">
      <c r="A3110" t="s">
        <v>1708</v>
      </c>
      <c r="B3110" t="s">
        <v>8310</v>
      </c>
      <c r="C3110" t="s">
        <v>8311</v>
      </c>
      <c r="D3110" t="s">
        <v>8312</v>
      </c>
      <c r="E3110" t="s">
        <v>2170</v>
      </c>
    </row>
    <row r="3111" spans="1:5" x14ac:dyDescent="0.25">
      <c r="A3111" t="s">
        <v>1708</v>
      </c>
      <c r="B3111" t="s">
        <v>8313</v>
      </c>
      <c r="C3111" t="s">
        <v>8314</v>
      </c>
      <c r="D3111" t="s">
        <v>8312</v>
      </c>
      <c r="E3111" t="s">
        <v>2170</v>
      </c>
    </row>
    <row r="3112" spans="1:5" x14ac:dyDescent="0.25">
      <c r="A3112" t="s">
        <v>1708</v>
      </c>
      <c r="B3112" t="s">
        <v>8315</v>
      </c>
      <c r="C3112" t="s">
        <v>8316</v>
      </c>
      <c r="D3112" t="s">
        <v>8312</v>
      </c>
      <c r="E3112" t="s">
        <v>2170</v>
      </c>
    </row>
    <row r="3113" spans="1:5" x14ac:dyDescent="0.25">
      <c r="A3113" t="s">
        <v>1708</v>
      </c>
      <c r="B3113" t="s">
        <v>8317</v>
      </c>
      <c r="C3113" t="s">
        <v>1707</v>
      </c>
      <c r="D3113" t="s">
        <v>8312</v>
      </c>
      <c r="E3113" t="s">
        <v>2170</v>
      </c>
    </row>
    <row r="3114" spans="1:5" x14ac:dyDescent="0.25">
      <c r="A3114" t="s">
        <v>1708</v>
      </c>
      <c r="B3114" t="s">
        <v>8318</v>
      </c>
      <c r="C3114" t="s">
        <v>8319</v>
      </c>
      <c r="D3114" t="s">
        <v>8312</v>
      </c>
      <c r="E3114" t="s">
        <v>2170</v>
      </c>
    </row>
    <row r="3115" spans="1:5" x14ac:dyDescent="0.25">
      <c r="A3115" t="s">
        <v>1708</v>
      </c>
      <c r="B3115" t="s">
        <v>8320</v>
      </c>
      <c r="C3115" t="s">
        <v>8321</v>
      </c>
      <c r="D3115" t="s">
        <v>8312</v>
      </c>
      <c r="E3115" t="s">
        <v>2170</v>
      </c>
    </row>
    <row r="3116" spans="1:5" x14ac:dyDescent="0.25">
      <c r="A3116" t="s">
        <v>1708</v>
      </c>
      <c r="B3116" t="s">
        <v>8322</v>
      </c>
      <c r="C3116" t="s">
        <v>8323</v>
      </c>
      <c r="D3116" t="s">
        <v>8312</v>
      </c>
      <c r="E3116" t="s">
        <v>2170</v>
      </c>
    </row>
    <row r="3117" spans="1:5" x14ac:dyDescent="0.25">
      <c r="A3117" t="s">
        <v>1708</v>
      </c>
      <c r="B3117" t="s">
        <v>8324</v>
      </c>
      <c r="C3117" t="s">
        <v>8325</v>
      </c>
      <c r="D3117" t="s">
        <v>8312</v>
      </c>
      <c r="E3117" t="s">
        <v>2170</v>
      </c>
    </row>
    <row r="3118" spans="1:5" x14ac:dyDescent="0.25">
      <c r="A3118" t="s">
        <v>1708</v>
      </c>
      <c r="B3118" t="s">
        <v>8326</v>
      </c>
      <c r="C3118" t="s">
        <v>8327</v>
      </c>
      <c r="D3118" t="s">
        <v>8312</v>
      </c>
      <c r="E3118" t="s">
        <v>2170</v>
      </c>
    </row>
    <row r="3119" spans="1:5" x14ac:dyDescent="0.25">
      <c r="A3119" t="s">
        <v>1708</v>
      </c>
      <c r="B3119" t="s">
        <v>8328</v>
      </c>
      <c r="C3119" t="s">
        <v>8329</v>
      </c>
      <c r="D3119" t="s">
        <v>8312</v>
      </c>
      <c r="E3119" t="s">
        <v>2170</v>
      </c>
    </row>
    <row r="3120" spans="1:5" x14ac:dyDescent="0.25">
      <c r="A3120" t="s">
        <v>1708</v>
      </c>
      <c r="B3120" t="s">
        <v>8330</v>
      </c>
      <c r="C3120" t="s">
        <v>8331</v>
      </c>
      <c r="D3120" t="s">
        <v>8312</v>
      </c>
      <c r="E3120" t="s">
        <v>2170</v>
      </c>
    </row>
    <row r="3121" spans="1:5" x14ac:dyDescent="0.25">
      <c r="A3121" t="s">
        <v>1708</v>
      </c>
      <c r="B3121" t="s">
        <v>8332</v>
      </c>
      <c r="C3121" t="s">
        <v>8333</v>
      </c>
      <c r="D3121" t="s">
        <v>8312</v>
      </c>
      <c r="E3121" t="s">
        <v>2170</v>
      </c>
    </row>
    <row r="3122" spans="1:5" x14ac:dyDescent="0.25">
      <c r="A3122" t="s">
        <v>1708</v>
      </c>
      <c r="B3122" t="s">
        <v>8334</v>
      </c>
      <c r="C3122" t="s">
        <v>8335</v>
      </c>
      <c r="D3122" t="s">
        <v>8312</v>
      </c>
      <c r="E3122" t="s">
        <v>2170</v>
      </c>
    </row>
    <row r="3123" spans="1:5" x14ac:dyDescent="0.25">
      <c r="A3123" t="s">
        <v>1708</v>
      </c>
      <c r="B3123" t="s">
        <v>8336</v>
      </c>
      <c r="C3123" t="s">
        <v>8337</v>
      </c>
      <c r="D3123" t="s">
        <v>8312</v>
      </c>
      <c r="E3123" t="s">
        <v>2170</v>
      </c>
    </row>
    <row r="3124" spans="1:5" x14ac:dyDescent="0.25">
      <c r="A3124" t="s">
        <v>1708</v>
      </c>
      <c r="B3124" t="s">
        <v>8338</v>
      </c>
      <c r="C3124" t="s">
        <v>8339</v>
      </c>
      <c r="D3124" t="s">
        <v>8312</v>
      </c>
      <c r="E3124" t="s">
        <v>2170</v>
      </c>
    </row>
    <row r="3125" spans="1:5" x14ac:dyDescent="0.25">
      <c r="A3125" t="s">
        <v>1708</v>
      </c>
      <c r="B3125" t="s">
        <v>8340</v>
      </c>
      <c r="C3125" t="s">
        <v>8341</v>
      </c>
      <c r="D3125" t="s">
        <v>8312</v>
      </c>
      <c r="E3125" t="s">
        <v>2170</v>
      </c>
    </row>
    <row r="3126" spans="1:5" x14ac:dyDescent="0.25">
      <c r="A3126" t="s">
        <v>1708</v>
      </c>
      <c r="B3126" t="s">
        <v>8342</v>
      </c>
      <c r="C3126" t="s">
        <v>8343</v>
      </c>
      <c r="D3126" t="s">
        <v>8312</v>
      </c>
      <c r="E3126" t="s">
        <v>2170</v>
      </c>
    </row>
    <row r="3127" spans="1:5" x14ac:dyDescent="0.25">
      <c r="A3127" t="s">
        <v>1708</v>
      </c>
      <c r="B3127" t="s">
        <v>8344</v>
      </c>
      <c r="C3127" t="s">
        <v>8345</v>
      </c>
      <c r="D3127" t="s">
        <v>8312</v>
      </c>
      <c r="E3127" t="s">
        <v>2170</v>
      </c>
    </row>
    <row r="3128" spans="1:5" x14ac:dyDescent="0.25">
      <c r="A3128" t="s">
        <v>1708</v>
      </c>
      <c r="B3128" t="s">
        <v>8346</v>
      </c>
      <c r="C3128" t="s">
        <v>8347</v>
      </c>
      <c r="D3128" t="s">
        <v>8312</v>
      </c>
      <c r="E3128" t="s">
        <v>2170</v>
      </c>
    </row>
    <row r="3129" spans="1:5" x14ac:dyDescent="0.25">
      <c r="A3129" t="s">
        <v>1708</v>
      </c>
      <c r="B3129" t="s">
        <v>8348</v>
      </c>
      <c r="C3129" t="s">
        <v>8349</v>
      </c>
      <c r="D3129" t="s">
        <v>8312</v>
      </c>
      <c r="E3129" t="s">
        <v>2170</v>
      </c>
    </row>
    <row r="3130" spans="1:5" x14ac:dyDescent="0.25">
      <c r="A3130" t="s">
        <v>1708</v>
      </c>
      <c r="B3130" t="s">
        <v>8350</v>
      </c>
      <c r="C3130" t="s">
        <v>8351</v>
      </c>
      <c r="D3130" t="s">
        <v>8312</v>
      </c>
      <c r="E3130" t="s">
        <v>2170</v>
      </c>
    </row>
    <row r="3131" spans="1:5" x14ac:dyDescent="0.25">
      <c r="A3131" t="s">
        <v>1708</v>
      </c>
      <c r="B3131" t="s">
        <v>8352</v>
      </c>
      <c r="C3131" t="s">
        <v>8353</v>
      </c>
      <c r="D3131" t="s">
        <v>8312</v>
      </c>
      <c r="E3131" t="s">
        <v>2170</v>
      </c>
    </row>
    <row r="3132" spans="1:5" x14ac:dyDescent="0.25">
      <c r="A3132" t="s">
        <v>1708</v>
      </c>
      <c r="B3132" t="s">
        <v>8354</v>
      </c>
      <c r="C3132" t="s">
        <v>8355</v>
      </c>
      <c r="D3132" t="s">
        <v>8312</v>
      </c>
      <c r="E3132" t="s">
        <v>2170</v>
      </c>
    </row>
    <row r="3133" spans="1:5" x14ac:dyDescent="0.25">
      <c r="A3133" t="s">
        <v>1708</v>
      </c>
      <c r="B3133" t="s">
        <v>8356</v>
      </c>
      <c r="C3133" t="s">
        <v>8357</v>
      </c>
      <c r="D3133" t="s">
        <v>8312</v>
      </c>
      <c r="E3133" t="s">
        <v>2170</v>
      </c>
    </row>
    <row r="3134" spans="1:5" x14ac:dyDescent="0.25">
      <c r="A3134" t="s">
        <v>1708</v>
      </c>
      <c r="B3134" t="s">
        <v>8358</v>
      </c>
      <c r="C3134" t="s">
        <v>8359</v>
      </c>
      <c r="D3134" t="s">
        <v>8312</v>
      </c>
      <c r="E3134" t="s">
        <v>2170</v>
      </c>
    </row>
    <row r="3135" spans="1:5" x14ac:dyDescent="0.25">
      <c r="A3135" t="s">
        <v>1708</v>
      </c>
      <c r="B3135" t="s">
        <v>8360</v>
      </c>
      <c r="C3135" t="s">
        <v>8361</v>
      </c>
      <c r="D3135" t="s">
        <v>8312</v>
      </c>
      <c r="E3135" t="s">
        <v>2170</v>
      </c>
    </row>
    <row r="3136" spans="1:5" x14ac:dyDescent="0.25">
      <c r="A3136" t="s">
        <v>1708</v>
      </c>
      <c r="B3136" t="s">
        <v>8362</v>
      </c>
      <c r="C3136" t="s">
        <v>8363</v>
      </c>
      <c r="D3136" t="s">
        <v>8312</v>
      </c>
      <c r="E3136" t="s">
        <v>2170</v>
      </c>
    </row>
    <row r="3137" spans="1:5" x14ac:dyDescent="0.25">
      <c r="A3137" t="s">
        <v>1708</v>
      </c>
      <c r="B3137" t="s">
        <v>8364</v>
      </c>
      <c r="C3137" t="s">
        <v>8365</v>
      </c>
      <c r="D3137" t="s">
        <v>8312</v>
      </c>
      <c r="E3137" t="s">
        <v>2170</v>
      </c>
    </row>
    <row r="3138" spans="1:5" x14ac:dyDescent="0.25">
      <c r="A3138" t="s">
        <v>1708</v>
      </c>
      <c r="B3138" t="s">
        <v>8366</v>
      </c>
      <c r="C3138" t="s">
        <v>8367</v>
      </c>
      <c r="D3138" t="s">
        <v>8312</v>
      </c>
      <c r="E3138" t="s">
        <v>2170</v>
      </c>
    </row>
    <row r="3139" spans="1:5" x14ac:dyDescent="0.25">
      <c r="A3139" t="s">
        <v>1708</v>
      </c>
      <c r="B3139" t="s">
        <v>8368</v>
      </c>
      <c r="C3139" t="s">
        <v>8369</v>
      </c>
      <c r="D3139" t="s">
        <v>8312</v>
      </c>
      <c r="E3139" t="s">
        <v>2170</v>
      </c>
    </row>
    <row r="3140" spans="1:5" x14ac:dyDescent="0.25">
      <c r="A3140" t="s">
        <v>1708</v>
      </c>
      <c r="B3140" t="s">
        <v>8370</v>
      </c>
      <c r="C3140" t="s">
        <v>8371</v>
      </c>
      <c r="D3140" t="s">
        <v>8312</v>
      </c>
      <c r="E3140" t="s">
        <v>2170</v>
      </c>
    </row>
    <row r="3141" spans="1:5" x14ac:dyDescent="0.25">
      <c r="A3141" t="s">
        <v>1708</v>
      </c>
      <c r="B3141" t="s">
        <v>8372</v>
      </c>
      <c r="C3141" t="s">
        <v>8373</v>
      </c>
      <c r="D3141" t="s">
        <v>8312</v>
      </c>
      <c r="E3141" t="s">
        <v>2170</v>
      </c>
    </row>
    <row r="3142" spans="1:5" x14ac:dyDescent="0.25">
      <c r="A3142" t="s">
        <v>1708</v>
      </c>
      <c r="B3142" t="s">
        <v>8374</v>
      </c>
      <c r="C3142" t="s">
        <v>8375</v>
      </c>
      <c r="D3142" t="s">
        <v>8312</v>
      </c>
      <c r="E3142" t="s">
        <v>2170</v>
      </c>
    </row>
    <row r="3143" spans="1:5" x14ac:dyDescent="0.25">
      <c r="A3143" t="s">
        <v>1708</v>
      </c>
      <c r="B3143" t="s">
        <v>8376</v>
      </c>
      <c r="C3143" t="s">
        <v>8377</v>
      </c>
      <c r="D3143" t="s">
        <v>8312</v>
      </c>
      <c r="E3143" t="s">
        <v>2170</v>
      </c>
    </row>
    <row r="3144" spans="1:5" x14ac:dyDescent="0.25">
      <c r="A3144" t="s">
        <v>1708</v>
      </c>
      <c r="B3144" t="s">
        <v>8378</v>
      </c>
      <c r="C3144" t="s">
        <v>8379</v>
      </c>
      <c r="D3144" t="s">
        <v>8312</v>
      </c>
      <c r="E3144" t="s">
        <v>2170</v>
      </c>
    </row>
    <row r="3145" spans="1:5" x14ac:dyDescent="0.25">
      <c r="A3145" t="s">
        <v>1708</v>
      </c>
      <c r="B3145" t="s">
        <v>8380</v>
      </c>
      <c r="C3145" t="s">
        <v>8381</v>
      </c>
      <c r="D3145" t="s">
        <v>8312</v>
      </c>
      <c r="E3145" t="s">
        <v>2170</v>
      </c>
    </row>
    <row r="3146" spans="1:5" x14ac:dyDescent="0.25">
      <c r="A3146" t="s">
        <v>1708</v>
      </c>
      <c r="B3146" t="s">
        <v>8382</v>
      </c>
      <c r="C3146" t="s">
        <v>8383</v>
      </c>
      <c r="D3146" t="s">
        <v>8312</v>
      </c>
      <c r="E3146" t="s">
        <v>2170</v>
      </c>
    </row>
    <row r="3147" spans="1:5" x14ac:dyDescent="0.25">
      <c r="A3147" t="s">
        <v>1708</v>
      </c>
      <c r="B3147" t="s">
        <v>8384</v>
      </c>
      <c r="C3147" t="s">
        <v>8385</v>
      </c>
      <c r="D3147" t="s">
        <v>8312</v>
      </c>
      <c r="E3147" t="s">
        <v>2170</v>
      </c>
    </row>
    <row r="3148" spans="1:5" x14ac:dyDescent="0.25">
      <c r="A3148" t="s">
        <v>1708</v>
      </c>
      <c r="B3148" t="s">
        <v>8386</v>
      </c>
      <c r="C3148" t="s">
        <v>8387</v>
      </c>
      <c r="D3148" t="s">
        <v>8312</v>
      </c>
      <c r="E3148" t="s">
        <v>2170</v>
      </c>
    </row>
    <row r="3149" spans="1:5" x14ac:dyDescent="0.25">
      <c r="A3149" t="s">
        <v>1708</v>
      </c>
      <c r="B3149" t="s">
        <v>8388</v>
      </c>
      <c r="C3149" t="s">
        <v>8389</v>
      </c>
      <c r="D3149" t="s">
        <v>8312</v>
      </c>
      <c r="E3149" t="s">
        <v>2170</v>
      </c>
    </row>
    <row r="3150" spans="1:5" x14ac:dyDescent="0.25">
      <c r="A3150" t="s">
        <v>1708</v>
      </c>
      <c r="B3150" t="s">
        <v>8390</v>
      </c>
      <c r="C3150" t="s">
        <v>8391</v>
      </c>
      <c r="D3150" t="s">
        <v>8312</v>
      </c>
      <c r="E3150" t="s">
        <v>2170</v>
      </c>
    </row>
    <row r="3151" spans="1:5" x14ac:dyDescent="0.25">
      <c r="A3151" t="s">
        <v>1708</v>
      </c>
      <c r="B3151" t="s">
        <v>8392</v>
      </c>
      <c r="C3151" t="s">
        <v>8393</v>
      </c>
      <c r="D3151" t="s">
        <v>8312</v>
      </c>
      <c r="E3151" t="s">
        <v>2170</v>
      </c>
    </row>
    <row r="3152" spans="1:5" x14ac:dyDescent="0.25">
      <c r="A3152" t="s">
        <v>1708</v>
      </c>
      <c r="B3152" t="s">
        <v>8394</v>
      </c>
      <c r="C3152" t="s">
        <v>8395</v>
      </c>
      <c r="D3152" t="s">
        <v>8312</v>
      </c>
      <c r="E3152" t="s">
        <v>2170</v>
      </c>
    </row>
    <row r="3153" spans="1:5" x14ac:dyDescent="0.25">
      <c r="A3153" t="s">
        <v>1708</v>
      </c>
      <c r="B3153" t="s">
        <v>8396</v>
      </c>
      <c r="C3153" t="s">
        <v>8397</v>
      </c>
      <c r="D3153" t="s">
        <v>8312</v>
      </c>
      <c r="E3153" t="s">
        <v>2170</v>
      </c>
    </row>
    <row r="3154" spans="1:5" x14ac:dyDescent="0.25">
      <c r="A3154" t="s">
        <v>1708</v>
      </c>
      <c r="B3154" t="s">
        <v>8398</v>
      </c>
      <c r="C3154" t="s">
        <v>8399</v>
      </c>
      <c r="D3154" t="s">
        <v>8312</v>
      </c>
      <c r="E3154" t="s">
        <v>2170</v>
      </c>
    </row>
    <row r="3155" spans="1:5" x14ac:dyDescent="0.25">
      <c r="A3155" t="s">
        <v>1708</v>
      </c>
      <c r="B3155" t="s">
        <v>8400</v>
      </c>
      <c r="C3155" t="s">
        <v>8401</v>
      </c>
      <c r="D3155" t="s">
        <v>8312</v>
      </c>
      <c r="E3155" t="s">
        <v>2170</v>
      </c>
    </row>
    <row r="3156" spans="1:5" x14ac:dyDescent="0.25">
      <c r="A3156" t="s">
        <v>1708</v>
      </c>
      <c r="B3156" t="s">
        <v>8402</v>
      </c>
      <c r="C3156" t="s">
        <v>7762</v>
      </c>
      <c r="D3156" t="s">
        <v>8312</v>
      </c>
      <c r="E3156" t="s">
        <v>2170</v>
      </c>
    </row>
    <row r="3157" spans="1:5" x14ac:dyDescent="0.25">
      <c r="A3157" t="s">
        <v>1708</v>
      </c>
      <c r="B3157" t="s">
        <v>8403</v>
      </c>
      <c r="C3157" t="s">
        <v>8404</v>
      </c>
      <c r="D3157" t="s">
        <v>8312</v>
      </c>
      <c r="E3157" t="s">
        <v>2170</v>
      </c>
    </row>
    <row r="3158" spans="1:5" x14ac:dyDescent="0.25">
      <c r="A3158" t="s">
        <v>1708</v>
      </c>
      <c r="B3158" t="s">
        <v>8405</v>
      </c>
      <c r="C3158" t="s">
        <v>8406</v>
      </c>
      <c r="D3158" t="s">
        <v>8312</v>
      </c>
      <c r="E3158" t="s">
        <v>2170</v>
      </c>
    </row>
    <row r="3159" spans="1:5" x14ac:dyDescent="0.25">
      <c r="A3159" t="s">
        <v>1708</v>
      </c>
      <c r="B3159" t="s">
        <v>8407</v>
      </c>
      <c r="C3159" t="s">
        <v>8408</v>
      </c>
      <c r="D3159" t="s">
        <v>8312</v>
      </c>
      <c r="E3159" t="s">
        <v>2170</v>
      </c>
    </row>
    <row r="3160" spans="1:5" x14ac:dyDescent="0.25">
      <c r="A3160" t="s">
        <v>1708</v>
      </c>
      <c r="B3160" t="s">
        <v>8409</v>
      </c>
      <c r="C3160" t="s">
        <v>8410</v>
      </c>
      <c r="D3160" t="s">
        <v>8312</v>
      </c>
      <c r="E3160" t="s">
        <v>2170</v>
      </c>
    </row>
    <row r="3161" spans="1:5" x14ac:dyDescent="0.25">
      <c r="A3161" t="s">
        <v>1708</v>
      </c>
      <c r="B3161" t="s">
        <v>8411</v>
      </c>
      <c r="C3161" t="s">
        <v>8412</v>
      </c>
      <c r="D3161" t="s">
        <v>8312</v>
      </c>
      <c r="E3161" t="s">
        <v>2170</v>
      </c>
    </row>
    <row r="3162" spans="1:5" x14ac:dyDescent="0.25">
      <c r="A3162" t="s">
        <v>1708</v>
      </c>
      <c r="B3162" t="s">
        <v>8413</v>
      </c>
      <c r="C3162" t="s">
        <v>8414</v>
      </c>
      <c r="D3162" t="s">
        <v>8312</v>
      </c>
      <c r="E3162" t="s">
        <v>2170</v>
      </c>
    </row>
    <row r="3163" spans="1:5" x14ac:dyDescent="0.25">
      <c r="A3163" t="s">
        <v>1708</v>
      </c>
      <c r="B3163" t="s">
        <v>8415</v>
      </c>
      <c r="C3163" t="s">
        <v>8416</v>
      </c>
      <c r="D3163" t="s">
        <v>8312</v>
      </c>
      <c r="E3163" t="s">
        <v>2170</v>
      </c>
    </row>
    <row r="3164" spans="1:5" x14ac:dyDescent="0.25">
      <c r="A3164" t="s">
        <v>1708</v>
      </c>
      <c r="B3164" t="s">
        <v>8417</v>
      </c>
      <c r="C3164" t="s">
        <v>8418</v>
      </c>
      <c r="D3164" t="s">
        <v>8312</v>
      </c>
      <c r="E3164" t="s">
        <v>2170</v>
      </c>
    </row>
    <row r="3165" spans="1:5" x14ac:dyDescent="0.25">
      <c r="A3165" t="s">
        <v>1708</v>
      </c>
      <c r="B3165" t="s">
        <v>8419</v>
      </c>
      <c r="C3165" t="s">
        <v>8420</v>
      </c>
      <c r="D3165" t="s">
        <v>8312</v>
      </c>
      <c r="E3165" t="s">
        <v>2170</v>
      </c>
    </row>
    <row r="3166" spans="1:5" x14ac:dyDescent="0.25">
      <c r="A3166" t="s">
        <v>1708</v>
      </c>
      <c r="B3166" t="s">
        <v>8421</v>
      </c>
      <c r="C3166" t="s">
        <v>8422</v>
      </c>
      <c r="D3166" t="s">
        <v>8312</v>
      </c>
      <c r="E3166" t="s">
        <v>2170</v>
      </c>
    </row>
    <row r="3167" spans="1:5" x14ac:dyDescent="0.25">
      <c r="A3167" t="s">
        <v>1708</v>
      </c>
      <c r="B3167" t="s">
        <v>8423</v>
      </c>
      <c r="C3167" t="s">
        <v>8424</v>
      </c>
      <c r="D3167" t="s">
        <v>8312</v>
      </c>
      <c r="E3167" t="s">
        <v>2170</v>
      </c>
    </row>
    <row r="3168" spans="1:5" x14ac:dyDescent="0.25">
      <c r="A3168" t="s">
        <v>1708</v>
      </c>
      <c r="B3168" t="s">
        <v>8425</v>
      </c>
      <c r="C3168" t="s">
        <v>8426</v>
      </c>
      <c r="D3168" t="s">
        <v>8312</v>
      </c>
      <c r="E3168" t="s">
        <v>2170</v>
      </c>
    </row>
    <row r="3169" spans="1:5" x14ac:dyDescent="0.25">
      <c r="A3169" t="s">
        <v>1708</v>
      </c>
      <c r="B3169" t="s">
        <v>8427</v>
      </c>
      <c r="C3169" t="s">
        <v>8428</v>
      </c>
      <c r="D3169" t="s">
        <v>8312</v>
      </c>
      <c r="E3169" t="s">
        <v>2170</v>
      </c>
    </row>
    <row r="3170" spans="1:5" x14ac:dyDescent="0.25">
      <c r="A3170" t="s">
        <v>1708</v>
      </c>
      <c r="B3170" t="s">
        <v>8429</v>
      </c>
      <c r="C3170" t="s">
        <v>8430</v>
      </c>
      <c r="D3170" t="s">
        <v>8312</v>
      </c>
      <c r="E3170" t="s">
        <v>2170</v>
      </c>
    </row>
    <row r="3171" spans="1:5" x14ac:dyDescent="0.25">
      <c r="A3171" t="s">
        <v>1708</v>
      </c>
      <c r="B3171" t="s">
        <v>8431</v>
      </c>
      <c r="C3171" t="s">
        <v>8432</v>
      </c>
      <c r="D3171" t="s">
        <v>8312</v>
      </c>
      <c r="E3171" t="s">
        <v>2170</v>
      </c>
    </row>
    <row r="3172" spans="1:5" x14ac:dyDescent="0.25">
      <c r="A3172" t="s">
        <v>1708</v>
      </c>
      <c r="B3172" t="s">
        <v>8433</v>
      </c>
      <c r="C3172" t="s">
        <v>8434</v>
      </c>
      <c r="D3172" t="s">
        <v>8312</v>
      </c>
      <c r="E3172" t="s">
        <v>2170</v>
      </c>
    </row>
    <row r="3173" spans="1:5" x14ac:dyDescent="0.25">
      <c r="A3173" t="s">
        <v>1708</v>
      </c>
      <c r="B3173" t="s">
        <v>8435</v>
      </c>
      <c r="C3173" t="s">
        <v>8436</v>
      </c>
      <c r="D3173" t="s">
        <v>8312</v>
      </c>
      <c r="E3173" t="s">
        <v>2170</v>
      </c>
    </row>
    <row r="3174" spans="1:5" x14ac:dyDescent="0.25">
      <c r="A3174" t="s">
        <v>1708</v>
      </c>
      <c r="B3174" t="s">
        <v>8437</v>
      </c>
      <c r="C3174" t="s">
        <v>8438</v>
      </c>
      <c r="D3174" t="s">
        <v>8312</v>
      </c>
      <c r="E3174" t="s">
        <v>2170</v>
      </c>
    </row>
    <row r="3175" spans="1:5" x14ac:dyDescent="0.25">
      <c r="A3175" t="s">
        <v>1708</v>
      </c>
      <c r="B3175" t="s">
        <v>8439</v>
      </c>
      <c r="C3175" t="s">
        <v>8440</v>
      </c>
      <c r="D3175" t="s">
        <v>8312</v>
      </c>
      <c r="E3175" t="s">
        <v>2170</v>
      </c>
    </row>
    <row r="3176" spans="1:5" x14ac:dyDescent="0.25">
      <c r="A3176" t="s">
        <v>1708</v>
      </c>
      <c r="B3176" t="s">
        <v>8441</v>
      </c>
      <c r="C3176" t="s">
        <v>8442</v>
      </c>
      <c r="D3176" t="s">
        <v>8312</v>
      </c>
      <c r="E3176" t="s">
        <v>2170</v>
      </c>
    </row>
    <row r="3177" spans="1:5" x14ac:dyDescent="0.25">
      <c r="A3177" t="s">
        <v>1708</v>
      </c>
      <c r="B3177" t="s">
        <v>8443</v>
      </c>
      <c r="C3177" t="s">
        <v>8444</v>
      </c>
      <c r="D3177" t="s">
        <v>8312</v>
      </c>
      <c r="E3177" t="s">
        <v>2170</v>
      </c>
    </row>
    <row r="3178" spans="1:5" x14ac:dyDescent="0.25">
      <c r="A3178" t="s">
        <v>1711</v>
      </c>
      <c r="B3178" t="s">
        <v>8445</v>
      </c>
      <c r="C3178" t="s">
        <v>8446</v>
      </c>
      <c r="D3178" t="s">
        <v>2281</v>
      </c>
      <c r="E3178" t="s">
        <v>2170</v>
      </c>
    </row>
    <row r="3179" spans="1:5" x14ac:dyDescent="0.25">
      <c r="A3179" t="s">
        <v>1711</v>
      </c>
      <c r="B3179" t="s">
        <v>8447</v>
      </c>
      <c r="C3179" t="s">
        <v>8448</v>
      </c>
      <c r="D3179" t="s">
        <v>2646</v>
      </c>
      <c r="E3179" t="s">
        <v>2170</v>
      </c>
    </row>
    <row r="3180" spans="1:5" x14ac:dyDescent="0.25">
      <c r="A3180" t="s">
        <v>1711</v>
      </c>
      <c r="B3180" t="s">
        <v>8449</v>
      </c>
      <c r="C3180" t="s">
        <v>8450</v>
      </c>
      <c r="D3180" t="s">
        <v>2281</v>
      </c>
      <c r="E3180" t="s">
        <v>2170</v>
      </c>
    </row>
    <row r="3181" spans="1:5" x14ac:dyDescent="0.25">
      <c r="A3181" t="s">
        <v>1711</v>
      </c>
      <c r="B3181" t="s">
        <v>8451</v>
      </c>
      <c r="C3181" t="s">
        <v>8452</v>
      </c>
      <c r="D3181" t="s">
        <v>2646</v>
      </c>
      <c r="E3181" t="s">
        <v>2170</v>
      </c>
    </row>
    <row r="3182" spans="1:5" x14ac:dyDescent="0.25">
      <c r="A3182" t="s">
        <v>1711</v>
      </c>
      <c r="B3182" t="s">
        <v>8453</v>
      </c>
      <c r="C3182" t="s">
        <v>8454</v>
      </c>
      <c r="D3182" t="s">
        <v>2646</v>
      </c>
      <c r="E3182" t="s">
        <v>2170</v>
      </c>
    </row>
    <row r="3183" spans="1:5" x14ac:dyDescent="0.25">
      <c r="A3183" t="s">
        <v>1711</v>
      </c>
      <c r="B3183" t="s">
        <v>8455</v>
      </c>
      <c r="C3183" t="s">
        <v>8456</v>
      </c>
      <c r="D3183" t="s">
        <v>2646</v>
      </c>
      <c r="E3183" t="s">
        <v>2170</v>
      </c>
    </row>
    <row r="3184" spans="1:5" x14ac:dyDescent="0.25">
      <c r="A3184" t="s">
        <v>1711</v>
      </c>
      <c r="B3184" t="s">
        <v>8457</v>
      </c>
      <c r="C3184" t="s">
        <v>8458</v>
      </c>
      <c r="D3184" t="s">
        <v>2646</v>
      </c>
      <c r="E3184" t="s">
        <v>2170</v>
      </c>
    </row>
    <row r="3185" spans="1:5" x14ac:dyDescent="0.25">
      <c r="A3185" t="s">
        <v>1711</v>
      </c>
      <c r="B3185" t="s">
        <v>8459</v>
      </c>
      <c r="C3185" t="s">
        <v>8460</v>
      </c>
      <c r="D3185" t="s">
        <v>2646</v>
      </c>
      <c r="E3185" t="s">
        <v>2170</v>
      </c>
    </row>
    <row r="3186" spans="1:5" x14ac:dyDescent="0.25">
      <c r="A3186" t="s">
        <v>1711</v>
      </c>
      <c r="B3186" t="s">
        <v>8461</v>
      </c>
      <c r="C3186" t="s">
        <v>1710</v>
      </c>
      <c r="D3186" t="s">
        <v>2646</v>
      </c>
      <c r="E3186" t="s">
        <v>2170</v>
      </c>
    </row>
    <row r="3187" spans="1:5" x14ac:dyDescent="0.25">
      <c r="A3187" t="s">
        <v>1711</v>
      </c>
      <c r="B3187" t="s">
        <v>8462</v>
      </c>
      <c r="C3187" t="s">
        <v>8463</v>
      </c>
      <c r="D3187" t="s">
        <v>2646</v>
      </c>
      <c r="E3187" t="s">
        <v>2170</v>
      </c>
    </row>
    <row r="3188" spans="1:5" x14ac:dyDescent="0.25">
      <c r="A3188" t="s">
        <v>1711</v>
      </c>
      <c r="B3188" t="s">
        <v>8464</v>
      </c>
      <c r="C3188" t="s">
        <v>8465</v>
      </c>
      <c r="D3188" t="s">
        <v>2281</v>
      </c>
      <c r="E3188" t="s">
        <v>2170</v>
      </c>
    </row>
    <row r="3189" spans="1:5" x14ac:dyDescent="0.25">
      <c r="A3189" t="s">
        <v>1711</v>
      </c>
      <c r="B3189" t="s">
        <v>8466</v>
      </c>
      <c r="C3189" t="s">
        <v>8467</v>
      </c>
      <c r="D3189" t="s">
        <v>2646</v>
      </c>
      <c r="E3189" t="s">
        <v>2170</v>
      </c>
    </row>
    <row r="3190" spans="1:5" x14ac:dyDescent="0.25">
      <c r="A3190" t="s">
        <v>1714</v>
      </c>
      <c r="B3190" t="s">
        <v>8468</v>
      </c>
      <c r="C3190" t="s">
        <v>8469</v>
      </c>
      <c r="D3190" t="s">
        <v>2318</v>
      </c>
      <c r="E3190" t="s">
        <v>2170</v>
      </c>
    </row>
    <row r="3191" spans="1:5" x14ac:dyDescent="0.25">
      <c r="A3191" t="s">
        <v>1714</v>
      </c>
      <c r="B3191" t="s">
        <v>8470</v>
      </c>
      <c r="C3191" t="s">
        <v>8471</v>
      </c>
      <c r="D3191" t="s">
        <v>8472</v>
      </c>
      <c r="E3191" t="s">
        <v>2170</v>
      </c>
    </row>
    <row r="3192" spans="1:5" x14ac:dyDescent="0.25">
      <c r="A3192" t="s">
        <v>1714</v>
      </c>
      <c r="B3192" t="s">
        <v>8473</v>
      </c>
      <c r="C3192" t="s">
        <v>8474</v>
      </c>
      <c r="D3192" t="s">
        <v>8472</v>
      </c>
      <c r="E3192" t="s">
        <v>2170</v>
      </c>
    </row>
    <row r="3193" spans="1:5" x14ac:dyDescent="0.25">
      <c r="A3193" t="s">
        <v>1714</v>
      </c>
      <c r="B3193" t="s">
        <v>8475</v>
      </c>
      <c r="C3193" t="s">
        <v>8476</v>
      </c>
      <c r="D3193" t="s">
        <v>8472</v>
      </c>
      <c r="E3193" t="s">
        <v>2170</v>
      </c>
    </row>
    <row r="3194" spans="1:5" x14ac:dyDescent="0.25">
      <c r="A3194" t="s">
        <v>1714</v>
      </c>
      <c r="B3194" t="s">
        <v>8477</v>
      </c>
      <c r="C3194" t="s">
        <v>8478</v>
      </c>
      <c r="D3194" t="s">
        <v>8472</v>
      </c>
      <c r="E3194" t="s">
        <v>2170</v>
      </c>
    </row>
    <row r="3195" spans="1:5" x14ac:dyDescent="0.25">
      <c r="A3195" t="s">
        <v>1714</v>
      </c>
      <c r="B3195" t="s">
        <v>8479</v>
      </c>
      <c r="C3195" t="s">
        <v>8480</v>
      </c>
      <c r="D3195" t="s">
        <v>8472</v>
      </c>
      <c r="E3195" t="s">
        <v>2170</v>
      </c>
    </row>
    <row r="3196" spans="1:5" x14ac:dyDescent="0.25">
      <c r="A3196" t="s">
        <v>1714</v>
      </c>
      <c r="B3196" t="s">
        <v>8481</v>
      </c>
      <c r="C3196" t="s">
        <v>8482</v>
      </c>
      <c r="D3196" t="s">
        <v>8472</v>
      </c>
      <c r="E3196" t="s">
        <v>2170</v>
      </c>
    </row>
    <row r="3197" spans="1:5" x14ac:dyDescent="0.25">
      <c r="A3197" t="s">
        <v>1714</v>
      </c>
      <c r="B3197" t="s">
        <v>8483</v>
      </c>
      <c r="C3197" t="s">
        <v>8484</v>
      </c>
      <c r="D3197" t="s">
        <v>8472</v>
      </c>
      <c r="E3197" t="s">
        <v>2170</v>
      </c>
    </row>
    <row r="3198" spans="1:5" x14ac:dyDescent="0.25">
      <c r="A3198" t="s">
        <v>1714</v>
      </c>
      <c r="B3198" t="s">
        <v>8485</v>
      </c>
      <c r="C3198" t="s">
        <v>8486</v>
      </c>
      <c r="D3198" t="s">
        <v>8472</v>
      </c>
      <c r="E3198" t="s">
        <v>2170</v>
      </c>
    </row>
    <row r="3199" spans="1:5" x14ac:dyDescent="0.25">
      <c r="A3199" t="s">
        <v>1714</v>
      </c>
      <c r="B3199" t="s">
        <v>8487</v>
      </c>
      <c r="C3199" t="s">
        <v>8488</v>
      </c>
      <c r="D3199" t="s">
        <v>8472</v>
      </c>
      <c r="E3199" t="s">
        <v>2170</v>
      </c>
    </row>
    <row r="3200" spans="1:5" x14ac:dyDescent="0.25">
      <c r="A3200" t="s">
        <v>1714</v>
      </c>
      <c r="B3200" t="s">
        <v>8489</v>
      </c>
      <c r="C3200" t="s">
        <v>8490</v>
      </c>
      <c r="D3200" t="s">
        <v>2318</v>
      </c>
      <c r="E3200" t="s">
        <v>2170</v>
      </c>
    </row>
    <row r="3201" spans="1:5" x14ac:dyDescent="0.25">
      <c r="A3201" t="s">
        <v>1714</v>
      </c>
      <c r="B3201" t="s">
        <v>8491</v>
      </c>
      <c r="C3201" t="s">
        <v>8492</v>
      </c>
      <c r="D3201" t="s">
        <v>8472</v>
      </c>
      <c r="E3201" t="s">
        <v>2170</v>
      </c>
    </row>
    <row r="3202" spans="1:5" x14ac:dyDescent="0.25">
      <c r="A3202" t="s">
        <v>1714</v>
      </c>
      <c r="B3202" t="s">
        <v>8493</v>
      </c>
      <c r="C3202" t="s">
        <v>8494</v>
      </c>
      <c r="D3202" t="s">
        <v>8472</v>
      </c>
      <c r="E3202" t="s">
        <v>2170</v>
      </c>
    </row>
    <row r="3203" spans="1:5" x14ac:dyDescent="0.25">
      <c r="A3203" t="s">
        <v>1714</v>
      </c>
      <c r="B3203" t="s">
        <v>8495</v>
      </c>
      <c r="C3203" t="s">
        <v>8496</v>
      </c>
      <c r="D3203" t="s">
        <v>8472</v>
      </c>
      <c r="E3203" t="s">
        <v>2170</v>
      </c>
    </row>
    <row r="3204" spans="1:5" x14ac:dyDescent="0.25">
      <c r="A3204" t="s">
        <v>1714</v>
      </c>
      <c r="B3204" t="s">
        <v>8497</v>
      </c>
      <c r="C3204" t="s">
        <v>8498</v>
      </c>
      <c r="D3204" t="s">
        <v>8472</v>
      </c>
      <c r="E3204" t="s">
        <v>2170</v>
      </c>
    </row>
    <row r="3205" spans="1:5" x14ac:dyDescent="0.25">
      <c r="A3205" t="s">
        <v>1714</v>
      </c>
      <c r="B3205" t="s">
        <v>8499</v>
      </c>
      <c r="C3205" t="s">
        <v>8500</v>
      </c>
      <c r="D3205" t="s">
        <v>8472</v>
      </c>
      <c r="E3205" t="s">
        <v>2170</v>
      </c>
    </row>
    <row r="3206" spans="1:5" x14ac:dyDescent="0.25">
      <c r="A3206" t="s">
        <v>1714</v>
      </c>
      <c r="B3206" t="s">
        <v>8501</v>
      </c>
      <c r="C3206" t="s">
        <v>8502</v>
      </c>
      <c r="D3206" t="s">
        <v>8472</v>
      </c>
      <c r="E3206" t="s">
        <v>2170</v>
      </c>
    </row>
    <row r="3207" spans="1:5" x14ac:dyDescent="0.25">
      <c r="A3207" t="s">
        <v>1714</v>
      </c>
      <c r="B3207" t="s">
        <v>8503</v>
      </c>
      <c r="C3207" t="s">
        <v>8504</v>
      </c>
      <c r="D3207" t="s">
        <v>8472</v>
      </c>
      <c r="E3207" t="s">
        <v>2170</v>
      </c>
    </row>
    <row r="3208" spans="1:5" x14ac:dyDescent="0.25">
      <c r="A3208" t="s">
        <v>1714</v>
      </c>
      <c r="B3208" t="s">
        <v>8505</v>
      </c>
      <c r="C3208" t="s">
        <v>8506</v>
      </c>
      <c r="D3208" t="s">
        <v>8472</v>
      </c>
      <c r="E3208" t="s">
        <v>2170</v>
      </c>
    </row>
    <row r="3209" spans="1:5" x14ac:dyDescent="0.25">
      <c r="A3209" t="s">
        <v>1714</v>
      </c>
      <c r="B3209" t="s">
        <v>8507</v>
      </c>
      <c r="C3209" t="s">
        <v>8508</v>
      </c>
      <c r="D3209" t="s">
        <v>8472</v>
      </c>
      <c r="E3209" t="s">
        <v>2170</v>
      </c>
    </row>
    <row r="3210" spans="1:5" x14ac:dyDescent="0.25">
      <c r="A3210" t="s">
        <v>1714</v>
      </c>
      <c r="B3210" t="s">
        <v>8509</v>
      </c>
      <c r="C3210" t="s">
        <v>8510</v>
      </c>
      <c r="D3210" t="s">
        <v>8472</v>
      </c>
      <c r="E3210" t="s">
        <v>2170</v>
      </c>
    </row>
    <row r="3211" spans="1:5" x14ac:dyDescent="0.25">
      <c r="A3211" t="s">
        <v>1717</v>
      </c>
      <c r="B3211" t="s">
        <v>8511</v>
      </c>
      <c r="C3211" t="s">
        <v>8512</v>
      </c>
      <c r="D3211" t="s">
        <v>2311</v>
      </c>
      <c r="E3211" t="s">
        <v>2170</v>
      </c>
    </row>
    <row r="3212" spans="1:5" x14ac:dyDescent="0.25">
      <c r="A3212" t="s">
        <v>1717</v>
      </c>
      <c r="B3212" t="s">
        <v>8513</v>
      </c>
      <c r="C3212" t="s">
        <v>8514</v>
      </c>
      <c r="D3212" t="s">
        <v>2311</v>
      </c>
      <c r="E3212" t="s">
        <v>2170</v>
      </c>
    </row>
    <row r="3213" spans="1:5" x14ac:dyDescent="0.25">
      <c r="A3213" t="s">
        <v>1717</v>
      </c>
      <c r="B3213" t="s">
        <v>8515</v>
      </c>
      <c r="C3213" t="s">
        <v>8516</v>
      </c>
      <c r="D3213" t="s">
        <v>2311</v>
      </c>
      <c r="E3213" t="s">
        <v>2170</v>
      </c>
    </row>
    <row r="3214" spans="1:5" x14ac:dyDescent="0.25">
      <c r="A3214" t="s">
        <v>1717</v>
      </c>
      <c r="B3214" t="s">
        <v>8517</v>
      </c>
      <c r="C3214" t="s">
        <v>8518</v>
      </c>
      <c r="D3214" t="s">
        <v>2646</v>
      </c>
      <c r="E3214" t="s">
        <v>8513</v>
      </c>
    </row>
    <row r="3215" spans="1:5" x14ac:dyDescent="0.25">
      <c r="A3215" t="s">
        <v>1717</v>
      </c>
      <c r="B3215" t="s">
        <v>8519</v>
      </c>
      <c r="C3215" t="s">
        <v>8520</v>
      </c>
      <c r="D3215" t="s">
        <v>2646</v>
      </c>
      <c r="E3215" t="s">
        <v>8513</v>
      </c>
    </row>
    <row r="3216" spans="1:5" x14ac:dyDescent="0.25">
      <c r="A3216" t="s">
        <v>1717</v>
      </c>
      <c r="B3216" t="s">
        <v>8521</v>
      </c>
      <c r="C3216" t="s">
        <v>8522</v>
      </c>
      <c r="D3216" t="s">
        <v>2646</v>
      </c>
      <c r="E3216" t="s">
        <v>8513</v>
      </c>
    </row>
    <row r="3217" spans="1:5" x14ac:dyDescent="0.25">
      <c r="A3217" t="s">
        <v>1717</v>
      </c>
      <c r="B3217" t="s">
        <v>8523</v>
      </c>
      <c r="C3217" t="s">
        <v>8524</v>
      </c>
      <c r="D3217" t="s">
        <v>2646</v>
      </c>
      <c r="E3217" t="s">
        <v>8513</v>
      </c>
    </row>
    <row r="3218" spans="1:5" x14ac:dyDescent="0.25">
      <c r="A3218" t="s">
        <v>1717</v>
      </c>
      <c r="B3218" t="s">
        <v>8525</v>
      </c>
      <c r="C3218" t="s">
        <v>8526</v>
      </c>
      <c r="D3218" t="s">
        <v>2646</v>
      </c>
      <c r="E3218" t="s">
        <v>8511</v>
      </c>
    </row>
    <row r="3219" spans="1:5" x14ac:dyDescent="0.25">
      <c r="A3219" t="s">
        <v>1717</v>
      </c>
      <c r="B3219" t="s">
        <v>8527</v>
      </c>
      <c r="C3219" t="s">
        <v>8528</v>
      </c>
      <c r="D3219" t="s">
        <v>2646</v>
      </c>
      <c r="E3219" t="s">
        <v>8515</v>
      </c>
    </row>
    <row r="3220" spans="1:5" x14ac:dyDescent="0.25">
      <c r="A3220" t="s">
        <v>1717</v>
      </c>
      <c r="B3220" t="s">
        <v>8529</v>
      </c>
      <c r="C3220" t="s">
        <v>8530</v>
      </c>
      <c r="D3220" t="s">
        <v>2646</v>
      </c>
      <c r="E3220" t="s">
        <v>8515</v>
      </c>
    </row>
    <row r="3221" spans="1:5" x14ac:dyDescent="0.25">
      <c r="A3221" t="s">
        <v>1717</v>
      </c>
      <c r="B3221" t="s">
        <v>8531</v>
      </c>
      <c r="C3221" t="s">
        <v>8532</v>
      </c>
      <c r="D3221" t="s">
        <v>2646</v>
      </c>
      <c r="E3221" t="s">
        <v>8511</v>
      </c>
    </row>
    <row r="3222" spans="1:5" x14ac:dyDescent="0.25">
      <c r="A3222" t="s">
        <v>1717</v>
      </c>
      <c r="B3222" t="s">
        <v>8533</v>
      </c>
      <c r="C3222" t="s">
        <v>8534</v>
      </c>
      <c r="D3222" t="s">
        <v>2646</v>
      </c>
      <c r="E3222" t="s">
        <v>8515</v>
      </c>
    </row>
    <row r="3223" spans="1:5" x14ac:dyDescent="0.25">
      <c r="A3223" t="s">
        <v>1717</v>
      </c>
      <c r="B3223" t="s">
        <v>8535</v>
      </c>
      <c r="C3223" t="s">
        <v>8536</v>
      </c>
      <c r="D3223" t="s">
        <v>2646</v>
      </c>
      <c r="E3223" t="s">
        <v>8511</v>
      </c>
    </row>
    <row r="3224" spans="1:5" x14ac:dyDescent="0.25">
      <c r="A3224" t="s">
        <v>1717</v>
      </c>
      <c r="B3224" t="s">
        <v>8537</v>
      </c>
      <c r="C3224" t="s">
        <v>1716</v>
      </c>
      <c r="D3224" t="s">
        <v>2646</v>
      </c>
      <c r="E3224" t="s">
        <v>8515</v>
      </c>
    </row>
    <row r="3225" spans="1:5" x14ac:dyDescent="0.25">
      <c r="A3225" t="s">
        <v>1717</v>
      </c>
      <c r="B3225" t="s">
        <v>8538</v>
      </c>
      <c r="C3225" t="s">
        <v>8539</v>
      </c>
      <c r="D3225" t="s">
        <v>2646</v>
      </c>
      <c r="E3225" t="s">
        <v>8513</v>
      </c>
    </row>
    <row r="3226" spans="1:5" x14ac:dyDescent="0.25">
      <c r="A3226" t="s">
        <v>1717</v>
      </c>
      <c r="B3226" t="s">
        <v>8540</v>
      </c>
      <c r="C3226" t="s">
        <v>8541</v>
      </c>
      <c r="D3226" t="s">
        <v>2646</v>
      </c>
      <c r="E3226" t="s">
        <v>8513</v>
      </c>
    </row>
    <row r="3227" spans="1:5" x14ac:dyDescent="0.25">
      <c r="A3227" t="s">
        <v>1717</v>
      </c>
      <c r="B3227" t="s">
        <v>8542</v>
      </c>
      <c r="C3227" t="s">
        <v>8543</v>
      </c>
      <c r="D3227" t="s">
        <v>2646</v>
      </c>
      <c r="E3227" t="s">
        <v>8515</v>
      </c>
    </row>
    <row r="3228" spans="1:5" x14ac:dyDescent="0.25">
      <c r="A3228" t="s">
        <v>1717</v>
      </c>
      <c r="B3228" t="s">
        <v>8544</v>
      </c>
      <c r="C3228" t="s">
        <v>8545</v>
      </c>
      <c r="D3228" t="s">
        <v>2646</v>
      </c>
      <c r="E3228" t="s">
        <v>8513</v>
      </c>
    </row>
    <row r="3229" spans="1:5" x14ac:dyDescent="0.25">
      <c r="A3229" t="s">
        <v>1717</v>
      </c>
      <c r="B3229" t="s">
        <v>8546</v>
      </c>
      <c r="C3229" t="s">
        <v>8547</v>
      </c>
      <c r="D3229" t="s">
        <v>2646</v>
      </c>
      <c r="E3229" t="s">
        <v>8513</v>
      </c>
    </row>
    <row r="3230" spans="1:5" x14ac:dyDescent="0.25">
      <c r="A3230" t="s">
        <v>1717</v>
      </c>
      <c r="B3230" t="s">
        <v>8548</v>
      </c>
      <c r="C3230" t="s">
        <v>8549</v>
      </c>
      <c r="D3230" t="s">
        <v>2646</v>
      </c>
      <c r="E3230" t="s">
        <v>8511</v>
      </c>
    </row>
    <row r="3231" spans="1:5" x14ac:dyDescent="0.25">
      <c r="A3231" t="s">
        <v>1717</v>
      </c>
      <c r="B3231" t="s">
        <v>8550</v>
      </c>
      <c r="C3231" t="s">
        <v>8551</v>
      </c>
      <c r="D3231" t="s">
        <v>2646</v>
      </c>
      <c r="E3231" t="s">
        <v>8513</v>
      </c>
    </row>
    <row r="3232" spans="1:5" x14ac:dyDescent="0.25">
      <c r="A3232" t="s">
        <v>1717</v>
      </c>
      <c r="B3232" t="s">
        <v>8552</v>
      </c>
      <c r="C3232" t="s">
        <v>8553</v>
      </c>
      <c r="D3232" t="s">
        <v>2646</v>
      </c>
      <c r="E3232" t="s">
        <v>8511</v>
      </c>
    </row>
    <row r="3233" spans="1:5" x14ac:dyDescent="0.25">
      <c r="A3233" t="s">
        <v>1717</v>
      </c>
      <c r="B3233" t="s">
        <v>8554</v>
      </c>
      <c r="C3233" t="s">
        <v>8555</v>
      </c>
      <c r="D3233" t="s">
        <v>2646</v>
      </c>
      <c r="E3233" t="s">
        <v>8515</v>
      </c>
    </row>
    <row r="3234" spans="1:5" x14ac:dyDescent="0.25">
      <c r="A3234" t="s">
        <v>1717</v>
      </c>
      <c r="B3234" t="s">
        <v>8556</v>
      </c>
      <c r="C3234" t="s">
        <v>8557</v>
      </c>
      <c r="D3234" t="s">
        <v>2646</v>
      </c>
      <c r="E3234" t="s">
        <v>8513</v>
      </c>
    </row>
    <row r="3235" spans="1:5" x14ac:dyDescent="0.25">
      <c r="A3235" t="s">
        <v>1717</v>
      </c>
      <c r="B3235" t="s">
        <v>8558</v>
      </c>
      <c r="C3235" t="s">
        <v>8559</v>
      </c>
      <c r="D3235" t="s">
        <v>2646</v>
      </c>
      <c r="E3235" t="s">
        <v>8515</v>
      </c>
    </row>
    <row r="3236" spans="1:5" x14ac:dyDescent="0.25">
      <c r="A3236" t="s">
        <v>1717</v>
      </c>
      <c r="B3236" t="s">
        <v>8560</v>
      </c>
      <c r="C3236" t="s">
        <v>8561</v>
      </c>
      <c r="D3236" t="s">
        <v>2646</v>
      </c>
      <c r="E3236" t="s">
        <v>8515</v>
      </c>
    </row>
    <row r="3237" spans="1:5" x14ac:dyDescent="0.25">
      <c r="A3237" t="s">
        <v>1717</v>
      </c>
      <c r="B3237" t="s">
        <v>8562</v>
      </c>
      <c r="C3237" t="s">
        <v>8563</v>
      </c>
      <c r="D3237" t="s">
        <v>2646</v>
      </c>
      <c r="E3237" t="s">
        <v>8513</v>
      </c>
    </row>
    <row r="3238" spans="1:5" x14ac:dyDescent="0.25">
      <c r="A3238" t="s">
        <v>1717</v>
      </c>
      <c r="B3238" t="s">
        <v>8564</v>
      </c>
      <c r="C3238" t="s">
        <v>8565</v>
      </c>
      <c r="D3238" t="s">
        <v>2646</v>
      </c>
      <c r="E3238" t="s">
        <v>8511</v>
      </c>
    </row>
    <row r="3239" spans="1:5" x14ac:dyDescent="0.25">
      <c r="A3239" t="s">
        <v>1717</v>
      </c>
      <c r="B3239" t="s">
        <v>8566</v>
      </c>
      <c r="C3239" t="s">
        <v>8567</v>
      </c>
      <c r="D3239" t="s">
        <v>2646</v>
      </c>
      <c r="E3239" t="s">
        <v>8515</v>
      </c>
    </row>
    <row r="3240" spans="1:5" x14ac:dyDescent="0.25">
      <c r="A3240" t="s">
        <v>1717</v>
      </c>
      <c r="B3240" t="s">
        <v>8568</v>
      </c>
      <c r="C3240" t="s">
        <v>8569</v>
      </c>
      <c r="D3240" t="s">
        <v>2646</v>
      </c>
      <c r="E3240" t="s">
        <v>8513</v>
      </c>
    </row>
    <row r="3241" spans="1:5" x14ac:dyDescent="0.25">
      <c r="A3241" t="s">
        <v>1717</v>
      </c>
      <c r="B3241" t="s">
        <v>8570</v>
      </c>
      <c r="C3241" t="s">
        <v>8571</v>
      </c>
      <c r="D3241" t="s">
        <v>2646</v>
      </c>
      <c r="E3241" t="s">
        <v>8513</v>
      </c>
    </row>
    <row r="3242" spans="1:5" x14ac:dyDescent="0.25">
      <c r="A3242" t="s">
        <v>1721</v>
      </c>
      <c r="B3242" t="s">
        <v>8572</v>
      </c>
      <c r="C3242" t="s">
        <v>8573</v>
      </c>
      <c r="D3242" t="s">
        <v>2415</v>
      </c>
      <c r="E3242" t="s">
        <v>2170</v>
      </c>
    </row>
    <row r="3243" spans="1:5" x14ac:dyDescent="0.25">
      <c r="A3243" t="s">
        <v>1721</v>
      </c>
      <c r="B3243" t="s">
        <v>8574</v>
      </c>
      <c r="C3243" t="s">
        <v>8575</v>
      </c>
      <c r="D3243" t="s">
        <v>2415</v>
      </c>
      <c r="E3243" t="s">
        <v>2170</v>
      </c>
    </row>
    <row r="3244" spans="1:5" x14ac:dyDescent="0.25">
      <c r="A3244" t="s">
        <v>1721</v>
      </c>
      <c r="B3244" t="s">
        <v>8576</v>
      </c>
      <c r="C3244" t="s">
        <v>8577</v>
      </c>
      <c r="D3244" t="s">
        <v>2415</v>
      </c>
      <c r="E3244" t="s">
        <v>2170</v>
      </c>
    </row>
    <row r="3245" spans="1:5" x14ac:dyDescent="0.25">
      <c r="A3245" t="s">
        <v>1721</v>
      </c>
      <c r="B3245" t="s">
        <v>8578</v>
      </c>
      <c r="C3245" t="s">
        <v>8579</v>
      </c>
      <c r="D3245" t="s">
        <v>2415</v>
      </c>
      <c r="E3245" t="s">
        <v>2170</v>
      </c>
    </row>
    <row r="3246" spans="1:5" x14ac:dyDescent="0.25">
      <c r="A3246" t="s">
        <v>1721</v>
      </c>
      <c r="B3246" t="s">
        <v>8580</v>
      </c>
      <c r="C3246" t="s">
        <v>8581</v>
      </c>
      <c r="D3246" t="s">
        <v>2415</v>
      </c>
      <c r="E3246" t="s">
        <v>2170</v>
      </c>
    </row>
    <row r="3247" spans="1:5" x14ac:dyDescent="0.25">
      <c r="A3247" t="s">
        <v>1721</v>
      </c>
      <c r="B3247" t="s">
        <v>8582</v>
      </c>
      <c r="C3247" t="s">
        <v>8583</v>
      </c>
      <c r="D3247" t="s">
        <v>2415</v>
      </c>
      <c r="E3247" t="s">
        <v>2170</v>
      </c>
    </row>
    <row r="3248" spans="1:5" x14ac:dyDescent="0.25">
      <c r="A3248" t="s">
        <v>1721</v>
      </c>
      <c r="B3248" t="s">
        <v>8584</v>
      </c>
      <c r="C3248" t="s">
        <v>8585</v>
      </c>
      <c r="D3248" t="s">
        <v>8586</v>
      </c>
      <c r="E3248" t="s">
        <v>2170</v>
      </c>
    </row>
    <row r="3249" spans="1:5" x14ac:dyDescent="0.25">
      <c r="A3249" t="s">
        <v>1721</v>
      </c>
      <c r="B3249" t="s">
        <v>8587</v>
      </c>
      <c r="C3249" t="s">
        <v>8588</v>
      </c>
      <c r="D3249" t="s">
        <v>2415</v>
      </c>
      <c r="E3249" t="s">
        <v>2170</v>
      </c>
    </row>
    <row r="3250" spans="1:5" x14ac:dyDescent="0.25">
      <c r="A3250" t="s">
        <v>1721</v>
      </c>
      <c r="B3250" t="s">
        <v>8589</v>
      </c>
      <c r="C3250" t="s">
        <v>8590</v>
      </c>
      <c r="D3250" t="s">
        <v>2415</v>
      </c>
      <c r="E3250" t="s">
        <v>2170</v>
      </c>
    </row>
    <row r="3251" spans="1:5" x14ac:dyDescent="0.25">
      <c r="A3251" t="s">
        <v>1721</v>
      </c>
      <c r="B3251" t="s">
        <v>8591</v>
      </c>
      <c r="C3251" t="s">
        <v>8592</v>
      </c>
      <c r="D3251" t="s">
        <v>2415</v>
      </c>
      <c r="E3251" t="s">
        <v>2170</v>
      </c>
    </row>
    <row r="3252" spans="1:5" x14ac:dyDescent="0.25">
      <c r="A3252" t="s">
        <v>1721</v>
      </c>
      <c r="B3252" t="s">
        <v>8593</v>
      </c>
      <c r="C3252" t="s">
        <v>8594</v>
      </c>
      <c r="D3252" t="s">
        <v>2415</v>
      </c>
      <c r="E3252" t="s">
        <v>2170</v>
      </c>
    </row>
    <row r="3253" spans="1:5" x14ac:dyDescent="0.25">
      <c r="A3253" t="s">
        <v>1721</v>
      </c>
      <c r="B3253" t="s">
        <v>8595</v>
      </c>
      <c r="C3253" t="s">
        <v>8596</v>
      </c>
      <c r="D3253" t="s">
        <v>2415</v>
      </c>
      <c r="E3253" t="s">
        <v>2170</v>
      </c>
    </row>
    <row r="3254" spans="1:5" x14ac:dyDescent="0.25">
      <c r="A3254" t="s">
        <v>1721</v>
      </c>
      <c r="B3254" t="s">
        <v>8597</v>
      </c>
      <c r="C3254" t="s">
        <v>8598</v>
      </c>
      <c r="D3254" t="s">
        <v>2415</v>
      </c>
      <c r="E3254" t="s">
        <v>2170</v>
      </c>
    </row>
    <row r="3255" spans="1:5" x14ac:dyDescent="0.25">
      <c r="A3255" t="s">
        <v>1721</v>
      </c>
      <c r="B3255" t="s">
        <v>8599</v>
      </c>
      <c r="C3255" t="s">
        <v>8600</v>
      </c>
      <c r="D3255" t="s">
        <v>2415</v>
      </c>
      <c r="E3255" t="s">
        <v>2170</v>
      </c>
    </row>
    <row r="3256" spans="1:5" x14ac:dyDescent="0.25">
      <c r="A3256" t="s">
        <v>1721</v>
      </c>
      <c r="B3256" t="s">
        <v>8601</v>
      </c>
      <c r="C3256" t="s">
        <v>8602</v>
      </c>
      <c r="D3256" t="s">
        <v>2415</v>
      </c>
      <c r="E3256" t="s">
        <v>2170</v>
      </c>
    </row>
    <row r="3257" spans="1:5" x14ac:dyDescent="0.25">
      <c r="A3257" t="s">
        <v>1721</v>
      </c>
      <c r="B3257" t="s">
        <v>8603</v>
      </c>
      <c r="C3257" t="s">
        <v>8604</v>
      </c>
      <c r="D3257" t="s">
        <v>2415</v>
      </c>
      <c r="E3257" t="s">
        <v>2170</v>
      </c>
    </row>
    <row r="3258" spans="1:5" x14ac:dyDescent="0.25">
      <c r="A3258" t="s">
        <v>1721</v>
      </c>
      <c r="B3258" t="s">
        <v>8605</v>
      </c>
      <c r="C3258" t="s">
        <v>8606</v>
      </c>
      <c r="D3258" t="s">
        <v>2415</v>
      </c>
      <c r="E3258" t="s">
        <v>2170</v>
      </c>
    </row>
    <row r="3259" spans="1:5" x14ac:dyDescent="0.25">
      <c r="A3259" t="s">
        <v>1721</v>
      </c>
      <c r="B3259" t="s">
        <v>8607</v>
      </c>
      <c r="C3259" t="s">
        <v>8608</v>
      </c>
      <c r="D3259" t="s">
        <v>2415</v>
      </c>
      <c r="E3259" t="s">
        <v>2170</v>
      </c>
    </row>
    <row r="3260" spans="1:5" x14ac:dyDescent="0.25">
      <c r="A3260" t="s">
        <v>1721</v>
      </c>
      <c r="B3260" t="s">
        <v>8609</v>
      </c>
      <c r="C3260" t="s">
        <v>8610</v>
      </c>
      <c r="D3260" t="s">
        <v>2415</v>
      </c>
      <c r="E3260" t="s">
        <v>2170</v>
      </c>
    </row>
    <row r="3261" spans="1:5" x14ac:dyDescent="0.25">
      <c r="A3261" t="s">
        <v>1721</v>
      </c>
      <c r="B3261" t="s">
        <v>8611</v>
      </c>
      <c r="C3261" t="s">
        <v>8612</v>
      </c>
      <c r="D3261" t="s">
        <v>2415</v>
      </c>
      <c r="E3261" t="s">
        <v>2170</v>
      </c>
    </row>
    <row r="3262" spans="1:5" x14ac:dyDescent="0.25">
      <c r="A3262" t="s">
        <v>1721</v>
      </c>
      <c r="B3262" t="s">
        <v>8613</v>
      </c>
      <c r="C3262" t="s">
        <v>8614</v>
      </c>
      <c r="D3262" t="s">
        <v>2415</v>
      </c>
      <c r="E3262" t="s">
        <v>2170</v>
      </c>
    </row>
    <row r="3263" spans="1:5" x14ac:dyDescent="0.25">
      <c r="A3263" t="s">
        <v>1721</v>
      </c>
      <c r="B3263" t="s">
        <v>8615</v>
      </c>
      <c r="C3263" t="s">
        <v>8616</v>
      </c>
      <c r="D3263" t="s">
        <v>2415</v>
      </c>
      <c r="E3263" t="s">
        <v>2170</v>
      </c>
    </row>
    <row r="3264" spans="1:5" x14ac:dyDescent="0.25">
      <c r="A3264" t="s">
        <v>1721</v>
      </c>
      <c r="B3264" t="s">
        <v>8617</v>
      </c>
      <c r="C3264" t="s">
        <v>8618</v>
      </c>
      <c r="D3264" t="s">
        <v>2415</v>
      </c>
      <c r="E3264" t="s">
        <v>2170</v>
      </c>
    </row>
    <row r="3265" spans="1:5" x14ac:dyDescent="0.25">
      <c r="A3265" t="s">
        <v>1721</v>
      </c>
      <c r="B3265" t="s">
        <v>8619</v>
      </c>
      <c r="C3265" t="s">
        <v>8620</v>
      </c>
      <c r="D3265" t="s">
        <v>2415</v>
      </c>
      <c r="E3265" t="s">
        <v>2170</v>
      </c>
    </row>
    <row r="3266" spans="1:5" x14ac:dyDescent="0.25">
      <c r="A3266" t="s">
        <v>1721</v>
      </c>
      <c r="B3266" t="s">
        <v>8621</v>
      </c>
      <c r="C3266" t="s">
        <v>8622</v>
      </c>
      <c r="D3266" t="s">
        <v>2415</v>
      </c>
      <c r="E3266" t="s">
        <v>2170</v>
      </c>
    </row>
    <row r="3267" spans="1:5" x14ac:dyDescent="0.25">
      <c r="A3267" t="s">
        <v>1721</v>
      </c>
      <c r="B3267" t="s">
        <v>8623</v>
      </c>
      <c r="C3267" t="s">
        <v>8624</v>
      </c>
      <c r="D3267" t="s">
        <v>2415</v>
      </c>
      <c r="E3267" t="s">
        <v>2170</v>
      </c>
    </row>
    <row r="3268" spans="1:5" x14ac:dyDescent="0.25">
      <c r="A3268" t="s">
        <v>1721</v>
      </c>
      <c r="B3268" t="s">
        <v>8625</v>
      </c>
      <c r="C3268" t="s">
        <v>8626</v>
      </c>
      <c r="D3268" t="s">
        <v>2415</v>
      </c>
      <c r="E3268" t="s">
        <v>2170</v>
      </c>
    </row>
    <row r="3269" spans="1:5" x14ac:dyDescent="0.25">
      <c r="A3269" t="s">
        <v>1721</v>
      </c>
      <c r="B3269" t="s">
        <v>8627</v>
      </c>
      <c r="C3269" t="s">
        <v>8628</v>
      </c>
      <c r="D3269" t="s">
        <v>2415</v>
      </c>
      <c r="E3269" t="s">
        <v>2170</v>
      </c>
    </row>
    <row r="3270" spans="1:5" x14ac:dyDescent="0.25">
      <c r="A3270" t="s">
        <v>1721</v>
      </c>
      <c r="B3270" t="s">
        <v>8629</v>
      </c>
      <c r="C3270" t="s">
        <v>8630</v>
      </c>
      <c r="D3270" t="s">
        <v>2415</v>
      </c>
      <c r="E3270" t="s">
        <v>2170</v>
      </c>
    </row>
    <row r="3271" spans="1:5" x14ac:dyDescent="0.25">
      <c r="A3271" t="s">
        <v>1721</v>
      </c>
      <c r="B3271" t="s">
        <v>8631</v>
      </c>
      <c r="C3271" t="s">
        <v>8632</v>
      </c>
      <c r="D3271" t="s">
        <v>2415</v>
      </c>
      <c r="E3271" t="s">
        <v>2170</v>
      </c>
    </row>
    <row r="3272" spans="1:5" x14ac:dyDescent="0.25">
      <c r="A3272" t="s">
        <v>1721</v>
      </c>
      <c r="B3272" t="s">
        <v>8633</v>
      </c>
      <c r="C3272" t="s">
        <v>8634</v>
      </c>
      <c r="D3272" t="s">
        <v>2415</v>
      </c>
      <c r="E3272" t="s">
        <v>2170</v>
      </c>
    </row>
    <row r="3273" spans="1:5" x14ac:dyDescent="0.25">
      <c r="A3273" t="s">
        <v>1721</v>
      </c>
      <c r="B3273" t="s">
        <v>8635</v>
      </c>
      <c r="C3273" t="s">
        <v>8636</v>
      </c>
      <c r="D3273" t="s">
        <v>2415</v>
      </c>
      <c r="E3273" t="s">
        <v>2170</v>
      </c>
    </row>
    <row r="3274" spans="1:5" x14ac:dyDescent="0.25">
      <c r="A3274" t="s">
        <v>1724</v>
      </c>
      <c r="B3274" t="s">
        <v>8637</v>
      </c>
      <c r="C3274" t="s">
        <v>8638</v>
      </c>
      <c r="D3274" t="s">
        <v>2415</v>
      </c>
      <c r="E3274" t="s">
        <v>2170</v>
      </c>
    </row>
    <row r="3275" spans="1:5" x14ac:dyDescent="0.25">
      <c r="A3275" t="s">
        <v>1724</v>
      </c>
      <c r="B3275" t="s">
        <v>8639</v>
      </c>
      <c r="C3275" t="s">
        <v>8640</v>
      </c>
      <c r="D3275" t="s">
        <v>2415</v>
      </c>
      <c r="E3275" t="s">
        <v>2170</v>
      </c>
    </row>
    <row r="3276" spans="1:5" x14ac:dyDescent="0.25">
      <c r="A3276" t="s">
        <v>1724</v>
      </c>
      <c r="B3276" t="s">
        <v>8641</v>
      </c>
      <c r="C3276" t="s">
        <v>8642</v>
      </c>
      <c r="D3276" t="s">
        <v>2415</v>
      </c>
      <c r="E3276" t="s">
        <v>2170</v>
      </c>
    </row>
    <row r="3277" spans="1:5" x14ac:dyDescent="0.25">
      <c r="A3277" t="s">
        <v>1724</v>
      </c>
      <c r="B3277" t="s">
        <v>8643</v>
      </c>
      <c r="C3277" t="s">
        <v>8644</v>
      </c>
      <c r="D3277" t="s">
        <v>2415</v>
      </c>
      <c r="E3277" t="s">
        <v>2170</v>
      </c>
    </row>
    <row r="3278" spans="1:5" x14ac:dyDescent="0.25">
      <c r="A3278" t="s">
        <v>1724</v>
      </c>
      <c r="B3278" t="s">
        <v>8645</v>
      </c>
      <c r="C3278" t="s">
        <v>8646</v>
      </c>
      <c r="D3278" t="s">
        <v>2415</v>
      </c>
      <c r="E3278" t="s">
        <v>2170</v>
      </c>
    </row>
    <row r="3279" spans="1:5" x14ac:dyDescent="0.25">
      <c r="A3279" t="s">
        <v>1724</v>
      </c>
      <c r="B3279" t="s">
        <v>8647</v>
      </c>
      <c r="C3279" t="s">
        <v>8648</v>
      </c>
      <c r="D3279" t="s">
        <v>2415</v>
      </c>
      <c r="E3279" t="s">
        <v>2170</v>
      </c>
    </row>
    <row r="3280" spans="1:5" x14ac:dyDescent="0.25">
      <c r="A3280" t="s">
        <v>1724</v>
      </c>
      <c r="B3280" t="s">
        <v>8649</v>
      </c>
      <c r="C3280" t="s">
        <v>8650</v>
      </c>
      <c r="D3280" t="s">
        <v>2415</v>
      </c>
      <c r="E3280" t="s">
        <v>2170</v>
      </c>
    </row>
    <row r="3281" spans="1:5" x14ac:dyDescent="0.25">
      <c r="A3281" t="s">
        <v>1724</v>
      </c>
      <c r="B3281" t="s">
        <v>8651</v>
      </c>
      <c r="C3281" t="s">
        <v>8652</v>
      </c>
      <c r="D3281" t="s">
        <v>2415</v>
      </c>
      <c r="E3281" t="s">
        <v>2170</v>
      </c>
    </row>
    <row r="3282" spans="1:5" x14ac:dyDescent="0.25">
      <c r="A3282" t="s">
        <v>1724</v>
      </c>
      <c r="B3282" t="s">
        <v>8653</v>
      </c>
      <c r="C3282" t="s">
        <v>8654</v>
      </c>
      <c r="D3282" t="s">
        <v>2415</v>
      </c>
      <c r="E3282" t="s">
        <v>2170</v>
      </c>
    </row>
    <row r="3283" spans="1:5" x14ac:dyDescent="0.25">
      <c r="A3283" t="s">
        <v>1724</v>
      </c>
      <c r="B3283" t="s">
        <v>8655</v>
      </c>
      <c r="C3283" t="s">
        <v>8656</v>
      </c>
      <c r="D3283" t="s">
        <v>2415</v>
      </c>
      <c r="E3283" t="s">
        <v>2170</v>
      </c>
    </row>
    <row r="3284" spans="1:5" x14ac:dyDescent="0.25">
      <c r="A3284" t="s">
        <v>1724</v>
      </c>
      <c r="B3284" t="s">
        <v>8657</v>
      </c>
      <c r="C3284" t="s">
        <v>8658</v>
      </c>
      <c r="D3284" t="s">
        <v>2415</v>
      </c>
      <c r="E3284" t="s">
        <v>2170</v>
      </c>
    </row>
    <row r="3285" spans="1:5" x14ac:dyDescent="0.25">
      <c r="A3285" t="s">
        <v>1724</v>
      </c>
      <c r="B3285" t="s">
        <v>8659</v>
      </c>
      <c r="C3285" t="s">
        <v>8660</v>
      </c>
      <c r="D3285" t="s">
        <v>2415</v>
      </c>
      <c r="E3285" t="s">
        <v>2170</v>
      </c>
    </row>
    <row r="3286" spans="1:5" x14ac:dyDescent="0.25">
      <c r="A3286" t="s">
        <v>1724</v>
      </c>
      <c r="B3286" t="s">
        <v>8661</v>
      </c>
      <c r="C3286" t="s">
        <v>8662</v>
      </c>
      <c r="D3286" t="s">
        <v>2415</v>
      </c>
      <c r="E3286" t="s">
        <v>2170</v>
      </c>
    </row>
    <row r="3287" spans="1:5" x14ac:dyDescent="0.25">
      <c r="A3287" t="s">
        <v>1724</v>
      </c>
      <c r="B3287" t="s">
        <v>8663</v>
      </c>
      <c r="C3287" t="s">
        <v>8664</v>
      </c>
      <c r="D3287" t="s">
        <v>8665</v>
      </c>
      <c r="E3287" t="s">
        <v>2170</v>
      </c>
    </row>
    <row r="3288" spans="1:5" x14ac:dyDescent="0.25">
      <c r="A3288" t="s">
        <v>1724</v>
      </c>
      <c r="B3288" t="s">
        <v>8666</v>
      </c>
      <c r="C3288" t="s">
        <v>8667</v>
      </c>
      <c r="D3288" t="s">
        <v>8665</v>
      </c>
      <c r="E3288" t="s">
        <v>2170</v>
      </c>
    </row>
    <row r="3289" spans="1:5" x14ac:dyDescent="0.25">
      <c r="A3289" t="s">
        <v>1724</v>
      </c>
      <c r="B3289" t="s">
        <v>8668</v>
      </c>
      <c r="C3289" t="s">
        <v>8669</v>
      </c>
      <c r="D3289" t="s">
        <v>8665</v>
      </c>
      <c r="E3289" t="s">
        <v>2170</v>
      </c>
    </row>
    <row r="3290" spans="1:5" x14ac:dyDescent="0.25">
      <c r="A3290" t="s">
        <v>1727</v>
      </c>
      <c r="B3290" t="s">
        <v>8670</v>
      </c>
      <c r="C3290" t="s">
        <v>8671</v>
      </c>
      <c r="D3290" t="s">
        <v>2200</v>
      </c>
      <c r="E3290" t="s">
        <v>2170</v>
      </c>
    </row>
    <row r="3291" spans="1:5" x14ac:dyDescent="0.25">
      <c r="A3291" t="s">
        <v>1727</v>
      </c>
      <c r="B3291" t="s">
        <v>8672</v>
      </c>
      <c r="C3291" t="s">
        <v>8673</v>
      </c>
      <c r="D3291" t="s">
        <v>2200</v>
      </c>
      <c r="E3291" t="s">
        <v>2170</v>
      </c>
    </row>
    <row r="3292" spans="1:5" x14ac:dyDescent="0.25">
      <c r="A3292" t="s">
        <v>1727</v>
      </c>
      <c r="B3292" t="s">
        <v>8674</v>
      </c>
      <c r="C3292" t="s">
        <v>8675</v>
      </c>
      <c r="D3292" t="s">
        <v>2200</v>
      </c>
      <c r="E3292" t="s">
        <v>2170</v>
      </c>
    </row>
    <row r="3293" spans="1:5" x14ac:dyDescent="0.25">
      <c r="A3293" t="s">
        <v>1727</v>
      </c>
      <c r="B3293" t="s">
        <v>8676</v>
      </c>
      <c r="C3293" t="s">
        <v>8677</v>
      </c>
      <c r="D3293" t="s">
        <v>2200</v>
      </c>
      <c r="E3293" t="s">
        <v>2170</v>
      </c>
    </row>
    <row r="3294" spans="1:5" x14ac:dyDescent="0.25">
      <c r="A3294" t="s">
        <v>1727</v>
      </c>
      <c r="B3294" t="s">
        <v>8678</v>
      </c>
      <c r="C3294" t="s">
        <v>1726</v>
      </c>
      <c r="D3294" t="s">
        <v>2318</v>
      </c>
      <c r="E3294" t="s">
        <v>2170</v>
      </c>
    </row>
    <row r="3295" spans="1:5" x14ac:dyDescent="0.25">
      <c r="A3295" t="s">
        <v>1727</v>
      </c>
      <c r="B3295" t="s">
        <v>8679</v>
      </c>
      <c r="C3295" t="s">
        <v>1726</v>
      </c>
      <c r="D3295" t="s">
        <v>2200</v>
      </c>
      <c r="E3295" t="s">
        <v>2170</v>
      </c>
    </row>
    <row r="3296" spans="1:5" x14ac:dyDescent="0.25">
      <c r="A3296" t="s">
        <v>1727</v>
      </c>
      <c r="B3296" t="s">
        <v>8680</v>
      </c>
      <c r="C3296" t="s">
        <v>8681</v>
      </c>
      <c r="D3296" t="s">
        <v>2200</v>
      </c>
      <c r="E3296" t="s">
        <v>2170</v>
      </c>
    </row>
    <row r="3297" spans="1:5" x14ac:dyDescent="0.25">
      <c r="A3297" t="s">
        <v>1727</v>
      </c>
      <c r="B3297" t="s">
        <v>8682</v>
      </c>
      <c r="C3297" t="s">
        <v>8683</v>
      </c>
      <c r="D3297" t="s">
        <v>2200</v>
      </c>
      <c r="E3297" t="s">
        <v>2170</v>
      </c>
    </row>
    <row r="3298" spans="1:5" x14ac:dyDescent="0.25">
      <c r="A3298" t="s">
        <v>1727</v>
      </c>
      <c r="B3298" t="s">
        <v>8684</v>
      </c>
      <c r="C3298" t="s">
        <v>8685</v>
      </c>
      <c r="D3298" t="s">
        <v>2200</v>
      </c>
      <c r="E3298" t="s">
        <v>2170</v>
      </c>
    </row>
    <row r="3299" spans="1:5" x14ac:dyDescent="0.25">
      <c r="A3299" t="s">
        <v>1727</v>
      </c>
      <c r="B3299" t="s">
        <v>8686</v>
      </c>
      <c r="C3299" t="s">
        <v>8687</v>
      </c>
      <c r="D3299" t="s">
        <v>2200</v>
      </c>
      <c r="E3299" t="s">
        <v>2170</v>
      </c>
    </row>
    <row r="3300" spans="1:5" x14ac:dyDescent="0.25">
      <c r="A3300" t="s">
        <v>1727</v>
      </c>
      <c r="B3300" t="s">
        <v>8688</v>
      </c>
      <c r="C3300" t="s">
        <v>8689</v>
      </c>
      <c r="D3300" t="s">
        <v>2200</v>
      </c>
      <c r="E3300" t="s">
        <v>2170</v>
      </c>
    </row>
    <row r="3301" spans="1:5" x14ac:dyDescent="0.25">
      <c r="A3301" t="s">
        <v>1730</v>
      </c>
      <c r="B3301" t="s">
        <v>8690</v>
      </c>
      <c r="C3301" t="s">
        <v>8691</v>
      </c>
      <c r="D3301" t="s">
        <v>2311</v>
      </c>
      <c r="E3301" t="s">
        <v>2170</v>
      </c>
    </row>
    <row r="3302" spans="1:5" x14ac:dyDescent="0.25">
      <c r="A3302" t="s">
        <v>1730</v>
      </c>
      <c r="B3302" t="s">
        <v>8692</v>
      </c>
      <c r="C3302" t="s">
        <v>8693</v>
      </c>
      <c r="D3302" t="s">
        <v>2311</v>
      </c>
      <c r="E3302" t="s">
        <v>2170</v>
      </c>
    </row>
    <row r="3303" spans="1:5" x14ac:dyDescent="0.25">
      <c r="A3303" t="s">
        <v>1730</v>
      </c>
      <c r="B3303" t="s">
        <v>8694</v>
      </c>
      <c r="C3303" t="s">
        <v>8695</v>
      </c>
      <c r="D3303" t="s">
        <v>2311</v>
      </c>
      <c r="E3303" t="s">
        <v>2170</v>
      </c>
    </row>
    <row r="3304" spans="1:5" x14ac:dyDescent="0.25">
      <c r="A3304" t="s">
        <v>1730</v>
      </c>
      <c r="B3304" t="s">
        <v>8696</v>
      </c>
      <c r="C3304" t="s">
        <v>8697</v>
      </c>
      <c r="D3304" t="s">
        <v>2311</v>
      </c>
      <c r="E3304" t="s">
        <v>2170</v>
      </c>
    </row>
    <row r="3305" spans="1:5" x14ac:dyDescent="0.25">
      <c r="A3305" t="s">
        <v>1730</v>
      </c>
      <c r="B3305" t="s">
        <v>8698</v>
      </c>
      <c r="C3305" t="s">
        <v>8699</v>
      </c>
      <c r="D3305" t="s">
        <v>2311</v>
      </c>
      <c r="E3305" t="s">
        <v>2170</v>
      </c>
    </row>
    <row r="3306" spans="1:5" x14ac:dyDescent="0.25">
      <c r="A3306" t="s">
        <v>1730</v>
      </c>
      <c r="B3306" t="s">
        <v>8700</v>
      </c>
      <c r="C3306" t="s">
        <v>8701</v>
      </c>
      <c r="D3306" t="s">
        <v>2311</v>
      </c>
      <c r="E3306" t="s">
        <v>2170</v>
      </c>
    </row>
    <row r="3307" spans="1:5" x14ac:dyDescent="0.25">
      <c r="A3307" t="s">
        <v>1730</v>
      </c>
      <c r="B3307" t="s">
        <v>8702</v>
      </c>
      <c r="C3307" t="s">
        <v>8703</v>
      </c>
      <c r="D3307" t="s">
        <v>2311</v>
      </c>
      <c r="E3307" t="s">
        <v>2170</v>
      </c>
    </row>
    <row r="3308" spans="1:5" x14ac:dyDescent="0.25">
      <c r="A3308" t="s">
        <v>1730</v>
      </c>
      <c r="B3308" t="s">
        <v>8704</v>
      </c>
      <c r="C3308" t="s">
        <v>8705</v>
      </c>
      <c r="D3308" t="s">
        <v>2311</v>
      </c>
      <c r="E3308" t="s">
        <v>2170</v>
      </c>
    </row>
    <row r="3309" spans="1:5" x14ac:dyDescent="0.25">
      <c r="A3309" t="s">
        <v>1730</v>
      </c>
      <c r="B3309" t="s">
        <v>8706</v>
      </c>
      <c r="C3309" t="s">
        <v>8707</v>
      </c>
      <c r="D3309" t="s">
        <v>2311</v>
      </c>
      <c r="E3309" t="s">
        <v>2170</v>
      </c>
    </row>
    <row r="3310" spans="1:5" x14ac:dyDescent="0.25">
      <c r="A3310" t="s">
        <v>1730</v>
      </c>
      <c r="B3310" t="s">
        <v>8708</v>
      </c>
      <c r="C3310" t="s">
        <v>8709</v>
      </c>
      <c r="D3310" t="s">
        <v>2311</v>
      </c>
      <c r="E3310" t="s">
        <v>2170</v>
      </c>
    </row>
    <row r="3311" spans="1:5" x14ac:dyDescent="0.25">
      <c r="A3311" t="s">
        <v>1730</v>
      </c>
      <c r="B3311" t="s">
        <v>8710</v>
      </c>
      <c r="C3311" t="s">
        <v>8711</v>
      </c>
      <c r="D3311" t="s">
        <v>2311</v>
      </c>
      <c r="E3311" t="s">
        <v>2170</v>
      </c>
    </row>
    <row r="3312" spans="1:5" x14ac:dyDescent="0.25">
      <c r="A3312" t="s">
        <v>1730</v>
      </c>
      <c r="B3312" t="s">
        <v>8712</v>
      </c>
      <c r="C3312" t="s">
        <v>8713</v>
      </c>
      <c r="D3312" t="s">
        <v>2311</v>
      </c>
      <c r="E3312" t="s">
        <v>2170</v>
      </c>
    </row>
    <row r="3313" spans="1:5" x14ac:dyDescent="0.25">
      <c r="A3313" t="s">
        <v>1730</v>
      </c>
      <c r="B3313" t="s">
        <v>8714</v>
      </c>
      <c r="C3313" t="s">
        <v>8715</v>
      </c>
      <c r="D3313" t="s">
        <v>2311</v>
      </c>
      <c r="E3313" t="s">
        <v>2170</v>
      </c>
    </row>
    <row r="3314" spans="1:5" x14ac:dyDescent="0.25">
      <c r="A3314" t="s">
        <v>1730</v>
      </c>
      <c r="B3314" t="s">
        <v>8716</v>
      </c>
      <c r="C3314" t="s">
        <v>8717</v>
      </c>
      <c r="D3314" t="s">
        <v>2311</v>
      </c>
      <c r="E3314" t="s">
        <v>2170</v>
      </c>
    </row>
    <row r="3315" spans="1:5" x14ac:dyDescent="0.25">
      <c r="A3315" t="s">
        <v>1736</v>
      </c>
      <c r="B3315" t="s">
        <v>8718</v>
      </c>
      <c r="C3315" t="s">
        <v>8719</v>
      </c>
      <c r="D3315" t="s">
        <v>2311</v>
      </c>
      <c r="E3315" t="s">
        <v>2170</v>
      </c>
    </row>
    <row r="3316" spans="1:5" x14ac:dyDescent="0.25">
      <c r="A3316" t="s">
        <v>1736</v>
      </c>
      <c r="B3316" t="s">
        <v>8720</v>
      </c>
      <c r="C3316" t="s">
        <v>8721</v>
      </c>
      <c r="D3316" t="s">
        <v>2311</v>
      </c>
      <c r="E3316" t="s">
        <v>2170</v>
      </c>
    </row>
    <row r="3317" spans="1:5" x14ac:dyDescent="0.25">
      <c r="A3317" t="s">
        <v>1736</v>
      </c>
      <c r="B3317" t="s">
        <v>8722</v>
      </c>
      <c r="C3317" t="s">
        <v>8723</v>
      </c>
      <c r="D3317" t="s">
        <v>2311</v>
      </c>
      <c r="E3317" t="s">
        <v>2170</v>
      </c>
    </row>
    <row r="3318" spans="1:5" x14ac:dyDescent="0.25">
      <c r="A3318" t="s">
        <v>1736</v>
      </c>
      <c r="B3318" t="s">
        <v>8724</v>
      </c>
      <c r="C3318" t="s">
        <v>8725</v>
      </c>
      <c r="D3318" t="s">
        <v>2311</v>
      </c>
      <c r="E3318" t="s">
        <v>2170</v>
      </c>
    </row>
    <row r="3319" spans="1:5" x14ac:dyDescent="0.25">
      <c r="A3319" t="s">
        <v>1736</v>
      </c>
      <c r="B3319" t="s">
        <v>8726</v>
      </c>
      <c r="C3319" t="s">
        <v>1735</v>
      </c>
      <c r="D3319" t="s">
        <v>8727</v>
      </c>
      <c r="E3319" t="s">
        <v>2170</v>
      </c>
    </row>
    <row r="3320" spans="1:5" x14ac:dyDescent="0.25">
      <c r="A3320" t="s">
        <v>1736</v>
      </c>
      <c r="B3320" t="s">
        <v>8728</v>
      </c>
      <c r="C3320" t="s">
        <v>8729</v>
      </c>
      <c r="D3320" t="s">
        <v>2311</v>
      </c>
      <c r="E3320" t="s">
        <v>2170</v>
      </c>
    </row>
    <row r="3321" spans="1:5" x14ac:dyDescent="0.25">
      <c r="A3321" t="s">
        <v>1736</v>
      </c>
      <c r="B3321" t="s">
        <v>8730</v>
      </c>
      <c r="C3321" t="s">
        <v>8731</v>
      </c>
      <c r="D3321" t="s">
        <v>2311</v>
      </c>
      <c r="E3321" t="s">
        <v>2170</v>
      </c>
    </row>
    <row r="3322" spans="1:5" x14ac:dyDescent="0.25">
      <c r="A3322" t="s">
        <v>1736</v>
      </c>
      <c r="B3322" t="s">
        <v>8732</v>
      </c>
      <c r="C3322" t="s">
        <v>8733</v>
      </c>
      <c r="D3322" t="s">
        <v>2311</v>
      </c>
      <c r="E3322" t="s">
        <v>2170</v>
      </c>
    </row>
    <row r="3323" spans="1:5" x14ac:dyDescent="0.25">
      <c r="A3323" t="s">
        <v>1742</v>
      </c>
      <c r="B3323" t="s">
        <v>8734</v>
      </c>
      <c r="C3323" t="s">
        <v>8735</v>
      </c>
      <c r="D3323" t="s">
        <v>2415</v>
      </c>
      <c r="E3323" t="s">
        <v>2170</v>
      </c>
    </row>
    <row r="3324" spans="1:5" x14ac:dyDescent="0.25">
      <c r="A3324" t="s">
        <v>1742</v>
      </c>
      <c r="B3324" t="s">
        <v>8736</v>
      </c>
      <c r="C3324" t="s">
        <v>8737</v>
      </c>
      <c r="D3324" t="s">
        <v>8738</v>
      </c>
      <c r="E3324" t="s">
        <v>2170</v>
      </c>
    </row>
    <row r="3325" spans="1:5" x14ac:dyDescent="0.25">
      <c r="A3325" t="s">
        <v>1742</v>
      </c>
      <c r="B3325" t="s">
        <v>8739</v>
      </c>
      <c r="C3325" t="s">
        <v>8740</v>
      </c>
      <c r="D3325" t="s">
        <v>2415</v>
      </c>
      <c r="E3325" t="s">
        <v>2170</v>
      </c>
    </row>
    <row r="3326" spans="1:5" x14ac:dyDescent="0.25">
      <c r="A3326" t="s">
        <v>1742</v>
      </c>
      <c r="B3326" t="s">
        <v>8741</v>
      </c>
      <c r="C3326" t="s">
        <v>8742</v>
      </c>
      <c r="D3326" t="s">
        <v>2415</v>
      </c>
      <c r="E3326" t="s">
        <v>2170</v>
      </c>
    </row>
    <row r="3327" spans="1:5" x14ac:dyDescent="0.25">
      <c r="A3327" t="s">
        <v>1742</v>
      </c>
      <c r="B3327" t="s">
        <v>8743</v>
      </c>
      <c r="C3327" t="s">
        <v>8744</v>
      </c>
      <c r="D3327" t="s">
        <v>2415</v>
      </c>
      <c r="E3327" t="s">
        <v>2170</v>
      </c>
    </row>
    <row r="3328" spans="1:5" x14ac:dyDescent="0.25">
      <c r="A3328" t="s">
        <v>1742</v>
      </c>
      <c r="B3328" t="s">
        <v>8745</v>
      </c>
      <c r="C3328" t="s">
        <v>8746</v>
      </c>
      <c r="D3328" t="s">
        <v>2415</v>
      </c>
      <c r="E3328" t="s">
        <v>2170</v>
      </c>
    </row>
    <row r="3329" spans="1:5" x14ac:dyDescent="0.25">
      <c r="A3329" t="s">
        <v>1742</v>
      </c>
      <c r="B3329" t="s">
        <v>8747</v>
      </c>
      <c r="C3329" t="s">
        <v>8748</v>
      </c>
      <c r="D3329" t="s">
        <v>2415</v>
      </c>
      <c r="E3329" t="s">
        <v>2170</v>
      </c>
    </row>
    <row r="3330" spans="1:5" x14ac:dyDescent="0.25">
      <c r="A3330" t="s">
        <v>1742</v>
      </c>
      <c r="B3330" t="s">
        <v>8749</v>
      </c>
      <c r="C3330" t="s">
        <v>8750</v>
      </c>
      <c r="D3330" t="s">
        <v>2415</v>
      </c>
      <c r="E3330" t="s">
        <v>2170</v>
      </c>
    </row>
    <row r="3331" spans="1:5" x14ac:dyDescent="0.25">
      <c r="A3331" t="s">
        <v>1742</v>
      </c>
      <c r="B3331" t="s">
        <v>8751</v>
      </c>
      <c r="C3331" t="s">
        <v>8752</v>
      </c>
      <c r="D3331" t="s">
        <v>2415</v>
      </c>
      <c r="E3331" t="s">
        <v>2170</v>
      </c>
    </row>
    <row r="3332" spans="1:5" x14ac:dyDescent="0.25">
      <c r="A3332" t="s">
        <v>1742</v>
      </c>
      <c r="B3332" t="s">
        <v>8753</v>
      </c>
      <c r="C3332" t="s">
        <v>8754</v>
      </c>
      <c r="D3332" t="s">
        <v>2415</v>
      </c>
      <c r="E3332" t="s">
        <v>2170</v>
      </c>
    </row>
    <row r="3333" spans="1:5" x14ac:dyDescent="0.25">
      <c r="A3333" t="s">
        <v>1742</v>
      </c>
      <c r="B3333" t="s">
        <v>8755</v>
      </c>
      <c r="C3333" t="s">
        <v>8756</v>
      </c>
      <c r="D3333" t="s">
        <v>2415</v>
      </c>
      <c r="E3333" t="s">
        <v>2170</v>
      </c>
    </row>
    <row r="3334" spans="1:5" x14ac:dyDescent="0.25">
      <c r="A3334" t="s">
        <v>1742</v>
      </c>
      <c r="B3334" t="s">
        <v>8757</v>
      </c>
      <c r="C3334" t="s">
        <v>8758</v>
      </c>
      <c r="D3334" t="s">
        <v>2415</v>
      </c>
      <c r="E3334" t="s">
        <v>2170</v>
      </c>
    </row>
    <row r="3335" spans="1:5" x14ac:dyDescent="0.25">
      <c r="A3335" t="s">
        <v>1742</v>
      </c>
      <c r="B3335" t="s">
        <v>8759</v>
      </c>
      <c r="C3335" t="s">
        <v>8760</v>
      </c>
      <c r="D3335" t="s">
        <v>2415</v>
      </c>
      <c r="E3335" t="s">
        <v>2170</v>
      </c>
    </row>
    <row r="3336" spans="1:5" x14ac:dyDescent="0.25">
      <c r="A3336" t="s">
        <v>1742</v>
      </c>
      <c r="B3336" t="s">
        <v>8761</v>
      </c>
      <c r="C3336" t="s">
        <v>8762</v>
      </c>
      <c r="D3336" t="s">
        <v>2415</v>
      </c>
      <c r="E3336" t="s">
        <v>2170</v>
      </c>
    </row>
    <row r="3337" spans="1:5" x14ac:dyDescent="0.25">
      <c r="A3337" t="s">
        <v>1742</v>
      </c>
      <c r="B3337" t="s">
        <v>8763</v>
      </c>
      <c r="C3337" t="s">
        <v>8764</v>
      </c>
      <c r="D3337" t="s">
        <v>2415</v>
      </c>
      <c r="E3337" t="s">
        <v>2170</v>
      </c>
    </row>
    <row r="3338" spans="1:5" x14ac:dyDescent="0.25">
      <c r="A3338" t="s">
        <v>1742</v>
      </c>
      <c r="B3338" t="s">
        <v>8765</v>
      </c>
      <c r="C3338" t="s">
        <v>8766</v>
      </c>
      <c r="D3338" t="s">
        <v>2415</v>
      </c>
      <c r="E3338" t="s">
        <v>2170</v>
      </c>
    </row>
    <row r="3339" spans="1:5" x14ac:dyDescent="0.25">
      <c r="A3339" t="s">
        <v>1742</v>
      </c>
      <c r="B3339" t="s">
        <v>8767</v>
      </c>
      <c r="C3339" t="s">
        <v>8768</v>
      </c>
      <c r="D3339" t="s">
        <v>2415</v>
      </c>
      <c r="E3339" t="s">
        <v>2170</v>
      </c>
    </row>
    <row r="3340" spans="1:5" x14ac:dyDescent="0.25">
      <c r="A3340" t="s">
        <v>1742</v>
      </c>
      <c r="B3340" t="s">
        <v>8769</v>
      </c>
      <c r="C3340" t="s">
        <v>8770</v>
      </c>
      <c r="D3340" t="s">
        <v>2415</v>
      </c>
      <c r="E3340" t="s">
        <v>2170</v>
      </c>
    </row>
    <row r="3341" spans="1:5" x14ac:dyDescent="0.25">
      <c r="A3341" t="s">
        <v>1742</v>
      </c>
      <c r="B3341" t="s">
        <v>8771</v>
      </c>
      <c r="C3341" t="s">
        <v>8772</v>
      </c>
      <c r="D3341" t="s">
        <v>2415</v>
      </c>
      <c r="E3341" t="s">
        <v>2170</v>
      </c>
    </row>
    <row r="3342" spans="1:5" x14ac:dyDescent="0.25">
      <c r="A3342" t="s">
        <v>1742</v>
      </c>
      <c r="B3342" t="s">
        <v>8773</v>
      </c>
      <c r="C3342" t="s">
        <v>8774</v>
      </c>
      <c r="D3342" t="s">
        <v>2415</v>
      </c>
      <c r="E3342" t="s">
        <v>2170</v>
      </c>
    </row>
    <row r="3343" spans="1:5" x14ac:dyDescent="0.25">
      <c r="A3343" t="s">
        <v>1742</v>
      </c>
      <c r="B3343" t="s">
        <v>8775</v>
      </c>
      <c r="C3343" t="s">
        <v>8776</v>
      </c>
      <c r="D3343" t="s">
        <v>2415</v>
      </c>
      <c r="E3343" t="s">
        <v>2170</v>
      </c>
    </row>
    <row r="3344" spans="1:5" x14ac:dyDescent="0.25">
      <c r="A3344" t="s">
        <v>1742</v>
      </c>
      <c r="B3344" t="s">
        <v>8777</v>
      </c>
      <c r="C3344" t="s">
        <v>8778</v>
      </c>
      <c r="D3344" t="s">
        <v>2415</v>
      </c>
      <c r="E3344" t="s">
        <v>2170</v>
      </c>
    </row>
    <row r="3345" spans="1:5" x14ac:dyDescent="0.25">
      <c r="A3345" t="s">
        <v>1742</v>
      </c>
      <c r="B3345" t="s">
        <v>8779</v>
      </c>
      <c r="C3345" t="s">
        <v>8780</v>
      </c>
      <c r="D3345" t="s">
        <v>2415</v>
      </c>
      <c r="E3345" t="s">
        <v>2170</v>
      </c>
    </row>
    <row r="3346" spans="1:5" x14ac:dyDescent="0.25">
      <c r="A3346" t="s">
        <v>1742</v>
      </c>
      <c r="B3346" t="s">
        <v>8781</v>
      </c>
      <c r="C3346" t="s">
        <v>8782</v>
      </c>
      <c r="D3346" t="s">
        <v>2415</v>
      </c>
      <c r="E3346" t="s">
        <v>2170</v>
      </c>
    </row>
    <row r="3347" spans="1:5" x14ac:dyDescent="0.25">
      <c r="A3347" t="s">
        <v>1742</v>
      </c>
      <c r="B3347" t="s">
        <v>8783</v>
      </c>
      <c r="C3347" t="s">
        <v>1740</v>
      </c>
      <c r="D3347" t="s">
        <v>2415</v>
      </c>
      <c r="E3347" t="s">
        <v>2170</v>
      </c>
    </row>
    <row r="3348" spans="1:5" x14ac:dyDescent="0.25">
      <c r="A3348" t="s">
        <v>1742</v>
      </c>
      <c r="B3348" t="s">
        <v>8784</v>
      </c>
      <c r="C3348" t="s">
        <v>8785</v>
      </c>
      <c r="D3348" t="s">
        <v>2415</v>
      </c>
      <c r="E3348" t="s">
        <v>2170</v>
      </c>
    </row>
    <row r="3349" spans="1:5" x14ac:dyDescent="0.25">
      <c r="A3349" t="s">
        <v>1742</v>
      </c>
      <c r="B3349" t="s">
        <v>8786</v>
      </c>
      <c r="C3349" t="s">
        <v>126</v>
      </c>
      <c r="D3349" t="s">
        <v>2415</v>
      </c>
      <c r="E3349" t="s">
        <v>2170</v>
      </c>
    </row>
    <row r="3350" spans="1:5" x14ac:dyDescent="0.25">
      <c r="A3350" t="s">
        <v>1742</v>
      </c>
      <c r="B3350" t="s">
        <v>8787</v>
      </c>
      <c r="C3350" t="s">
        <v>8788</v>
      </c>
      <c r="D3350" t="s">
        <v>2415</v>
      </c>
      <c r="E3350" t="s">
        <v>2170</v>
      </c>
    </row>
    <row r="3351" spans="1:5" x14ac:dyDescent="0.25">
      <c r="A3351" t="s">
        <v>1742</v>
      </c>
      <c r="B3351" t="s">
        <v>8789</v>
      </c>
      <c r="C3351" t="s">
        <v>8790</v>
      </c>
      <c r="D3351" t="s">
        <v>2415</v>
      </c>
      <c r="E3351" t="s">
        <v>2170</v>
      </c>
    </row>
    <row r="3352" spans="1:5" x14ac:dyDescent="0.25">
      <c r="A3352" t="s">
        <v>1742</v>
      </c>
      <c r="B3352" t="s">
        <v>8791</v>
      </c>
      <c r="C3352" t="s">
        <v>8792</v>
      </c>
      <c r="D3352" t="s">
        <v>2415</v>
      </c>
      <c r="E3352" t="s">
        <v>2170</v>
      </c>
    </row>
    <row r="3353" spans="1:5" x14ac:dyDescent="0.25">
      <c r="A3353" t="s">
        <v>1742</v>
      </c>
      <c r="B3353" t="s">
        <v>8793</v>
      </c>
      <c r="C3353" t="s">
        <v>8794</v>
      </c>
      <c r="D3353" t="s">
        <v>2415</v>
      </c>
      <c r="E3353" t="s">
        <v>2170</v>
      </c>
    </row>
    <row r="3354" spans="1:5" x14ac:dyDescent="0.25">
      <c r="A3354" t="s">
        <v>1742</v>
      </c>
      <c r="B3354" t="s">
        <v>8795</v>
      </c>
      <c r="C3354" t="s">
        <v>3028</v>
      </c>
      <c r="D3354" t="s">
        <v>2415</v>
      </c>
      <c r="E3354" t="s">
        <v>2170</v>
      </c>
    </row>
    <row r="3355" spans="1:5" x14ac:dyDescent="0.25">
      <c r="A3355" t="s">
        <v>1742</v>
      </c>
      <c r="B3355" t="s">
        <v>8796</v>
      </c>
      <c r="C3355" t="s">
        <v>8797</v>
      </c>
      <c r="D3355" t="s">
        <v>2415</v>
      </c>
      <c r="E3355" t="s">
        <v>2170</v>
      </c>
    </row>
    <row r="3356" spans="1:5" x14ac:dyDescent="0.25">
      <c r="A3356" t="s">
        <v>1742</v>
      </c>
      <c r="B3356" t="s">
        <v>8798</v>
      </c>
      <c r="C3356" t="s">
        <v>8799</v>
      </c>
      <c r="D3356" t="s">
        <v>2415</v>
      </c>
      <c r="E3356" t="s">
        <v>2170</v>
      </c>
    </row>
    <row r="3357" spans="1:5" x14ac:dyDescent="0.25">
      <c r="A3357" t="s">
        <v>1742</v>
      </c>
      <c r="B3357" t="s">
        <v>8800</v>
      </c>
      <c r="C3357" t="s">
        <v>8801</v>
      </c>
      <c r="D3357" t="s">
        <v>2415</v>
      </c>
      <c r="E3357" t="s">
        <v>2170</v>
      </c>
    </row>
    <row r="3358" spans="1:5" x14ac:dyDescent="0.25">
      <c r="A3358" t="s">
        <v>1742</v>
      </c>
      <c r="B3358" t="s">
        <v>8802</v>
      </c>
      <c r="C3358" t="s">
        <v>8803</v>
      </c>
      <c r="D3358" t="s">
        <v>2415</v>
      </c>
      <c r="E3358" t="s">
        <v>2170</v>
      </c>
    </row>
    <row r="3359" spans="1:5" x14ac:dyDescent="0.25">
      <c r="A3359" t="s">
        <v>1742</v>
      </c>
      <c r="B3359" t="s">
        <v>8804</v>
      </c>
      <c r="C3359" t="s">
        <v>8805</v>
      </c>
      <c r="D3359" t="s">
        <v>2415</v>
      </c>
      <c r="E3359" t="s">
        <v>2170</v>
      </c>
    </row>
    <row r="3360" spans="1:5" x14ac:dyDescent="0.25">
      <c r="A3360" t="s">
        <v>1745</v>
      </c>
      <c r="B3360" t="s">
        <v>8806</v>
      </c>
      <c r="C3360" t="s">
        <v>8807</v>
      </c>
      <c r="D3360" t="s">
        <v>3008</v>
      </c>
      <c r="E3360" t="s">
        <v>2170</v>
      </c>
    </row>
    <row r="3361" spans="1:5" x14ac:dyDescent="0.25">
      <c r="A3361" t="s">
        <v>1745</v>
      </c>
      <c r="B3361" t="s">
        <v>8808</v>
      </c>
      <c r="C3361" t="s">
        <v>8809</v>
      </c>
      <c r="D3361" t="s">
        <v>3008</v>
      </c>
      <c r="E3361" t="s">
        <v>2170</v>
      </c>
    </row>
    <row r="3362" spans="1:5" x14ac:dyDescent="0.25">
      <c r="A3362" t="s">
        <v>1745</v>
      </c>
      <c r="B3362" t="s">
        <v>8810</v>
      </c>
      <c r="C3362" t="s">
        <v>8811</v>
      </c>
      <c r="D3362" t="s">
        <v>3008</v>
      </c>
      <c r="E3362" t="s">
        <v>2170</v>
      </c>
    </row>
    <row r="3363" spans="1:5" x14ac:dyDescent="0.25">
      <c r="A3363" t="s">
        <v>1745</v>
      </c>
      <c r="B3363" t="s">
        <v>8812</v>
      </c>
      <c r="C3363" t="s">
        <v>8813</v>
      </c>
      <c r="D3363" t="s">
        <v>3008</v>
      </c>
      <c r="E3363" t="s">
        <v>2170</v>
      </c>
    </row>
    <row r="3364" spans="1:5" x14ac:dyDescent="0.25">
      <c r="A3364" t="s">
        <v>1745</v>
      </c>
      <c r="B3364" t="s">
        <v>8814</v>
      </c>
      <c r="C3364" t="s">
        <v>8815</v>
      </c>
      <c r="D3364" t="s">
        <v>3555</v>
      </c>
      <c r="E3364" t="s">
        <v>2170</v>
      </c>
    </row>
    <row r="3365" spans="1:5" x14ac:dyDescent="0.25">
      <c r="A3365" t="s">
        <v>1745</v>
      </c>
      <c r="B3365" t="s">
        <v>8816</v>
      </c>
      <c r="C3365" t="s">
        <v>8817</v>
      </c>
      <c r="D3365" t="s">
        <v>3555</v>
      </c>
      <c r="E3365" t="s">
        <v>2170</v>
      </c>
    </row>
    <row r="3366" spans="1:5" x14ac:dyDescent="0.25">
      <c r="A3366" t="s">
        <v>1745</v>
      </c>
      <c r="B3366" t="s">
        <v>8818</v>
      </c>
      <c r="C3366" t="s">
        <v>8819</v>
      </c>
      <c r="D3366" t="s">
        <v>3008</v>
      </c>
      <c r="E3366" t="s">
        <v>2170</v>
      </c>
    </row>
    <row r="3367" spans="1:5" x14ac:dyDescent="0.25">
      <c r="A3367" t="s">
        <v>1745</v>
      </c>
      <c r="B3367" t="s">
        <v>8820</v>
      </c>
      <c r="C3367" t="s">
        <v>4595</v>
      </c>
      <c r="D3367" t="s">
        <v>3008</v>
      </c>
      <c r="E3367" t="s">
        <v>2170</v>
      </c>
    </row>
    <row r="3368" spans="1:5" x14ac:dyDescent="0.25">
      <c r="A3368" t="s">
        <v>1745</v>
      </c>
      <c r="B3368" t="s">
        <v>8821</v>
      </c>
      <c r="C3368" t="s">
        <v>8822</v>
      </c>
      <c r="D3368" t="s">
        <v>3008</v>
      </c>
      <c r="E3368" t="s">
        <v>2170</v>
      </c>
    </row>
    <row r="3369" spans="1:5" x14ac:dyDescent="0.25">
      <c r="A3369" t="s">
        <v>1745</v>
      </c>
      <c r="B3369" t="s">
        <v>8823</v>
      </c>
      <c r="C3369" t="s">
        <v>4609</v>
      </c>
      <c r="D3369" t="s">
        <v>3008</v>
      </c>
      <c r="E3369" t="s">
        <v>2170</v>
      </c>
    </row>
    <row r="3370" spans="1:5" x14ac:dyDescent="0.25">
      <c r="A3370" t="s">
        <v>1745</v>
      </c>
      <c r="B3370" t="s">
        <v>8824</v>
      </c>
      <c r="C3370" t="s">
        <v>8825</v>
      </c>
      <c r="D3370" t="s">
        <v>3008</v>
      </c>
      <c r="E3370" t="s">
        <v>2170</v>
      </c>
    </row>
    <row r="3371" spans="1:5" x14ac:dyDescent="0.25">
      <c r="A3371" t="s">
        <v>1745</v>
      </c>
      <c r="B3371" t="s">
        <v>8826</v>
      </c>
      <c r="C3371" t="s">
        <v>1744</v>
      </c>
      <c r="D3371" t="s">
        <v>3008</v>
      </c>
      <c r="E3371" t="s">
        <v>2170</v>
      </c>
    </row>
    <row r="3372" spans="1:5" x14ac:dyDescent="0.25">
      <c r="A3372" t="s">
        <v>1745</v>
      </c>
      <c r="B3372" t="s">
        <v>8827</v>
      </c>
      <c r="C3372" t="s">
        <v>8828</v>
      </c>
      <c r="D3372" t="s">
        <v>3008</v>
      </c>
      <c r="E3372" t="s">
        <v>2170</v>
      </c>
    </row>
    <row r="3373" spans="1:5" x14ac:dyDescent="0.25">
      <c r="A3373" t="s">
        <v>1745</v>
      </c>
      <c r="B3373" t="s">
        <v>8829</v>
      </c>
      <c r="C3373" t="s">
        <v>8830</v>
      </c>
      <c r="D3373" t="s">
        <v>3008</v>
      </c>
      <c r="E3373" t="s">
        <v>2170</v>
      </c>
    </row>
    <row r="3374" spans="1:5" x14ac:dyDescent="0.25">
      <c r="A3374" t="s">
        <v>1745</v>
      </c>
      <c r="B3374" t="s">
        <v>8831</v>
      </c>
      <c r="C3374" t="s">
        <v>8832</v>
      </c>
      <c r="D3374" t="s">
        <v>3008</v>
      </c>
      <c r="E3374" t="s">
        <v>2170</v>
      </c>
    </row>
    <row r="3375" spans="1:5" x14ac:dyDescent="0.25">
      <c r="A3375" t="s">
        <v>1745</v>
      </c>
      <c r="B3375" t="s">
        <v>8833</v>
      </c>
      <c r="C3375" t="s">
        <v>8834</v>
      </c>
      <c r="D3375" t="s">
        <v>3008</v>
      </c>
      <c r="E3375" t="s">
        <v>2170</v>
      </c>
    </row>
    <row r="3376" spans="1:5" x14ac:dyDescent="0.25">
      <c r="A3376" t="s">
        <v>1745</v>
      </c>
      <c r="B3376" t="s">
        <v>8835</v>
      </c>
      <c r="C3376" t="s">
        <v>8836</v>
      </c>
      <c r="D3376" t="s">
        <v>3008</v>
      </c>
      <c r="E3376" t="s">
        <v>2170</v>
      </c>
    </row>
    <row r="3377" spans="1:5" x14ac:dyDescent="0.25">
      <c r="A3377" t="s">
        <v>1748</v>
      </c>
      <c r="B3377" t="s">
        <v>8837</v>
      </c>
      <c r="C3377" t="s">
        <v>8838</v>
      </c>
      <c r="D3377" t="s">
        <v>2200</v>
      </c>
      <c r="E3377" t="s">
        <v>2170</v>
      </c>
    </row>
    <row r="3378" spans="1:5" x14ac:dyDescent="0.25">
      <c r="A3378" t="s">
        <v>1748</v>
      </c>
      <c r="B3378" t="s">
        <v>8839</v>
      </c>
      <c r="C3378" t="s">
        <v>8840</v>
      </c>
      <c r="D3378" t="s">
        <v>2200</v>
      </c>
      <c r="E3378" t="s">
        <v>2170</v>
      </c>
    </row>
    <row r="3379" spans="1:5" x14ac:dyDescent="0.25">
      <c r="A3379" t="s">
        <v>1748</v>
      </c>
      <c r="B3379" t="s">
        <v>8841</v>
      </c>
      <c r="C3379" t="s">
        <v>8842</v>
      </c>
      <c r="D3379" t="s">
        <v>2200</v>
      </c>
      <c r="E3379" t="s">
        <v>2170</v>
      </c>
    </row>
    <row r="3380" spans="1:5" x14ac:dyDescent="0.25">
      <c r="A3380" t="s">
        <v>1748</v>
      </c>
      <c r="B3380" t="s">
        <v>8843</v>
      </c>
      <c r="C3380" t="s">
        <v>8844</v>
      </c>
      <c r="D3380" t="s">
        <v>2200</v>
      </c>
      <c r="E3380" t="s">
        <v>2170</v>
      </c>
    </row>
    <row r="3381" spans="1:5" x14ac:dyDescent="0.25">
      <c r="A3381" t="s">
        <v>1748</v>
      </c>
      <c r="B3381" t="s">
        <v>8845</v>
      </c>
      <c r="C3381" t="s">
        <v>8846</v>
      </c>
      <c r="D3381" t="s">
        <v>2200</v>
      </c>
      <c r="E3381" t="s">
        <v>2170</v>
      </c>
    </row>
    <row r="3382" spans="1:5" x14ac:dyDescent="0.25">
      <c r="A3382" t="s">
        <v>1748</v>
      </c>
      <c r="B3382" t="s">
        <v>8847</v>
      </c>
      <c r="C3382" t="s">
        <v>2781</v>
      </c>
      <c r="D3382" t="s">
        <v>2200</v>
      </c>
      <c r="E3382" t="s">
        <v>2170</v>
      </c>
    </row>
    <row r="3383" spans="1:5" x14ac:dyDescent="0.25">
      <c r="A3383" t="s">
        <v>1748</v>
      </c>
      <c r="B3383" t="s">
        <v>8848</v>
      </c>
      <c r="C3383" t="s">
        <v>8849</v>
      </c>
      <c r="D3383" t="s">
        <v>2200</v>
      </c>
      <c r="E3383" t="s">
        <v>2170</v>
      </c>
    </row>
    <row r="3384" spans="1:5" x14ac:dyDescent="0.25">
      <c r="A3384" t="s">
        <v>1748</v>
      </c>
      <c r="B3384" t="s">
        <v>8850</v>
      </c>
      <c r="C3384" t="s">
        <v>8851</v>
      </c>
      <c r="D3384" t="s">
        <v>2200</v>
      </c>
      <c r="E3384" t="s">
        <v>2170</v>
      </c>
    </row>
    <row r="3385" spans="1:5" x14ac:dyDescent="0.25">
      <c r="A3385" t="s">
        <v>1748</v>
      </c>
      <c r="B3385" t="s">
        <v>8852</v>
      </c>
      <c r="C3385" t="s">
        <v>8853</v>
      </c>
      <c r="D3385" t="s">
        <v>2200</v>
      </c>
      <c r="E3385" t="s">
        <v>2170</v>
      </c>
    </row>
    <row r="3386" spans="1:5" x14ac:dyDescent="0.25">
      <c r="A3386" t="s">
        <v>1748</v>
      </c>
      <c r="B3386" t="s">
        <v>8854</v>
      </c>
      <c r="C3386" t="s">
        <v>8855</v>
      </c>
      <c r="D3386" t="s">
        <v>2200</v>
      </c>
      <c r="E3386" t="s">
        <v>2170</v>
      </c>
    </row>
    <row r="3387" spans="1:5" x14ac:dyDescent="0.25">
      <c r="A3387" t="s">
        <v>1748</v>
      </c>
      <c r="B3387" t="s">
        <v>8856</v>
      </c>
      <c r="C3387" t="s">
        <v>8857</v>
      </c>
      <c r="D3387" t="s">
        <v>2200</v>
      </c>
      <c r="E3387" t="s">
        <v>2170</v>
      </c>
    </row>
    <row r="3388" spans="1:5" x14ac:dyDescent="0.25">
      <c r="A3388" t="s">
        <v>1748</v>
      </c>
      <c r="B3388" t="s">
        <v>8858</v>
      </c>
      <c r="C3388" t="s">
        <v>8859</v>
      </c>
      <c r="D3388" t="s">
        <v>2200</v>
      </c>
      <c r="E3388" t="s">
        <v>2170</v>
      </c>
    </row>
    <row r="3389" spans="1:5" x14ac:dyDescent="0.25">
      <c r="A3389" t="s">
        <v>1748</v>
      </c>
      <c r="B3389" t="s">
        <v>8860</v>
      </c>
      <c r="C3389" t="s">
        <v>1200</v>
      </c>
      <c r="D3389" t="s">
        <v>2165</v>
      </c>
      <c r="E3389" t="s">
        <v>2170</v>
      </c>
    </row>
    <row r="3390" spans="1:5" x14ac:dyDescent="0.25">
      <c r="A3390" t="s">
        <v>1748</v>
      </c>
      <c r="B3390" t="s">
        <v>8861</v>
      </c>
      <c r="C3390" t="s">
        <v>8862</v>
      </c>
      <c r="D3390" t="s">
        <v>2165</v>
      </c>
      <c r="E3390" t="s">
        <v>2170</v>
      </c>
    </row>
    <row r="3391" spans="1:5" x14ac:dyDescent="0.25">
      <c r="A3391" t="s">
        <v>1748</v>
      </c>
      <c r="B3391" t="s">
        <v>8863</v>
      </c>
      <c r="C3391" t="s">
        <v>8864</v>
      </c>
      <c r="D3391" t="s">
        <v>2165</v>
      </c>
      <c r="E3391" t="s">
        <v>2170</v>
      </c>
    </row>
    <row r="3392" spans="1:5" x14ac:dyDescent="0.25">
      <c r="A3392" t="s">
        <v>1748</v>
      </c>
      <c r="B3392" t="s">
        <v>8865</v>
      </c>
      <c r="C3392" t="s">
        <v>1202</v>
      </c>
      <c r="D3392" t="s">
        <v>3057</v>
      </c>
      <c r="E3392" t="s">
        <v>2170</v>
      </c>
    </row>
    <row r="3393" spans="1:5" x14ac:dyDescent="0.25">
      <c r="A3393" t="s">
        <v>1748</v>
      </c>
      <c r="B3393" t="s">
        <v>8866</v>
      </c>
      <c r="C3393" t="s">
        <v>3059</v>
      </c>
      <c r="D3393" t="s">
        <v>3057</v>
      </c>
      <c r="E3393" t="s">
        <v>2170</v>
      </c>
    </row>
    <row r="3394" spans="1:5" x14ac:dyDescent="0.25">
      <c r="A3394" t="s">
        <v>1748</v>
      </c>
      <c r="B3394" t="s">
        <v>8867</v>
      </c>
      <c r="C3394" t="s">
        <v>3061</v>
      </c>
      <c r="D3394" t="s">
        <v>3057</v>
      </c>
      <c r="E3394" t="s">
        <v>2170</v>
      </c>
    </row>
    <row r="3395" spans="1:5" x14ac:dyDescent="0.25">
      <c r="A3395" t="s">
        <v>1751</v>
      </c>
      <c r="B3395" t="s">
        <v>8868</v>
      </c>
      <c r="C3395" t="s">
        <v>8869</v>
      </c>
      <c r="D3395" t="s">
        <v>2286</v>
      </c>
      <c r="E3395" t="s">
        <v>2170</v>
      </c>
    </row>
    <row r="3396" spans="1:5" x14ac:dyDescent="0.25">
      <c r="A3396" t="s">
        <v>1751</v>
      </c>
      <c r="B3396" t="s">
        <v>8870</v>
      </c>
      <c r="C3396" t="s">
        <v>8871</v>
      </c>
      <c r="D3396" t="s">
        <v>2286</v>
      </c>
      <c r="E3396" t="s">
        <v>2170</v>
      </c>
    </row>
    <row r="3397" spans="1:5" x14ac:dyDescent="0.25">
      <c r="A3397" t="s">
        <v>1751</v>
      </c>
      <c r="B3397" t="s">
        <v>8872</v>
      </c>
      <c r="C3397" t="s">
        <v>8873</v>
      </c>
      <c r="D3397" t="s">
        <v>8874</v>
      </c>
      <c r="E3397" t="s">
        <v>2170</v>
      </c>
    </row>
    <row r="3398" spans="1:5" x14ac:dyDescent="0.25">
      <c r="A3398" t="s">
        <v>1751</v>
      </c>
      <c r="B3398" t="s">
        <v>8875</v>
      </c>
      <c r="C3398" t="s">
        <v>8876</v>
      </c>
      <c r="D3398" t="s">
        <v>2286</v>
      </c>
      <c r="E3398" t="s">
        <v>2170</v>
      </c>
    </row>
    <row r="3399" spans="1:5" x14ac:dyDescent="0.25">
      <c r="A3399" t="s">
        <v>1751</v>
      </c>
      <c r="B3399" t="s">
        <v>8877</v>
      </c>
      <c r="C3399" t="s">
        <v>8878</v>
      </c>
      <c r="D3399" t="s">
        <v>2286</v>
      </c>
      <c r="E3399" t="s">
        <v>2170</v>
      </c>
    </row>
    <row r="3400" spans="1:5" x14ac:dyDescent="0.25">
      <c r="A3400" t="s">
        <v>1751</v>
      </c>
      <c r="B3400" t="s">
        <v>8879</v>
      </c>
      <c r="C3400" t="s">
        <v>1750</v>
      </c>
      <c r="D3400" t="s">
        <v>2286</v>
      </c>
      <c r="E3400" t="s">
        <v>2170</v>
      </c>
    </row>
    <row r="3401" spans="1:5" x14ac:dyDescent="0.25">
      <c r="A3401" t="s">
        <v>1751</v>
      </c>
      <c r="B3401" t="s">
        <v>8880</v>
      </c>
      <c r="C3401" t="s">
        <v>8881</v>
      </c>
      <c r="D3401" t="s">
        <v>2286</v>
      </c>
      <c r="E3401" t="s">
        <v>2170</v>
      </c>
    </row>
    <row r="3402" spans="1:5" x14ac:dyDescent="0.25">
      <c r="A3402" t="s">
        <v>1751</v>
      </c>
      <c r="B3402" t="s">
        <v>8882</v>
      </c>
      <c r="C3402" t="s">
        <v>8883</v>
      </c>
      <c r="D3402" t="s">
        <v>8874</v>
      </c>
      <c r="E3402" t="s">
        <v>2170</v>
      </c>
    </row>
    <row r="3403" spans="1:5" x14ac:dyDescent="0.25">
      <c r="A3403" t="s">
        <v>1751</v>
      </c>
      <c r="B3403" t="s">
        <v>8884</v>
      </c>
      <c r="C3403" t="s">
        <v>8885</v>
      </c>
      <c r="D3403" t="s">
        <v>2286</v>
      </c>
      <c r="E3403" t="s">
        <v>2170</v>
      </c>
    </row>
    <row r="3404" spans="1:5" x14ac:dyDescent="0.25">
      <c r="A3404" t="s">
        <v>1751</v>
      </c>
      <c r="B3404" t="s">
        <v>8886</v>
      </c>
      <c r="C3404" t="s">
        <v>8887</v>
      </c>
      <c r="D3404" t="s">
        <v>2286</v>
      </c>
      <c r="E3404" t="s">
        <v>2170</v>
      </c>
    </row>
    <row r="3405" spans="1:5" x14ac:dyDescent="0.25">
      <c r="A3405" t="s">
        <v>1751</v>
      </c>
      <c r="B3405" t="s">
        <v>8888</v>
      </c>
      <c r="C3405" t="s">
        <v>8889</v>
      </c>
      <c r="D3405" t="s">
        <v>2286</v>
      </c>
      <c r="E3405" t="s">
        <v>2170</v>
      </c>
    </row>
    <row r="3406" spans="1:5" x14ac:dyDescent="0.25">
      <c r="A3406" t="s">
        <v>1751</v>
      </c>
      <c r="B3406" t="s">
        <v>8890</v>
      </c>
      <c r="C3406" t="s">
        <v>8891</v>
      </c>
      <c r="D3406" t="s">
        <v>2286</v>
      </c>
      <c r="E3406" t="s">
        <v>2170</v>
      </c>
    </row>
    <row r="3407" spans="1:5" x14ac:dyDescent="0.25">
      <c r="A3407" t="s">
        <v>1751</v>
      </c>
      <c r="B3407" t="s">
        <v>8892</v>
      </c>
      <c r="C3407" t="s">
        <v>8893</v>
      </c>
      <c r="D3407" t="s">
        <v>2286</v>
      </c>
      <c r="E3407" t="s">
        <v>2170</v>
      </c>
    </row>
    <row r="3408" spans="1:5" x14ac:dyDescent="0.25">
      <c r="A3408" t="s">
        <v>1754</v>
      </c>
      <c r="B3408" t="s">
        <v>8894</v>
      </c>
      <c r="C3408" t="s">
        <v>8895</v>
      </c>
      <c r="D3408" t="s">
        <v>2200</v>
      </c>
      <c r="E3408" t="s">
        <v>2170</v>
      </c>
    </row>
    <row r="3409" spans="1:5" x14ac:dyDescent="0.25">
      <c r="A3409" t="s">
        <v>1754</v>
      </c>
      <c r="B3409" t="s">
        <v>8896</v>
      </c>
      <c r="C3409" t="s">
        <v>8897</v>
      </c>
      <c r="D3409" t="s">
        <v>2200</v>
      </c>
      <c r="E3409" t="s">
        <v>2170</v>
      </c>
    </row>
    <row r="3410" spans="1:5" x14ac:dyDescent="0.25">
      <c r="A3410" t="s">
        <v>1754</v>
      </c>
      <c r="B3410" t="s">
        <v>8898</v>
      </c>
      <c r="C3410" t="s">
        <v>8899</v>
      </c>
      <c r="D3410" t="s">
        <v>2200</v>
      </c>
      <c r="E3410" t="s">
        <v>2170</v>
      </c>
    </row>
    <row r="3411" spans="1:5" x14ac:dyDescent="0.25">
      <c r="A3411" t="s">
        <v>1754</v>
      </c>
      <c r="B3411" t="s">
        <v>8900</v>
      </c>
      <c r="C3411" t="s">
        <v>8901</v>
      </c>
      <c r="D3411" t="s">
        <v>2200</v>
      </c>
      <c r="E3411" t="s">
        <v>2170</v>
      </c>
    </row>
    <row r="3412" spans="1:5" x14ac:dyDescent="0.25">
      <c r="A3412" t="s">
        <v>1754</v>
      </c>
      <c r="B3412" t="s">
        <v>8902</v>
      </c>
      <c r="C3412" t="s">
        <v>8903</v>
      </c>
      <c r="D3412" t="s">
        <v>2200</v>
      </c>
      <c r="E3412" t="s">
        <v>2170</v>
      </c>
    </row>
    <row r="3413" spans="1:5" x14ac:dyDescent="0.25">
      <c r="A3413" t="s">
        <v>1754</v>
      </c>
      <c r="B3413" t="s">
        <v>8904</v>
      </c>
      <c r="C3413" t="s">
        <v>8905</v>
      </c>
      <c r="D3413" t="s">
        <v>2200</v>
      </c>
      <c r="E3413" t="s">
        <v>2170</v>
      </c>
    </row>
    <row r="3414" spans="1:5" x14ac:dyDescent="0.25">
      <c r="A3414" t="s">
        <v>1754</v>
      </c>
      <c r="B3414" t="s">
        <v>8906</v>
      </c>
      <c r="C3414" t="s">
        <v>8907</v>
      </c>
      <c r="D3414" t="s">
        <v>2200</v>
      </c>
      <c r="E3414" t="s">
        <v>2170</v>
      </c>
    </row>
    <row r="3415" spans="1:5" x14ac:dyDescent="0.25">
      <c r="A3415" t="s">
        <v>1757</v>
      </c>
      <c r="B3415" t="s">
        <v>8908</v>
      </c>
      <c r="C3415" t="s">
        <v>8909</v>
      </c>
      <c r="D3415" t="s">
        <v>2646</v>
      </c>
      <c r="E3415" t="s">
        <v>2170</v>
      </c>
    </row>
    <row r="3416" spans="1:5" x14ac:dyDescent="0.25">
      <c r="A3416" t="s">
        <v>1757</v>
      </c>
      <c r="B3416" t="s">
        <v>8910</v>
      </c>
      <c r="C3416" t="s">
        <v>8911</v>
      </c>
      <c r="D3416" t="s">
        <v>2646</v>
      </c>
      <c r="E3416" t="s">
        <v>2170</v>
      </c>
    </row>
    <row r="3417" spans="1:5" x14ac:dyDescent="0.25">
      <c r="A3417" t="s">
        <v>1757</v>
      </c>
      <c r="B3417" t="s">
        <v>8912</v>
      </c>
      <c r="C3417" t="s">
        <v>8913</v>
      </c>
      <c r="D3417" t="s">
        <v>2646</v>
      </c>
      <c r="E3417" t="s">
        <v>2170</v>
      </c>
    </row>
    <row r="3418" spans="1:5" x14ac:dyDescent="0.25">
      <c r="A3418" t="s">
        <v>1757</v>
      </c>
      <c r="B3418" t="s">
        <v>8914</v>
      </c>
      <c r="C3418" t="s">
        <v>8915</v>
      </c>
      <c r="D3418" t="s">
        <v>2646</v>
      </c>
      <c r="E3418" t="s">
        <v>2170</v>
      </c>
    </row>
    <row r="3419" spans="1:5" x14ac:dyDescent="0.25">
      <c r="A3419" t="s">
        <v>1757</v>
      </c>
      <c r="B3419" t="s">
        <v>8916</v>
      </c>
      <c r="C3419" t="s">
        <v>8917</v>
      </c>
      <c r="D3419" t="s">
        <v>2646</v>
      </c>
      <c r="E3419" t="s">
        <v>2170</v>
      </c>
    </row>
    <row r="3420" spans="1:5" x14ac:dyDescent="0.25">
      <c r="A3420" t="s">
        <v>1757</v>
      </c>
      <c r="B3420" t="s">
        <v>8918</v>
      </c>
      <c r="C3420" t="s">
        <v>8919</v>
      </c>
      <c r="D3420" t="s">
        <v>2646</v>
      </c>
      <c r="E3420" t="s">
        <v>2170</v>
      </c>
    </row>
    <row r="3421" spans="1:5" x14ac:dyDescent="0.25">
      <c r="A3421" t="s">
        <v>1757</v>
      </c>
      <c r="B3421" t="s">
        <v>8920</v>
      </c>
      <c r="C3421" t="s">
        <v>8921</v>
      </c>
      <c r="D3421" t="s">
        <v>2646</v>
      </c>
      <c r="E3421" t="s">
        <v>2170</v>
      </c>
    </row>
    <row r="3422" spans="1:5" x14ac:dyDescent="0.25">
      <c r="A3422" t="s">
        <v>1757</v>
      </c>
      <c r="B3422" t="s">
        <v>8922</v>
      </c>
      <c r="C3422" t="s">
        <v>8923</v>
      </c>
      <c r="D3422" t="s">
        <v>2646</v>
      </c>
      <c r="E3422" t="s">
        <v>2170</v>
      </c>
    </row>
    <row r="3423" spans="1:5" x14ac:dyDescent="0.25">
      <c r="A3423" t="s">
        <v>1757</v>
      </c>
      <c r="B3423" t="s">
        <v>8924</v>
      </c>
      <c r="C3423" t="s">
        <v>8925</v>
      </c>
      <c r="D3423" t="s">
        <v>2646</v>
      </c>
      <c r="E3423" t="s">
        <v>2170</v>
      </c>
    </row>
    <row r="3424" spans="1:5" x14ac:dyDescent="0.25">
      <c r="A3424" t="s">
        <v>1757</v>
      </c>
      <c r="B3424" t="s">
        <v>8926</v>
      </c>
      <c r="C3424" t="s">
        <v>8927</v>
      </c>
      <c r="D3424" t="s">
        <v>2646</v>
      </c>
      <c r="E3424" t="s">
        <v>2170</v>
      </c>
    </row>
    <row r="3425" spans="1:5" x14ac:dyDescent="0.25">
      <c r="A3425" t="s">
        <v>1757</v>
      </c>
      <c r="B3425" t="s">
        <v>8928</v>
      </c>
      <c r="C3425" t="s">
        <v>8929</v>
      </c>
      <c r="D3425" t="s">
        <v>2646</v>
      </c>
      <c r="E3425" t="s">
        <v>2170</v>
      </c>
    </row>
    <row r="3426" spans="1:5" x14ac:dyDescent="0.25">
      <c r="A3426" t="s">
        <v>1757</v>
      </c>
      <c r="B3426" t="s">
        <v>8930</v>
      </c>
      <c r="C3426" t="s">
        <v>8931</v>
      </c>
      <c r="D3426" t="s">
        <v>2646</v>
      </c>
      <c r="E3426" t="s">
        <v>2170</v>
      </c>
    </row>
    <row r="3427" spans="1:5" x14ac:dyDescent="0.25">
      <c r="A3427" t="s">
        <v>1757</v>
      </c>
      <c r="B3427" t="s">
        <v>8932</v>
      </c>
      <c r="C3427" t="s">
        <v>8933</v>
      </c>
      <c r="D3427" t="s">
        <v>2646</v>
      </c>
      <c r="E3427" t="s">
        <v>2170</v>
      </c>
    </row>
    <row r="3428" spans="1:5" x14ac:dyDescent="0.25">
      <c r="A3428" t="s">
        <v>1757</v>
      </c>
      <c r="B3428" t="s">
        <v>8934</v>
      </c>
      <c r="C3428" t="s">
        <v>1756</v>
      </c>
      <c r="D3428" t="s">
        <v>2646</v>
      </c>
      <c r="E3428" t="s">
        <v>2170</v>
      </c>
    </row>
    <row r="3429" spans="1:5" x14ac:dyDescent="0.25">
      <c r="A3429" t="s">
        <v>1763</v>
      </c>
      <c r="B3429" t="s">
        <v>8935</v>
      </c>
      <c r="C3429" t="s">
        <v>1762</v>
      </c>
      <c r="D3429" t="s">
        <v>2311</v>
      </c>
      <c r="E3429" t="s">
        <v>2170</v>
      </c>
    </row>
    <row r="3430" spans="1:5" x14ac:dyDescent="0.25">
      <c r="A3430" t="s">
        <v>1763</v>
      </c>
      <c r="B3430" t="s">
        <v>8936</v>
      </c>
      <c r="C3430" t="s">
        <v>8937</v>
      </c>
      <c r="D3430" t="s">
        <v>2311</v>
      </c>
      <c r="E3430" t="s">
        <v>2170</v>
      </c>
    </row>
    <row r="3431" spans="1:5" x14ac:dyDescent="0.25">
      <c r="A3431" t="s">
        <v>1763</v>
      </c>
      <c r="B3431" t="s">
        <v>8938</v>
      </c>
      <c r="C3431" t="s">
        <v>8939</v>
      </c>
      <c r="D3431" t="s">
        <v>2311</v>
      </c>
      <c r="E3431" t="s">
        <v>2170</v>
      </c>
    </row>
    <row r="3432" spans="1:5" x14ac:dyDescent="0.25">
      <c r="A3432" t="s">
        <v>1763</v>
      </c>
      <c r="B3432" t="s">
        <v>8940</v>
      </c>
      <c r="C3432" t="s">
        <v>8941</v>
      </c>
      <c r="D3432" t="s">
        <v>8942</v>
      </c>
      <c r="E3432" t="s">
        <v>2170</v>
      </c>
    </row>
    <row r="3433" spans="1:5" x14ac:dyDescent="0.25">
      <c r="A3433" t="s">
        <v>1763</v>
      </c>
      <c r="B3433" t="s">
        <v>8943</v>
      </c>
      <c r="C3433" t="s">
        <v>8944</v>
      </c>
      <c r="D3433" t="s">
        <v>2311</v>
      </c>
      <c r="E3433" t="s">
        <v>2170</v>
      </c>
    </row>
    <row r="3434" spans="1:5" x14ac:dyDescent="0.25">
      <c r="A3434" t="s">
        <v>1763</v>
      </c>
      <c r="B3434" t="s">
        <v>8945</v>
      </c>
      <c r="C3434" t="s">
        <v>8946</v>
      </c>
      <c r="D3434" t="s">
        <v>2311</v>
      </c>
      <c r="E3434" t="s">
        <v>2170</v>
      </c>
    </row>
    <row r="3435" spans="1:5" x14ac:dyDescent="0.25">
      <c r="A3435" t="s">
        <v>1763</v>
      </c>
      <c r="B3435" t="s">
        <v>8947</v>
      </c>
      <c r="C3435" t="s">
        <v>8948</v>
      </c>
      <c r="D3435" t="s">
        <v>2311</v>
      </c>
      <c r="E3435" t="s">
        <v>2170</v>
      </c>
    </row>
    <row r="3436" spans="1:5" x14ac:dyDescent="0.25">
      <c r="A3436" t="s">
        <v>1763</v>
      </c>
      <c r="B3436" t="s">
        <v>8949</v>
      </c>
      <c r="C3436" t="s">
        <v>8950</v>
      </c>
      <c r="D3436" t="s">
        <v>2311</v>
      </c>
      <c r="E3436" t="s">
        <v>2170</v>
      </c>
    </row>
    <row r="3437" spans="1:5" x14ac:dyDescent="0.25">
      <c r="A3437" t="s">
        <v>1763</v>
      </c>
      <c r="B3437" t="s">
        <v>8951</v>
      </c>
      <c r="C3437" t="s">
        <v>8952</v>
      </c>
      <c r="D3437" t="s">
        <v>2311</v>
      </c>
      <c r="E3437" t="s">
        <v>2170</v>
      </c>
    </row>
    <row r="3438" spans="1:5" x14ac:dyDescent="0.25">
      <c r="A3438" t="s">
        <v>1763</v>
      </c>
      <c r="B3438" t="s">
        <v>8953</v>
      </c>
      <c r="C3438" t="s">
        <v>8954</v>
      </c>
      <c r="D3438" t="s">
        <v>2311</v>
      </c>
      <c r="E3438" t="s">
        <v>2170</v>
      </c>
    </row>
    <row r="3439" spans="1:5" x14ac:dyDescent="0.25">
      <c r="A3439" t="s">
        <v>1763</v>
      </c>
      <c r="B3439" t="s">
        <v>8955</v>
      </c>
      <c r="C3439" t="s">
        <v>8956</v>
      </c>
      <c r="D3439" t="s">
        <v>2311</v>
      </c>
      <c r="E3439" t="s">
        <v>2170</v>
      </c>
    </row>
    <row r="3440" spans="1:5" x14ac:dyDescent="0.25">
      <c r="A3440" t="s">
        <v>1763</v>
      </c>
      <c r="B3440" t="s">
        <v>8957</v>
      </c>
      <c r="C3440" t="s">
        <v>8958</v>
      </c>
      <c r="D3440" t="s">
        <v>2311</v>
      </c>
      <c r="E3440" t="s">
        <v>2170</v>
      </c>
    </row>
    <row r="3441" spans="1:5" x14ac:dyDescent="0.25">
      <c r="A3441" t="s">
        <v>1763</v>
      </c>
      <c r="B3441" t="s">
        <v>8959</v>
      </c>
      <c r="C3441" t="s">
        <v>8960</v>
      </c>
      <c r="D3441" t="s">
        <v>2311</v>
      </c>
      <c r="E3441" t="s">
        <v>2170</v>
      </c>
    </row>
    <row r="3442" spans="1:5" x14ac:dyDescent="0.25">
      <c r="A3442" t="s">
        <v>1763</v>
      </c>
      <c r="B3442" t="s">
        <v>8961</v>
      </c>
      <c r="C3442" t="s">
        <v>8962</v>
      </c>
      <c r="D3442" t="s">
        <v>2311</v>
      </c>
      <c r="E3442" t="s">
        <v>2170</v>
      </c>
    </row>
    <row r="3443" spans="1:5" x14ac:dyDescent="0.25">
      <c r="A3443" t="s">
        <v>1763</v>
      </c>
      <c r="B3443" t="s">
        <v>8963</v>
      </c>
      <c r="C3443" t="s">
        <v>8964</v>
      </c>
      <c r="D3443" t="s">
        <v>2311</v>
      </c>
      <c r="E3443" t="s">
        <v>2170</v>
      </c>
    </row>
    <row r="3444" spans="1:5" x14ac:dyDescent="0.25">
      <c r="A3444" t="s">
        <v>1763</v>
      </c>
      <c r="B3444" t="s">
        <v>8965</v>
      </c>
      <c r="C3444" t="s">
        <v>8966</v>
      </c>
      <c r="D3444" t="s">
        <v>2311</v>
      </c>
      <c r="E3444" t="s">
        <v>2170</v>
      </c>
    </row>
    <row r="3445" spans="1:5" x14ac:dyDescent="0.25">
      <c r="A3445" t="s">
        <v>1763</v>
      </c>
      <c r="B3445" t="s">
        <v>8967</v>
      </c>
      <c r="C3445" t="s">
        <v>8968</v>
      </c>
      <c r="D3445" t="s">
        <v>2311</v>
      </c>
      <c r="E3445" t="s">
        <v>2170</v>
      </c>
    </row>
    <row r="3446" spans="1:5" x14ac:dyDescent="0.25">
      <c r="A3446" t="s">
        <v>1767</v>
      </c>
      <c r="B3446" t="s">
        <v>8969</v>
      </c>
      <c r="C3446" t="s">
        <v>8970</v>
      </c>
      <c r="D3446" t="s">
        <v>2963</v>
      </c>
      <c r="E3446" t="s">
        <v>2170</v>
      </c>
    </row>
    <row r="3447" spans="1:5" x14ac:dyDescent="0.25">
      <c r="A3447" t="s">
        <v>1767</v>
      </c>
      <c r="B3447" t="s">
        <v>8971</v>
      </c>
      <c r="C3447" t="s">
        <v>8972</v>
      </c>
      <c r="D3447" t="s">
        <v>2963</v>
      </c>
      <c r="E3447" t="s">
        <v>2170</v>
      </c>
    </row>
    <row r="3448" spans="1:5" x14ac:dyDescent="0.25">
      <c r="A3448" t="s">
        <v>1767</v>
      </c>
      <c r="B3448" t="s">
        <v>8973</v>
      </c>
      <c r="C3448" t="s">
        <v>8974</v>
      </c>
      <c r="D3448" t="s">
        <v>2963</v>
      </c>
      <c r="E3448" t="s">
        <v>2170</v>
      </c>
    </row>
    <row r="3449" spans="1:5" x14ac:dyDescent="0.25">
      <c r="A3449" t="s">
        <v>1767</v>
      </c>
      <c r="B3449" t="s">
        <v>8975</v>
      </c>
      <c r="C3449" t="s">
        <v>8976</v>
      </c>
      <c r="D3449" t="s">
        <v>2963</v>
      </c>
      <c r="E3449" t="s">
        <v>2170</v>
      </c>
    </row>
    <row r="3450" spans="1:5" x14ac:dyDescent="0.25">
      <c r="A3450" t="s">
        <v>1767</v>
      </c>
      <c r="B3450" t="s">
        <v>8977</v>
      </c>
      <c r="C3450" t="s">
        <v>8978</v>
      </c>
      <c r="D3450" t="s">
        <v>2963</v>
      </c>
      <c r="E3450" t="s">
        <v>2170</v>
      </c>
    </row>
    <row r="3451" spans="1:5" x14ac:dyDescent="0.25">
      <c r="A3451" t="s">
        <v>1767</v>
      </c>
      <c r="B3451" t="s">
        <v>8979</v>
      </c>
      <c r="C3451" t="s">
        <v>8980</v>
      </c>
      <c r="D3451" t="s">
        <v>2963</v>
      </c>
      <c r="E3451" t="s">
        <v>2170</v>
      </c>
    </row>
    <row r="3452" spans="1:5" x14ac:dyDescent="0.25">
      <c r="A3452" t="s">
        <v>1767</v>
      </c>
      <c r="B3452" t="s">
        <v>8981</v>
      </c>
      <c r="C3452" t="s">
        <v>8982</v>
      </c>
      <c r="D3452" t="s">
        <v>2963</v>
      </c>
      <c r="E3452" t="s">
        <v>2170</v>
      </c>
    </row>
    <row r="3453" spans="1:5" x14ac:dyDescent="0.25">
      <c r="A3453" t="s">
        <v>1767</v>
      </c>
      <c r="B3453" t="s">
        <v>8983</v>
      </c>
      <c r="C3453" t="s">
        <v>8984</v>
      </c>
      <c r="D3453" t="s">
        <v>2963</v>
      </c>
      <c r="E3453" t="s">
        <v>2170</v>
      </c>
    </row>
    <row r="3454" spans="1:5" x14ac:dyDescent="0.25">
      <c r="A3454" t="s">
        <v>1767</v>
      </c>
      <c r="B3454" t="s">
        <v>8985</v>
      </c>
      <c r="C3454" t="s">
        <v>8986</v>
      </c>
      <c r="D3454" t="s">
        <v>2963</v>
      </c>
      <c r="E3454" t="s">
        <v>2170</v>
      </c>
    </row>
    <row r="3455" spans="1:5" x14ac:dyDescent="0.25">
      <c r="A3455" t="s">
        <v>1767</v>
      </c>
      <c r="B3455" t="s">
        <v>8987</v>
      </c>
      <c r="C3455" t="s">
        <v>8988</v>
      </c>
      <c r="D3455" t="s">
        <v>2963</v>
      </c>
      <c r="E3455" t="s">
        <v>2170</v>
      </c>
    </row>
    <row r="3456" spans="1:5" x14ac:dyDescent="0.25">
      <c r="A3456" t="s">
        <v>1767</v>
      </c>
      <c r="B3456" t="s">
        <v>8989</v>
      </c>
      <c r="C3456" t="s">
        <v>8990</v>
      </c>
      <c r="D3456" t="s">
        <v>2963</v>
      </c>
      <c r="E3456" t="s">
        <v>2170</v>
      </c>
    </row>
    <row r="3457" spans="1:5" x14ac:dyDescent="0.25">
      <c r="A3457" t="s">
        <v>1770</v>
      </c>
      <c r="B3457" t="s">
        <v>8991</v>
      </c>
      <c r="C3457" t="s">
        <v>8992</v>
      </c>
      <c r="D3457" t="s">
        <v>2200</v>
      </c>
      <c r="E3457" t="s">
        <v>2170</v>
      </c>
    </row>
    <row r="3458" spans="1:5" x14ac:dyDescent="0.25">
      <c r="A3458" t="s">
        <v>1770</v>
      </c>
      <c r="B3458" t="s">
        <v>8993</v>
      </c>
      <c r="C3458" t="s">
        <v>8994</v>
      </c>
      <c r="D3458" t="s">
        <v>2200</v>
      </c>
      <c r="E3458" t="s">
        <v>2170</v>
      </c>
    </row>
    <row r="3459" spans="1:5" x14ac:dyDescent="0.25">
      <c r="A3459" t="s">
        <v>1770</v>
      </c>
      <c r="B3459" t="s">
        <v>8995</v>
      </c>
      <c r="C3459" t="s">
        <v>8996</v>
      </c>
      <c r="D3459" t="s">
        <v>2200</v>
      </c>
      <c r="E3459" t="s">
        <v>2170</v>
      </c>
    </row>
    <row r="3460" spans="1:5" x14ac:dyDescent="0.25">
      <c r="A3460" t="s">
        <v>1770</v>
      </c>
      <c r="B3460" t="s">
        <v>8997</v>
      </c>
      <c r="C3460" t="s">
        <v>5762</v>
      </c>
      <c r="D3460" t="s">
        <v>2200</v>
      </c>
      <c r="E3460" t="s">
        <v>2170</v>
      </c>
    </row>
    <row r="3461" spans="1:5" x14ac:dyDescent="0.25">
      <c r="A3461" t="s">
        <v>1770</v>
      </c>
      <c r="B3461" t="s">
        <v>8998</v>
      </c>
      <c r="C3461" t="s">
        <v>8999</v>
      </c>
      <c r="D3461" t="s">
        <v>2200</v>
      </c>
      <c r="E3461" t="s">
        <v>2170</v>
      </c>
    </row>
    <row r="3462" spans="1:5" x14ac:dyDescent="0.25">
      <c r="A3462" t="s">
        <v>1770</v>
      </c>
      <c r="B3462" t="s">
        <v>9000</v>
      </c>
      <c r="C3462" t="s">
        <v>9001</v>
      </c>
      <c r="D3462" t="s">
        <v>9002</v>
      </c>
      <c r="E3462" t="s">
        <v>2170</v>
      </c>
    </row>
    <row r="3463" spans="1:5" x14ac:dyDescent="0.25">
      <c r="A3463" t="s">
        <v>1770</v>
      </c>
      <c r="B3463" t="s">
        <v>9003</v>
      </c>
      <c r="C3463" t="s">
        <v>9004</v>
      </c>
      <c r="D3463" t="s">
        <v>9002</v>
      </c>
      <c r="E3463" t="s">
        <v>2170</v>
      </c>
    </row>
    <row r="3464" spans="1:5" x14ac:dyDescent="0.25">
      <c r="A3464" t="s">
        <v>1770</v>
      </c>
      <c r="B3464" t="s">
        <v>9005</v>
      </c>
      <c r="C3464" t="s">
        <v>9006</v>
      </c>
      <c r="D3464" t="s">
        <v>2200</v>
      </c>
      <c r="E3464" t="s">
        <v>2170</v>
      </c>
    </row>
    <row r="3465" spans="1:5" x14ac:dyDescent="0.25">
      <c r="A3465" t="s">
        <v>1770</v>
      </c>
      <c r="B3465" t="s">
        <v>9007</v>
      </c>
      <c r="C3465" t="s">
        <v>9008</v>
      </c>
      <c r="D3465" t="s">
        <v>2200</v>
      </c>
      <c r="E3465" t="s">
        <v>2170</v>
      </c>
    </row>
    <row r="3466" spans="1:5" x14ac:dyDescent="0.25">
      <c r="A3466" t="s">
        <v>1770</v>
      </c>
      <c r="B3466" t="s">
        <v>9009</v>
      </c>
      <c r="C3466" t="s">
        <v>9010</v>
      </c>
      <c r="D3466" t="s">
        <v>9002</v>
      </c>
      <c r="E3466" t="s">
        <v>2170</v>
      </c>
    </row>
    <row r="3467" spans="1:5" x14ac:dyDescent="0.25">
      <c r="A3467" t="s">
        <v>1770</v>
      </c>
      <c r="B3467" t="s">
        <v>9011</v>
      </c>
      <c r="C3467" t="s">
        <v>9012</v>
      </c>
      <c r="D3467" t="s">
        <v>9002</v>
      </c>
      <c r="E3467" t="s">
        <v>2170</v>
      </c>
    </row>
    <row r="3468" spans="1:5" x14ac:dyDescent="0.25">
      <c r="A3468" t="s">
        <v>1770</v>
      </c>
      <c r="B3468" t="s">
        <v>9013</v>
      </c>
      <c r="C3468" t="s">
        <v>1769</v>
      </c>
      <c r="D3468" t="s">
        <v>2200</v>
      </c>
      <c r="E3468" t="s">
        <v>2170</v>
      </c>
    </row>
    <row r="3469" spans="1:5" x14ac:dyDescent="0.25">
      <c r="A3469" t="s">
        <v>1770</v>
      </c>
      <c r="B3469" t="s">
        <v>9014</v>
      </c>
      <c r="C3469" t="s">
        <v>9015</v>
      </c>
      <c r="D3469" t="s">
        <v>2200</v>
      </c>
      <c r="E3469" t="s">
        <v>2170</v>
      </c>
    </row>
    <row r="3470" spans="1:5" x14ac:dyDescent="0.25">
      <c r="A3470" t="s">
        <v>1770</v>
      </c>
      <c r="B3470" t="s">
        <v>9016</v>
      </c>
      <c r="C3470" t="s">
        <v>9017</v>
      </c>
      <c r="D3470" t="s">
        <v>2200</v>
      </c>
      <c r="E3470" t="s">
        <v>2170</v>
      </c>
    </row>
    <row r="3471" spans="1:5" x14ac:dyDescent="0.25">
      <c r="A3471" t="s">
        <v>1773</v>
      </c>
      <c r="B3471" t="s">
        <v>9018</v>
      </c>
      <c r="C3471" t="s">
        <v>3069</v>
      </c>
      <c r="D3471" t="s">
        <v>2311</v>
      </c>
      <c r="E3471" t="s">
        <v>2170</v>
      </c>
    </row>
    <row r="3472" spans="1:5" x14ac:dyDescent="0.25">
      <c r="A3472" t="s">
        <v>1773</v>
      </c>
      <c r="B3472" t="s">
        <v>9019</v>
      </c>
      <c r="C3472" t="s">
        <v>9020</v>
      </c>
      <c r="D3472" t="s">
        <v>2311</v>
      </c>
      <c r="E3472" t="s">
        <v>2170</v>
      </c>
    </row>
    <row r="3473" spans="1:5" x14ac:dyDescent="0.25">
      <c r="A3473" t="s">
        <v>1773</v>
      </c>
      <c r="B3473" t="s">
        <v>9021</v>
      </c>
      <c r="C3473" t="s">
        <v>9022</v>
      </c>
      <c r="D3473" t="s">
        <v>2311</v>
      </c>
      <c r="E3473" t="s">
        <v>2170</v>
      </c>
    </row>
    <row r="3474" spans="1:5" x14ac:dyDescent="0.25">
      <c r="A3474" t="s">
        <v>1773</v>
      </c>
      <c r="B3474" t="s">
        <v>9023</v>
      </c>
      <c r="C3474" t="s">
        <v>9024</v>
      </c>
      <c r="D3474" t="s">
        <v>2311</v>
      </c>
      <c r="E3474" t="s">
        <v>2170</v>
      </c>
    </row>
    <row r="3475" spans="1:5" x14ac:dyDescent="0.25">
      <c r="A3475" t="s">
        <v>1773</v>
      </c>
      <c r="B3475" t="s">
        <v>9025</v>
      </c>
      <c r="C3475" t="s">
        <v>9026</v>
      </c>
      <c r="D3475" t="s">
        <v>2311</v>
      </c>
      <c r="E3475" t="s">
        <v>2170</v>
      </c>
    </row>
    <row r="3476" spans="1:5" x14ac:dyDescent="0.25">
      <c r="A3476" t="s">
        <v>1773</v>
      </c>
      <c r="B3476" t="s">
        <v>9027</v>
      </c>
      <c r="C3476" t="s">
        <v>9028</v>
      </c>
      <c r="D3476" t="s">
        <v>2311</v>
      </c>
      <c r="E3476" t="s">
        <v>2170</v>
      </c>
    </row>
    <row r="3477" spans="1:5" x14ac:dyDescent="0.25">
      <c r="A3477" t="s">
        <v>1773</v>
      </c>
      <c r="B3477" t="s">
        <v>9029</v>
      </c>
      <c r="C3477" t="s">
        <v>9030</v>
      </c>
      <c r="D3477" t="s">
        <v>2311</v>
      </c>
      <c r="E3477" t="s">
        <v>2170</v>
      </c>
    </row>
    <row r="3478" spans="1:5" x14ac:dyDescent="0.25">
      <c r="A3478" t="s">
        <v>1773</v>
      </c>
      <c r="B3478" t="s">
        <v>9031</v>
      </c>
      <c r="C3478" t="s">
        <v>9032</v>
      </c>
      <c r="D3478" t="s">
        <v>2311</v>
      </c>
      <c r="E3478" t="s">
        <v>2170</v>
      </c>
    </row>
    <row r="3479" spans="1:5" x14ac:dyDescent="0.25">
      <c r="A3479" t="s">
        <v>1773</v>
      </c>
      <c r="B3479" t="s">
        <v>9033</v>
      </c>
      <c r="C3479" t="s">
        <v>9034</v>
      </c>
      <c r="D3479" t="s">
        <v>2311</v>
      </c>
      <c r="E3479" t="s">
        <v>2170</v>
      </c>
    </row>
    <row r="3480" spans="1:5" x14ac:dyDescent="0.25">
      <c r="A3480" t="s">
        <v>1773</v>
      </c>
      <c r="B3480" t="s">
        <v>9035</v>
      </c>
      <c r="C3480" t="s">
        <v>9036</v>
      </c>
      <c r="D3480" t="s">
        <v>2311</v>
      </c>
      <c r="E3480" t="s">
        <v>2170</v>
      </c>
    </row>
    <row r="3481" spans="1:5" x14ac:dyDescent="0.25">
      <c r="A3481" t="s">
        <v>1773</v>
      </c>
      <c r="B3481" t="s">
        <v>9037</v>
      </c>
      <c r="C3481" t="s">
        <v>9038</v>
      </c>
      <c r="D3481" t="s">
        <v>2311</v>
      </c>
      <c r="E3481" t="s">
        <v>2170</v>
      </c>
    </row>
    <row r="3482" spans="1:5" x14ac:dyDescent="0.25">
      <c r="A3482" t="s">
        <v>1773</v>
      </c>
      <c r="B3482" t="s">
        <v>9039</v>
      </c>
      <c r="C3482" t="s">
        <v>9040</v>
      </c>
      <c r="D3482" t="s">
        <v>2311</v>
      </c>
      <c r="E3482" t="s">
        <v>2170</v>
      </c>
    </row>
    <row r="3483" spans="1:5" x14ac:dyDescent="0.25">
      <c r="A3483" t="s">
        <v>1773</v>
      </c>
      <c r="B3483" t="s">
        <v>9041</v>
      </c>
      <c r="C3483" t="s">
        <v>9042</v>
      </c>
      <c r="D3483" t="s">
        <v>2311</v>
      </c>
      <c r="E3483" t="s">
        <v>2170</v>
      </c>
    </row>
    <row r="3484" spans="1:5" x14ac:dyDescent="0.25">
      <c r="A3484" t="s">
        <v>1773</v>
      </c>
      <c r="B3484" t="s">
        <v>9043</v>
      </c>
      <c r="C3484" t="s">
        <v>9044</v>
      </c>
      <c r="D3484" t="s">
        <v>2311</v>
      </c>
      <c r="E3484" t="s">
        <v>2170</v>
      </c>
    </row>
    <row r="3485" spans="1:5" x14ac:dyDescent="0.25">
      <c r="A3485" t="s">
        <v>1773</v>
      </c>
      <c r="B3485" t="s">
        <v>9045</v>
      </c>
      <c r="C3485" t="s">
        <v>1772</v>
      </c>
      <c r="D3485" t="s">
        <v>2311</v>
      </c>
      <c r="E3485" t="s">
        <v>2170</v>
      </c>
    </row>
    <row r="3486" spans="1:5" x14ac:dyDescent="0.25">
      <c r="A3486" t="s">
        <v>1773</v>
      </c>
      <c r="B3486" t="s">
        <v>9046</v>
      </c>
      <c r="C3486" t="s">
        <v>9047</v>
      </c>
      <c r="D3486" t="s">
        <v>2311</v>
      </c>
      <c r="E3486" t="s">
        <v>2170</v>
      </c>
    </row>
    <row r="3487" spans="1:5" x14ac:dyDescent="0.25">
      <c r="A3487" t="s">
        <v>1773</v>
      </c>
      <c r="B3487" t="s">
        <v>9048</v>
      </c>
      <c r="C3487" t="s">
        <v>9049</v>
      </c>
      <c r="D3487" t="s">
        <v>2311</v>
      </c>
      <c r="E3487" t="s">
        <v>2170</v>
      </c>
    </row>
    <row r="3488" spans="1:5" x14ac:dyDescent="0.25">
      <c r="A3488" t="s">
        <v>1773</v>
      </c>
      <c r="B3488" t="s">
        <v>9050</v>
      </c>
      <c r="C3488" t="s">
        <v>9051</v>
      </c>
      <c r="D3488" t="s">
        <v>2311</v>
      </c>
      <c r="E3488" t="s">
        <v>2170</v>
      </c>
    </row>
    <row r="3489" spans="1:5" x14ac:dyDescent="0.25">
      <c r="A3489" t="s">
        <v>1773</v>
      </c>
      <c r="B3489" t="s">
        <v>9052</v>
      </c>
      <c r="C3489" t="s">
        <v>9053</v>
      </c>
      <c r="D3489" t="s">
        <v>2469</v>
      </c>
      <c r="E3489" t="s">
        <v>2170</v>
      </c>
    </row>
    <row r="3490" spans="1:5" x14ac:dyDescent="0.25">
      <c r="A3490" t="s">
        <v>1773</v>
      </c>
      <c r="B3490" t="s">
        <v>9054</v>
      </c>
      <c r="C3490" t="s">
        <v>9055</v>
      </c>
      <c r="D3490" t="s">
        <v>2311</v>
      </c>
      <c r="E3490" t="s">
        <v>2170</v>
      </c>
    </row>
    <row r="3491" spans="1:5" x14ac:dyDescent="0.25">
      <c r="A3491" t="s">
        <v>1773</v>
      </c>
      <c r="B3491" t="s">
        <v>9056</v>
      </c>
      <c r="C3491" t="s">
        <v>9057</v>
      </c>
      <c r="D3491" t="s">
        <v>2311</v>
      </c>
      <c r="E3491" t="s">
        <v>2170</v>
      </c>
    </row>
    <row r="3492" spans="1:5" x14ac:dyDescent="0.25">
      <c r="A3492" t="s">
        <v>1773</v>
      </c>
      <c r="B3492" t="s">
        <v>9058</v>
      </c>
      <c r="C3492" t="s">
        <v>9059</v>
      </c>
      <c r="D3492" t="s">
        <v>2311</v>
      </c>
      <c r="E3492" t="s">
        <v>2170</v>
      </c>
    </row>
    <row r="3493" spans="1:5" x14ac:dyDescent="0.25">
      <c r="A3493" t="s">
        <v>1773</v>
      </c>
      <c r="B3493" t="s">
        <v>9060</v>
      </c>
      <c r="C3493" t="s">
        <v>9061</v>
      </c>
      <c r="D3493" t="s">
        <v>2311</v>
      </c>
      <c r="E3493" t="s">
        <v>2170</v>
      </c>
    </row>
    <row r="3494" spans="1:5" x14ac:dyDescent="0.25">
      <c r="A3494" t="s">
        <v>1773</v>
      </c>
      <c r="B3494" t="s">
        <v>9062</v>
      </c>
      <c r="C3494" t="s">
        <v>9063</v>
      </c>
      <c r="D3494" t="s">
        <v>2311</v>
      </c>
      <c r="E3494" t="s">
        <v>2170</v>
      </c>
    </row>
    <row r="3495" spans="1:5" x14ac:dyDescent="0.25">
      <c r="A3495" t="s">
        <v>1773</v>
      </c>
      <c r="B3495" t="s">
        <v>9064</v>
      </c>
      <c r="C3495" t="s">
        <v>9065</v>
      </c>
      <c r="D3495" t="s">
        <v>2311</v>
      </c>
      <c r="E3495" t="s">
        <v>2170</v>
      </c>
    </row>
    <row r="3496" spans="1:5" x14ac:dyDescent="0.25">
      <c r="A3496" t="s">
        <v>1773</v>
      </c>
      <c r="B3496" t="s">
        <v>9066</v>
      </c>
      <c r="C3496" t="s">
        <v>9067</v>
      </c>
      <c r="D3496" t="s">
        <v>2311</v>
      </c>
      <c r="E3496" t="s">
        <v>2170</v>
      </c>
    </row>
    <row r="3497" spans="1:5" x14ac:dyDescent="0.25">
      <c r="A3497" t="s">
        <v>1780</v>
      </c>
      <c r="B3497" t="s">
        <v>9068</v>
      </c>
      <c r="C3497" t="s">
        <v>9069</v>
      </c>
      <c r="D3497" t="s">
        <v>3555</v>
      </c>
      <c r="E3497" t="s">
        <v>2170</v>
      </c>
    </row>
    <row r="3498" spans="1:5" x14ac:dyDescent="0.25">
      <c r="A3498" t="s">
        <v>1780</v>
      </c>
      <c r="B3498" t="s">
        <v>9070</v>
      </c>
      <c r="C3498" t="s">
        <v>3220</v>
      </c>
      <c r="D3498" t="s">
        <v>2200</v>
      </c>
      <c r="E3498" t="s">
        <v>2170</v>
      </c>
    </row>
    <row r="3499" spans="1:5" x14ac:dyDescent="0.25">
      <c r="A3499" t="s">
        <v>1780</v>
      </c>
      <c r="B3499" t="s">
        <v>9071</v>
      </c>
      <c r="C3499" t="s">
        <v>9072</v>
      </c>
      <c r="D3499" t="s">
        <v>2200</v>
      </c>
      <c r="E3499" t="s">
        <v>2170</v>
      </c>
    </row>
    <row r="3500" spans="1:5" x14ac:dyDescent="0.25">
      <c r="A3500" t="s">
        <v>1780</v>
      </c>
      <c r="B3500" t="s">
        <v>9073</v>
      </c>
      <c r="C3500" t="s">
        <v>9074</v>
      </c>
      <c r="D3500" t="s">
        <v>2200</v>
      </c>
      <c r="E3500" t="s">
        <v>2170</v>
      </c>
    </row>
    <row r="3501" spans="1:5" x14ac:dyDescent="0.25">
      <c r="A3501" t="s">
        <v>1780</v>
      </c>
      <c r="B3501" t="s">
        <v>9075</v>
      </c>
      <c r="C3501" t="s">
        <v>9076</v>
      </c>
      <c r="D3501" t="s">
        <v>2200</v>
      </c>
      <c r="E3501" t="s">
        <v>2170</v>
      </c>
    </row>
    <row r="3502" spans="1:5" x14ac:dyDescent="0.25">
      <c r="A3502" t="s">
        <v>1780</v>
      </c>
      <c r="B3502" t="s">
        <v>9077</v>
      </c>
      <c r="C3502" t="s">
        <v>9078</v>
      </c>
      <c r="D3502" t="s">
        <v>2200</v>
      </c>
      <c r="E3502" t="s">
        <v>2170</v>
      </c>
    </row>
    <row r="3503" spans="1:5" x14ac:dyDescent="0.25">
      <c r="A3503" t="s">
        <v>1780</v>
      </c>
      <c r="B3503" t="s">
        <v>9079</v>
      </c>
      <c r="C3503" t="s">
        <v>9080</v>
      </c>
      <c r="D3503" t="s">
        <v>2200</v>
      </c>
      <c r="E3503" t="s">
        <v>2170</v>
      </c>
    </row>
    <row r="3504" spans="1:5" x14ac:dyDescent="0.25">
      <c r="A3504" t="s">
        <v>1780</v>
      </c>
      <c r="B3504" t="s">
        <v>9081</v>
      </c>
      <c r="C3504" t="s">
        <v>9082</v>
      </c>
      <c r="D3504" t="s">
        <v>2200</v>
      </c>
      <c r="E3504" t="s">
        <v>2170</v>
      </c>
    </row>
    <row r="3505" spans="1:5" x14ac:dyDescent="0.25">
      <c r="A3505" t="s">
        <v>1780</v>
      </c>
      <c r="B3505" t="s">
        <v>9083</v>
      </c>
      <c r="C3505" t="s">
        <v>9084</v>
      </c>
      <c r="D3505" t="s">
        <v>2200</v>
      </c>
      <c r="E3505" t="s">
        <v>2170</v>
      </c>
    </row>
    <row r="3506" spans="1:5" x14ac:dyDescent="0.25">
      <c r="A3506" t="s">
        <v>1780</v>
      </c>
      <c r="B3506" t="s">
        <v>9085</v>
      </c>
      <c r="C3506" t="s">
        <v>9086</v>
      </c>
      <c r="D3506" t="s">
        <v>2200</v>
      </c>
      <c r="E3506" t="s">
        <v>2170</v>
      </c>
    </row>
    <row r="3507" spans="1:5" x14ac:dyDescent="0.25">
      <c r="A3507" t="s">
        <v>1780</v>
      </c>
      <c r="B3507" t="s">
        <v>9087</v>
      </c>
      <c r="C3507" t="s">
        <v>9088</v>
      </c>
      <c r="D3507" t="s">
        <v>2200</v>
      </c>
      <c r="E3507" t="s">
        <v>2170</v>
      </c>
    </row>
    <row r="3508" spans="1:5" x14ac:dyDescent="0.25">
      <c r="A3508" t="s">
        <v>1780</v>
      </c>
      <c r="B3508" t="s">
        <v>9089</v>
      </c>
      <c r="C3508" t="s">
        <v>9090</v>
      </c>
      <c r="D3508" t="s">
        <v>2200</v>
      </c>
      <c r="E3508" t="s">
        <v>2170</v>
      </c>
    </row>
    <row r="3509" spans="1:5" x14ac:dyDescent="0.25">
      <c r="A3509" t="s">
        <v>1780</v>
      </c>
      <c r="B3509" t="s">
        <v>9091</v>
      </c>
      <c r="C3509" t="s">
        <v>9092</v>
      </c>
      <c r="D3509" t="s">
        <v>2200</v>
      </c>
      <c r="E3509" t="s">
        <v>2170</v>
      </c>
    </row>
    <row r="3510" spans="1:5" x14ac:dyDescent="0.25">
      <c r="A3510" t="s">
        <v>1780</v>
      </c>
      <c r="B3510" t="s">
        <v>9093</v>
      </c>
      <c r="C3510" t="s">
        <v>9094</v>
      </c>
      <c r="D3510" t="s">
        <v>2200</v>
      </c>
      <c r="E3510" t="s">
        <v>2170</v>
      </c>
    </row>
    <row r="3511" spans="1:5" x14ac:dyDescent="0.25">
      <c r="A3511" t="s">
        <v>1780</v>
      </c>
      <c r="B3511" t="s">
        <v>9095</v>
      </c>
      <c r="C3511" t="s">
        <v>9096</v>
      </c>
      <c r="D3511" t="s">
        <v>2646</v>
      </c>
      <c r="E3511" t="s">
        <v>2170</v>
      </c>
    </row>
    <row r="3512" spans="1:5" x14ac:dyDescent="0.25">
      <c r="A3512" t="s">
        <v>1780</v>
      </c>
      <c r="B3512" t="s">
        <v>9097</v>
      </c>
      <c r="C3512" t="s">
        <v>9098</v>
      </c>
      <c r="D3512" t="s">
        <v>2200</v>
      </c>
      <c r="E3512" t="s">
        <v>2170</v>
      </c>
    </row>
    <row r="3513" spans="1:5" x14ac:dyDescent="0.25">
      <c r="A3513" t="s">
        <v>1780</v>
      </c>
      <c r="B3513" t="s">
        <v>9099</v>
      </c>
      <c r="C3513" t="s">
        <v>4720</v>
      </c>
      <c r="D3513" t="s">
        <v>2200</v>
      </c>
      <c r="E3513" t="s">
        <v>2170</v>
      </c>
    </row>
    <row r="3514" spans="1:5" x14ac:dyDescent="0.25">
      <c r="A3514" t="s">
        <v>1780</v>
      </c>
      <c r="B3514" t="s">
        <v>9100</v>
      </c>
      <c r="C3514" t="s">
        <v>9101</v>
      </c>
      <c r="D3514" t="s">
        <v>2200</v>
      </c>
      <c r="E3514" t="s">
        <v>2170</v>
      </c>
    </row>
    <row r="3515" spans="1:5" x14ac:dyDescent="0.25">
      <c r="A3515" t="s">
        <v>1780</v>
      </c>
      <c r="B3515" t="s">
        <v>9102</v>
      </c>
      <c r="C3515" t="s">
        <v>9103</v>
      </c>
      <c r="D3515" t="s">
        <v>2200</v>
      </c>
      <c r="E3515" t="s">
        <v>2170</v>
      </c>
    </row>
    <row r="3516" spans="1:5" x14ac:dyDescent="0.25">
      <c r="A3516" t="s">
        <v>1780</v>
      </c>
      <c r="B3516" t="s">
        <v>9104</v>
      </c>
      <c r="C3516" t="s">
        <v>9105</v>
      </c>
      <c r="D3516" t="s">
        <v>2200</v>
      </c>
      <c r="E3516" t="s">
        <v>2170</v>
      </c>
    </row>
    <row r="3517" spans="1:5" x14ac:dyDescent="0.25">
      <c r="A3517" t="s">
        <v>1780</v>
      </c>
      <c r="B3517" t="s">
        <v>9106</v>
      </c>
      <c r="C3517" t="s">
        <v>4722</v>
      </c>
      <c r="D3517" t="s">
        <v>2200</v>
      </c>
      <c r="E3517" t="s">
        <v>2170</v>
      </c>
    </row>
    <row r="3518" spans="1:5" x14ac:dyDescent="0.25">
      <c r="A3518" t="s">
        <v>1780</v>
      </c>
      <c r="B3518" t="s">
        <v>9107</v>
      </c>
      <c r="C3518" t="s">
        <v>9108</v>
      </c>
      <c r="D3518" t="s">
        <v>2200</v>
      </c>
      <c r="E3518" t="s">
        <v>2170</v>
      </c>
    </row>
    <row r="3519" spans="1:5" x14ac:dyDescent="0.25">
      <c r="A3519" t="s">
        <v>1783</v>
      </c>
      <c r="B3519" t="s">
        <v>9109</v>
      </c>
      <c r="C3519" t="s">
        <v>9110</v>
      </c>
      <c r="D3519" t="s">
        <v>2311</v>
      </c>
      <c r="E3519" t="s">
        <v>2170</v>
      </c>
    </row>
    <row r="3520" spans="1:5" x14ac:dyDescent="0.25">
      <c r="A3520" t="s">
        <v>1783</v>
      </c>
      <c r="B3520" t="s">
        <v>9111</v>
      </c>
      <c r="C3520" t="s">
        <v>9112</v>
      </c>
      <c r="D3520" t="s">
        <v>2311</v>
      </c>
      <c r="E3520" t="s">
        <v>2170</v>
      </c>
    </row>
    <row r="3521" spans="1:5" x14ac:dyDescent="0.25">
      <c r="A3521" t="s">
        <v>1783</v>
      </c>
      <c r="B3521" t="s">
        <v>9113</v>
      </c>
      <c r="C3521" t="s">
        <v>9114</v>
      </c>
      <c r="D3521" t="s">
        <v>2311</v>
      </c>
      <c r="E3521" t="s">
        <v>2170</v>
      </c>
    </row>
    <row r="3522" spans="1:5" x14ac:dyDescent="0.25">
      <c r="A3522" t="s">
        <v>1783</v>
      </c>
      <c r="B3522" t="s">
        <v>9115</v>
      </c>
      <c r="C3522" t="s">
        <v>9116</v>
      </c>
      <c r="D3522" t="s">
        <v>2311</v>
      </c>
      <c r="E3522" t="s">
        <v>2170</v>
      </c>
    </row>
    <row r="3523" spans="1:5" x14ac:dyDescent="0.25">
      <c r="A3523" t="s">
        <v>1783</v>
      </c>
      <c r="B3523" t="s">
        <v>9117</v>
      </c>
      <c r="C3523" t="s">
        <v>9118</v>
      </c>
      <c r="D3523" t="s">
        <v>2311</v>
      </c>
      <c r="E3523" t="s">
        <v>2170</v>
      </c>
    </row>
    <row r="3524" spans="1:5" x14ac:dyDescent="0.25">
      <c r="A3524" t="s">
        <v>1783</v>
      </c>
      <c r="B3524" t="s">
        <v>9119</v>
      </c>
      <c r="C3524" t="s">
        <v>9120</v>
      </c>
      <c r="D3524" t="s">
        <v>2311</v>
      </c>
      <c r="E3524" t="s">
        <v>2170</v>
      </c>
    </row>
    <row r="3525" spans="1:5" x14ac:dyDescent="0.25">
      <c r="A3525" t="s">
        <v>1783</v>
      </c>
      <c r="B3525" t="s">
        <v>9121</v>
      </c>
      <c r="C3525" t="s">
        <v>9122</v>
      </c>
      <c r="D3525" t="s">
        <v>2311</v>
      </c>
      <c r="E3525" t="s">
        <v>2170</v>
      </c>
    </row>
    <row r="3526" spans="1:5" x14ac:dyDescent="0.25">
      <c r="A3526" t="s">
        <v>1783</v>
      </c>
      <c r="B3526" t="s">
        <v>9123</v>
      </c>
      <c r="C3526" t="s">
        <v>9124</v>
      </c>
      <c r="D3526" t="s">
        <v>2311</v>
      </c>
      <c r="E3526" t="s">
        <v>2170</v>
      </c>
    </row>
    <row r="3527" spans="1:5" x14ac:dyDescent="0.25">
      <c r="A3527" t="s">
        <v>1783</v>
      </c>
      <c r="B3527" t="s">
        <v>9125</v>
      </c>
      <c r="C3527" t="s">
        <v>9126</v>
      </c>
      <c r="D3527" t="s">
        <v>2311</v>
      </c>
      <c r="E3527" t="s">
        <v>2170</v>
      </c>
    </row>
    <row r="3528" spans="1:5" x14ac:dyDescent="0.25">
      <c r="A3528" t="s">
        <v>1783</v>
      </c>
      <c r="B3528" t="s">
        <v>9127</v>
      </c>
      <c r="C3528" t="s">
        <v>9128</v>
      </c>
      <c r="D3528" t="s">
        <v>2311</v>
      </c>
      <c r="E3528" t="s">
        <v>2170</v>
      </c>
    </row>
    <row r="3529" spans="1:5" x14ac:dyDescent="0.25">
      <c r="A3529" t="s">
        <v>1783</v>
      </c>
      <c r="B3529" t="s">
        <v>9129</v>
      </c>
      <c r="C3529" t="s">
        <v>9130</v>
      </c>
      <c r="D3529" t="s">
        <v>2311</v>
      </c>
      <c r="E3529" t="s">
        <v>2170</v>
      </c>
    </row>
    <row r="3530" spans="1:5" x14ac:dyDescent="0.25">
      <c r="A3530" t="s">
        <v>1783</v>
      </c>
      <c r="B3530" t="s">
        <v>9131</v>
      </c>
      <c r="C3530" t="s">
        <v>9132</v>
      </c>
      <c r="D3530" t="s">
        <v>2311</v>
      </c>
      <c r="E3530" t="s">
        <v>2170</v>
      </c>
    </row>
    <row r="3531" spans="1:5" x14ac:dyDescent="0.25">
      <c r="A3531" t="s">
        <v>1783</v>
      </c>
      <c r="B3531" t="s">
        <v>9133</v>
      </c>
      <c r="C3531" t="s">
        <v>9134</v>
      </c>
      <c r="D3531" t="s">
        <v>2311</v>
      </c>
      <c r="E3531" t="s">
        <v>2170</v>
      </c>
    </row>
    <row r="3532" spans="1:5" x14ac:dyDescent="0.25">
      <c r="A3532" t="s">
        <v>1783</v>
      </c>
      <c r="B3532" t="s">
        <v>9135</v>
      </c>
      <c r="C3532" t="s">
        <v>9136</v>
      </c>
      <c r="D3532" t="s">
        <v>2311</v>
      </c>
      <c r="E3532" t="s">
        <v>2170</v>
      </c>
    </row>
    <row r="3533" spans="1:5" x14ac:dyDescent="0.25">
      <c r="A3533" t="s">
        <v>1783</v>
      </c>
      <c r="B3533" t="s">
        <v>9137</v>
      </c>
      <c r="C3533" t="s">
        <v>9138</v>
      </c>
      <c r="D3533" t="s">
        <v>2311</v>
      </c>
      <c r="E3533" t="s">
        <v>2170</v>
      </c>
    </row>
    <row r="3534" spans="1:5" x14ac:dyDescent="0.25">
      <c r="A3534" t="s">
        <v>1783</v>
      </c>
      <c r="B3534" t="s">
        <v>9139</v>
      </c>
      <c r="C3534" t="s">
        <v>9140</v>
      </c>
      <c r="D3534" t="s">
        <v>2311</v>
      </c>
      <c r="E3534" t="s">
        <v>2170</v>
      </c>
    </row>
    <row r="3535" spans="1:5" x14ac:dyDescent="0.25">
      <c r="A3535" t="s">
        <v>1783</v>
      </c>
      <c r="B3535" t="s">
        <v>9141</v>
      </c>
      <c r="C3535" t="s">
        <v>9142</v>
      </c>
      <c r="D3535" t="s">
        <v>2311</v>
      </c>
      <c r="E3535" t="s">
        <v>2170</v>
      </c>
    </row>
    <row r="3536" spans="1:5" x14ac:dyDescent="0.25">
      <c r="A3536" t="s">
        <v>1783</v>
      </c>
      <c r="B3536" t="s">
        <v>9143</v>
      </c>
      <c r="C3536" t="s">
        <v>9144</v>
      </c>
      <c r="D3536" t="s">
        <v>2200</v>
      </c>
      <c r="E3536" t="s">
        <v>9123</v>
      </c>
    </row>
    <row r="3537" spans="1:5" x14ac:dyDescent="0.25">
      <c r="A3537" t="s">
        <v>1783</v>
      </c>
      <c r="B3537" t="s">
        <v>9145</v>
      </c>
      <c r="C3537" t="s">
        <v>9146</v>
      </c>
      <c r="D3537" t="s">
        <v>2200</v>
      </c>
      <c r="E3537" t="s">
        <v>9117</v>
      </c>
    </row>
    <row r="3538" spans="1:5" x14ac:dyDescent="0.25">
      <c r="A3538" t="s">
        <v>1783</v>
      </c>
      <c r="B3538" t="s">
        <v>9147</v>
      </c>
      <c r="C3538" t="s">
        <v>9148</v>
      </c>
      <c r="D3538" t="s">
        <v>2200</v>
      </c>
      <c r="E3538" t="s">
        <v>9117</v>
      </c>
    </row>
    <row r="3539" spans="1:5" x14ac:dyDescent="0.25">
      <c r="A3539" t="s">
        <v>1783</v>
      </c>
      <c r="B3539" t="s">
        <v>9149</v>
      </c>
      <c r="C3539" t="s">
        <v>9150</v>
      </c>
      <c r="D3539" t="s">
        <v>2200</v>
      </c>
      <c r="E3539" t="s">
        <v>9139</v>
      </c>
    </row>
    <row r="3540" spans="1:5" x14ac:dyDescent="0.25">
      <c r="A3540" t="s">
        <v>1783</v>
      </c>
      <c r="B3540" t="s">
        <v>9151</v>
      </c>
      <c r="C3540" t="s">
        <v>9152</v>
      </c>
      <c r="D3540" t="s">
        <v>2200</v>
      </c>
      <c r="E3540" t="s">
        <v>9111</v>
      </c>
    </row>
    <row r="3541" spans="1:5" x14ac:dyDescent="0.25">
      <c r="A3541" t="s">
        <v>1783</v>
      </c>
      <c r="B3541" t="s">
        <v>9153</v>
      </c>
      <c r="C3541" t="s">
        <v>9154</v>
      </c>
      <c r="D3541" t="s">
        <v>2200</v>
      </c>
      <c r="E3541" t="s">
        <v>9139</v>
      </c>
    </row>
    <row r="3542" spans="1:5" x14ac:dyDescent="0.25">
      <c r="A3542" t="s">
        <v>1783</v>
      </c>
      <c r="B3542" t="s">
        <v>9155</v>
      </c>
      <c r="C3542" t="s">
        <v>9156</v>
      </c>
      <c r="D3542" t="s">
        <v>2200</v>
      </c>
      <c r="E3542" t="s">
        <v>9123</v>
      </c>
    </row>
    <row r="3543" spans="1:5" x14ac:dyDescent="0.25">
      <c r="A3543" t="s">
        <v>1783</v>
      </c>
      <c r="B3543" t="s">
        <v>9157</v>
      </c>
      <c r="C3543" t="s">
        <v>9158</v>
      </c>
      <c r="D3543" t="s">
        <v>2200</v>
      </c>
      <c r="E3543" t="s">
        <v>9119</v>
      </c>
    </row>
    <row r="3544" spans="1:5" x14ac:dyDescent="0.25">
      <c r="A3544" t="s">
        <v>1783</v>
      </c>
      <c r="B3544" t="s">
        <v>9159</v>
      </c>
      <c r="C3544" t="s">
        <v>9160</v>
      </c>
      <c r="D3544" t="s">
        <v>2200</v>
      </c>
      <c r="E3544" t="s">
        <v>9141</v>
      </c>
    </row>
    <row r="3545" spans="1:5" x14ac:dyDescent="0.25">
      <c r="A3545" t="s">
        <v>1783</v>
      </c>
      <c r="B3545" t="s">
        <v>9161</v>
      </c>
      <c r="C3545" t="s">
        <v>9162</v>
      </c>
      <c r="D3545" t="s">
        <v>2200</v>
      </c>
      <c r="E3545" t="s">
        <v>9119</v>
      </c>
    </row>
    <row r="3546" spans="1:5" x14ac:dyDescent="0.25">
      <c r="A3546" t="s">
        <v>1783</v>
      </c>
      <c r="B3546" t="s">
        <v>9163</v>
      </c>
      <c r="C3546" t="s">
        <v>9164</v>
      </c>
      <c r="D3546" t="s">
        <v>2200</v>
      </c>
      <c r="E3546" t="s">
        <v>9113</v>
      </c>
    </row>
    <row r="3547" spans="1:5" x14ac:dyDescent="0.25">
      <c r="A3547" t="s">
        <v>1783</v>
      </c>
      <c r="B3547" t="s">
        <v>9165</v>
      </c>
      <c r="C3547" t="s">
        <v>9166</v>
      </c>
      <c r="D3547" t="s">
        <v>2200</v>
      </c>
      <c r="E3547" t="s">
        <v>9115</v>
      </c>
    </row>
    <row r="3548" spans="1:5" x14ac:dyDescent="0.25">
      <c r="A3548" t="s">
        <v>1783</v>
      </c>
      <c r="B3548" t="s">
        <v>9167</v>
      </c>
      <c r="C3548" t="s">
        <v>9168</v>
      </c>
      <c r="D3548" t="s">
        <v>2200</v>
      </c>
      <c r="E3548" t="s">
        <v>9123</v>
      </c>
    </row>
    <row r="3549" spans="1:5" x14ac:dyDescent="0.25">
      <c r="A3549" t="s">
        <v>1783</v>
      </c>
      <c r="B3549" t="s">
        <v>9169</v>
      </c>
      <c r="C3549" t="s">
        <v>9170</v>
      </c>
      <c r="D3549" t="s">
        <v>2200</v>
      </c>
      <c r="E3549" t="s">
        <v>9127</v>
      </c>
    </row>
    <row r="3550" spans="1:5" x14ac:dyDescent="0.25">
      <c r="A3550" t="s">
        <v>1783</v>
      </c>
      <c r="B3550" t="s">
        <v>9171</v>
      </c>
      <c r="C3550" t="s">
        <v>9172</v>
      </c>
      <c r="D3550" t="s">
        <v>2200</v>
      </c>
      <c r="E3550" t="s">
        <v>9121</v>
      </c>
    </row>
    <row r="3551" spans="1:5" x14ac:dyDescent="0.25">
      <c r="A3551" t="s">
        <v>1783</v>
      </c>
      <c r="B3551" t="s">
        <v>9173</v>
      </c>
      <c r="C3551" t="s">
        <v>9174</v>
      </c>
      <c r="D3551" t="s">
        <v>2200</v>
      </c>
      <c r="E3551" t="s">
        <v>9135</v>
      </c>
    </row>
    <row r="3552" spans="1:5" x14ac:dyDescent="0.25">
      <c r="A3552" t="s">
        <v>1783</v>
      </c>
      <c r="B3552" t="s">
        <v>9175</v>
      </c>
      <c r="C3552" t="s">
        <v>9176</v>
      </c>
      <c r="D3552" t="s">
        <v>2200</v>
      </c>
      <c r="E3552" t="s">
        <v>9119</v>
      </c>
    </row>
    <row r="3553" spans="1:5" x14ac:dyDescent="0.25">
      <c r="A3553" t="s">
        <v>1783</v>
      </c>
      <c r="B3553" t="s">
        <v>9177</v>
      </c>
      <c r="C3553" t="s">
        <v>9178</v>
      </c>
      <c r="D3553" t="s">
        <v>2200</v>
      </c>
      <c r="E3553" t="s">
        <v>9113</v>
      </c>
    </row>
    <row r="3554" spans="1:5" x14ac:dyDescent="0.25">
      <c r="A3554" t="s">
        <v>1783</v>
      </c>
      <c r="B3554" t="s">
        <v>9179</v>
      </c>
      <c r="C3554" t="s">
        <v>9180</v>
      </c>
      <c r="D3554" t="s">
        <v>2200</v>
      </c>
      <c r="E3554" t="s">
        <v>9111</v>
      </c>
    </row>
    <row r="3555" spans="1:5" x14ac:dyDescent="0.25">
      <c r="A3555" t="s">
        <v>1783</v>
      </c>
      <c r="B3555" t="s">
        <v>9181</v>
      </c>
      <c r="C3555" t="s">
        <v>9182</v>
      </c>
      <c r="D3555" t="s">
        <v>2200</v>
      </c>
      <c r="E3555" t="s">
        <v>9111</v>
      </c>
    </row>
    <row r="3556" spans="1:5" x14ac:dyDescent="0.25">
      <c r="A3556" t="s">
        <v>1783</v>
      </c>
      <c r="B3556" t="s">
        <v>9183</v>
      </c>
      <c r="C3556" t="s">
        <v>9184</v>
      </c>
      <c r="D3556" t="s">
        <v>2200</v>
      </c>
      <c r="E3556" t="s">
        <v>9135</v>
      </c>
    </row>
    <row r="3557" spans="1:5" x14ac:dyDescent="0.25">
      <c r="A3557" t="s">
        <v>1783</v>
      </c>
      <c r="B3557" t="s">
        <v>9185</v>
      </c>
      <c r="C3557" t="s">
        <v>9186</v>
      </c>
      <c r="D3557" t="s">
        <v>2200</v>
      </c>
      <c r="E3557" t="s">
        <v>9139</v>
      </c>
    </row>
    <row r="3558" spans="1:5" x14ac:dyDescent="0.25">
      <c r="A3558" t="s">
        <v>1783</v>
      </c>
      <c r="B3558" t="s">
        <v>9187</v>
      </c>
      <c r="C3558" t="s">
        <v>9188</v>
      </c>
      <c r="D3558" t="s">
        <v>2200</v>
      </c>
      <c r="E3558" t="s">
        <v>9111</v>
      </c>
    </row>
    <row r="3559" spans="1:5" x14ac:dyDescent="0.25">
      <c r="A3559" t="s">
        <v>1783</v>
      </c>
      <c r="B3559" t="s">
        <v>9189</v>
      </c>
      <c r="C3559" t="s">
        <v>9190</v>
      </c>
      <c r="D3559" t="s">
        <v>2200</v>
      </c>
      <c r="E3559" t="s">
        <v>9115</v>
      </c>
    </row>
    <row r="3560" spans="1:5" x14ac:dyDescent="0.25">
      <c r="A3560" t="s">
        <v>1783</v>
      </c>
      <c r="B3560" t="s">
        <v>9191</v>
      </c>
      <c r="C3560" t="s">
        <v>9192</v>
      </c>
      <c r="D3560" t="s">
        <v>2200</v>
      </c>
      <c r="E3560" t="s">
        <v>9121</v>
      </c>
    </row>
    <row r="3561" spans="1:5" x14ac:dyDescent="0.25">
      <c r="A3561" t="s">
        <v>1783</v>
      </c>
      <c r="B3561" t="s">
        <v>9193</v>
      </c>
      <c r="C3561" t="s">
        <v>9194</v>
      </c>
      <c r="D3561" t="s">
        <v>2200</v>
      </c>
      <c r="E3561" t="s">
        <v>9137</v>
      </c>
    </row>
    <row r="3562" spans="1:5" x14ac:dyDescent="0.25">
      <c r="A3562" t="s">
        <v>1783</v>
      </c>
      <c r="B3562" t="s">
        <v>9195</v>
      </c>
      <c r="C3562" t="s">
        <v>9196</v>
      </c>
      <c r="D3562" t="s">
        <v>2200</v>
      </c>
      <c r="E3562" t="s">
        <v>9125</v>
      </c>
    </row>
    <row r="3563" spans="1:5" x14ac:dyDescent="0.25">
      <c r="A3563" t="s">
        <v>1783</v>
      </c>
      <c r="B3563" t="s">
        <v>9197</v>
      </c>
      <c r="C3563" t="s">
        <v>9198</v>
      </c>
      <c r="D3563" t="s">
        <v>2200</v>
      </c>
      <c r="E3563" t="s">
        <v>9125</v>
      </c>
    </row>
    <row r="3564" spans="1:5" x14ac:dyDescent="0.25">
      <c r="A3564" t="s">
        <v>1783</v>
      </c>
      <c r="B3564" t="s">
        <v>9199</v>
      </c>
      <c r="C3564" t="s">
        <v>9200</v>
      </c>
      <c r="D3564" t="s">
        <v>2200</v>
      </c>
      <c r="E3564" t="s">
        <v>9125</v>
      </c>
    </row>
    <row r="3565" spans="1:5" x14ac:dyDescent="0.25">
      <c r="A3565" t="s">
        <v>1783</v>
      </c>
      <c r="B3565" t="s">
        <v>9201</v>
      </c>
      <c r="C3565" t="s">
        <v>9202</v>
      </c>
      <c r="D3565" t="s">
        <v>2200</v>
      </c>
      <c r="E3565" t="s">
        <v>9125</v>
      </c>
    </row>
    <row r="3566" spans="1:5" x14ac:dyDescent="0.25">
      <c r="A3566" t="s">
        <v>1783</v>
      </c>
      <c r="B3566" t="s">
        <v>9203</v>
      </c>
      <c r="C3566" t="s">
        <v>9204</v>
      </c>
      <c r="D3566" t="s">
        <v>2200</v>
      </c>
      <c r="E3566" t="s">
        <v>9125</v>
      </c>
    </row>
    <row r="3567" spans="1:5" x14ac:dyDescent="0.25">
      <c r="A3567" t="s">
        <v>1783</v>
      </c>
      <c r="B3567" t="s">
        <v>9205</v>
      </c>
      <c r="C3567" t="s">
        <v>9206</v>
      </c>
      <c r="D3567" t="s">
        <v>2200</v>
      </c>
      <c r="E3567" t="s">
        <v>9117</v>
      </c>
    </row>
    <row r="3568" spans="1:5" x14ac:dyDescent="0.25">
      <c r="A3568" t="s">
        <v>1783</v>
      </c>
      <c r="B3568" t="s">
        <v>9207</v>
      </c>
      <c r="C3568" t="s">
        <v>9208</v>
      </c>
      <c r="D3568" t="s">
        <v>2200</v>
      </c>
      <c r="E3568" t="s">
        <v>9127</v>
      </c>
    </row>
    <row r="3569" spans="1:5" x14ac:dyDescent="0.25">
      <c r="A3569" t="s">
        <v>1783</v>
      </c>
      <c r="B3569" t="s">
        <v>9209</v>
      </c>
      <c r="C3569" t="s">
        <v>9210</v>
      </c>
      <c r="D3569" t="s">
        <v>2200</v>
      </c>
      <c r="E3569" t="s">
        <v>9139</v>
      </c>
    </row>
    <row r="3570" spans="1:5" x14ac:dyDescent="0.25">
      <c r="A3570" t="s">
        <v>1783</v>
      </c>
      <c r="B3570" t="s">
        <v>9211</v>
      </c>
      <c r="C3570" t="s">
        <v>9212</v>
      </c>
      <c r="D3570" t="s">
        <v>2200</v>
      </c>
      <c r="E3570" t="s">
        <v>9123</v>
      </c>
    </row>
    <row r="3571" spans="1:5" x14ac:dyDescent="0.25">
      <c r="A3571" t="s">
        <v>1783</v>
      </c>
      <c r="B3571" t="s">
        <v>9213</v>
      </c>
      <c r="C3571" t="s">
        <v>9214</v>
      </c>
      <c r="D3571" t="s">
        <v>2200</v>
      </c>
      <c r="E3571" t="s">
        <v>9129</v>
      </c>
    </row>
    <row r="3572" spans="1:5" x14ac:dyDescent="0.25">
      <c r="A3572" t="s">
        <v>1783</v>
      </c>
      <c r="B3572" t="s">
        <v>9215</v>
      </c>
      <c r="C3572" t="s">
        <v>9216</v>
      </c>
      <c r="D3572" t="s">
        <v>2200</v>
      </c>
      <c r="E3572" t="s">
        <v>9129</v>
      </c>
    </row>
    <row r="3573" spans="1:5" x14ac:dyDescent="0.25">
      <c r="A3573" t="s">
        <v>1783</v>
      </c>
      <c r="B3573" t="s">
        <v>9217</v>
      </c>
      <c r="C3573" t="s">
        <v>9218</v>
      </c>
      <c r="D3573" t="s">
        <v>2200</v>
      </c>
      <c r="E3573" t="s">
        <v>9139</v>
      </c>
    </row>
    <row r="3574" spans="1:5" x14ac:dyDescent="0.25">
      <c r="A3574" t="s">
        <v>1783</v>
      </c>
      <c r="B3574" t="s">
        <v>9219</v>
      </c>
      <c r="C3574" t="s">
        <v>9220</v>
      </c>
      <c r="D3574" t="s">
        <v>2200</v>
      </c>
      <c r="E3574" t="s">
        <v>9113</v>
      </c>
    </row>
    <row r="3575" spans="1:5" x14ac:dyDescent="0.25">
      <c r="A3575" t="s">
        <v>1783</v>
      </c>
      <c r="B3575" t="s">
        <v>9221</v>
      </c>
      <c r="C3575" t="s">
        <v>9222</v>
      </c>
      <c r="D3575" t="s">
        <v>2200</v>
      </c>
      <c r="E3575" t="s">
        <v>9123</v>
      </c>
    </row>
    <row r="3576" spans="1:5" x14ac:dyDescent="0.25">
      <c r="A3576" t="s">
        <v>1783</v>
      </c>
      <c r="B3576" t="s">
        <v>9223</v>
      </c>
      <c r="C3576" t="s">
        <v>9224</v>
      </c>
      <c r="D3576" t="s">
        <v>2200</v>
      </c>
      <c r="E3576" t="s">
        <v>9129</v>
      </c>
    </row>
    <row r="3577" spans="1:5" x14ac:dyDescent="0.25">
      <c r="A3577" t="s">
        <v>1783</v>
      </c>
      <c r="B3577" t="s">
        <v>9225</v>
      </c>
      <c r="C3577" t="s">
        <v>9226</v>
      </c>
      <c r="D3577" t="s">
        <v>2200</v>
      </c>
      <c r="E3577" t="s">
        <v>9115</v>
      </c>
    </row>
    <row r="3578" spans="1:5" x14ac:dyDescent="0.25">
      <c r="A3578" t="s">
        <v>1783</v>
      </c>
      <c r="B3578" t="s">
        <v>9227</v>
      </c>
      <c r="C3578" t="s">
        <v>9228</v>
      </c>
      <c r="D3578" t="s">
        <v>2200</v>
      </c>
      <c r="E3578" t="s">
        <v>9137</v>
      </c>
    </row>
    <row r="3579" spans="1:5" x14ac:dyDescent="0.25">
      <c r="A3579" t="s">
        <v>1783</v>
      </c>
      <c r="B3579" t="s">
        <v>9229</v>
      </c>
      <c r="C3579" t="s">
        <v>9230</v>
      </c>
      <c r="D3579" t="s">
        <v>2200</v>
      </c>
      <c r="E3579" t="s">
        <v>9109</v>
      </c>
    </row>
    <row r="3580" spans="1:5" x14ac:dyDescent="0.25">
      <c r="A3580" t="s">
        <v>1783</v>
      </c>
      <c r="B3580" t="s">
        <v>9231</v>
      </c>
      <c r="C3580" t="s">
        <v>9232</v>
      </c>
      <c r="D3580" t="s">
        <v>2200</v>
      </c>
      <c r="E3580" t="s">
        <v>9127</v>
      </c>
    </row>
    <row r="3581" spans="1:5" x14ac:dyDescent="0.25">
      <c r="A3581" t="s">
        <v>1783</v>
      </c>
      <c r="B3581" t="s">
        <v>9233</v>
      </c>
      <c r="C3581" t="s">
        <v>9234</v>
      </c>
      <c r="D3581" t="s">
        <v>2200</v>
      </c>
      <c r="E3581" t="s">
        <v>9131</v>
      </c>
    </row>
    <row r="3582" spans="1:5" x14ac:dyDescent="0.25">
      <c r="A3582" t="s">
        <v>1783</v>
      </c>
      <c r="B3582" t="s">
        <v>9235</v>
      </c>
      <c r="C3582" t="s">
        <v>9236</v>
      </c>
      <c r="D3582" t="s">
        <v>2200</v>
      </c>
      <c r="E3582" t="s">
        <v>9111</v>
      </c>
    </row>
    <row r="3583" spans="1:5" x14ac:dyDescent="0.25">
      <c r="A3583" t="s">
        <v>1783</v>
      </c>
      <c r="B3583" t="s">
        <v>9237</v>
      </c>
      <c r="C3583" t="s">
        <v>9238</v>
      </c>
      <c r="D3583" t="s">
        <v>2200</v>
      </c>
      <c r="E3583" t="s">
        <v>9131</v>
      </c>
    </row>
    <row r="3584" spans="1:5" x14ac:dyDescent="0.25">
      <c r="A3584" t="s">
        <v>1783</v>
      </c>
      <c r="B3584" t="s">
        <v>9239</v>
      </c>
      <c r="C3584" t="s">
        <v>9240</v>
      </c>
      <c r="D3584" t="s">
        <v>2200</v>
      </c>
      <c r="E3584" t="s">
        <v>9131</v>
      </c>
    </row>
    <row r="3585" spans="1:5" x14ac:dyDescent="0.25">
      <c r="A3585" t="s">
        <v>1783</v>
      </c>
      <c r="B3585" t="s">
        <v>9241</v>
      </c>
      <c r="C3585" t="s">
        <v>9242</v>
      </c>
      <c r="D3585" t="s">
        <v>2200</v>
      </c>
      <c r="E3585" t="s">
        <v>9109</v>
      </c>
    </row>
    <row r="3586" spans="1:5" x14ac:dyDescent="0.25">
      <c r="A3586" t="s">
        <v>1783</v>
      </c>
      <c r="B3586" t="s">
        <v>9243</v>
      </c>
      <c r="C3586" t="s">
        <v>9244</v>
      </c>
      <c r="D3586" t="s">
        <v>2200</v>
      </c>
      <c r="E3586" t="s">
        <v>9109</v>
      </c>
    </row>
    <row r="3587" spans="1:5" x14ac:dyDescent="0.25">
      <c r="A3587" t="s">
        <v>1783</v>
      </c>
      <c r="B3587" t="s">
        <v>9245</v>
      </c>
      <c r="C3587" t="s">
        <v>9246</v>
      </c>
      <c r="D3587" t="s">
        <v>2200</v>
      </c>
      <c r="E3587" t="s">
        <v>9135</v>
      </c>
    </row>
    <row r="3588" spans="1:5" x14ac:dyDescent="0.25">
      <c r="A3588" t="s">
        <v>1783</v>
      </c>
      <c r="B3588" t="s">
        <v>9247</v>
      </c>
      <c r="C3588" t="s">
        <v>9248</v>
      </c>
      <c r="D3588" t="s">
        <v>2200</v>
      </c>
      <c r="E3588" t="s">
        <v>9135</v>
      </c>
    </row>
    <row r="3589" spans="1:5" x14ac:dyDescent="0.25">
      <c r="A3589" t="s">
        <v>1783</v>
      </c>
      <c r="B3589" t="s">
        <v>9249</v>
      </c>
      <c r="C3589" t="s">
        <v>9250</v>
      </c>
      <c r="D3589" t="s">
        <v>2200</v>
      </c>
      <c r="E3589" t="s">
        <v>9123</v>
      </c>
    </row>
    <row r="3590" spans="1:5" x14ac:dyDescent="0.25">
      <c r="A3590" t="s">
        <v>1783</v>
      </c>
      <c r="B3590" t="s">
        <v>9251</v>
      </c>
      <c r="C3590" t="s">
        <v>9252</v>
      </c>
      <c r="D3590" t="s">
        <v>2200</v>
      </c>
      <c r="E3590" t="s">
        <v>9139</v>
      </c>
    </row>
    <row r="3591" spans="1:5" x14ac:dyDescent="0.25">
      <c r="A3591" t="s">
        <v>1783</v>
      </c>
      <c r="B3591" t="s">
        <v>9253</v>
      </c>
      <c r="C3591" t="s">
        <v>9254</v>
      </c>
      <c r="D3591" t="s">
        <v>2200</v>
      </c>
      <c r="E3591" t="s">
        <v>9121</v>
      </c>
    </row>
    <row r="3592" spans="1:5" x14ac:dyDescent="0.25">
      <c r="A3592" t="s">
        <v>1783</v>
      </c>
      <c r="B3592" t="s">
        <v>9255</v>
      </c>
      <c r="C3592" t="s">
        <v>9256</v>
      </c>
      <c r="D3592" t="s">
        <v>2200</v>
      </c>
      <c r="E3592" t="s">
        <v>9127</v>
      </c>
    </row>
    <row r="3593" spans="1:5" x14ac:dyDescent="0.25">
      <c r="A3593" t="s">
        <v>1783</v>
      </c>
      <c r="B3593" t="s">
        <v>9257</v>
      </c>
      <c r="C3593" t="s">
        <v>9258</v>
      </c>
      <c r="D3593" t="s">
        <v>2200</v>
      </c>
      <c r="E3593" t="s">
        <v>9119</v>
      </c>
    </row>
    <row r="3594" spans="1:5" x14ac:dyDescent="0.25">
      <c r="A3594" t="s">
        <v>1783</v>
      </c>
      <c r="B3594" t="s">
        <v>9259</v>
      </c>
      <c r="C3594" t="s">
        <v>9260</v>
      </c>
      <c r="D3594" t="s">
        <v>2200</v>
      </c>
      <c r="E3594" t="s">
        <v>9113</v>
      </c>
    </row>
    <row r="3595" spans="1:5" x14ac:dyDescent="0.25">
      <c r="A3595" t="s">
        <v>1783</v>
      </c>
      <c r="B3595" t="s">
        <v>9261</v>
      </c>
      <c r="C3595" t="s">
        <v>9262</v>
      </c>
      <c r="D3595" t="s">
        <v>2200</v>
      </c>
      <c r="E3595" t="s">
        <v>9131</v>
      </c>
    </row>
    <row r="3596" spans="1:5" x14ac:dyDescent="0.25">
      <c r="A3596" t="s">
        <v>1783</v>
      </c>
      <c r="B3596" t="s">
        <v>9263</v>
      </c>
      <c r="C3596" t="s">
        <v>9264</v>
      </c>
      <c r="D3596" t="s">
        <v>2200</v>
      </c>
      <c r="E3596" t="s">
        <v>9119</v>
      </c>
    </row>
    <row r="3597" spans="1:5" x14ac:dyDescent="0.25">
      <c r="A3597" t="s">
        <v>1783</v>
      </c>
      <c r="B3597" t="s">
        <v>9265</v>
      </c>
      <c r="C3597" t="s">
        <v>9266</v>
      </c>
      <c r="D3597" t="s">
        <v>2200</v>
      </c>
      <c r="E3597" t="s">
        <v>9129</v>
      </c>
    </row>
    <row r="3598" spans="1:5" x14ac:dyDescent="0.25">
      <c r="A3598" t="s">
        <v>1783</v>
      </c>
      <c r="B3598" t="s">
        <v>9267</v>
      </c>
      <c r="C3598" t="s">
        <v>9268</v>
      </c>
      <c r="D3598" t="s">
        <v>2200</v>
      </c>
      <c r="E3598" t="s">
        <v>9115</v>
      </c>
    </row>
    <row r="3599" spans="1:5" x14ac:dyDescent="0.25">
      <c r="A3599" t="s">
        <v>1783</v>
      </c>
      <c r="B3599" t="s">
        <v>9269</v>
      </c>
      <c r="C3599" t="s">
        <v>9270</v>
      </c>
      <c r="D3599" t="s">
        <v>2200</v>
      </c>
      <c r="E3599" t="s">
        <v>9113</v>
      </c>
    </row>
    <row r="3600" spans="1:5" x14ac:dyDescent="0.25">
      <c r="A3600" t="s">
        <v>1783</v>
      </c>
      <c r="B3600" t="s">
        <v>9271</v>
      </c>
      <c r="C3600" t="s">
        <v>9272</v>
      </c>
      <c r="D3600" t="s">
        <v>2200</v>
      </c>
      <c r="E3600" t="s">
        <v>9115</v>
      </c>
    </row>
    <row r="3601" spans="1:5" x14ac:dyDescent="0.25">
      <c r="A3601" t="s">
        <v>1783</v>
      </c>
      <c r="B3601" t="s">
        <v>9273</v>
      </c>
      <c r="C3601" t="s">
        <v>9274</v>
      </c>
      <c r="D3601" t="s">
        <v>2200</v>
      </c>
      <c r="E3601" t="s">
        <v>9131</v>
      </c>
    </row>
    <row r="3602" spans="1:5" x14ac:dyDescent="0.25">
      <c r="A3602" t="s">
        <v>1783</v>
      </c>
      <c r="B3602" t="s">
        <v>9275</v>
      </c>
      <c r="C3602" t="s">
        <v>9276</v>
      </c>
      <c r="D3602" t="s">
        <v>2200</v>
      </c>
      <c r="E3602" t="s">
        <v>9127</v>
      </c>
    </row>
    <row r="3603" spans="1:5" x14ac:dyDescent="0.25">
      <c r="A3603" t="s">
        <v>1783</v>
      </c>
      <c r="B3603" t="s">
        <v>9277</v>
      </c>
      <c r="C3603" t="s">
        <v>9278</v>
      </c>
      <c r="D3603" t="s">
        <v>2200</v>
      </c>
      <c r="E3603" t="s">
        <v>9125</v>
      </c>
    </row>
    <row r="3604" spans="1:5" x14ac:dyDescent="0.25">
      <c r="A3604" t="s">
        <v>1783</v>
      </c>
      <c r="B3604" t="s">
        <v>9279</v>
      </c>
      <c r="C3604" t="s">
        <v>9280</v>
      </c>
      <c r="D3604" t="s">
        <v>2200</v>
      </c>
      <c r="E3604" t="s">
        <v>9121</v>
      </c>
    </row>
    <row r="3605" spans="1:5" x14ac:dyDescent="0.25">
      <c r="A3605" t="s">
        <v>1783</v>
      </c>
      <c r="B3605" t="s">
        <v>9281</v>
      </c>
      <c r="C3605" t="s">
        <v>9282</v>
      </c>
      <c r="D3605" t="s">
        <v>2200</v>
      </c>
      <c r="E3605" t="s">
        <v>9111</v>
      </c>
    </row>
    <row r="3606" spans="1:5" x14ac:dyDescent="0.25">
      <c r="A3606" t="s">
        <v>1783</v>
      </c>
      <c r="B3606" t="s">
        <v>9283</v>
      </c>
      <c r="C3606" t="s">
        <v>9284</v>
      </c>
      <c r="D3606" t="s">
        <v>2200</v>
      </c>
      <c r="E3606" t="s">
        <v>9125</v>
      </c>
    </row>
    <row r="3607" spans="1:5" x14ac:dyDescent="0.25">
      <c r="A3607" t="s">
        <v>1783</v>
      </c>
      <c r="B3607" t="s">
        <v>9285</v>
      </c>
      <c r="C3607" t="s">
        <v>9286</v>
      </c>
      <c r="D3607" t="s">
        <v>2200</v>
      </c>
      <c r="E3607" t="s">
        <v>9127</v>
      </c>
    </row>
    <row r="3608" spans="1:5" x14ac:dyDescent="0.25">
      <c r="A3608" t="s">
        <v>1783</v>
      </c>
      <c r="B3608" t="s">
        <v>9287</v>
      </c>
      <c r="C3608" t="s">
        <v>9288</v>
      </c>
      <c r="D3608" t="s">
        <v>2200</v>
      </c>
      <c r="E3608" t="s">
        <v>9137</v>
      </c>
    </row>
    <row r="3609" spans="1:5" x14ac:dyDescent="0.25">
      <c r="A3609" t="s">
        <v>1783</v>
      </c>
      <c r="B3609" t="s">
        <v>9289</v>
      </c>
      <c r="C3609" t="s">
        <v>9290</v>
      </c>
      <c r="D3609" t="s">
        <v>2200</v>
      </c>
      <c r="E3609" t="s">
        <v>9109</v>
      </c>
    </row>
    <row r="3610" spans="1:5" x14ac:dyDescent="0.25">
      <c r="A3610" t="s">
        <v>1783</v>
      </c>
      <c r="B3610" t="s">
        <v>9291</v>
      </c>
      <c r="C3610" t="s">
        <v>9292</v>
      </c>
      <c r="D3610" t="s">
        <v>2200</v>
      </c>
      <c r="E3610" t="s">
        <v>9117</v>
      </c>
    </row>
    <row r="3611" spans="1:5" x14ac:dyDescent="0.25">
      <c r="A3611" t="s">
        <v>1783</v>
      </c>
      <c r="B3611" t="s">
        <v>9293</v>
      </c>
      <c r="C3611" t="s">
        <v>9294</v>
      </c>
      <c r="D3611" t="s">
        <v>2200</v>
      </c>
      <c r="E3611" t="s">
        <v>9117</v>
      </c>
    </row>
    <row r="3612" spans="1:5" x14ac:dyDescent="0.25">
      <c r="A3612" t="s">
        <v>1783</v>
      </c>
      <c r="B3612" t="s">
        <v>9295</v>
      </c>
      <c r="C3612" t="s">
        <v>9296</v>
      </c>
      <c r="D3612" t="s">
        <v>2200</v>
      </c>
      <c r="E3612" t="s">
        <v>9119</v>
      </c>
    </row>
    <row r="3613" spans="1:5" x14ac:dyDescent="0.25">
      <c r="A3613" t="s">
        <v>1783</v>
      </c>
      <c r="B3613" t="s">
        <v>9297</v>
      </c>
      <c r="C3613" t="s">
        <v>9298</v>
      </c>
      <c r="D3613" t="s">
        <v>2200</v>
      </c>
      <c r="E3613" t="s">
        <v>9109</v>
      </c>
    </row>
    <row r="3614" spans="1:5" x14ac:dyDescent="0.25">
      <c r="A3614" t="s">
        <v>1783</v>
      </c>
      <c r="B3614" t="s">
        <v>9299</v>
      </c>
      <c r="C3614" t="s">
        <v>9300</v>
      </c>
      <c r="D3614" t="s">
        <v>2200</v>
      </c>
      <c r="E3614" t="s">
        <v>9119</v>
      </c>
    </row>
    <row r="3615" spans="1:5" x14ac:dyDescent="0.25">
      <c r="A3615" t="s">
        <v>1783</v>
      </c>
      <c r="B3615" t="s">
        <v>9301</v>
      </c>
      <c r="C3615" t="s">
        <v>9302</v>
      </c>
      <c r="D3615" t="s">
        <v>2200</v>
      </c>
      <c r="E3615" t="s">
        <v>9141</v>
      </c>
    </row>
    <row r="3616" spans="1:5" x14ac:dyDescent="0.25">
      <c r="A3616" t="s">
        <v>1783</v>
      </c>
      <c r="B3616" t="s">
        <v>9303</v>
      </c>
      <c r="C3616" t="s">
        <v>9304</v>
      </c>
      <c r="D3616" t="s">
        <v>2200</v>
      </c>
      <c r="E3616" t="s">
        <v>9141</v>
      </c>
    </row>
    <row r="3617" spans="1:5" x14ac:dyDescent="0.25">
      <c r="A3617" t="s">
        <v>1783</v>
      </c>
      <c r="B3617" t="s">
        <v>9305</v>
      </c>
      <c r="C3617" t="s">
        <v>9306</v>
      </c>
      <c r="D3617" t="s">
        <v>2200</v>
      </c>
      <c r="E3617" t="s">
        <v>9141</v>
      </c>
    </row>
    <row r="3618" spans="1:5" x14ac:dyDescent="0.25">
      <c r="A3618" t="s">
        <v>1788</v>
      </c>
      <c r="B3618" t="s">
        <v>9307</v>
      </c>
      <c r="C3618" t="s">
        <v>9308</v>
      </c>
      <c r="D3618" t="s">
        <v>9309</v>
      </c>
      <c r="E3618" t="s">
        <v>2170</v>
      </c>
    </row>
    <row r="3619" spans="1:5" x14ac:dyDescent="0.25">
      <c r="A3619" t="s">
        <v>1788</v>
      </c>
      <c r="B3619" t="s">
        <v>9310</v>
      </c>
      <c r="C3619" t="s">
        <v>9311</v>
      </c>
      <c r="D3619" t="s">
        <v>2200</v>
      </c>
      <c r="E3619" t="s">
        <v>2170</v>
      </c>
    </row>
    <row r="3620" spans="1:5" x14ac:dyDescent="0.25">
      <c r="A3620" t="s">
        <v>1788</v>
      </c>
      <c r="B3620" t="s">
        <v>9312</v>
      </c>
      <c r="C3620" t="s">
        <v>9313</v>
      </c>
      <c r="D3620" t="s">
        <v>9309</v>
      </c>
      <c r="E3620" t="s">
        <v>2170</v>
      </c>
    </row>
    <row r="3621" spans="1:5" x14ac:dyDescent="0.25">
      <c r="A3621" t="s">
        <v>1788</v>
      </c>
      <c r="B3621" t="s">
        <v>9314</v>
      </c>
      <c r="C3621" t="s">
        <v>9315</v>
      </c>
      <c r="D3621" t="s">
        <v>9316</v>
      </c>
      <c r="E3621" t="s">
        <v>2170</v>
      </c>
    </row>
    <row r="3622" spans="1:5" x14ac:dyDescent="0.25">
      <c r="A3622" t="s">
        <v>1788</v>
      </c>
      <c r="B3622" t="s">
        <v>9317</v>
      </c>
      <c r="C3622" t="s">
        <v>9318</v>
      </c>
      <c r="D3622" t="s">
        <v>2200</v>
      </c>
      <c r="E3622" t="s">
        <v>2170</v>
      </c>
    </row>
    <row r="3623" spans="1:5" x14ac:dyDescent="0.25">
      <c r="A3623" t="s">
        <v>1788</v>
      </c>
      <c r="B3623" t="s">
        <v>9319</v>
      </c>
      <c r="C3623" t="s">
        <v>9320</v>
      </c>
      <c r="D3623" t="s">
        <v>2200</v>
      </c>
      <c r="E3623" t="s">
        <v>2170</v>
      </c>
    </row>
    <row r="3624" spans="1:5" x14ac:dyDescent="0.25">
      <c r="A3624" t="s">
        <v>1788</v>
      </c>
      <c r="B3624" t="s">
        <v>9321</v>
      </c>
      <c r="C3624" t="s">
        <v>9322</v>
      </c>
      <c r="D3624" t="s">
        <v>2200</v>
      </c>
      <c r="E3624" t="s">
        <v>2170</v>
      </c>
    </row>
    <row r="3625" spans="1:5" x14ac:dyDescent="0.25">
      <c r="A3625" t="s">
        <v>1791</v>
      </c>
      <c r="B3625" t="s">
        <v>9323</v>
      </c>
      <c r="C3625" t="s">
        <v>9324</v>
      </c>
      <c r="D3625" t="s">
        <v>9325</v>
      </c>
      <c r="E3625" t="s">
        <v>2170</v>
      </c>
    </row>
    <row r="3626" spans="1:5" x14ac:dyDescent="0.25">
      <c r="A3626" t="s">
        <v>1791</v>
      </c>
      <c r="B3626" t="s">
        <v>9326</v>
      </c>
      <c r="C3626" t="s">
        <v>9327</v>
      </c>
      <c r="D3626" t="s">
        <v>9325</v>
      </c>
      <c r="E3626" t="s">
        <v>2170</v>
      </c>
    </row>
    <row r="3627" spans="1:5" x14ac:dyDescent="0.25">
      <c r="A3627" t="s">
        <v>1791</v>
      </c>
      <c r="B3627" t="s">
        <v>9328</v>
      </c>
      <c r="C3627" t="s">
        <v>9329</v>
      </c>
      <c r="D3627" t="s">
        <v>9325</v>
      </c>
      <c r="E3627" t="s">
        <v>2170</v>
      </c>
    </row>
    <row r="3628" spans="1:5" x14ac:dyDescent="0.25">
      <c r="A3628" t="s">
        <v>1791</v>
      </c>
      <c r="B3628" t="s">
        <v>9330</v>
      </c>
      <c r="C3628" t="s">
        <v>9331</v>
      </c>
      <c r="D3628" t="s">
        <v>9325</v>
      </c>
      <c r="E3628" t="s">
        <v>2170</v>
      </c>
    </row>
    <row r="3629" spans="1:5" x14ac:dyDescent="0.25">
      <c r="A3629" t="s">
        <v>1791</v>
      </c>
      <c r="B3629" t="s">
        <v>9332</v>
      </c>
      <c r="C3629" t="s">
        <v>9333</v>
      </c>
      <c r="D3629" t="s">
        <v>9325</v>
      </c>
      <c r="E3629" t="s">
        <v>2170</v>
      </c>
    </row>
    <row r="3630" spans="1:5" x14ac:dyDescent="0.25">
      <c r="A3630" t="s">
        <v>1791</v>
      </c>
      <c r="B3630" t="s">
        <v>9334</v>
      </c>
      <c r="C3630" t="s">
        <v>9335</v>
      </c>
      <c r="D3630" t="s">
        <v>9325</v>
      </c>
      <c r="E3630" t="s">
        <v>2170</v>
      </c>
    </row>
    <row r="3631" spans="1:5" x14ac:dyDescent="0.25">
      <c r="A3631" t="s">
        <v>1791</v>
      </c>
      <c r="B3631" t="s">
        <v>9336</v>
      </c>
      <c r="C3631" t="s">
        <v>9337</v>
      </c>
      <c r="D3631" t="s">
        <v>9325</v>
      </c>
      <c r="E3631" t="s">
        <v>2170</v>
      </c>
    </row>
    <row r="3632" spans="1:5" x14ac:dyDescent="0.25">
      <c r="A3632" t="s">
        <v>1791</v>
      </c>
      <c r="B3632" t="s">
        <v>9338</v>
      </c>
      <c r="C3632" t="s">
        <v>9339</v>
      </c>
      <c r="D3632" t="s">
        <v>9325</v>
      </c>
      <c r="E3632" t="s">
        <v>2170</v>
      </c>
    </row>
    <row r="3633" spans="1:5" x14ac:dyDescent="0.25">
      <c r="A3633" t="s">
        <v>1791</v>
      </c>
      <c r="B3633" t="s">
        <v>9340</v>
      </c>
      <c r="C3633" t="s">
        <v>9341</v>
      </c>
      <c r="D3633" t="s">
        <v>9325</v>
      </c>
      <c r="E3633" t="s">
        <v>2170</v>
      </c>
    </row>
    <row r="3634" spans="1:5" x14ac:dyDescent="0.25">
      <c r="A3634" t="s">
        <v>1791</v>
      </c>
      <c r="B3634" t="s">
        <v>9342</v>
      </c>
      <c r="C3634" t="s">
        <v>9343</v>
      </c>
      <c r="D3634" t="s">
        <v>9325</v>
      </c>
      <c r="E3634" t="s">
        <v>2170</v>
      </c>
    </row>
    <row r="3635" spans="1:5" x14ac:dyDescent="0.25">
      <c r="A3635" t="s">
        <v>1791</v>
      </c>
      <c r="B3635" t="s">
        <v>9344</v>
      </c>
      <c r="C3635" t="s">
        <v>9345</v>
      </c>
      <c r="D3635" t="s">
        <v>9325</v>
      </c>
      <c r="E3635" t="s">
        <v>2170</v>
      </c>
    </row>
    <row r="3636" spans="1:5" x14ac:dyDescent="0.25">
      <c r="A3636" t="s">
        <v>1791</v>
      </c>
      <c r="B3636" t="s">
        <v>9346</v>
      </c>
      <c r="C3636" t="s">
        <v>9347</v>
      </c>
      <c r="D3636" t="s">
        <v>9325</v>
      </c>
      <c r="E3636" t="s">
        <v>2170</v>
      </c>
    </row>
    <row r="3637" spans="1:5" x14ac:dyDescent="0.25">
      <c r="A3637" t="s">
        <v>1791</v>
      </c>
      <c r="B3637" t="s">
        <v>9348</v>
      </c>
      <c r="C3637" t="s">
        <v>9349</v>
      </c>
      <c r="D3637" t="s">
        <v>9325</v>
      </c>
      <c r="E3637" t="s">
        <v>2170</v>
      </c>
    </row>
    <row r="3638" spans="1:5" x14ac:dyDescent="0.25">
      <c r="A3638" t="s">
        <v>1791</v>
      </c>
      <c r="B3638" t="s">
        <v>9350</v>
      </c>
      <c r="C3638" t="s">
        <v>9351</v>
      </c>
      <c r="D3638" t="s">
        <v>9325</v>
      </c>
      <c r="E3638" t="s">
        <v>2170</v>
      </c>
    </row>
    <row r="3639" spans="1:5" x14ac:dyDescent="0.25">
      <c r="A3639" t="s">
        <v>1791</v>
      </c>
      <c r="B3639" t="s">
        <v>9352</v>
      </c>
      <c r="C3639" t="s">
        <v>9353</v>
      </c>
      <c r="D3639" t="s">
        <v>9325</v>
      </c>
      <c r="E3639" t="s">
        <v>2170</v>
      </c>
    </row>
    <row r="3640" spans="1:5" x14ac:dyDescent="0.25">
      <c r="A3640" t="s">
        <v>1791</v>
      </c>
      <c r="B3640" t="s">
        <v>9354</v>
      </c>
      <c r="C3640" t="s">
        <v>9355</v>
      </c>
      <c r="D3640" t="s">
        <v>9325</v>
      </c>
      <c r="E3640" t="s">
        <v>2170</v>
      </c>
    </row>
    <row r="3641" spans="1:5" x14ac:dyDescent="0.25">
      <c r="A3641" t="s">
        <v>1803</v>
      </c>
      <c r="B3641" t="s">
        <v>9356</v>
      </c>
      <c r="C3641" t="s">
        <v>9357</v>
      </c>
      <c r="D3641" t="s">
        <v>2963</v>
      </c>
      <c r="E3641" t="s">
        <v>2170</v>
      </c>
    </row>
    <row r="3642" spans="1:5" x14ac:dyDescent="0.25">
      <c r="A3642" t="s">
        <v>1803</v>
      </c>
      <c r="B3642" t="s">
        <v>9358</v>
      </c>
      <c r="C3642" t="s">
        <v>9359</v>
      </c>
      <c r="D3642" t="s">
        <v>2963</v>
      </c>
      <c r="E3642" t="s">
        <v>2170</v>
      </c>
    </row>
    <row r="3643" spans="1:5" x14ac:dyDescent="0.25">
      <c r="A3643" t="s">
        <v>1803</v>
      </c>
      <c r="B3643" t="s">
        <v>9360</v>
      </c>
      <c r="C3643" t="s">
        <v>9361</v>
      </c>
      <c r="D3643" t="s">
        <v>2963</v>
      </c>
      <c r="E3643" t="s">
        <v>2170</v>
      </c>
    </row>
    <row r="3644" spans="1:5" x14ac:dyDescent="0.25">
      <c r="A3644" t="s">
        <v>1803</v>
      </c>
      <c r="B3644" t="s">
        <v>9362</v>
      </c>
      <c r="C3644" t="s">
        <v>9363</v>
      </c>
      <c r="D3644" t="s">
        <v>2963</v>
      </c>
      <c r="E3644" t="s">
        <v>2170</v>
      </c>
    </row>
    <row r="3645" spans="1:5" x14ac:dyDescent="0.25">
      <c r="A3645" t="s">
        <v>1803</v>
      </c>
      <c r="B3645" t="s">
        <v>9364</v>
      </c>
      <c r="C3645" t="s">
        <v>9365</v>
      </c>
      <c r="D3645" t="s">
        <v>2963</v>
      </c>
      <c r="E3645" t="s">
        <v>2170</v>
      </c>
    </row>
    <row r="3646" spans="1:5" x14ac:dyDescent="0.25">
      <c r="A3646" t="s">
        <v>1803</v>
      </c>
      <c r="B3646" t="s">
        <v>9366</v>
      </c>
      <c r="C3646" t="s">
        <v>9367</v>
      </c>
      <c r="D3646" t="s">
        <v>2963</v>
      </c>
      <c r="E3646" t="s">
        <v>2170</v>
      </c>
    </row>
    <row r="3647" spans="1:5" x14ac:dyDescent="0.25">
      <c r="A3647" t="s">
        <v>1803</v>
      </c>
      <c r="B3647" t="s">
        <v>9368</v>
      </c>
      <c r="C3647" t="s">
        <v>9369</v>
      </c>
      <c r="D3647" t="s">
        <v>2963</v>
      </c>
      <c r="E3647" t="s">
        <v>2170</v>
      </c>
    </row>
    <row r="3648" spans="1:5" x14ac:dyDescent="0.25">
      <c r="A3648" t="s">
        <v>1803</v>
      </c>
      <c r="B3648" t="s">
        <v>9370</v>
      </c>
      <c r="C3648" t="s">
        <v>9371</v>
      </c>
      <c r="D3648" t="s">
        <v>2963</v>
      </c>
      <c r="E3648" t="s">
        <v>2170</v>
      </c>
    </row>
    <row r="3649" spans="1:5" x14ac:dyDescent="0.25">
      <c r="A3649" t="s">
        <v>1803</v>
      </c>
      <c r="B3649" t="s">
        <v>9372</v>
      </c>
      <c r="C3649" t="s">
        <v>9373</v>
      </c>
      <c r="D3649" t="s">
        <v>2963</v>
      </c>
      <c r="E3649" t="s">
        <v>2170</v>
      </c>
    </row>
    <row r="3650" spans="1:5" x14ac:dyDescent="0.25">
      <c r="A3650" t="s">
        <v>1803</v>
      </c>
      <c r="B3650" t="s">
        <v>9374</v>
      </c>
      <c r="C3650" t="s">
        <v>9375</v>
      </c>
      <c r="D3650" t="s">
        <v>2963</v>
      </c>
      <c r="E3650" t="s">
        <v>2170</v>
      </c>
    </row>
    <row r="3651" spans="1:5" x14ac:dyDescent="0.25">
      <c r="A3651" t="s">
        <v>1803</v>
      </c>
      <c r="B3651" t="s">
        <v>9376</v>
      </c>
      <c r="C3651" t="s">
        <v>9377</v>
      </c>
      <c r="D3651" t="s">
        <v>2963</v>
      </c>
      <c r="E3651" t="s">
        <v>2170</v>
      </c>
    </row>
    <row r="3652" spans="1:5" x14ac:dyDescent="0.25">
      <c r="A3652" t="s">
        <v>1803</v>
      </c>
      <c r="B3652" t="s">
        <v>9378</v>
      </c>
      <c r="C3652" t="s">
        <v>9379</v>
      </c>
      <c r="D3652" t="s">
        <v>2963</v>
      </c>
      <c r="E3652" t="s">
        <v>2170</v>
      </c>
    </row>
    <row r="3653" spans="1:5" x14ac:dyDescent="0.25">
      <c r="A3653" t="s">
        <v>1803</v>
      </c>
      <c r="B3653" t="s">
        <v>9380</v>
      </c>
      <c r="C3653" t="s">
        <v>9381</v>
      </c>
      <c r="D3653" t="s">
        <v>2963</v>
      </c>
      <c r="E3653" t="s">
        <v>2170</v>
      </c>
    </row>
    <row r="3654" spans="1:5" x14ac:dyDescent="0.25">
      <c r="A3654" t="s">
        <v>1803</v>
      </c>
      <c r="B3654" t="s">
        <v>9382</v>
      </c>
      <c r="C3654" t="s">
        <v>9383</v>
      </c>
      <c r="D3654" t="s">
        <v>2963</v>
      </c>
      <c r="E3654" t="s">
        <v>2170</v>
      </c>
    </row>
    <row r="3655" spans="1:5" x14ac:dyDescent="0.25">
      <c r="A3655" t="s">
        <v>1803</v>
      </c>
      <c r="B3655" t="s">
        <v>9384</v>
      </c>
      <c r="C3655" t="s">
        <v>9385</v>
      </c>
      <c r="D3655" t="s">
        <v>2963</v>
      </c>
      <c r="E3655" t="s">
        <v>2170</v>
      </c>
    </row>
    <row r="3656" spans="1:5" x14ac:dyDescent="0.25">
      <c r="A3656" t="s">
        <v>1803</v>
      </c>
      <c r="B3656" t="s">
        <v>9386</v>
      </c>
      <c r="C3656" t="s">
        <v>9387</v>
      </c>
      <c r="D3656" t="s">
        <v>2963</v>
      </c>
      <c r="E3656" t="s">
        <v>2170</v>
      </c>
    </row>
    <row r="3657" spans="1:5" x14ac:dyDescent="0.25">
      <c r="A3657" t="s">
        <v>1807</v>
      </c>
      <c r="B3657" t="s">
        <v>9388</v>
      </c>
      <c r="C3657" t="s">
        <v>9389</v>
      </c>
      <c r="D3657" t="s">
        <v>2646</v>
      </c>
      <c r="E3657" t="s">
        <v>2170</v>
      </c>
    </row>
    <row r="3658" spans="1:5" x14ac:dyDescent="0.25">
      <c r="A3658" t="s">
        <v>1807</v>
      </c>
      <c r="B3658" t="s">
        <v>9390</v>
      </c>
      <c r="C3658" t="s">
        <v>9391</v>
      </c>
      <c r="D3658" t="s">
        <v>2646</v>
      </c>
      <c r="E3658" t="s">
        <v>2170</v>
      </c>
    </row>
    <row r="3659" spans="1:5" x14ac:dyDescent="0.25">
      <c r="A3659" t="s">
        <v>1807</v>
      </c>
      <c r="B3659" t="s">
        <v>9392</v>
      </c>
      <c r="C3659" t="s">
        <v>9393</v>
      </c>
      <c r="D3659" t="s">
        <v>2646</v>
      </c>
      <c r="E3659" t="s">
        <v>2170</v>
      </c>
    </row>
    <row r="3660" spans="1:5" x14ac:dyDescent="0.25">
      <c r="A3660" t="s">
        <v>1807</v>
      </c>
      <c r="B3660" t="s">
        <v>9394</v>
      </c>
      <c r="C3660" t="s">
        <v>9395</v>
      </c>
      <c r="D3660" t="s">
        <v>2646</v>
      </c>
      <c r="E3660" t="s">
        <v>2170</v>
      </c>
    </row>
    <row r="3661" spans="1:5" x14ac:dyDescent="0.25">
      <c r="A3661" t="s">
        <v>1807</v>
      </c>
      <c r="B3661" t="s">
        <v>9396</v>
      </c>
      <c r="C3661" t="s">
        <v>9397</v>
      </c>
      <c r="D3661" t="s">
        <v>2646</v>
      </c>
      <c r="E3661" t="s">
        <v>2170</v>
      </c>
    </row>
    <row r="3662" spans="1:5" x14ac:dyDescent="0.25">
      <c r="A3662" t="s">
        <v>1807</v>
      </c>
      <c r="B3662" t="s">
        <v>9398</v>
      </c>
      <c r="C3662" t="s">
        <v>9399</v>
      </c>
      <c r="D3662" t="s">
        <v>2646</v>
      </c>
      <c r="E3662" t="s">
        <v>2170</v>
      </c>
    </row>
    <row r="3663" spans="1:5" x14ac:dyDescent="0.25">
      <c r="A3663" t="s">
        <v>1807</v>
      </c>
      <c r="B3663" t="s">
        <v>9400</v>
      </c>
      <c r="C3663" t="s">
        <v>9401</v>
      </c>
      <c r="D3663" t="s">
        <v>2646</v>
      </c>
      <c r="E3663" t="s">
        <v>2170</v>
      </c>
    </row>
    <row r="3664" spans="1:5" x14ac:dyDescent="0.25">
      <c r="A3664" t="s">
        <v>1807</v>
      </c>
      <c r="B3664" t="s">
        <v>9402</v>
      </c>
      <c r="C3664" t="s">
        <v>9403</v>
      </c>
      <c r="D3664" t="s">
        <v>2646</v>
      </c>
      <c r="E3664" t="s">
        <v>2170</v>
      </c>
    </row>
    <row r="3665" spans="1:5" x14ac:dyDescent="0.25">
      <c r="A3665" t="s">
        <v>1807</v>
      </c>
      <c r="B3665" t="s">
        <v>9404</v>
      </c>
      <c r="C3665" t="s">
        <v>9405</v>
      </c>
      <c r="D3665" t="s">
        <v>2646</v>
      </c>
      <c r="E3665" t="s">
        <v>2170</v>
      </c>
    </row>
    <row r="3666" spans="1:5" x14ac:dyDescent="0.25">
      <c r="A3666" t="s">
        <v>1807</v>
      </c>
      <c r="B3666" t="s">
        <v>9406</v>
      </c>
      <c r="C3666" t="s">
        <v>9407</v>
      </c>
      <c r="D3666" t="s">
        <v>2646</v>
      </c>
      <c r="E3666" t="s">
        <v>2170</v>
      </c>
    </row>
    <row r="3667" spans="1:5" x14ac:dyDescent="0.25">
      <c r="A3667" t="s">
        <v>1807</v>
      </c>
      <c r="B3667" t="s">
        <v>9408</v>
      </c>
      <c r="C3667" t="s">
        <v>9409</v>
      </c>
      <c r="D3667" t="s">
        <v>2646</v>
      </c>
      <c r="E3667" t="s">
        <v>2170</v>
      </c>
    </row>
    <row r="3668" spans="1:5" x14ac:dyDescent="0.25">
      <c r="A3668" t="s">
        <v>1807</v>
      </c>
      <c r="B3668" t="s">
        <v>9410</v>
      </c>
      <c r="C3668" t="s">
        <v>9411</v>
      </c>
      <c r="D3668" t="s">
        <v>2646</v>
      </c>
      <c r="E3668" t="s">
        <v>2170</v>
      </c>
    </row>
    <row r="3669" spans="1:5" x14ac:dyDescent="0.25">
      <c r="A3669" t="s">
        <v>1807</v>
      </c>
      <c r="B3669" t="s">
        <v>9412</v>
      </c>
      <c r="C3669" t="s">
        <v>9413</v>
      </c>
      <c r="D3669" t="s">
        <v>2646</v>
      </c>
      <c r="E3669" t="s">
        <v>2170</v>
      </c>
    </row>
    <row r="3670" spans="1:5" x14ac:dyDescent="0.25">
      <c r="A3670" t="s">
        <v>1807</v>
      </c>
      <c r="B3670" t="s">
        <v>9414</v>
      </c>
      <c r="C3670" t="s">
        <v>9415</v>
      </c>
      <c r="D3670" t="s">
        <v>3555</v>
      </c>
      <c r="E3670" t="s">
        <v>2170</v>
      </c>
    </row>
    <row r="3671" spans="1:5" x14ac:dyDescent="0.25">
      <c r="A3671" t="s">
        <v>1807</v>
      </c>
      <c r="B3671" t="s">
        <v>9416</v>
      </c>
      <c r="C3671" t="s">
        <v>9417</v>
      </c>
      <c r="D3671" t="s">
        <v>3555</v>
      </c>
      <c r="E3671" t="s">
        <v>2170</v>
      </c>
    </row>
    <row r="3672" spans="1:5" x14ac:dyDescent="0.25">
      <c r="A3672" t="s">
        <v>1807</v>
      </c>
      <c r="B3672" t="s">
        <v>9418</v>
      </c>
      <c r="C3672" t="s">
        <v>9419</v>
      </c>
      <c r="D3672" t="s">
        <v>2646</v>
      </c>
      <c r="E3672" t="s">
        <v>2170</v>
      </c>
    </row>
    <row r="3673" spans="1:5" x14ac:dyDescent="0.25">
      <c r="A3673" t="s">
        <v>1807</v>
      </c>
      <c r="B3673" t="s">
        <v>9420</v>
      </c>
      <c r="C3673" t="s">
        <v>9421</v>
      </c>
      <c r="D3673" t="s">
        <v>2646</v>
      </c>
      <c r="E3673" t="s">
        <v>2170</v>
      </c>
    </row>
    <row r="3674" spans="1:5" x14ac:dyDescent="0.25">
      <c r="A3674" t="s">
        <v>1807</v>
      </c>
      <c r="B3674" t="s">
        <v>9422</v>
      </c>
      <c r="C3674" t="s">
        <v>9423</v>
      </c>
      <c r="D3674" t="s">
        <v>2646</v>
      </c>
      <c r="E3674" t="s">
        <v>2170</v>
      </c>
    </row>
    <row r="3675" spans="1:5" x14ac:dyDescent="0.25">
      <c r="A3675" t="s">
        <v>1807</v>
      </c>
      <c r="B3675" t="s">
        <v>9424</v>
      </c>
      <c r="C3675" t="s">
        <v>9425</v>
      </c>
      <c r="D3675" t="s">
        <v>2646</v>
      </c>
      <c r="E3675" t="s">
        <v>2170</v>
      </c>
    </row>
    <row r="3676" spans="1:5" x14ac:dyDescent="0.25">
      <c r="A3676" t="s">
        <v>1807</v>
      </c>
      <c r="B3676" t="s">
        <v>9426</v>
      </c>
      <c r="C3676" t="s">
        <v>9427</v>
      </c>
      <c r="D3676" t="s">
        <v>2646</v>
      </c>
      <c r="E3676" t="s">
        <v>2170</v>
      </c>
    </row>
    <row r="3677" spans="1:5" x14ac:dyDescent="0.25">
      <c r="A3677" t="s">
        <v>1810</v>
      </c>
      <c r="B3677" t="s">
        <v>9428</v>
      </c>
      <c r="C3677" t="s">
        <v>9429</v>
      </c>
      <c r="D3677" t="s">
        <v>2415</v>
      </c>
      <c r="E3677" t="s">
        <v>2170</v>
      </c>
    </row>
    <row r="3678" spans="1:5" x14ac:dyDescent="0.25">
      <c r="A3678" t="s">
        <v>1810</v>
      </c>
      <c r="B3678" t="s">
        <v>9430</v>
      </c>
      <c r="C3678" t="s">
        <v>9431</v>
      </c>
      <c r="D3678" t="s">
        <v>2415</v>
      </c>
      <c r="E3678" t="s">
        <v>2170</v>
      </c>
    </row>
    <row r="3679" spans="1:5" x14ac:dyDescent="0.25">
      <c r="A3679" t="s">
        <v>1810</v>
      </c>
      <c r="B3679" t="s">
        <v>9432</v>
      </c>
      <c r="C3679" t="s">
        <v>9433</v>
      </c>
      <c r="D3679" t="s">
        <v>2415</v>
      </c>
      <c r="E3679" t="s">
        <v>2170</v>
      </c>
    </row>
    <row r="3680" spans="1:5" x14ac:dyDescent="0.25">
      <c r="A3680" t="s">
        <v>1810</v>
      </c>
      <c r="B3680" t="s">
        <v>9434</v>
      </c>
      <c r="C3680" t="s">
        <v>9435</v>
      </c>
      <c r="D3680" t="s">
        <v>2415</v>
      </c>
      <c r="E3680" t="s">
        <v>2170</v>
      </c>
    </row>
    <row r="3681" spans="1:5" x14ac:dyDescent="0.25">
      <c r="A3681" t="s">
        <v>1810</v>
      </c>
      <c r="B3681" t="s">
        <v>9436</v>
      </c>
      <c r="C3681" t="s">
        <v>9437</v>
      </c>
      <c r="D3681" t="s">
        <v>2415</v>
      </c>
      <c r="E3681" t="s">
        <v>2170</v>
      </c>
    </row>
    <row r="3682" spans="1:5" x14ac:dyDescent="0.25">
      <c r="A3682" t="s">
        <v>1810</v>
      </c>
      <c r="B3682" t="s">
        <v>9438</v>
      </c>
      <c r="C3682" t="s">
        <v>9439</v>
      </c>
      <c r="D3682" t="s">
        <v>2415</v>
      </c>
      <c r="E3682" t="s">
        <v>2170</v>
      </c>
    </row>
    <row r="3683" spans="1:5" x14ac:dyDescent="0.25">
      <c r="A3683" t="s">
        <v>1810</v>
      </c>
      <c r="B3683" t="s">
        <v>9440</v>
      </c>
      <c r="C3683" t="s">
        <v>1809</v>
      </c>
      <c r="D3683" t="s">
        <v>2415</v>
      </c>
      <c r="E3683" t="s">
        <v>2170</v>
      </c>
    </row>
    <row r="3684" spans="1:5" x14ac:dyDescent="0.25">
      <c r="A3684" t="s">
        <v>1810</v>
      </c>
      <c r="B3684" t="s">
        <v>9441</v>
      </c>
      <c r="C3684" t="s">
        <v>9442</v>
      </c>
      <c r="D3684" t="s">
        <v>2415</v>
      </c>
      <c r="E3684" t="s">
        <v>2170</v>
      </c>
    </row>
    <row r="3685" spans="1:5" x14ac:dyDescent="0.25">
      <c r="A3685" t="s">
        <v>1810</v>
      </c>
      <c r="B3685" t="s">
        <v>9443</v>
      </c>
      <c r="C3685" t="s">
        <v>9444</v>
      </c>
      <c r="D3685" t="s">
        <v>2415</v>
      </c>
      <c r="E3685" t="s">
        <v>2170</v>
      </c>
    </row>
    <row r="3686" spans="1:5" x14ac:dyDescent="0.25">
      <c r="A3686" t="s">
        <v>1810</v>
      </c>
      <c r="B3686" t="s">
        <v>9445</v>
      </c>
      <c r="C3686" t="s">
        <v>9446</v>
      </c>
      <c r="D3686" t="s">
        <v>2415</v>
      </c>
      <c r="E3686" t="s">
        <v>2170</v>
      </c>
    </row>
    <row r="3687" spans="1:5" x14ac:dyDescent="0.25">
      <c r="A3687" t="s">
        <v>1810</v>
      </c>
      <c r="B3687" t="s">
        <v>9447</v>
      </c>
      <c r="C3687" t="s">
        <v>9448</v>
      </c>
      <c r="D3687" t="s">
        <v>2415</v>
      </c>
      <c r="E3687" t="s">
        <v>2170</v>
      </c>
    </row>
    <row r="3688" spans="1:5" x14ac:dyDescent="0.25">
      <c r="A3688" t="s">
        <v>1810</v>
      </c>
      <c r="B3688" t="s">
        <v>9449</v>
      </c>
      <c r="C3688" t="s">
        <v>9450</v>
      </c>
      <c r="D3688" t="s">
        <v>2415</v>
      </c>
      <c r="E3688" t="s">
        <v>2170</v>
      </c>
    </row>
    <row r="3689" spans="1:5" x14ac:dyDescent="0.25">
      <c r="A3689" t="s">
        <v>1810</v>
      </c>
      <c r="B3689" t="s">
        <v>9451</v>
      </c>
      <c r="C3689" t="s">
        <v>9452</v>
      </c>
      <c r="D3689" t="s">
        <v>2415</v>
      </c>
      <c r="E3689" t="s">
        <v>2170</v>
      </c>
    </row>
    <row r="3690" spans="1:5" x14ac:dyDescent="0.25">
      <c r="A3690" t="s">
        <v>1810</v>
      </c>
      <c r="B3690" t="s">
        <v>9453</v>
      </c>
      <c r="C3690" t="s">
        <v>9454</v>
      </c>
      <c r="D3690" t="s">
        <v>2415</v>
      </c>
      <c r="E3690" t="s">
        <v>2170</v>
      </c>
    </row>
    <row r="3691" spans="1:5" x14ac:dyDescent="0.25">
      <c r="A3691" t="s">
        <v>1810</v>
      </c>
      <c r="B3691" t="s">
        <v>9455</v>
      </c>
      <c r="C3691" t="s">
        <v>9456</v>
      </c>
      <c r="D3691" t="s">
        <v>2415</v>
      </c>
      <c r="E3691" t="s">
        <v>2170</v>
      </c>
    </row>
    <row r="3692" spans="1:5" x14ac:dyDescent="0.25">
      <c r="A3692" t="s">
        <v>1810</v>
      </c>
      <c r="B3692" t="s">
        <v>9457</v>
      </c>
      <c r="C3692" t="s">
        <v>9458</v>
      </c>
      <c r="D3692" t="s">
        <v>2415</v>
      </c>
      <c r="E3692" t="s">
        <v>2170</v>
      </c>
    </row>
    <row r="3693" spans="1:5" x14ac:dyDescent="0.25">
      <c r="A3693" t="s">
        <v>1813</v>
      </c>
      <c r="B3693" t="s">
        <v>9459</v>
      </c>
      <c r="C3693" t="s">
        <v>9460</v>
      </c>
      <c r="D3693" t="s">
        <v>3008</v>
      </c>
      <c r="E3693" t="s">
        <v>2170</v>
      </c>
    </row>
    <row r="3694" spans="1:5" x14ac:dyDescent="0.25">
      <c r="A3694" t="s">
        <v>1813</v>
      </c>
      <c r="B3694" t="s">
        <v>9461</v>
      </c>
      <c r="C3694" t="s">
        <v>9462</v>
      </c>
      <c r="D3694" t="s">
        <v>3008</v>
      </c>
      <c r="E3694" t="s">
        <v>2170</v>
      </c>
    </row>
    <row r="3695" spans="1:5" x14ac:dyDescent="0.25">
      <c r="A3695" t="s">
        <v>1813</v>
      </c>
      <c r="B3695" t="s">
        <v>9463</v>
      </c>
      <c r="C3695" t="s">
        <v>9464</v>
      </c>
      <c r="D3695" t="s">
        <v>3008</v>
      </c>
      <c r="E3695" t="s">
        <v>2170</v>
      </c>
    </row>
    <row r="3696" spans="1:5" x14ac:dyDescent="0.25">
      <c r="A3696" t="s">
        <v>1813</v>
      </c>
      <c r="B3696" t="s">
        <v>9465</v>
      </c>
      <c r="C3696" t="s">
        <v>1812</v>
      </c>
      <c r="D3696" t="s">
        <v>9466</v>
      </c>
      <c r="E3696" t="s">
        <v>2170</v>
      </c>
    </row>
    <row r="3697" spans="1:5" x14ac:dyDescent="0.25">
      <c r="A3697" t="s">
        <v>1813</v>
      </c>
      <c r="B3697" t="s">
        <v>9467</v>
      </c>
      <c r="C3697" t="s">
        <v>9468</v>
      </c>
      <c r="D3697" t="s">
        <v>3008</v>
      </c>
      <c r="E3697" t="s">
        <v>2170</v>
      </c>
    </row>
    <row r="3698" spans="1:5" x14ac:dyDescent="0.25">
      <c r="A3698" t="s">
        <v>1813</v>
      </c>
      <c r="B3698" t="s">
        <v>9469</v>
      </c>
      <c r="C3698" t="s">
        <v>9470</v>
      </c>
      <c r="D3698" t="s">
        <v>3008</v>
      </c>
      <c r="E3698" t="s">
        <v>2170</v>
      </c>
    </row>
    <row r="3699" spans="1:5" x14ac:dyDescent="0.25">
      <c r="A3699" t="s">
        <v>1813</v>
      </c>
      <c r="B3699" t="s">
        <v>9471</v>
      </c>
      <c r="C3699" t="s">
        <v>9472</v>
      </c>
      <c r="D3699" t="s">
        <v>3008</v>
      </c>
      <c r="E3699" t="s">
        <v>2170</v>
      </c>
    </row>
    <row r="3700" spans="1:5" x14ac:dyDescent="0.25">
      <c r="A3700" t="s">
        <v>1813</v>
      </c>
      <c r="B3700" t="s">
        <v>9473</v>
      </c>
      <c r="C3700" t="s">
        <v>9474</v>
      </c>
      <c r="D3700" t="s">
        <v>3008</v>
      </c>
      <c r="E3700" t="s">
        <v>2170</v>
      </c>
    </row>
    <row r="3701" spans="1:5" x14ac:dyDescent="0.25">
      <c r="A3701" t="s">
        <v>1813</v>
      </c>
      <c r="B3701" t="s">
        <v>9475</v>
      </c>
      <c r="C3701" t="s">
        <v>3220</v>
      </c>
      <c r="D3701" t="s">
        <v>3008</v>
      </c>
      <c r="E3701" t="s">
        <v>2170</v>
      </c>
    </row>
    <row r="3702" spans="1:5" x14ac:dyDescent="0.25">
      <c r="A3702" t="s">
        <v>1813</v>
      </c>
      <c r="B3702" t="s">
        <v>9476</v>
      </c>
      <c r="C3702" t="s">
        <v>9477</v>
      </c>
      <c r="D3702" t="s">
        <v>3008</v>
      </c>
      <c r="E3702" t="s">
        <v>2170</v>
      </c>
    </row>
    <row r="3703" spans="1:5" x14ac:dyDescent="0.25">
      <c r="A3703" t="s">
        <v>1813</v>
      </c>
      <c r="B3703" t="s">
        <v>9478</v>
      </c>
      <c r="C3703" t="s">
        <v>9479</v>
      </c>
      <c r="D3703" t="s">
        <v>3008</v>
      </c>
      <c r="E3703" t="s">
        <v>2170</v>
      </c>
    </row>
    <row r="3704" spans="1:5" x14ac:dyDescent="0.25">
      <c r="A3704" t="s">
        <v>1813</v>
      </c>
      <c r="B3704" t="s">
        <v>9480</v>
      </c>
      <c r="C3704" t="s">
        <v>9481</v>
      </c>
      <c r="D3704" t="s">
        <v>3008</v>
      </c>
      <c r="E3704" t="s">
        <v>2170</v>
      </c>
    </row>
    <row r="3705" spans="1:5" x14ac:dyDescent="0.25">
      <c r="A3705" t="s">
        <v>1813</v>
      </c>
      <c r="B3705" t="s">
        <v>9482</v>
      </c>
      <c r="C3705" t="s">
        <v>9483</v>
      </c>
      <c r="D3705" t="s">
        <v>3008</v>
      </c>
      <c r="E3705" t="s">
        <v>2170</v>
      </c>
    </row>
    <row r="3706" spans="1:5" x14ac:dyDescent="0.25">
      <c r="A3706" t="s">
        <v>1813</v>
      </c>
      <c r="B3706" t="s">
        <v>9484</v>
      </c>
      <c r="C3706" t="s">
        <v>2394</v>
      </c>
      <c r="D3706" t="s">
        <v>3008</v>
      </c>
      <c r="E3706" t="s">
        <v>2170</v>
      </c>
    </row>
    <row r="3707" spans="1:5" x14ac:dyDescent="0.25">
      <c r="A3707" t="s">
        <v>1813</v>
      </c>
      <c r="B3707" t="s">
        <v>9485</v>
      </c>
      <c r="C3707" t="s">
        <v>9486</v>
      </c>
      <c r="D3707" t="s">
        <v>3008</v>
      </c>
      <c r="E3707" t="s">
        <v>2170</v>
      </c>
    </row>
    <row r="3708" spans="1:5" x14ac:dyDescent="0.25">
      <c r="A3708" t="s">
        <v>1813</v>
      </c>
      <c r="B3708" t="s">
        <v>9487</v>
      </c>
      <c r="C3708" t="s">
        <v>9488</v>
      </c>
      <c r="D3708" t="s">
        <v>3008</v>
      </c>
      <c r="E3708" t="s">
        <v>2170</v>
      </c>
    </row>
    <row r="3709" spans="1:5" x14ac:dyDescent="0.25">
      <c r="A3709" t="s">
        <v>1813</v>
      </c>
      <c r="B3709" t="s">
        <v>9489</v>
      </c>
      <c r="C3709" t="s">
        <v>9490</v>
      </c>
      <c r="D3709" t="s">
        <v>3008</v>
      </c>
      <c r="E3709" t="s">
        <v>2170</v>
      </c>
    </row>
    <row r="3710" spans="1:5" x14ac:dyDescent="0.25">
      <c r="A3710" t="s">
        <v>1813</v>
      </c>
      <c r="B3710" t="s">
        <v>9491</v>
      </c>
      <c r="C3710" t="s">
        <v>9492</v>
      </c>
      <c r="D3710" t="s">
        <v>3008</v>
      </c>
      <c r="E3710" t="s">
        <v>2170</v>
      </c>
    </row>
    <row r="3711" spans="1:5" x14ac:dyDescent="0.25">
      <c r="A3711" t="s">
        <v>1816</v>
      </c>
      <c r="B3711" t="s">
        <v>9493</v>
      </c>
      <c r="C3711" t="s">
        <v>9494</v>
      </c>
      <c r="D3711" t="s">
        <v>2469</v>
      </c>
      <c r="E3711" t="s">
        <v>2170</v>
      </c>
    </row>
    <row r="3712" spans="1:5" x14ac:dyDescent="0.25">
      <c r="A3712" t="s">
        <v>1816</v>
      </c>
      <c r="B3712" t="s">
        <v>9495</v>
      </c>
      <c r="C3712" t="s">
        <v>9496</v>
      </c>
      <c r="D3712" t="s">
        <v>2469</v>
      </c>
      <c r="E3712" t="s">
        <v>2170</v>
      </c>
    </row>
    <row r="3713" spans="1:5" x14ac:dyDescent="0.25">
      <c r="A3713" t="s">
        <v>1816</v>
      </c>
      <c r="B3713" t="s">
        <v>9497</v>
      </c>
      <c r="C3713" t="s">
        <v>9498</v>
      </c>
      <c r="D3713" t="s">
        <v>2469</v>
      </c>
      <c r="E3713" t="s">
        <v>2170</v>
      </c>
    </row>
    <row r="3714" spans="1:5" x14ac:dyDescent="0.25">
      <c r="A3714" t="s">
        <v>1816</v>
      </c>
      <c r="B3714" t="s">
        <v>9499</v>
      </c>
      <c r="C3714" t="s">
        <v>9500</v>
      </c>
      <c r="D3714" t="s">
        <v>2469</v>
      </c>
      <c r="E3714" t="s">
        <v>2170</v>
      </c>
    </row>
    <row r="3715" spans="1:5" x14ac:dyDescent="0.25">
      <c r="A3715" t="s">
        <v>1816</v>
      </c>
      <c r="B3715" t="s">
        <v>9501</v>
      </c>
      <c r="C3715" t="s">
        <v>9502</v>
      </c>
      <c r="D3715" t="s">
        <v>2469</v>
      </c>
      <c r="E3715" t="s">
        <v>2170</v>
      </c>
    </row>
    <row r="3716" spans="1:5" x14ac:dyDescent="0.25">
      <c r="A3716" t="s">
        <v>1816</v>
      </c>
      <c r="B3716" t="s">
        <v>9503</v>
      </c>
      <c r="C3716" t="s">
        <v>9504</v>
      </c>
      <c r="D3716" t="s">
        <v>2469</v>
      </c>
      <c r="E3716" t="s">
        <v>2170</v>
      </c>
    </row>
    <row r="3717" spans="1:5" x14ac:dyDescent="0.25">
      <c r="A3717" t="s">
        <v>1816</v>
      </c>
      <c r="B3717" t="s">
        <v>9505</v>
      </c>
      <c r="C3717" t="s">
        <v>9506</v>
      </c>
      <c r="D3717" t="s">
        <v>2469</v>
      </c>
      <c r="E3717" t="s">
        <v>2170</v>
      </c>
    </row>
    <row r="3718" spans="1:5" x14ac:dyDescent="0.25">
      <c r="A3718" t="s">
        <v>1816</v>
      </c>
      <c r="B3718" t="s">
        <v>9507</v>
      </c>
      <c r="C3718" t="s">
        <v>9508</v>
      </c>
      <c r="D3718" t="s">
        <v>2469</v>
      </c>
      <c r="E3718" t="s">
        <v>2170</v>
      </c>
    </row>
    <row r="3719" spans="1:5" x14ac:dyDescent="0.25">
      <c r="A3719" t="s">
        <v>1822</v>
      </c>
      <c r="B3719" t="s">
        <v>9509</v>
      </c>
      <c r="C3719" t="s">
        <v>9510</v>
      </c>
      <c r="D3719" t="s">
        <v>3008</v>
      </c>
      <c r="E3719" t="s">
        <v>2170</v>
      </c>
    </row>
    <row r="3720" spans="1:5" x14ac:dyDescent="0.25">
      <c r="A3720" t="s">
        <v>1822</v>
      </c>
      <c r="B3720" t="s">
        <v>9511</v>
      </c>
      <c r="C3720" t="s">
        <v>9512</v>
      </c>
      <c r="D3720" t="s">
        <v>3008</v>
      </c>
      <c r="E3720" t="s">
        <v>2170</v>
      </c>
    </row>
    <row r="3721" spans="1:5" x14ac:dyDescent="0.25">
      <c r="A3721" t="s">
        <v>1822</v>
      </c>
      <c r="B3721" t="s">
        <v>9513</v>
      </c>
      <c r="C3721" t="s">
        <v>9514</v>
      </c>
      <c r="D3721" t="s">
        <v>3008</v>
      </c>
      <c r="E3721" t="s">
        <v>2170</v>
      </c>
    </row>
    <row r="3722" spans="1:5" x14ac:dyDescent="0.25">
      <c r="A3722" t="s">
        <v>1822</v>
      </c>
      <c r="B3722" t="s">
        <v>9515</v>
      </c>
      <c r="C3722" t="s">
        <v>9516</v>
      </c>
      <c r="D3722" t="s">
        <v>3008</v>
      </c>
      <c r="E3722" t="s">
        <v>2170</v>
      </c>
    </row>
    <row r="3723" spans="1:5" x14ac:dyDescent="0.25">
      <c r="A3723" t="s">
        <v>1822</v>
      </c>
      <c r="B3723" t="s">
        <v>9517</v>
      </c>
      <c r="C3723" t="s">
        <v>9518</v>
      </c>
      <c r="D3723" t="s">
        <v>3008</v>
      </c>
      <c r="E3723" t="s">
        <v>2170</v>
      </c>
    </row>
    <row r="3724" spans="1:5" x14ac:dyDescent="0.25">
      <c r="A3724" t="s">
        <v>1822</v>
      </c>
      <c r="B3724" t="s">
        <v>9519</v>
      </c>
      <c r="C3724" t="s">
        <v>9520</v>
      </c>
      <c r="D3724" t="s">
        <v>3008</v>
      </c>
      <c r="E3724" t="s">
        <v>2170</v>
      </c>
    </row>
    <row r="3725" spans="1:5" x14ac:dyDescent="0.25">
      <c r="A3725" t="s">
        <v>1822</v>
      </c>
      <c r="B3725" t="s">
        <v>9521</v>
      </c>
      <c r="C3725" t="s">
        <v>9522</v>
      </c>
      <c r="D3725" t="s">
        <v>3008</v>
      </c>
      <c r="E3725" t="s">
        <v>2170</v>
      </c>
    </row>
    <row r="3726" spans="1:5" x14ac:dyDescent="0.25">
      <c r="A3726" t="s">
        <v>1822</v>
      </c>
      <c r="B3726" t="s">
        <v>9523</v>
      </c>
      <c r="C3726" t="s">
        <v>9524</v>
      </c>
      <c r="D3726" t="s">
        <v>3008</v>
      </c>
      <c r="E3726" t="s">
        <v>2170</v>
      </c>
    </row>
    <row r="3727" spans="1:5" x14ac:dyDescent="0.25">
      <c r="A3727" t="s">
        <v>1822</v>
      </c>
      <c r="B3727" t="s">
        <v>9525</v>
      </c>
      <c r="C3727" t="s">
        <v>9526</v>
      </c>
      <c r="D3727" t="s">
        <v>3008</v>
      </c>
      <c r="E3727" t="s">
        <v>2170</v>
      </c>
    </row>
    <row r="3728" spans="1:5" x14ac:dyDescent="0.25">
      <c r="A3728" t="s">
        <v>1822</v>
      </c>
      <c r="B3728" t="s">
        <v>9527</v>
      </c>
      <c r="C3728" t="s">
        <v>9528</v>
      </c>
      <c r="D3728" t="s">
        <v>2469</v>
      </c>
      <c r="E3728" t="s">
        <v>2170</v>
      </c>
    </row>
    <row r="3729" spans="1:5" x14ac:dyDescent="0.25">
      <c r="A3729" t="s">
        <v>1822</v>
      </c>
      <c r="B3729" t="s">
        <v>9529</v>
      </c>
      <c r="C3729" t="s">
        <v>9530</v>
      </c>
      <c r="D3729" t="s">
        <v>3008</v>
      </c>
      <c r="E3729" t="s">
        <v>2170</v>
      </c>
    </row>
    <row r="3730" spans="1:5" x14ac:dyDescent="0.25">
      <c r="A3730" t="s">
        <v>1822</v>
      </c>
      <c r="B3730" t="s">
        <v>9531</v>
      </c>
      <c r="C3730" t="s">
        <v>9532</v>
      </c>
      <c r="D3730" t="s">
        <v>3008</v>
      </c>
      <c r="E3730" t="s">
        <v>2170</v>
      </c>
    </row>
    <row r="3731" spans="1:5" x14ac:dyDescent="0.25">
      <c r="A3731" t="s">
        <v>1822</v>
      </c>
      <c r="B3731" t="s">
        <v>9533</v>
      </c>
      <c r="C3731" t="s">
        <v>7855</v>
      </c>
      <c r="D3731" t="s">
        <v>3008</v>
      </c>
      <c r="E3731" t="s">
        <v>2170</v>
      </c>
    </row>
    <row r="3732" spans="1:5" x14ac:dyDescent="0.25">
      <c r="A3732" t="s">
        <v>1822</v>
      </c>
      <c r="B3732" t="s">
        <v>9534</v>
      </c>
      <c r="C3732" t="s">
        <v>9535</v>
      </c>
      <c r="D3732" t="s">
        <v>3008</v>
      </c>
      <c r="E3732" t="s">
        <v>2170</v>
      </c>
    </row>
    <row r="3733" spans="1:5" x14ac:dyDescent="0.25">
      <c r="A3733" t="s">
        <v>1822</v>
      </c>
      <c r="B3733" t="s">
        <v>9536</v>
      </c>
      <c r="C3733" t="s">
        <v>9537</v>
      </c>
      <c r="D3733" t="s">
        <v>3008</v>
      </c>
      <c r="E3733" t="s">
        <v>2170</v>
      </c>
    </row>
    <row r="3734" spans="1:5" x14ac:dyDescent="0.25">
      <c r="A3734" t="s">
        <v>1822</v>
      </c>
      <c r="B3734" t="s">
        <v>9538</v>
      </c>
      <c r="C3734" t="s">
        <v>9539</v>
      </c>
      <c r="D3734" t="s">
        <v>3008</v>
      </c>
      <c r="E3734" t="s">
        <v>2170</v>
      </c>
    </row>
    <row r="3735" spans="1:5" x14ac:dyDescent="0.25">
      <c r="A3735" t="s">
        <v>1822</v>
      </c>
      <c r="B3735" t="s">
        <v>9540</v>
      </c>
      <c r="C3735" t="s">
        <v>9541</v>
      </c>
      <c r="D3735" t="s">
        <v>3008</v>
      </c>
      <c r="E3735" t="s">
        <v>2170</v>
      </c>
    </row>
    <row r="3736" spans="1:5" x14ac:dyDescent="0.25">
      <c r="A3736" t="s">
        <v>1822</v>
      </c>
      <c r="B3736" t="s">
        <v>9542</v>
      </c>
      <c r="C3736" t="s">
        <v>9543</v>
      </c>
      <c r="D3736" t="s">
        <v>3008</v>
      </c>
      <c r="E3736" t="s">
        <v>2170</v>
      </c>
    </row>
    <row r="3737" spans="1:5" x14ac:dyDescent="0.25">
      <c r="A3737" t="s">
        <v>1822</v>
      </c>
      <c r="B3737" t="s">
        <v>9544</v>
      </c>
      <c r="C3737" t="s">
        <v>9545</v>
      </c>
      <c r="D3737" t="s">
        <v>3008</v>
      </c>
      <c r="E3737" t="s">
        <v>2170</v>
      </c>
    </row>
    <row r="3738" spans="1:5" x14ac:dyDescent="0.25">
      <c r="A3738" t="s">
        <v>1822</v>
      </c>
      <c r="B3738" t="s">
        <v>9546</v>
      </c>
      <c r="C3738" t="s">
        <v>9547</v>
      </c>
      <c r="D3738" t="s">
        <v>3008</v>
      </c>
      <c r="E3738" t="s">
        <v>2170</v>
      </c>
    </row>
    <row r="3739" spans="1:5" x14ac:dyDescent="0.25">
      <c r="A3739" t="s">
        <v>1822</v>
      </c>
      <c r="B3739" t="s">
        <v>9548</v>
      </c>
      <c r="C3739" t="s">
        <v>9549</v>
      </c>
      <c r="D3739" t="s">
        <v>3008</v>
      </c>
      <c r="E3739" t="s">
        <v>2170</v>
      </c>
    </row>
    <row r="3740" spans="1:5" x14ac:dyDescent="0.25">
      <c r="A3740" t="s">
        <v>1822</v>
      </c>
      <c r="B3740" t="s">
        <v>9550</v>
      </c>
      <c r="C3740" t="s">
        <v>9551</v>
      </c>
      <c r="D3740" t="s">
        <v>3008</v>
      </c>
      <c r="E3740" t="s">
        <v>2170</v>
      </c>
    </row>
    <row r="3741" spans="1:5" x14ac:dyDescent="0.25">
      <c r="A3741" t="s">
        <v>1822</v>
      </c>
      <c r="B3741" t="s">
        <v>9552</v>
      </c>
      <c r="C3741" t="s">
        <v>9553</v>
      </c>
      <c r="D3741" t="s">
        <v>3008</v>
      </c>
      <c r="E3741" t="s">
        <v>2170</v>
      </c>
    </row>
    <row r="3742" spans="1:5" x14ac:dyDescent="0.25">
      <c r="A3742" t="s">
        <v>1822</v>
      </c>
      <c r="B3742" t="s">
        <v>9554</v>
      </c>
      <c r="C3742" t="s">
        <v>9555</v>
      </c>
      <c r="D3742" t="s">
        <v>3008</v>
      </c>
      <c r="E3742" t="s">
        <v>2170</v>
      </c>
    </row>
    <row r="3743" spans="1:5" x14ac:dyDescent="0.25">
      <c r="A3743" t="s">
        <v>1822</v>
      </c>
      <c r="B3743" t="s">
        <v>9556</v>
      </c>
      <c r="C3743" t="s">
        <v>9557</v>
      </c>
      <c r="D3743" t="s">
        <v>3008</v>
      </c>
      <c r="E3743" t="s">
        <v>2170</v>
      </c>
    </row>
    <row r="3744" spans="1:5" x14ac:dyDescent="0.25">
      <c r="A3744" t="s">
        <v>1822</v>
      </c>
      <c r="B3744" t="s">
        <v>9558</v>
      </c>
      <c r="C3744" t="s">
        <v>9559</v>
      </c>
      <c r="D3744" t="s">
        <v>3008</v>
      </c>
      <c r="E3744" t="s">
        <v>2170</v>
      </c>
    </row>
    <row r="3745" spans="1:5" x14ac:dyDescent="0.25">
      <c r="A3745" t="s">
        <v>1822</v>
      </c>
      <c r="B3745" t="s">
        <v>9560</v>
      </c>
      <c r="C3745" t="s">
        <v>9561</v>
      </c>
      <c r="D3745" t="s">
        <v>3008</v>
      </c>
      <c r="E3745" t="s">
        <v>2170</v>
      </c>
    </row>
    <row r="3746" spans="1:5" x14ac:dyDescent="0.25">
      <c r="A3746" t="s">
        <v>1822</v>
      </c>
      <c r="B3746" t="s">
        <v>9562</v>
      </c>
      <c r="C3746" t="s">
        <v>9563</v>
      </c>
      <c r="D3746" t="s">
        <v>3008</v>
      </c>
      <c r="E3746" t="s">
        <v>2170</v>
      </c>
    </row>
    <row r="3747" spans="1:5" x14ac:dyDescent="0.25">
      <c r="A3747" t="s">
        <v>1822</v>
      </c>
      <c r="B3747" t="s">
        <v>9564</v>
      </c>
      <c r="C3747" t="s">
        <v>9565</v>
      </c>
      <c r="D3747" t="s">
        <v>3008</v>
      </c>
      <c r="E3747" t="s">
        <v>2170</v>
      </c>
    </row>
    <row r="3748" spans="1:5" x14ac:dyDescent="0.25">
      <c r="A3748" t="s">
        <v>1822</v>
      </c>
      <c r="B3748" t="s">
        <v>9566</v>
      </c>
      <c r="C3748" t="s">
        <v>9567</v>
      </c>
      <c r="D3748" t="s">
        <v>3008</v>
      </c>
      <c r="E3748" t="s">
        <v>2170</v>
      </c>
    </row>
    <row r="3749" spans="1:5" x14ac:dyDescent="0.25">
      <c r="A3749" t="s">
        <v>1822</v>
      </c>
      <c r="B3749" t="s">
        <v>9568</v>
      </c>
      <c r="C3749" t="s">
        <v>9569</v>
      </c>
      <c r="D3749" t="s">
        <v>3008</v>
      </c>
      <c r="E3749" t="s">
        <v>2170</v>
      </c>
    </row>
    <row r="3750" spans="1:5" x14ac:dyDescent="0.25">
      <c r="A3750" t="s">
        <v>1822</v>
      </c>
      <c r="B3750" t="s">
        <v>9570</v>
      </c>
      <c r="C3750" t="s">
        <v>9571</v>
      </c>
      <c r="D3750" t="s">
        <v>3008</v>
      </c>
      <c r="E3750" t="s">
        <v>2170</v>
      </c>
    </row>
    <row r="3751" spans="1:5" x14ac:dyDescent="0.25">
      <c r="A3751" t="s">
        <v>1822</v>
      </c>
      <c r="B3751" t="s">
        <v>9572</v>
      </c>
      <c r="C3751" t="s">
        <v>9573</v>
      </c>
      <c r="D3751" t="s">
        <v>3008</v>
      </c>
      <c r="E3751" t="s">
        <v>2170</v>
      </c>
    </row>
    <row r="3752" spans="1:5" x14ac:dyDescent="0.25">
      <c r="A3752" t="s">
        <v>1822</v>
      </c>
      <c r="B3752" t="s">
        <v>9574</v>
      </c>
      <c r="C3752" t="s">
        <v>9575</v>
      </c>
      <c r="D3752" t="s">
        <v>3008</v>
      </c>
      <c r="E3752" t="s">
        <v>2170</v>
      </c>
    </row>
    <row r="3753" spans="1:5" x14ac:dyDescent="0.25">
      <c r="A3753" t="s">
        <v>1822</v>
      </c>
      <c r="B3753" t="s">
        <v>9576</v>
      </c>
      <c r="C3753" t="s">
        <v>9577</v>
      </c>
      <c r="D3753" t="s">
        <v>3008</v>
      </c>
      <c r="E3753" t="s">
        <v>2170</v>
      </c>
    </row>
    <row r="3754" spans="1:5" x14ac:dyDescent="0.25">
      <c r="A3754" t="s">
        <v>1822</v>
      </c>
      <c r="B3754" t="s">
        <v>9578</v>
      </c>
      <c r="C3754" t="s">
        <v>9579</v>
      </c>
      <c r="D3754" t="s">
        <v>3008</v>
      </c>
      <c r="E3754" t="s">
        <v>2170</v>
      </c>
    </row>
    <row r="3755" spans="1:5" x14ac:dyDescent="0.25">
      <c r="A3755" t="s">
        <v>1822</v>
      </c>
      <c r="B3755" t="s">
        <v>9580</v>
      </c>
      <c r="C3755" t="s">
        <v>9581</v>
      </c>
      <c r="D3755" t="s">
        <v>3008</v>
      </c>
      <c r="E3755" t="s">
        <v>2170</v>
      </c>
    </row>
    <row r="3756" spans="1:5" x14ac:dyDescent="0.25">
      <c r="A3756" t="s">
        <v>1822</v>
      </c>
      <c r="B3756" t="s">
        <v>9582</v>
      </c>
      <c r="C3756" t="s">
        <v>9583</v>
      </c>
      <c r="D3756" t="s">
        <v>3008</v>
      </c>
      <c r="E3756" t="s">
        <v>2170</v>
      </c>
    </row>
    <row r="3757" spans="1:5" x14ac:dyDescent="0.25">
      <c r="A3757" t="s">
        <v>1822</v>
      </c>
      <c r="B3757" t="s">
        <v>9584</v>
      </c>
      <c r="C3757" t="s">
        <v>9585</v>
      </c>
      <c r="D3757" t="s">
        <v>3008</v>
      </c>
      <c r="E3757" t="s">
        <v>2170</v>
      </c>
    </row>
    <row r="3758" spans="1:5" x14ac:dyDescent="0.25">
      <c r="A3758" t="s">
        <v>1822</v>
      </c>
      <c r="B3758" t="s">
        <v>9586</v>
      </c>
      <c r="C3758" t="s">
        <v>9587</v>
      </c>
      <c r="D3758" t="s">
        <v>3008</v>
      </c>
      <c r="E3758" t="s">
        <v>2170</v>
      </c>
    </row>
    <row r="3759" spans="1:5" x14ac:dyDescent="0.25">
      <c r="A3759" t="s">
        <v>1822</v>
      </c>
      <c r="B3759" t="s">
        <v>9588</v>
      </c>
      <c r="C3759" t="s">
        <v>9589</v>
      </c>
      <c r="D3759" t="s">
        <v>3008</v>
      </c>
      <c r="E3759" t="s">
        <v>2170</v>
      </c>
    </row>
    <row r="3760" spans="1:5" x14ac:dyDescent="0.25">
      <c r="A3760" t="s">
        <v>1822</v>
      </c>
      <c r="B3760" t="s">
        <v>9590</v>
      </c>
      <c r="C3760" t="s">
        <v>9591</v>
      </c>
      <c r="D3760" t="s">
        <v>3008</v>
      </c>
      <c r="E3760" t="s">
        <v>2170</v>
      </c>
    </row>
    <row r="3761" spans="1:5" x14ac:dyDescent="0.25">
      <c r="A3761" t="s">
        <v>1825</v>
      </c>
      <c r="B3761" t="s">
        <v>9592</v>
      </c>
      <c r="C3761" t="s">
        <v>9593</v>
      </c>
      <c r="D3761" t="s">
        <v>9594</v>
      </c>
      <c r="E3761" t="s">
        <v>2170</v>
      </c>
    </row>
    <row r="3762" spans="1:5" x14ac:dyDescent="0.25">
      <c r="A3762" t="s">
        <v>1825</v>
      </c>
      <c r="B3762" t="s">
        <v>9595</v>
      </c>
      <c r="C3762" t="s">
        <v>9596</v>
      </c>
      <c r="D3762" t="s">
        <v>9594</v>
      </c>
      <c r="E3762" t="s">
        <v>2170</v>
      </c>
    </row>
    <row r="3763" spans="1:5" x14ac:dyDescent="0.25">
      <c r="A3763" t="s">
        <v>1825</v>
      </c>
      <c r="B3763" t="s">
        <v>9597</v>
      </c>
      <c r="C3763" t="s">
        <v>9598</v>
      </c>
      <c r="D3763" t="s">
        <v>2318</v>
      </c>
      <c r="E3763" t="s">
        <v>2170</v>
      </c>
    </row>
    <row r="3764" spans="1:5" x14ac:dyDescent="0.25">
      <c r="A3764" t="s">
        <v>1825</v>
      </c>
      <c r="B3764" t="s">
        <v>9599</v>
      </c>
      <c r="C3764" t="s">
        <v>9600</v>
      </c>
      <c r="D3764" t="s">
        <v>2646</v>
      </c>
      <c r="E3764" t="s">
        <v>2170</v>
      </c>
    </row>
    <row r="3765" spans="1:5" x14ac:dyDescent="0.25">
      <c r="A3765" t="s">
        <v>1825</v>
      </c>
      <c r="B3765" t="s">
        <v>9601</v>
      </c>
      <c r="C3765" t="s">
        <v>9602</v>
      </c>
      <c r="D3765" t="s">
        <v>2646</v>
      </c>
      <c r="E3765" t="s">
        <v>2170</v>
      </c>
    </row>
    <row r="3766" spans="1:5" x14ac:dyDescent="0.25">
      <c r="A3766" t="s">
        <v>1825</v>
      </c>
      <c r="B3766" t="s">
        <v>9603</v>
      </c>
      <c r="C3766" t="s">
        <v>9604</v>
      </c>
      <c r="D3766" t="s">
        <v>2646</v>
      </c>
      <c r="E3766" t="s">
        <v>2170</v>
      </c>
    </row>
    <row r="3767" spans="1:5" x14ac:dyDescent="0.25">
      <c r="A3767" t="s">
        <v>1825</v>
      </c>
      <c r="B3767" t="s">
        <v>9605</v>
      </c>
      <c r="C3767" t="s">
        <v>9606</v>
      </c>
      <c r="D3767" t="s">
        <v>2646</v>
      </c>
      <c r="E3767" t="s">
        <v>9595</v>
      </c>
    </row>
    <row r="3768" spans="1:5" x14ac:dyDescent="0.25">
      <c r="A3768" t="s">
        <v>1825</v>
      </c>
      <c r="B3768" t="s">
        <v>9607</v>
      </c>
      <c r="C3768" t="s">
        <v>9608</v>
      </c>
      <c r="D3768" t="s">
        <v>2646</v>
      </c>
      <c r="E3768" t="s">
        <v>9595</v>
      </c>
    </row>
    <row r="3769" spans="1:5" x14ac:dyDescent="0.25">
      <c r="A3769" t="s">
        <v>1825</v>
      </c>
      <c r="B3769" t="s">
        <v>9609</v>
      </c>
      <c r="C3769" t="s">
        <v>9610</v>
      </c>
      <c r="D3769" t="s">
        <v>2646</v>
      </c>
      <c r="E3769" t="s">
        <v>2170</v>
      </c>
    </row>
    <row r="3770" spans="1:5" x14ac:dyDescent="0.25">
      <c r="A3770" t="s">
        <v>1825</v>
      </c>
      <c r="B3770" t="s">
        <v>9611</v>
      </c>
      <c r="C3770" t="s">
        <v>9612</v>
      </c>
      <c r="D3770" t="s">
        <v>2646</v>
      </c>
      <c r="E3770" t="s">
        <v>9592</v>
      </c>
    </row>
    <row r="3771" spans="1:5" x14ac:dyDescent="0.25">
      <c r="A3771" t="s">
        <v>1825</v>
      </c>
      <c r="B3771" t="s">
        <v>9613</v>
      </c>
      <c r="C3771" t="s">
        <v>9614</v>
      </c>
      <c r="D3771" t="s">
        <v>2646</v>
      </c>
      <c r="E3771" t="s">
        <v>9592</v>
      </c>
    </row>
    <row r="3772" spans="1:5" x14ac:dyDescent="0.25">
      <c r="A3772" t="s">
        <v>1825</v>
      </c>
      <c r="B3772" t="s">
        <v>9615</v>
      </c>
      <c r="C3772" t="s">
        <v>9616</v>
      </c>
      <c r="D3772" t="s">
        <v>2646</v>
      </c>
      <c r="E3772" t="s">
        <v>9592</v>
      </c>
    </row>
    <row r="3773" spans="1:5" x14ac:dyDescent="0.25">
      <c r="A3773" t="s">
        <v>1825</v>
      </c>
      <c r="B3773" t="s">
        <v>9617</v>
      </c>
      <c r="C3773" t="s">
        <v>9618</v>
      </c>
      <c r="D3773" t="s">
        <v>2646</v>
      </c>
      <c r="E3773" t="s">
        <v>2170</v>
      </c>
    </row>
    <row r="3774" spans="1:5" x14ac:dyDescent="0.25">
      <c r="A3774" t="s">
        <v>1825</v>
      </c>
      <c r="B3774" t="s">
        <v>9619</v>
      </c>
      <c r="C3774" t="s">
        <v>9620</v>
      </c>
      <c r="D3774" t="s">
        <v>2646</v>
      </c>
      <c r="E3774" t="s">
        <v>2170</v>
      </c>
    </row>
    <row r="3775" spans="1:5" x14ac:dyDescent="0.25">
      <c r="A3775" t="s">
        <v>1825</v>
      </c>
      <c r="B3775" t="s">
        <v>9621</v>
      </c>
      <c r="C3775" t="s">
        <v>9622</v>
      </c>
      <c r="D3775" t="s">
        <v>2646</v>
      </c>
      <c r="E3775" t="s">
        <v>2170</v>
      </c>
    </row>
    <row r="3776" spans="1:5" x14ac:dyDescent="0.25">
      <c r="A3776" t="s">
        <v>1825</v>
      </c>
      <c r="B3776" t="s">
        <v>9623</v>
      </c>
      <c r="C3776" t="s">
        <v>9624</v>
      </c>
      <c r="D3776" t="s">
        <v>2646</v>
      </c>
      <c r="E3776" t="s">
        <v>2170</v>
      </c>
    </row>
    <row r="3777" spans="1:5" x14ac:dyDescent="0.25">
      <c r="A3777" t="s">
        <v>1825</v>
      </c>
      <c r="B3777" t="s">
        <v>9625</v>
      </c>
      <c r="C3777" t="s">
        <v>9626</v>
      </c>
      <c r="D3777" t="s">
        <v>2646</v>
      </c>
      <c r="E3777" t="s">
        <v>9592</v>
      </c>
    </row>
    <row r="3778" spans="1:5" x14ac:dyDescent="0.25">
      <c r="A3778" t="s">
        <v>1825</v>
      </c>
      <c r="B3778" t="s">
        <v>9627</v>
      </c>
      <c r="C3778" t="s">
        <v>9628</v>
      </c>
      <c r="D3778" t="s">
        <v>2646</v>
      </c>
      <c r="E3778" t="s">
        <v>2170</v>
      </c>
    </row>
    <row r="3779" spans="1:5" x14ac:dyDescent="0.25">
      <c r="A3779" t="s">
        <v>1825</v>
      </c>
      <c r="B3779" t="s">
        <v>9629</v>
      </c>
      <c r="C3779" t="s">
        <v>9630</v>
      </c>
      <c r="D3779" t="s">
        <v>2646</v>
      </c>
      <c r="E3779" t="s">
        <v>2170</v>
      </c>
    </row>
    <row r="3780" spans="1:5" x14ac:dyDescent="0.25">
      <c r="A3780" t="s">
        <v>1825</v>
      </c>
      <c r="B3780" t="s">
        <v>9631</v>
      </c>
      <c r="C3780" t="s">
        <v>9632</v>
      </c>
      <c r="D3780" t="s">
        <v>2646</v>
      </c>
      <c r="E3780" t="s">
        <v>2170</v>
      </c>
    </row>
    <row r="3781" spans="1:5" x14ac:dyDescent="0.25">
      <c r="A3781" t="s">
        <v>1825</v>
      </c>
      <c r="B3781" t="s">
        <v>9633</v>
      </c>
      <c r="C3781" t="s">
        <v>9634</v>
      </c>
      <c r="D3781" t="s">
        <v>2646</v>
      </c>
      <c r="E3781" t="s">
        <v>9592</v>
      </c>
    </row>
    <row r="3782" spans="1:5" x14ac:dyDescent="0.25">
      <c r="A3782" t="s">
        <v>1825</v>
      </c>
      <c r="B3782" t="s">
        <v>9635</v>
      </c>
      <c r="C3782" t="s">
        <v>9636</v>
      </c>
      <c r="D3782" t="s">
        <v>2646</v>
      </c>
      <c r="E3782" t="s">
        <v>2170</v>
      </c>
    </row>
    <row r="3783" spans="1:5" x14ac:dyDescent="0.25">
      <c r="A3783" t="s">
        <v>1825</v>
      </c>
      <c r="B3783" t="s">
        <v>9637</v>
      </c>
      <c r="C3783" t="s">
        <v>9638</v>
      </c>
      <c r="D3783" t="s">
        <v>2646</v>
      </c>
      <c r="E3783" t="s">
        <v>2170</v>
      </c>
    </row>
    <row r="3784" spans="1:5" x14ac:dyDescent="0.25">
      <c r="A3784" t="s">
        <v>1825</v>
      </c>
      <c r="B3784" t="s">
        <v>9639</v>
      </c>
      <c r="C3784" t="s">
        <v>9640</v>
      </c>
      <c r="D3784" t="s">
        <v>2646</v>
      </c>
      <c r="E3784" t="s">
        <v>9595</v>
      </c>
    </row>
    <row r="3785" spans="1:5" x14ac:dyDescent="0.25">
      <c r="A3785" t="s">
        <v>1825</v>
      </c>
      <c r="B3785" t="s">
        <v>9641</v>
      </c>
      <c r="C3785" t="s">
        <v>9642</v>
      </c>
      <c r="D3785" t="s">
        <v>2646</v>
      </c>
      <c r="E3785" t="s">
        <v>9595</v>
      </c>
    </row>
    <row r="3786" spans="1:5" x14ac:dyDescent="0.25">
      <c r="A3786" t="s">
        <v>1825</v>
      </c>
      <c r="B3786" t="s">
        <v>9643</v>
      </c>
      <c r="C3786" t="s">
        <v>9644</v>
      </c>
      <c r="D3786" t="s">
        <v>2646</v>
      </c>
      <c r="E3786" t="s">
        <v>9595</v>
      </c>
    </row>
    <row r="3787" spans="1:5" x14ac:dyDescent="0.25">
      <c r="A3787" t="s">
        <v>1825</v>
      </c>
      <c r="B3787" t="s">
        <v>9645</v>
      </c>
      <c r="C3787" t="s">
        <v>9646</v>
      </c>
      <c r="D3787" t="s">
        <v>2646</v>
      </c>
      <c r="E3787" t="s">
        <v>9595</v>
      </c>
    </row>
    <row r="3788" spans="1:5" x14ac:dyDescent="0.25">
      <c r="A3788" t="s">
        <v>1825</v>
      </c>
      <c r="B3788" t="s">
        <v>9647</v>
      </c>
      <c r="C3788" t="s">
        <v>9648</v>
      </c>
      <c r="D3788" t="s">
        <v>2646</v>
      </c>
      <c r="E3788" t="s">
        <v>2170</v>
      </c>
    </row>
    <row r="3789" spans="1:5" x14ac:dyDescent="0.25">
      <c r="A3789" t="s">
        <v>1825</v>
      </c>
      <c r="B3789" t="s">
        <v>9649</v>
      </c>
      <c r="C3789" t="s">
        <v>9650</v>
      </c>
      <c r="D3789" t="s">
        <v>2646</v>
      </c>
      <c r="E3789" t="s">
        <v>2170</v>
      </c>
    </row>
    <row r="3790" spans="1:5" x14ac:dyDescent="0.25">
      <c r="A3790" t="s">
        <v>1825</v>
      </c>
      <c r="B3790" t="s">
        <v>9651</v>
      </c>
      <c r="C3790" t="s">
        <v>9652</v>
      </c>
      <c r="D3790" t="s">
        <v>2646</v>
      </c>
      <c r="E3790" t="s">
        <v>2170</v>
      </c>
    </row>
    <row r="3791" spans="1:5" x14ac:dyDescent="0.25">
      <c r="A3791" t="s">
        <v>1825</v>
      </c>
      <c r="B3791" t="s">
        <v>9653</v>
      </c>
      <c r="C3791" t="s">
        <v>9654</v>
      </c>
      <c r="D3791" t="s">
        <v>2646</v>
      </c>
      <c r="E3791" t="s">
        <v>9595</v>
      </c>
    </row>
    <row r="3792" spans="1:5" x14ac:dyDescent="0.25">
      <c r="A3792" t="s">
        <v>1825</v>
      </c>
      <c r="B3792" t="s">
        <v>9655</v>
      </c>
      <c r="C3792" t="s">
        <v>9656</v>
      </c>
      <c r="D3792" t="s">
        <v>2646</v>
      </c>
      <c r="E3792" t="s">
        <v>2170</v>
      </c>
    </row>
    <row r="3793" spans="1:5" x14ac:dyDescent="0.25">
      <c r="A3793" t="s">
        <v>1829</v>
      </c>
      <c r="B3793" t="s">
        <v>9657</v>
      </c>
      <c r="C3793" t="s">
        <v>9658</v>
      </c>
      <c r="D3793" t="s">
        <v>9659</v>
      </c>
      <c r="E3793" t="s">
        <v>2170</v>
      </c>
    </row>
    <row r="3794" spans="1:5" x14ac:dyDescent="0.25">
      <c r="A3794" t="s">
        <v>1829</v>
      </c>
      <c r="B3794" t="s">
        <v>9660</v>
      </c>
      <c r="C3794" t="s">
        <v>9661</v>
      </c>
      <c r="D3794" t="s">
        <v>9659</v>
      </c>
      <c r="E3794" t="s">
        <v>2170</v>
      </c>
    </row>
    <row r="3795" spans="1:5" x14ac:dyDescent="0.25">
      <c r="A3795" t="s">
        <v>1829</v>
      </c>
      <c r="B3795" t="s">
        <v>9662</v>
      </c>
      <c r="C3795" t="s">
        <v>9663</v>
      </c>
      <c r="D3795" t="s">
        <v>9664</v>
      </c>
      <c r="E3795" t="s">
        <v>2170</v>
      </c>
    </row>
    <row r="3796" spans="1:5" x14ac:dyDescent="0.25">
      <c r="A3796" t="s">
        <v>1829</v>
      </c>
      <c r="B3796" t="s">
        <v>9665</v>
      </c>
      <c r="C3796" t="s">
        <v>9666</v>
      </c>
      <c r="D3796" t="s">
        <v>5548</v>
      </c>
      <c r="E3796" t="s">
        <v>2170</v>
      </c>
    </row>
    <row r="3797" spans="1:5" x14ac:dyDescent="0.25">
      <c r="A3797" t="s">
        <v>1829</v>
      </c>
      <c r="B3797" t="s">
        <v>9667</v>
      </c>
      <c r="C3797" t="s">
        <v>9668</v>
      </c>
      <c r="D3797" t="s">
        <v>5548</v>
      </c>
      <c r="E3797" t="s">
        <v>2170</v>
      </c>
    </row>
    <row r="3798" spans="1:5" x14ac:dyDescent="0.25">
      <c r="A3798" t="s">
        <v>1829</v>
      </c>
      <c r="B3798" t="s">
        <v>9669</v>
      </c>
      <c r="C3798" t="s">
        <v>9670</v>
      </c>
      <c r="D3798" t="s">
        <v>5548</v>
      </c>
      <c r="E3798" t="s">
        <v>2170</v>
      </c>
    </row>
    <row r="3799" spans="1:5" x14ac:dyDescent="0.25">
      <c r="A3799" t="s">
        <v>1829</v>
      </c>
      <c r="B3799" t="s">
        <v>9671</v>
      </c>
      <c r="C3799" t="s">
        <v>9672</v>
      </c>
      <c r="D3799" t="s">
        <v>9659</v>
      </c>
      <c r="E3799" t="s">
        <v>2170</v>
      </c>
    </row>
    <row r="3800" spans="1:5" x14ac:dyDescent="0.25">
      <c r="A3800" t="s">
        <v>1829</v>
      </c>
      <c r="B3800" t="s">
        <v>9673</v>
      </c>
      <c r="C3800" t="s">
        <v>9674</v>
      </c>
      <c r="D3800" t="s">
        <v>5548</v>
      </c>
      <c r="E3800" t="s">
        <v>2170</v>
      </c>
    </row>
    <row r="3801" spans="1:5" x14ac:dyDescent="0.25">
      <c r="A3801" t="s">
        <v>1829</v>
      </c>
      <c r="B3801" t="s">
        <v>9675</v>
      </c>
      <c r="C3801" t="s">
        <v>9676</v>
      </c>
      <c r="D3801" t="s">
        <v>5548</v>
      </c>
      <c r="E3801" t="s">
        <v>2170</v>
      </c>
    </row>
    <row r="3802" spans="1:5" x14ac:dyDescent="0.25">
      <c r="A3802" t="s">
        <v>1829</v>
      </c>
      <c r="B3802" t="s">
        <v>9677</v>
      </c>
      <c r="C3802" t="s">
        <v>9678</v>
      </c>
      <c r="D3802" t="s">
        <v>9659</v>
      </c>
      <c r="E3802" t="s">
        <v>2170</v>
      </c>
    </row>
    <row r="3803" spans="1:5" x14ac:dyDescent="0.25">
      <c r="A3803" t="s">
        <v>1829</v>
      </c>
      <c r="B3803" t="s">
        <v>9679</v>
      </c>
      <c r="C3803" t="s">
        <v>9680</v>
      </c>
      <c r="D3803" t="s">
        <v>9659</v>
      </c>
      <c r="E3803" t="s">
        <v>2170</v>
      </c>
    </row>
    <row r="3804" spans="1:5" x14ac:dyDescent="0.25">
      <c r="A3804" t="s">
        <v>1829</v>
      </c>
      <c r="B3804" t="s">
        <v>9681</v>
      </c>
      <c r="C3804" t="s">
        <v>9682</v>
      </c>
      <c r="D3804" t="s">
        <v>5548</v>
      </c>
      <c r="E3804" t="s">
        <v>2170</v>
      </c>
    </row>
    <row r="3805" spans="1:5" x14ac:dyDescent="0.25">
      <c r="A3805" t="s">
        <v>1829</v>
      </c>
      <c r="B3805" t="s">
        <v>9683</v>
      </c>
      <c r="C3805" t="s">
        <v>9684</v>
      </c>
      <c r="D3805" t="s">
        <v>3465</v>
      </c>
      <c r="E3805" t="s">
        <v>2170</v>
      </c>
    </row>
    <row r="3806" spans="1:5" x14ac:dyDescent="0.25">
      <c r="A3806" t="s">
        <v>1829</v>
      </c>
      <c r="B3806" t="s">
        <v>9685</v>
      </c>
      <c r="C3806" t="s">
        <v>9686</v>
      </c>
      <c r="D3806" t="s">
        <v>9659</v>
      </c>
      <c r="E3806" t="s">
        <v>2170</v>
      </c>
    </row>
    <row r="3807" spans="1:5" x14ac:dyDescent="0.25">
      <c r="A3807" t="s">
        <v>1829</v>
      </c>
      <c r="B3807" t="s">
        <v>9687</v>
      </c>
      <c r="C3807" t="s">
        <v>9688</v>
      </c>
      <c r="D3807" t="s">
        <v>9659</v>
      </c>
      <c r="E3807" t="s">
        <v>2170</v>
      </c>
    </row>
    <row r="3808" spans="1:5" x14ac:dyDescent="0.25">
      <c r="A3808" t="s">
        <v>1829</v>
      </c>
      <c r="B3808" t="s">
        <v>9689</v>
      </c>
      <c r="C3808" t="s">
        <v>9690</v>
      </c>
      <c r="D3808" t="s">
        <v>9659</v>
      </c>
      <c r="E3808" t="s">
        <v>2170</v>
      </c>
    </row>
    <row r="3809" spans="1:5" x14ac:dyDescent="0.25">
      <c r="A3809" t="s">
        <v>1829</v>
      </c>
      <c r="B3809" t="s">
        <v>9691</v>
      </c>
      <c r="C3809" t="s">
        <v>9692</v>
      </c>
      <c r="D3809" t="s">
        <v>5548</v>
      </c>
      <c r="E3809" t="s">
        <v>2170</v>
      </c>
    </row>
    <row r="3810" spans="1:5" x14ac:dyDescent="0.25">
      <c r="A3810" t="s">
        <v>1829</v>
      </c>
      <c r="B3810" t="s">
        <v>9693</v>
      </c>
      <c r="C3810" t="s">
        <v>9694</v>
      </c>
      <c r="D3810" t="s">
        <v>5548</v>
      </c>
      <c r="E3810" t="s">
        <v>2170</v>
      </c>
    </row>
    <row r="3811" spans="1:5" x14ac:dyDescent="0.25">
      <c r="A3811" t="s">
        <v>1829</v>
      </c>
      <c r="B3811" t="s">
        <v>9695</v>
      </c>
      <c r="C3811" t="s">
        <v>9696</v>
      </c>
      <c r="D3811" t="s">
        <v>9659</v>
      </c>
      <c r="E3811" t="s">
        <v>2170</v>
      </c>
    </row>
    <row r="3812" spans="1:5" x14ac:dyDescent="0.25">
      <c r="A3812" t="s">
        <v>1829</v>
      </c>
      <c r="B3812" t="s">
        <v>9697</v>
      </c>
      <c r="C3812" t="s">
        <v>9698</v>
      </c>
      <c r="D3812" t="s">
        <v>5548</v>
      </c>
      <c r="E3812" t="s">
        <v>2170</v>
      </c>
    </row>
    <row r="3813" spans="1:5" x14ac:dyDescent="0.25">
      <c r="A3813" t="s">
        <v>1829</v>
      </c>
      <c r="B3813" t="s">
        <v>9699</v>
      </c>
      <c r="C3813" t="s">
        <v>9700</v>
      </c>
      <c r="D3813" t="s">
        <v>9659</v>
      </c>
      <c r="E3813" t="s">
        <v>2170</v>
      </c>
    </row>
    <row r="3814" spans="1:5" x14ac:dyDescent="0.25">
      <c r="A3814" t="s">
        <v>1829</v>
      </c>
      <c r="B3814" t="s">
        <v>9701</v>
      </c>
      <c r="C3814" t="s">
        <v>9702</v>
      </c>
      <c r="D3814" t="s">
        <v>5548</v>
      </c>
      <c r="E3814" t="s">
        <v>2170</v>
      </c>
    </row>
    <row r="3815" spans="1:5" x14ac:dyDescent="0.25">
      <c r="A3815" t="s">
        <v>1829</v>
      </c>
      <c r="B3815" t="s">
        <v>9703</v>
      </c>
      <c r="C3815" t="s">
        <v>9704</v>
      </c>
      <c r="D3815" t="s">
        <v>9664</v>
      </c>
      <c r="E3815" t="s">
        <v>2170</v>
      </c>
    </row>
    <row r="3816" spans="1:5" x14ac:dyDescent="0.25">
      <c r="A3816" t="s">
        <v>1829</v>
      </c>
      <c r="B3816" t="s">
        <v>9705</v>
      </c>
      <c r="C3816" t="s">
        <v>9706</v>
      </c>
      <c r="D3816" t="s">
        <v>9659</v>
      </c>
      <c r="E3816" t="s">
        <v>2170</v>
      </c>
    </row>
    <row r="3817" spans="1:5" x14ac:dyDescent="0.25">
      <c r="A3817" t="s">
        <v>1829</v>
      </c>
      <c r="B3817" t="s">
        <v>9707</v>
      </c>
      <c r="C3817" t="s">
        <v>9708</v>
      </c>
      <c r="D3817" t="s">
        <v>9659</v>
      </c>
      <c r="E3817" t="s">
        <v>2170</v>
      </c>
    </row>
    <row r="3818" spans="1:5" x14ac:dyDescent="0.25">
      <c r="A3818" t="s">
        <v>1829</v>
      </c>
      <c r="B3818" t="s">
        <v>9709</v>
      </c>
      <c r="C3818" t="s">
        <v>9710</v>
      </c>
      <c r="D3818" t="s">
        <v>5548</v>
      </c>
      <c r="E3818" t="s">
        <v>2170</v>
      </c>
    </row>
    <row r="3819" spans="1:5" x14ac:dyDescent="0.25">
      <c r="A3819" t="s">
        <v>1829</v>
      </c>
      <c r="B3819" t="s">
        <v>9711</v>
      </c>
      <c r="C3819" t="s">
        <v>9712</v>
      </c>
      <c r="D3819" t="s">
        <v>9664</v>
      </c>
      <c r="E3819" t="s">
        <v>2170</v>
      </c>
    </row>
    <row r="3820" spans="1:5" x14ac:dyDescent="0.25">
      <c r="A3820" t="s">
        <v>1829</v>
      </c>
      <c r="B3820" t="s">
        <v>9713</v>
      </c>
      <c r="C3820" t="s">
        <v>9714</v>
      </c>
      <c r="D3820" t="s">
        <v>9659</v>
      </c>
      <c r="E3820" t="s">
        <v>2170</v>
      </c>
    </row>
    <row r="3821" spans="1:5" x14ac:dyDescent="0.25">
      <c r="A3821" t="s">
        <v>1829</v>
      </c>
      <c r="B3821" t="s">
        <v>9715</v>
      </c>
      <c r="C3821" t="s">
        <v>9716</v>
      </c>
      <c r="D3821" t="s">
        <v>3465</v>
      </c>
      <c r="E3821" t="s">
        <v>2170</v>
      </c>
    </row>
    <row r="3822" spans="1:5" x14ac:dyDescent="0.25">
      <c r="A3822" t="s">
        <v>1829</v>
      </c>
      <c r="B3822" t="s">
        <v>9717</v>
      </c>
      <c r="C3822" t="s">
        <v>9718</v>
      </c>
      <c r="D3822" t="s">
        <v>5548</v>
      </c>
      <c r="E3822" t="s">
        <v>2170</v>
      </c>
    </row>
    <row r="3823" spans="1:5" x14ac:dyDescent="0.25">
      <c r="A3823" t="s">
        <v>1829</v>
      </c>
      <c r="B3823" t="s">
        <v>9719</v>
      </c>
      <c r="C3823" t="s">
        <v>9720</v>
      </c>
      <c r="D3823" t="s">
        <v>9659</v>
      </c>
      <c r="E3823" t="s">
        <v>2170</v>
      </c>
    </row>
    <row r="3824" spans="1:5" x14ac:dyDescent="0.25">
      <c r="A3824" t="s">
        <v>1829</v>
      </c>
      <c r="B3824" t="s">
        <v>9721</v>
      </c>
      <c r="C3824" t="s">
        <v>9722</v>
      </c>
      <c r="D3824" t="s">
        <v>5548</v>
      </c>
      <c r="E3824" t="s">
        <v>2170</v>
      </c>
    </row>
    <row r="3825" spans="1:5" x14ac:dyDescent="0.25">
      <c r="A3825" t="s">
        <v>1829</v>
      </c>
      <c r="B3825" t="s">
        <v>9723</v>
      </c>
      <c r="C3825" t="s">
        <v>9724</v>
      </c>
      <c r="D3825" t="s">
        <v>9664</v>
      </c>
      <c r="E3825" t="s">
        <v>2170</v>
      </c>
    </row>
    <row r="3826" spans="1:5" x14ac:dyDescent="0.25">
      <c r="A3826" t="s">
        <v>1829</v>
      </c>
      <c r="B3826" t="s">
        <v>9725</v>
      </c>
      <c r="C3826" t="s">
        <v>9726</v>
      </c>
      <c r="D3826" t="s">
        <v>9664</v>
      </c>
      <c r="E3826" t="s">
        <v>2170</v>
      </c>
    </row>
    <row r="3827" spans="1:5" x14ac:dyDescent="0.25">
      <c r="A3827" t="s">
        <v>1829</v>
      </c>
      <c r="B3827" t="s">
        <v>9727</v>
      </c>
      <c r="C3827" t="s">
        <v>9728</v>
      </c>
      <c r="D3827" t="s">
        <v>5548</v>
      </c>
      <c r="E3827" t="s">
        <v>2170</v>
      </c>
    </row>
    <row r="3828" spans="1:5" x14ac:dyDescent="0.25">
      <c r="A3828" t="s">
        <v>1829</v>
      </c>
      <c r="B3828" t="s">
        <v>9729</v>
      </c>
      <c r="C3828" t="s">
        <v>9730</v>
      </c>
      <c r="D3828" t="s">
        <v>5548</v>
      </c>
      <c r="E3828" t="s">
        <v>2170</v>
      </c>
    </row>
    <row r="3829" spans="1:5" x14ac:dyDescent="0.25">
      <c r="A3829" t="s">
        <v>1829</v>
      </c>
      <c r="B3829" t="s">
        <v>9731</v>
      </c>
      <c r="C3829" t="s">
        <v>9732</v>
      </c>
      <c r="D3829" t="s">
        <v>5548</v>
      </c>
      <c r="E3829" t="s">
        <v>2170</v>
      </c>
    </row>
    <row r="3830" spans="1:5" x14ac:dyDescent="0.25">
      <c r="A3830" t="s">
        <v>1829</v>
      </c>
      <c r="B3830" t="s">
        <v>9733</v>
      </c>
      <c r="C3830" t="s">
        <v>9734</v>
      </c>
      <c r="D3830" t="s">
        <v>5548</v>
      </c>
      <c r="E3830" t="s">
        <v>2170</v>
      </c>
    </row>
    <row r="3831" spans="1:5" x14ac:dyDescent="0.25">
      <c r="A3831" t="s">
        <v>1829</v>
      </c>
      <c r="B3831" t="s">
        <v>9735</v>
      </c>
      <c r="C3831" t="s">
        <v>9736</v>
      </c>
      <c r="D3831" t="s">
        <v>5548</v>
      </c>
      <c r="E3831" t="s">
        <v>2170</v>
      </c>
    </row>
    <row r="3832" spans="1:5" x14ac:dyDescent="0.25">
      <c r="A3832" t="s">
        <v>1829</v>
      </c>
      <c r="B3832" t="s">
        <v>9737</v>
      </c>
      <c r="C3832" t="s">
        <v>9738</v>
      </c>
      <c r="D3832" t="s">
        <v>9659</v>
      </c>
      <c r="E3832" t="s">
        <v>2170</v>
      </c>
    </row>
    <row r="3833" spans="1:5" x14ac:dyDescent="0.25">
      <c r="A3833" t="s">
        <v>1829</v>
      </c>
      <c r="B3833" t="s">
        <v>9739</v>
      </c>
      <c r="C3833" t="s">
        <v>9740</v>
      </c>
      <c r="D3833" t="s">
        <v>9659</v>
      </c>
      <c r="E3833" t="s">
        <v>2170</v>
      </c>
    </row>
    <row r="3834" spans="1:5" x14ac:dyDescent="0.25">
      <c r="A3834" t="s">
        <v>1829</v>
      </c>
      <c r="B3834" t="s">
        <v>9741</v>
      </c>
      <c r="C3834" t="s">
        <v>9742</v>
      </c>
      <c r="D3834" t="s">
        <v>5548</v>
      </c>
      <c r="E3834" t="s">
        <v>2170</v>
      </c>
    </row>
    <row r="3835" spans="1:5" x14ac:dyDescent="0.25">
      <c r="A3835" t="s">
        <v>1829</v>
      </c>
      <c r="B3835" t="s">
        <v>9743</v>
      </c>
      <c r="C3835" t="s">
        <v>9744</v>
      </c>
      <c r="D3835" t="s">
        <v>9745</v>
      </c>
      <c r="E3835" t="s">
        <v>2170</v>
      </c>
    </row>
    <row r="3836" spans="1:5" x14ac:dyDescent="0.25">
      <c r="A3836" t="s">
        <v>1829</v>
      </c>
      <c r="B3836" t="s">
        <v>9746</v>
      </c>
      <c r="C3836" t="s">
        <v>9747</v>
      </c>
      <c r="D3836" t="s">
        <v>5548</v>
      </c>
      <c r="E3836" t="s">
        <v>2170</v>
      </c>
    </row>
    <row r="3837" spans="1:5" x14ac:dyDescent="0.25">
      <c r="A3837" t="s">
        <v>1829</v>
      </c>
      <c r="B3837" t="s">
        <v>9748</v>
      </c>
      <c r="C3837" t="s">
        <v>9749</v>
      </c>
      <c r="D3837" t="s">
        <v>3465</v>
      </c>
      <c r="E3837" t="s">
        <v>2170</v>
      </c>
    </row>
    <row r="3838" spans="1:5" x14ac:dyDescent="0.25">
      <c r="A3838" t="s">
        <v>1829</v>
      </c>
      <c r="B3838" t="s">
        <v>9750</v>
      </c>
      <c r="C3838" t="s">
        <v>9751</v>
      </c>
      <c r="D3838" t="s">
        <v>5548</v>
      </c>
      <c r="E3838" t="s">
        <v>2170</v>
      </c>
    </row>
    <row r="3839" spans="1:5" x14ac:dyDescent="0.25">
      <c r="A3839" t="s">
        <v>1829</v>
      </c>
      <c r="B3839" t="s">
        <v>9752</v>
      </c>
      <c r="C3839" t="s">
        <v>9753</v>
      </c>
      <c r="D3839" t="s">
        <v>5548</v>
      </c>
      <c r="E3839" t="s">
        <v>2170</v>
      </c>
    </row>
    <row r="3840" spans="1:5" x14ac:dyDescent="0.25">
      <c r="A3840" t="s">
        <v>1829</v>
      </c>
      <c r="B3840" t="s">
        <v>9754</v>
      </c>
      <c r="C3840" t="s">
        <v>9755</v>
      </c>
      <c r="D3840" t="s">
        <v>5548</v>
      </c>
      <c r="E3840" t="s">
        <v>2170</v>
      </c>
    </row>
    <row r="3841" spans="1:5" x14ac:dyDescent="0.25">
      <c r="A3841" t="s">
        <v>1829</v>
      </c>
      <c r="B3841" t="s">
        <v>9756</v>
      </c>
      <c r="C3841" t="s">
        <v>9757</v>
      </c>
      <c r="D3841" t="s">
        <v>5548</v>
      </c>
      <c r="E3841" t="s">
        <v>2170</v>
      </c>
    </row>
    <row r="3842" spans="1:5" x14ac:dyDescent="0.25">
      <c r="A3842" t="s">
        <v>1829</v>
      </c>
      <c r="B3842" t="s">
        <v>9758</v>
      </c>
      <c r="C3842" t="s">
        <v>9759</v>
      </c>
      <c r="D3842" t="s">
        <v>5548</v>
      </c>
      <c r="E3842" t="s">
        <v>2170</v>
      </c>
    </row>
    <row r="3843" spans="1:5" x14ac:dyDescent="0.25">
      <c r="A3843" t="s">
        <v>1829</v>
      </c>
      <c r="B3843" t="s">
        <v>9760</v>
      </c>
      <c r="C3843" t="s">
        <v>9761</v>
      </c>
      <c r="D3843" t="s">
        <v>5548</v>
      </c>
      <c r="E3843" t="s">
        <v>2170</v>
      </c>
    </row>
    <row r="3844" spans="1:5" x14ac:dyDescent="0.25">
      <c r="A3844" t="s">
        <v>1829</v>
      </c>
      <c r="B3844" t="s">
        <v>9762</v>
      </c>
      <c r="C3844" t="s">
        <v>9763</v>
      </c>
      <c r="D3844" t="s">
        <v>5548</v>
      </c>
      <c r="E3844" t="s">
        <v>2170</v>
      </c>
    </row>
    <row r="3845" spans="1:5" x14ac:dyDescent="0.25">
      <c r="A3845" t="s">
        <v>1829</v>
      </c>
      <c r="B3845" t="s">
        <v>9764</v>
      </c>
      <c r="C3845" t="s">
        <v>9765</v>
      </c>
      <c r="D3845" t="s">
        <v>9664</v>
      </c>
      <c r="E3845" t="s">
        <v>2170</v>
      </c>
    </row>
    <row r="3846" spans="1:5" x14ac:dyDescent="0.25">
      <c r="A3846" t="s">
        <v>1829</v>
      </c>
      <c r="B3846" t="s">
        <v>9766</v>
      </c>
      <c r="C3846" t="s">
        <v>9767</v>
      </c>
      <c r="D3846" t="s">
        <v>9664</v>
      </c>
      <c r="E3846" t="s">
        <v>2170</v>
      </c>
    </row>
    <row r="3847" spans="1:5" x14ac:dyDescent="0.25">
      <c r="A3847" t="s">
        <v>1829</v>
      </c>
      <c r="B3847" t="s">
        <v>9768</v>
      </c>
      <c r="C3847" t="s">
        <v>9769</v>
      </c>
      <c r="D3847" t="s">
        <v>5548</v>
      </c>
      <c r="E3847" t="s">
        <v>2170</v>
      </c>
    </row>
    <row r="3848" spans="1:5" x14ac:dyDescent="0.25">
      <c r="A3848" t="s">
        <v>1829</v>
      </c>
      <c r="B3848" t="s">
        <v>9770</v>
      </c>
      <c r="C3848" t="s">
        <v>9771</v>
      </c>
      <c r="D3848" t="s">
        <v>5548</v>
      </c>
      <c r="E3848" t="s">
        <v>2170</v>
      </c>
    </row>
    <row r="3849" spans="1:5" x14ac:dyDescent="0.25">
      <c r="A3849" t="s">
        <v>1829</v>
      </c>
      <c r="B3849" t="s">
        <v>9772</v>
      </c>
      <c r="C3849" t="s">
        <v>9773</v>
      </c>
      <c r="D3849" t="s">
        <v>5548</v>
      </c>
      <c r="E3849" t="s">
        <v>2170</v>
      </c>
    </row>
    <row r="3850" spans="1:5" x14ac:dyDescent="0.25">
      <c r="A3850" t="s">
        <v>1829</v>
      </c>
      <c r="B3850" t="s">
        <v>9774</v>
      </c>
      <c r="C3850" t="s">
        <v>9775</v>
      </c>
      <c r="D3850" t="s">
        <v>9659</v>
      </c>
      <c r="E3850" t="s">
        <v>2170</v>
      </c>
    </row>
    <row r="3851" spans="1:5" x14ac:dyDescent="0.25">
      <c r="A3851" t="s">
        <v>1829</v>
      </c>
      <c r="B3851" t="s">
        <v>9776</v>
      </c>
      <c r="C3851" t="s">
        <v>9777</v>
      </c>
      <c r="D3851" t="s">
        <v>5548</v>
      </c>
      <c r="E3851" t="s">
        <v>2170</v>
      </c>
    </row>
    <row r="3852" spans="1:5" x14ac:dyDescent="0.25">
      <c r="A3852" t="s">
        <v>1829</v>
      </c>
      <c r="B3852" t="s">
        <v>9778</v>
      </c>
      <c r="C3852" t="s">
        <v>9779</v>
      </c>
      <c r="D3852" t="s">
        <v>5548</v>
      </c>
      <c r="E3852" t="s">
        <v>2170</v>
      </c>
    </row>
    <row r="3853" spans="1:5" x14ac:dyDescent="0.25">
      <c r="A3853" t="s">
        <v>1829</v>
      </c>
      <c r="B3853" t="s">
        <v>9780</v>
      </c>
      <c r="C3853" t="s">
        <v>9781</v>
      </c>
      <c r="D3853" t="s">
        <v>9745</v>
      </c>
      <c r="E3853" t="s">
        <v>2170</v>
      </c>
    </row>
    <row r="3854" spans="1:5" x14ac:dyDescent="0.25">
      <c r="A3854" t="s">
        <v>1829</v>
      </c>
      <c r="B3854" t="s">
        <v>9782</v>
      </c>
      <c r="C3854" t="s">
        <v>9783</v>
      </c>
      <c r="D3854" t="s">
        <v>5548</v>
      </c>
      <c r="E3854" t="s">
        <v>2170</v>
      </c>
    </row>
    <row r="3855" spans="1:5" x14ac:dyDescent="0.25">
      <c r="A3855" t="s">
        <v>1829</v>
      </c>
      <c r="B3855" t="s">
        <v>9784</v>
      </c>
      <c r="C3855" t="s">
        <v>9785</v>
      </c>
      <c r="D3855" t="s">
        <v>9659</v>
      </c>
      <c r="E3855" t="s">
        <v>2170</v>
      </c>
    </row>
    <row r="3856" spans="1:5" x14ac:dyDescent="0.25">
      <c r="A3856" t="s">
        <v>1829</v>
      </c>
      <c r="B3856" t="s">
        <v>9786</v>
      </c>
      <c r="C3856" t="s">
        <v>9787</v>
      </c>
      <c r="D3856" t="s">
        <v>5548</v>
      </c>
      <c r="E3856" t="s">
        <v>2170</v>
      </c>
    </row>
    <row r="3857" spans="1:5" x14ac:dyDescent="0.25">
      <c r="A3857" t="s">
        <v>1829</v>
      </c>
      <c r="B3857" t="s">
        <v>9788</v>
      </c>
      <c r="C3857" t="s">
        <v>9789</v>
      </c>
      <c r="D3857" t="s">
        <v>9664</v>
      </c>
      <c r="E3857" t="s">
        <v>2170</v>
      </c>
    </row>
    <row r="3858" spans="1:5" x14ac:dyDescent="0.25">
      <c r="A3858" t="s">
        <v>1829</v>
      </c>
      <c r="B3858" t="s">
        <v>9790</v>
      </c>
      <c r="C3858" t="s">
        <v>9791</v>
      </c>
      <c r="D3858" t="s">
        <v>5548</v>
      </c>
      <c r="E3858" t="s">
        <v>2170</v>
      </c>
    </row>
    <row r="3859" spans="1:5" x14ac:dyDescent="0.25">
      <c r="A3859" t="s">
        <v>1829</v>
      </c>
      <c r="B3859" t="s">
        <v>9792</v>
      </c>
      <c r="C3859" t="s">
        <v>9793</v>
      </c>
      <c r="D3859" t="s">
        <v>5548</v>
      </c>
      <c r="E3859" t="s">
        <v>2170</v>
      </c>
    </row>
    <row r="3860" spans="1:5" x14ac:dyDescent="0.25">
      <c r="A3860" t="s">
        <v>1829</v>
      </c>
      <c r="B3860" t="s">
        <v>9794</v>
      </c>
      <c r="C3860" t="s">
        <v>9795</v>
      </c>
      <c r="D3860" t="s">
        <v>9659</v>
      </c>
      <c r="E3860" t="s">
        <v>2170</v>
      </c>
    </row>
    <row r="3861" spans="1:5" x14ac:dyDescent="0.25">
      <c r="A3861" t="s">
        <v>1829</v>
      </c>
      <c r="B3861" t="s">
        <v>9796</v>
      </c>
      <c r="C3861" t="s">
        <v>9797</v>
      </c>
      <c r="D3861" t="s">
        <v>5548</v>
      </c>
      <c r="E3861" t="s">
        <v>2170</v>
      </c>
    </row>
    <row r="3862" spans="1:5" x14ac:dyDescent="0.25">
      <c r="A3862" t="s">
        <v>1829</v>
      </c>
      <c r="B3862" t="s">
        <v>9798</v>
      </c>
      <c r="C3862" t="s">
        <v>9799</v>
      </c>
      <c r="D3862" t="s">
        <v>5548</v>
      </c>
      <c r="E3862" t="s">
        <v>2170</v>
      </c>
    </row>
    <row r="3863" spans="1:5" x14ac:dyDescent="0.25">
      <c r="A3863" t="s">
        <v>1829</v>
      </c>
      <c r="B3863" t="s">
        <v>9800</v>
      </c>
      <c r="C3863" t="s">
        <v>9801</v>
      </c>
      <c r="D3863" t="s">
        <v>5548</v>
      </c>
      <c r="E3863" t="s">
        <v>2170</v>
      </c>
    </row>
    <row r="3864" spans="1:5" x14ac:dyDescent="0.25">
      <c r="A3864" t="s">
        <v>1829</v>
      </c>
      <c r="B3864" t="s">
        <v>9802</v>
      </c>
      <c r="C3864" t="s">
        <v>9803</v>
      </c>
      <c r="D3864" t="s">
        <v>5548</v>
      </c>
      <c r="E3864" t="s">
        <v>2170</v>
      </c>
    </row>
    <row r="3865" spans="1:5" x14ac:dyDescent="0.25">
      <c r="A3865" t="s">
        <v>1829</v>
      </c>
      <c r="B3865" t="s">
        <v>9804</v>
      </c>
      <c r="C3865" t="s">
        <v>9805</v>
      </c>
      <c r="D3865" t="s">
        <v>9659</v>
      </c>
      <c r="E3865" t="s">
        <v>2170</v>
      </c>
    </row>
    <row r="3866" spans="1:5" x14ac:dyDescent="0.25">
      <c r="A3866" t="s">
        <v>1829</v>
      </c>
      <c r="B3866" t="s">
        <v>9806</v>
      </c>
      <c r="C3866" t="s">
        <v>9807</v>
      </c>
      <c r="D3866" t="s">
        <v>9659</v>
      </c>
      <c r="E3866" t="s">
        <v>2170</v>
      </c>
    </row>
    <row r="3867" spans="1:5" x14ac:dyDescent="0.25">
      <c r="A3867" t="s">
        <v>1829</v>
      </c>
      <c r="B3867" t="s">
        <v>9808</v>
      </c>
      <c r="C3867" t="s">
        <v>9809</v>
      </c>
      <c r="D3867" t="s">
        <v>5548</v>
      </c>
      <c r="E3867" t="s">
        <v>2170</v>
      </c>
    </row>
    <row r="3868" spans="1:5" x14ac:dyDescent="0.25">
      <c r="A3868" t="s">
        <v>1829</v>
      </c>
      <c r="B3868" t="s">
        <v>9810</v>
      </c>
      <c r="C3868" t="s">
        <v>9811</v>
      </c>
      <c r="D3868" t="s">
        <v>5548</v>
      </c>
      <c r="E3868" t="s">
        <v>2170</v>
      </c>
    </row>
    <row r="3869" spans="1:5" x14ac:dyDescent="0.25">
      <c r="A3869" t="s">
        <v>1829</v>
      </c>
      <c r="B3869" t="s">
        <v>9812</v>
      </c>
      <c r="C3869" t="s">
        <v>9813</v>
      </c>
      <c r="D3869" t="s">
        <v>5548</v>
      </c>
      <c r="E3869" t="s">
        <v>2170</v>
      </c>
    </row>
    <row r="3870" spans="1:5" x14ac:dyDescent="0.25">
      <c r="A3870" t="s">
        <v>1829</v>
      </c>
      <c r="B3870" t="s">
        <v>9814</v>
      </c>
      <c r="C3870" t="s">
        <v>9815</v>
      </c>
      <c r="D3870" t="s">
        <v>5548</v>
      </c>
      <c r="E3870" t="s">
        <v>2170</v>
      </c>
    </row>
    <row r="3871" spans="1:5" x14ac:dyDescent="0.25">
      <c r="A3871" t="s">
        <v>1829</v>
      </c>
      <c r="B3871" t="s">
        <v>9816</v>
      </c>
      <c r="C3871" t="s">
        <v>9817</v>
      </c>
      <c r="D3871" t="s">
        <v>5548</v>
      </c>
      <c r="E3871" t="s">
        <v>2170</v>
      </c>
    </row>
    <row r="3872" spans="1:5" x14ac:dyDescent="0.25">
      <c r="A3872" t="s">
        <v>1829</v>
      </c>
      <c r="B3872" t="s">
        <v>9818</v>
      </c>
      <c r="C3872" t="s">
        <v>9819</v>
      </c>
      <c r="D3872" t="s">
        <v>3465</v>
      </c>
      <c r="E3872" t="s">
        <v>2170</v>
      </c>
    </row>
    <row r="3873" spans="1:5" x14ac:dyDescent="0.25">
      <c r="A3873" t="s">
        <v>1829</v>
      </c>
      <c r="B3873" t="s">
        <v>9820</v>
      </c>
      <c r="C3873" t="s">
        <v>9821</v>
      </c>
      <c r="D3873" t="s">
        <v>5548</v>
      </c>
      <c r="E3873" t="s">
        <v>2170</v>
      </c>
    </row>
    <row r="3874" spans="1:5" x14ac:dyDescent="0.25">
      <c r="A3874" t="s">
        <v>1829</v>
      </c>
      <c r="B3874" t="s">
        <v>9822</v>
      </c>
      <c r="C3874" t="s">
        <v>9823</v>
      </c>
      <c r="D3874" t="s">
        <v>3555</v>
      </c>
      <c r="E3874" t="s">
        <v>2170</v>
      </c>
    </row>
    <row r="3875" spans="1:5" x14ac:dyDescent="0.25">
      <c r="A3875" t="s">
        <v>1829</v>
      </c>
      <c r="B3875" t="s">
        <v>9824</v>
      </c>
      <c r="C3875" t="s">
        <v>9825</v>
      </c>
      <c r="D3875" t="s">
        <v>9664</v>
      </c>
      <c r="E3875" t="s">
        <v>2170</v>
      </c>
    </row>
    <row r="3876" spans="1:5" x14ac:dyDescent="0.25">
      <c r="A3876" t="s">
        <v>1832</v>
      </c>
      <c r="B3876" t="s">
        <v>9826</v>
      </c>
      <c r="C3876" t="s">
        <v>9827</v>
      </c>
      <c r="D3876" t="s">
        <v>2318</v>
      </c>
      <c r="E3876" t="s">
        <v>2170</v>
      </c>
    </row>
    <row r="3877" spans="1:5" x14ac:dyDescent="0.25">
      <c r="A3877" t="s">
        <v>1832</v>
      </c>
      <c r="B3877" t="s">
        <v>9828</v>
      </c>
      <c r="C3877" t="s">
        <v>4718</v>
      </c>
      <c r="D3877" t="s">
        <v>2200</v>
      </c>
      <c r="E3877" t="s">
        <v>2170</v>
      </c>
    </row>
    <row r="3878" spans="1:5" x14ac:dyDescent="0.25">
      <c r="A3878" t="s">
        <v>1832</v>
      </c>
      <c r="B3878" t="s">
        <v>9829</v>
      </c>
      <c r="C3878" t="s">
        <v>4720</v>
      </c>
      <c r="D3878" t="s">
        <v>2200</v>
      </c>
      <c r="E3878" t="s">
        <v>2170</v>
      </c>
    </row>
    <row r="3879" spans="1:5" x14ac:dyDescent="0.25">
      <c r="A3879" t="s">
        <v>1832</v>
      </c>
      <c r="B3879" t="s">
        <v>9830</v>
      </c>
      <c r="C3879" t="s">
        <v>3248</v>
      </c>
      <c r="D3879" t="s">
        <v>2200</v>
      </c>
      <c r="E3879" t="s">
        <v>2170</v>
      </c>
    </row>
    <row r="3880" spans="1:5" x14ac:dyDescent="0.25">
      <c r="A3880" t="s">
        <v>1832</v>
      </c>
      <c r="B3880" t="s">
        <v>9831</v>
      </c>
      <c r="C3880" t="s">
        <v>4722</v>
      </c>
      <c r="D3880" t="s">
        <v>2200</v>
      </c>
      <c r="E3880" t="s">
        <v>2170</v>
      </c>
    </row>
    <row r="3881" spans="1:5" x14ac:dyDescent="0.25">
      <c r="A3881" t="s">
        <v>1835</v>
      </c>
      <c r="B3881" t="s">
        <v>9832</v>
      </c>
      <c r="C3881" t="s">
        <v>9833</v>
      </c>
      <c r="D3881" t="s">
        <v>2311</v>
      </c>
      <c r="E3881" t="s">
        <v>2170</v>
      </c>
    </row>
    <row r="3882" spans="1:5" x14ac:dyDescent="0.25">
      <c r="A3882" t="s">
        <v>1835</v>
      </c>
      <c r="B3882" t="s">
        <v>9834</v>
      </c>
      <c r="C3882" t="s">
        <v>9835</v>
      </c>
      <c r="D3882" t="s">
        <v>2311</v>
      </c>
      <c r="E3882" t="s">
        <v>2170</v>
      </c>
    </row>
    <row r="3883" spans="1:5" x14ac:dyDescent="0.25">
      <c r="A3883" t="s">
        <v>1835</v>
      </c>
      <c r="B3883" t="s">
        <v>9836</v>
      </c>
      <c r="C3883" t="s">
        <v>9837</v>
      </c>
      <c r="D3883" t="s">
        <v>2311</v>
      </c>
      <c r="E3883" t="s">
        <v>2170</v>
      </c>
    </row>
    <row r="3884" spans="1:5" x14ac:dyDescent="0.25">
      <c r="A3884" t="s">
        <v>1835</v>
      </c>
      <c r="B3884" t="s">
        <v>9838</v>
      </c>
      <c r="C3884" t="s">
        <v>9839</v>
      </c>
      <c r="D3884" t="s">
        <v>2311</v>
      </c>
      <c r="E3884" t="s">
        <v>2170</v>
      </c>
    </row>
    <row r="3885" spans="1:5" x14ac:dyDescent="0.25">
      <c r="A3885" t="s">
        <v>1835</v>
      </c>
      <c r="B3885" t="s">
        <v>9840</v>
      </c>
      <c r="C3885" t="s">
        <v>9841</v>
      </c>
      <c r="D3885" t="s">
        <v>2311</v>
      </c>
      <c r="E3885" t="s">
        <v>2170</v>
      </c>
    </row>
    <row r="3886" spans="1:5" x14ac:dyDescent="0.25">
      <c r="A3886" t="s">
        <v>1835</v>
      </c>
      <c r="B3886" t="s">
        <v>9842</v>
      </c>
      <c r="C3886" t="s">
        <v>9843</v>
      </c>
      <c r="D3886" t="s">
        <v>2311</v>
      </c>
      <c r="E3886" t="s">
        <v>2170</v>
      </c>
    </row>
    <row r="3887" spans="1:5" x14ac:dyDescent="0.25">
      <c r="A3887" t="s">
        <v>1835</v>
      </c>
      <c r="B3887" t="s">
        <v>9844</v>
      </c>
      <c r="C3887" t="s">
        <v>9845</v>
      </c>
      <c r="D3887" t="s">
        <v>2311</v>
      </c>
      <c r="E3887" t="s">
        <v>2170</v>
      </c>
    </row>
    <row r="3888" spans="1:5" x14ac:dyDescent="0.25">
      <c r="A3888" t="s">
        <v>1835</v>
      </c>
      <c r="B3888" t="s">
        <v>9846</v>
      </c>
      <c r="C3888" t="s">
        <v>4483</v>
      </c>
      <c r="D3888" t="s">
        <v>2311</v>
      </c>
      <c r="E3888" t="s">
        <v>2170</v>
      </c>
    </row>
    <row r="3889" spans="1:5" x14ac:dyDescent="0.25">
      <c r="A3889" t="s">
        <v>1835</v>
      </c>
      <c r="B3889" t="s">
        <v>9847</v>
      </c>
      <c r="C3889" t="s">
        <v>9848</v>
      </c>
      <c r="D3889" t="s">
        <v>2311</v>
      </c>
      <c r="E3889" t="s">
        <v>2170</v>
      </c>
    </row>
    <row r="3890" spans="1:5" x14ac:dyDescent="0.25">
      <c r="A3890" t="s">
        <v>1835</v>
      </c>
      <c r="B3890" t="s">
        <v>9849</v>
      </c>
      <c r="C3890" t="s">
        <v>9850</v>
      </c>
      <c r="D3890" t="s">
        <v>2311</v>
      </c>
      <c r="E3890" t="s">
        <v>2170</v>
      </c>
    </row>
    <row r="3891" spans="1:5" x14ac:dyDescent="0.25">
      <c r="A3891" t="s">
        <v>1835</v>
      </c>
      <c r="B3891" t="s">
        <v>9851</v>
      </c>
      <c r="C3891" t="s">
        <v>9852</v>
      </c>
      <c r="D3891" t="s">
        <v>2311</v>
      </c>
      <c r="E3891" t="s">
        <v>2170</v>
      </c>
    </row>
    <row r="3892" spans="1:5" x14ac:dyDescent="0.25">
      <c r="A3892" t="s">
        <v>1835</v>
      </c>
      <c r="B3892" t="s">
        <v>9853</v>
      </c>
      <c r="C3892" t="s">
        <v>9854</v>
      </c>
      <c r="D3892" t="s">
        <v>2311</v>
      </c>
      <c r="E3892" t="s">
        <v>2170</v>
      </c>
    </row>
    <row r="3893" spans="1:5" x14ac:dyDescent="0.25">
      <c r="A3893" t="s">
        <v>1835</v>
      </c>
      <c r="B3893" t="s">
        <v>9855</v>
      </c>
      <c r="C3893" t="s">
        <v>9856</v>
      </c>
      <c r="D3893" t="s">
        <v>2311</v>
      </c>
      <c r="E3893" t="s">
        <v>2170</v>
      </c>
    </row>
    <row r="3894" spans="1:5" x14ac:dyDescent="0.25">
      <c r="A3894" t="s">
        <v>1838</v>
      </c>
      <c r="B3894" t="s">
        <v>9857</v>
      </c>
      <c r="C3894" t="s">
        <v>9858</v>
      </c>
      <c r="D3894" t="s">
        <v>8738</v>
      </c>
      <c r="E3894" t="s">
        <v>2170</v>
      </c>
    </row>
    <row r="3895" spans="1:5" x14ac:dyDescent="0.25">
      <c r="A3895" t="s">
        <v>1838</v>
      </c>
      <c r="B3895" t="s">
        <v>9859</v>
      </c>
      <c r="C3895" t="s">
        <v>3220</v>
      </c>
      <c r="D3895" t="s">
        <v>2200</v>
      </c>
      <c r="E3895" t="s">
        <v>2170</v>
      </c>
    </row>
    <row r="3896" spans="1:5" x14ac:dyDescent="0.25">
      <c r="A3896" t="s">
        <v>1838</v>
      </c>
      <c r="B3896" t="s">
        <v>9860</v>
      </c>
      <c r="C3896" t="s">
        <v>7186</v>
      </c>
      <c r="D3896" t="s">
        <v>2200</v>
      </c>
      <c r="E3896" t="s">
        <v>2170</v>
      </c>
    </row>
    <row r="3897" spans="1:5" x14ac:dyDescent="0.25">
      <c r="A3897" t="s">
        <v>1838</v>
      </c>
      <c r="B3897" t="s">
        <v>9861</v>
      </c>
      <c r="C3897" t="s">
        <v>9862</v>
      </c>
      <c r="D3897" t="s">
        <v>2200</v>
      </c>
      <c r="E3897" t="s">
        <v>2170</v>
      </c>
    </row>
    <row r="3898" spans="1:5" x14ac:dyDescent="0.25">
      <c r="A3898" t="s">
        <v>1838</v>
      </c>
      <c r="B3898" t="s">
        <v>9863</v>
      </c>
      <c r="C3898" t="s">
        <v>9864</v>
      </c>
      <c r="D3898" t="s">
        <v>2200</v>
      </c>
      <c r="E3898" t="s">
        <v>2170</v>
      </c>
    </row>
    <row r="3899" spans="1:5" x14ac:dyDescent="0.25">
      <c r="A3899" t="s">
        <v>1838</v>
      </c>
      <c r="B3899" t="s">
        <v>9865</v>
      </c>
      <c r="C3899" t="s">
        <v>9866</v>
      </c>
      <c r="D3899" t="s">
        <v>2200</v>
      </c>
      <c r="E3899" t="s">
        <v>2170</v>
      </c>
    </row>
    <row r="3900" spans="1:5" x14ac:dyDescent="0.25">
      <c r="A3900" t="s">
        <v>1838</v>
      </c>
      <c r="B3900" t="s">
        <v>9867</v>
      </c>
      <c r="C3900" t="s">
        <v>9868</v>
      </c>
      <c r="D3900" t="s">
        <v>2200</v>
      </c>
      <c r="E3900" t="s">
        <v>2170</v>
      </c>
    </row>
    <row r="3901" spans="1:5" x14ac:dyDescent="0.25">
      <c r="A3901" t="s">
        <v>1838</v>
      </c>
      <c r="B3901" t="s">
        <v>9869</v>
      </c>
      <c r="C3901" t="s">
        <v>9870</v>
      </c>
      <c r="D3901" t="s">
        <v>2200</v>
      </c>
      <c r="E3901" t="s">
        <v>2170</v>
      </c>
    </row>
    <row r="3902" spans="1:5" x14ac:dyDescent="0.25">
      <c r="A3902" t="s">
        <v>1838</v>
      </c>
      <c r="B3902" t="s">
        <v>9871</v>
      </c>
      <c r="C3902" t="s">
        <v>9872</v>
      </c>
      <c r="D3902" t="s">
        <v>2200</v>
      </c>
      <c r="E3902" t="s">
        <v>2170</v>
      </c>
    </row>
    <row r="3903" spans="1:5" x14ac:dyDescent="0.25">
      <c r="A3903" t="s">
        <v>1838</v>
      </c>
      <c r="B3903" t="s">
        <v>9873</v>
      </c>
      <c r="C3903" t="s">
        <v>4722</v>
      </c>
      <c r="D3903" t="s">
        <v>2200</v>
      </c>
      <c r="E3903" t="s">
        <v>2170</v>
      </c>
    </row>
    <row r="3904" spans="1:5" x14ac:dyDescent="0.25">
      <c r="A3904" t="s">
        <v>1841</v>
      </c>
      <c r="B3904" t="s">
        <v>9874</v>
      </c>
      <c r="C3904" t="s">
        <v>9875</v>
      </c>
      <c r="D3904" t="s">
        <v>2646</v>
      </c>
      <c r="E3904" t="s">
        <v>2170</v>
      </c>
    </row>
    <row r="3905" spans="1:5" x14ac:dyDescent="0.25">
      <c r="A3905" t="s">
        <v>1841</v>
      </c>
      <c r="B3905" t="s">
        <v>9876</v>
      </c>
      <c r="C3905" t="s">
        <v>9877</v>
      </c>
      <c r="D3905" t="s">
        <v>2646</v>
      </c>
      <c r="E3905" t="s">
        <v>2170</v>
      </c>
    </row>
    <row r="3906" spans="1:5" x14ac:dyDescent="0.25">
      <c r="A3906" t="s">
        <v>1841</v>
      </c>
      <c r="B3906" t="s">
        <v>9878</v>
      </c>
      <c r="C3906" t="s">
        <v>9879</v>
      </c>
      <c r="D3906" t="s">
        <v>2646</v>
      </c>
      <c r="E3906" t="s">
        <v>2170</v>
      </c>
    </row>
    <row r="3907" spans="1:5" x14ac:dyDescent="0.25">
      <c r="A3907" t="s">
        <v>1841</v>
      </c>
      <c r="B3907" t="s">
        <v>9880</v>
      </c>
      <c r="C3907" t="s">
        <v>9881</v>
      </c>
      <c r="D3907" t="s">
        <v>2646</v>
      </c>
      <c r="E3907" t="s">
        <v>2170</v>
      </c>
    </row>
    <row r="3908" spans="1:5" x14ac:dyDescent="0.25">
      <c r="A3908" t="s">
        <v>1841</v>
      </c>
      <c r="B3908" t="s">
        <v>9882</v>
      </c>
      <c r="C3908" t="s">
        <v>9883</v>
      </c>
      <c r="D3908" t="s">
        <v>2646</v>
      </c>
      <c r="E3908" t="s">
        <v>2170</v>
      </c>
    </row>
    <row r="3909" spans="1:5" x14ac:dyDescent="0.25">
      <c r="A3909" t="s">
        <v>1841</v>
      </c>
      <c r="B3909" t="s">
        <v>9884</v>
      </c>
      <c r="C3909" t="s">
        <v>9885</v>
      </c>
      <c r="D3909" t="s">
        <v>2646</v>
      </c>
      <c r="E3909" t="s">
        <v>2170</v>
      </c>
    </row>
    <row r="3910" spans="1:5" x14ac:dyDescent="0.25">
      <c r="A3910" t="s">
        <v>1841</v>
      </c>
      <c r="B3910" t="s">
        <v>9886</v>
      </c>
      <c r="C3910" t="s">
        <v>9887</v>
      </c>
      <c r="D3910" t="s">
        <v>2646</v>
      </c>
      <c r="E3910" t="s">
        <v>2170</v>
      </c>
    </row>
    <row r="3911" spans="1:5" x14ac:dyDescent="0.25">
      <c r="A3911" t="s">
        <v>1841</v>
      </c>
      <c r="B3911" t="s">
        <v>9888</v>
      </c>
      <c r="C3911" t="s">
        <v>9889</v>
      </c>
      <c r="D3911" t="s">
        <v>2646</v>
      </c>
      <c r="E3911" t="s">
        <v>2170</v>
      </c>
    </row>
    <row r="3912" spans="1:5" x14ac:dyDescent="0.25">
      <c r="A3912" t="s">
        <v>1841</v>
      </c>
      <c r="B3912" t="s">
        <v>9890</v>
      </c>
      <c r="C3912" t="s">
        <v>9891</v>
      </c>
      <c r="D3912" t="s">
        <v>2646</v>
      </c>
      <c r="E3912" t="s">
        <v>2170</v>
      </c>
    </row>
    <row r="3913" spans="1:5" x14ac:dyDescent="0.25">
      <c r="A3913" t="s">
        <v>1841</v>
      </c>
      <c r="B3913" t="s">
        <v>9892</v>
      </c>
      <c r="C3913" t="s">
        <v>9893</v>
      </c>
      <c r="D3913" t="s">
        <v>2646</v>
      </c>
      <c r="E3913" t="s">
        <v>2170</v>
      </c>
    </row>
    <row r="3914" spans="1:5" x14ac:dyDescent="0.25">
      <c r="A3914" t="s">
        <v>1841</v>
      </c>
      <c r="B3914" t="s">
        <v>9894</v>
      </c>
      <c r="C3914" t="s">
        <v>9895</v>
      </c>
      <c r="D3914" t="s">
        <v>2646</v>
      </c>
      <c r="E3914" t="s">
        <v>2170</v>
      </c>
    </row>
    <row r="3915" spans="1:5" x14ac:dyDescent="0.25">
      <c r="A3915" t="s">
        <v>1841</v>
      </c>
      <c r="B3915" t="s">
        <v>9896</v>
      </c>
      <c r="C3915" t="s">
        <v>9897</v>
      </c>
      <c r="D3915" t="s">
        <v>2646</v>
      </c>
      <c r="E3915" t="s">
        <v>2170</v>
      </c>
    </row>
    <row r="3916" spans="1:5" x14ac:dyDescent="0.25">
      <c r="A3916" t="s">
        <v>1841</v>
      </c>
      <c r="B3916" t="s">
        <v>9898</v>
      </c>
      <c r="C3916" t="s">
        <v>9899</v>
      </c>
      <c r="D3916" t="s">
        <v>2646</v>
      </c>
      <c r="E3916" t="s">
        <v>2170</v>
      </c>
    </row>
    <row r="3917" spans="1:5" x14ac:dyDescent="0.25">
      <c r="A3917" t="s">
        <v>1841</v>
      </c>
      <c r="B3917" t="s">
        <v>9900</v>
      </c>
      <c r="C3917" t="s">
        <v>9901</v>
      </c>
      <c r="D3917" t="s">
        <v>2646</v>
      </c>
      <c r="E3917" t="s">
        <v>2170</v>
      </c>
    </row>
    <row r="3918" spans="1:5" x14ac:dyDescent="0.25">
      <c r="A3918" t="s">
        <v>1841</v>
      </c>
      <c r="B3918" t="s">
        <v>9902</v>
      </c>
      <c r="C3918" t="s">
        <v>9903</v>
      </c>
      <c r="D3918" t="s">
        <v>2646</v>
      </c>
      <c r="E3918" t="s">
        <v>2170</v>
      </c>
    </row>
    <row r="3919" spans="1:5" x14ac:dyDescent="0.25">
      <c r="A3919" t="s">
        <v>1841</v>
      </c>
      <c r="B3919" t="s">
        <v>9904</v>
      </c>
      <c r="C3919" t="s">
        <v>9905</v>
      </c>
      <c r="D3919" t="s">
        <v>2646</v>
      </c>
      <c r="E3919" t="s">
        <v>2170</v>
      </c>
    </row>
    <row r="3920" spans="1:5" x14ac:dyDescent="0.25">
      <c r="A3920" t="s">
        <v>1841</v>
      </c>
      <c r="B3920" t="s">
        <v>9906</v>
      </c>
      <c r="C3920" t="s">
        <v>9907</v>
      </c>
      <c r="D3920" t="s">
        <v>2646</v>
      </c>
      <c r="E3920" t="s">
        <v>2170</v>
      </c>
    </row>
    <row r="3921" spans="1:5" x14ac:dyDescent="0.25">
      <c r="A3921" t="s">
        <v>1841</v>
      </c>
      <c r="B3921" t="s">
        <v>9908</v>
      </c>
      <c r="C3921" t="s">
        <v>9909</v>
      </c>
      <c r="D3921" t="s">
        <v>2646</v>
      </c>
      <c r="E3921" t="s">
        <v>2170</v>
      </c>
    </row>
    <row r="3922" spans="1:5" x14ac:dyDescent="0.25">
      <c r="A3922" t="s">
        <v>1841</v>
      </c>
      <c r="B3922" t="s">
        <v>9910</v>
      </c>
      <c r="C3922" t="s">
        <v>9911</v>
      </c>
      <c r="D3922" t="s">
        <v>2646</v>
      </c>
      <c r="E3922" t="s">
        <v>2170</v>
      </c>
    </row>
    <row r="3923" spans="1:5" x14ac:dyDescent="0.25">
      <c r="A3923" t="s">
        <v>1841</v>
      </c>
      <c r="B3923" t="s">
        <v>9912</v>
      </c>
      <c r="C3923" t="s">
        <v>9913</v>
      </c>
      <c r="D3923" t="s">
        <v>2646</v>
      </c>
      <c r="E3923" t="s">
        <v>2170</v>
      </c>
    </row>
    <row r="3924" spans="1:5" x14ac:dyDescent="0.25">
      <c r="A3924" t="s">
        <v>1841</v>
      </c>
      <c r="B3924" t="s">
        <v>9914</v>
      </c>
      <c r="C3924" t="s">
        <v>9915</v>
      </c>
      <c r="D3924" t="s">
        <v>2646</v>
      </c>
      <c r="E3924" t="s">
        <v>2170</v>
      </c>
    </row>
    <row r="3925" spans="1:5" x14ac:dyDescent="0.25">
      <c r="A3925" t="s">
        <v>1841</v>
      </c>
      <c r="B3925" t="s">
        <v>9916</v>
      </c>
      <c r="C3925" t="s">
        <v>9917</v>
      </c>
      <c r="D3925" t="s">
        <v>2646</v>
      </c>
      <c r="E3925" t="s">
        <v>2170</v>
      </c>
    </row>
    <row r="3926" spans="1:5" x14ac:dyDescent="0.25">
      <c r="A3926" t="s">
        <v>1841</v>
      </c>
      <c r="B3926" t="s">
        <v>9918</v>
      </c>
      <c r="C3926" t="s">
        <v>9919</v>
      </c>
      <c r="D3926" t="s">
        <v>2646</v>
      </c>
      <c r="E3926" t="s">
        <v>2170</v>
      </c>
    </row>
    <row r="3927" spans="1:5" x14ac:dyDescent="0.25">
      <c r="A3927" t="s">
        <v>1841</v>
      </c>
      <c r="B3927" t="s">
        <v>9920</v>
      </c>
      <c r="C3927" t="s">
        <v>9921</v>
      </c>
      <c r="D3927" t="s">
        <v>2646</v>
      </c>
      <c r="E3927" t="s">
        <v>2170</v>
      </c>
    </row>
    <row r="3928" spans="1:5" x14ac:dyDescent="0.25">
      <c r="A3928" t="s">
        <v>1841</v>
      </c>
      <c r="B3928" t="s">
        <v>9922</v>
      </c>
      <c r="C3928" t="s">
        <v>9923</v>
      </c>
      <c r="D3928" t="s">
        <v>2646</v>
      </c>
      <c r="E3928" t="s">
        <v>2170</v>
      </c>
    </row>
    <row r="3929" spans="1:5" x14ac:dyDescent="0.25">
      <c r="A3929" t="s">
        <v>1841</v>
      </c>
      <c r="B3929" t="s">
        <v>9924</v>
      </c>
      <c r="C3929" t="s">
        <v>9925</v>
      </c>
      <c r="D3929" t="s">
        <v>2646</v>
      </c>
      <c r="E3929" t="s">
        <v>2170</v>
      </c>
    </row>
    <row r="3930" spans="1:5" x14ac:dyDescent="0.25">
      <c r="A3930" t="s">
        <v>1841</v>
      </c>
      <c r="B3930" t="s">
        <v>9926</v>
      </c>
      <c r="C3930" t="s">
        <v>9927</v>
      </c>
      <c r="D3930" t="s">
        <v>2646</v>
      </c>
      <c r="E3930" t="s">
        <v>2170</v>
      </c>
    </row>
    <row r="3931" spans="1:5" x14ac:dyDescent="0.25">
      <c r="A3931" t="s">
        <v>1844</v>
      </c>
      <c r="B3931" t="s">
        <v>9928</v>
      </c>
      <c r="C3931" t="s">
        <v>4455</v>
      </c>
      <c r="D3931" t="s">
        <v>2415</v>
      </c>
      <c r="E3931" t="s">
        <v>2170</v>
      </c>
    </row>
    <row r="3932" spans="1:5" x14ac:dyDescent="0.25">
      <c r="A3932" t="s">
        <v>1844</v>
      </c>
      <c r="B3932" t="s">
        <v>9929</v>
      </c>
      <c r="C3932" t="s">
        <v>9930</v>
      </c>
      <c r="D3932" t="s">
        <v>2415</v>
      </c>
      <c r="E3932" t="s">
        <v>2170</v>
      </c>
    </row>
    <row r="3933" spans="1:5" x14ac:dyDescent="0.25">
      <c r="A3933" t="s">
        <v>1844</v>
      </c>
      <c r="B3933" t="s">
        <v>9931</v>
      </c>
      <c r="C3933" t="s">
        <v>9932</v>
      </c>
      <c r="D3933" t="s">
        <v>2415</v>
      </c>
      <c r="E3933" t="s">
        <v>2170</v>
      </c>
    </row>
    <row r="3934" spans="1:5" x14ac:dyDescent="0.25">
      <c r="A3934" t="s">
        <v>1844</v>
      </c>
      <c r="B3934" t="s">
        <v>9933</v>
      </c>
      <c r="C3934" t="s">
        <v>9934</v>
      </c>
      <c r="D3934" t="s">
        <v>2415</v>
      </c>
      <c r="E3934" t="s">
        <v>2170</v>
      </c>
    </row>
    <row r="3935" spans="1:5" x14ac:dyDescent="0.25">
      <c r="A3935" t="s">
        <v>1844</v>
      </c>
      <c r="B3935" t="s">
        <v>9935</v>
      </c>
      <c r="C3935" t="s">
        <v>9936</v>
      </c>
      <c r="D3935" t="s">
        <v>2415</v>
      </c>
      <c r="E3935" t="s">
        <v>2170</v>
      </c>
    </row>
    <row r="3936" spans="1:5" x14ac:dyDescent="0.25">
      <c r="A3936" t="s">
        <v>1844</v>
      </c>
      <c r="B3936" t="s">
        <v>9937</v>
      </c>
      <c r="C3936" t="s">
        <v>9938</v>
      </c>
      <c r="D3936" t="s">
        <v>2415</v>
      </c>
      <c r="E3936" t="s">
        <v>2170</v>
      </c>
    </row>
    <row r="3937" spans="1:5" x14ac:dyDescent="0.25">
      <c r="A3937" t="s">
        <v>1844</v>
      </c>
      <c r="B3937" t="s">
        <v>9939</v>
      </c>
      <c r="C3937" t="s">
        <v>2969</v>
      </c>
      <c r="D3937" t="s">
        <v>2415</v>
      </c>
      <c r="E3937" t="s">
        <v>2170</v>
      </c>
    </row>
    <row r="3938" spans="1:5" x14ac:dyDescent="0.25">
      <c r="A3938" t="s">
        <v>1844</v>
      </c>
      <c r="B3938" t="s">
        <v>9940</v>
      </c>
      <c r="C3938" t="s">
        <v>9941</v>
      </c>
      <c r="D3938" t="s">
        <v>2415</v>
      </c>
      <c r="E3938" t="s">
        <v>2170</v>
      </c>
    </row>
    <row r="3939" spans="1:5" x14ac:dyDescent="0.25">
      <c r="A3939" t="s">
        <v>1844</v>
      </c>
      <c r="B3939" t="s">
        <v>9942</v>
      </c>
      <c r="C3939" t="s">
        <v>9943</v>
      </c>
      <c r="D3939" t="s">
        <v>2415</v>
      </c>
      <c r="E3939" t="s">
        <v>2170</v>
      </c>
    </row>
    <row r="3940" spans="1:5" x14ac:dyDescent="0.25">
      <c r="A3940" t="s">
        <v>1844</v>
      </c>
      <c r="B3940" t="s">
        <v>9944</v>
      </c>
      <c r="C3940" t="s">
        <v>9945</v>
      </c>
      <c r="D3940" t="s">
        <v>2415</v>
      </c>
      <c r="E3940" t="s">
        <v>2170</v>
      </c>
    </row>
    <row r="3941" spans="1:5" x14ac:dyDescent="0.25">
      <c r="A3941" t="s">
        <v>1844</v>
      </c>
      <c r="B3941" t="s">
        <v>9946</v>
      </c>
      <c r="C3941" t="s">
        <v>9947</v>
      </c>
      <c r="D3941" t="s">
        <v>2415</v>
      </c>
      <c r="E3941" t="s">
        <v>2170</v>
      </c>
    </row>
    <row r="3942" spans="1:5" x14ac:dyDescent="0.25">
      <c r="A3942" t="s">
        <v>1844</v>
      </c>
      <c r="B3942" t="s">
        <v>9948</v>
      </c>
      <c r="C3942" t="s">
        <v>9949</v>
      </c>
      <c r="D3942" t="s">
        <v>2415</v>
      </c>
      <c r="E3942" t="s">
        <v>2170</v>
      </c>
    </row>
    <row r="3943" spans="1:5" x14ac:dyDescent="0.25">
      <c r="A3943" t="s">
        <v>1844</v>
      </c>
      <c r="B3943" t="s">
        <v>9950</v>
      </c>
      <c r="C3943" t="s">
        <v>9951</v>
      </c>
      <c r="D3943" t="s">
        <v>2415</v>
      </c>
      <c r="E3943" t="s">
        <v>2170</v>
      </c>
    </row>
    <row r="3944" spans="1:5" x14ac:dyDescent="0.25">
      <c r="A3944" t="s">
        <v>1844</v>
      </c>
      <c r="B3944" t="s">
        <v>9952</v>
      </c>
      <c r="C3944" t="s">
        <v>9953</v>
      </c>
      <c r="D3944" t="s">
        <v>2415</v>
      </c>
      <c r="E3944" t="s">
        <v>2170</v>
      </c>
    </row>
    <row r="3945" spans="1:5" x14ac:dyDescent="0.25">
      <c r="A3945" t="s">
        <v>1844</v>
      </c>
      <c r="B3945" t="s">
        <v>9954</v>
      </c>
      <c r="C3945" t="s">
        <v>9955</v>
      </c>
      <c r="D3945" t="s">
        <v>2415</v>
      </c>
      <c r="E3945" t="s">
        <v>2170</v>
      </c>
    </row>
    <row r="3946" spans="1:5" x14ac:dyDescent="0.25">
      <c r="A3946" t="s">
        <v>1844</v>
      </c>
      <c r="B3946" t="s">
        <v>9956</v>
      </c>
      <c r="C3946" t="s">
        <v>9957</v>
      </c>
      <c r="D3946" t="s">
        <v>2415</v>
      </c>
      <c r="E3946" t="s">
        <v>2170</v>
      </c>
    </row>
    <row r="3947" spans="1:5" x14ac:dyDescent="0.25">
      <c r="A3947" t="s">
        <v>1844</v>
      </c>
      <c r="B3947" t="s">
        <v>9958</v>
      </c>
      <c r="C3947" t="s">
        <v>9959</v>
      </c>
      <c r="D3947" t="s">
        <v>2415</v>
      </c>
      <c r="E3947" t="s">
        <v>2170</v>
      </c>
    </row>
    <row r="3948" spans="1:5" x14ac:dyDescent="0.25">
      <c r="A3948" t="s">
        <v>1844</v>
      </c>
      <c r="B3948" t="s">
        <v>9960</v>
      </c>
      <c r="C3948" t="s">
        <v>9961</v>
      </c>
      <c r="D3948" t="s">
        <v>2415</v>
      </c>
      <c r="E3948" t="s">
        <v>2170</v>
      </c>
    </row>
    <row r="3949" spans="1:5" x14ac:dyDescent="0.25">
      <c r="A3949" t="s">
        <v>1826</v>
      </c>
      <c r="B3949" t="s">
        <v>9962</v>
      </c>
      <c r="C3949" t="s">
        <v>9963</v>
      </c>
      <c r="D3949" t="s">
        <v>2286</v>
      </c>
      <c r="E3949" t="s">
        <v>2170</v>
      </c>
    </row>
    <row r="3950" spans="1:5" x14ac:dyDescent="0.25">
      <c r="A3950" t="s">
        <v>1826</v>
      </c>
      <c r="B3950" t="s">
        <v>9964</v>
      </c>
      <c r="C3950" t="s">
        <v>9965</v>
      </c>
      <c r="D3950" t="s">
        <v>2286</v>
      </c>
      <c r="E3950" t="s">
        <v>2170</v>
      </c>
    </row>
    <row r="3951" spans="1:5" x14ac:dyDescent="0.25">
      <c r="A3951" t="s">
        <v>1826</v>
      </c>
      <c r="B3951" t="s">
        <v>9966</v>
      </c>
      <c r="C3951" t="s">
        <v>9967</v>
      </c>
      <c r="D3951" t="s">
        <v>2286</v>
      </c>
      <c r="E3951" t="s">
        <v>2170</v>
      </c>
    </row>
    <row r="3952" spans="1:5" x14ac:dyDescent="0.25">
      <c r="A3952" t="s">
        <v>1826</v>
      </c>
      <c r="B3952" t="s">
        <v>9968</v>
      </c>
      <c r="C3952" t="s">
        <v>9969</v>
      </c>
      <c r="D3952" t="s">
        <v>2286</v>
      </c>
      <c r="E3952" t="s">
        <v>2170</v>
      </c>
    </row>
    <row r="3953" spans="1:5" x14ac:dyDescent="0.25">
      <c r="A3953" t="s">
        <v>1826</v>
      </c>
      <c r="B3953" t="s">
        <v>9970</v>
      </c>
      <c r="C3953" t="s">
        <v>9971</v>
      </c>
      <c r="D3953" t="s">
        <v>2286</v>
      </c>
      <c r="E3953" t="s">
        <v>2170</v>
      </c>
    </row>
    <row r="3954" spans="1:5" x14ac:dyDescent="0.25">
      <c r="A3954" t="s">
        <v>1826</v>
      </c>
      <c r="B3954" t="s">
        <v>9972</v>
      </c>
      <c r="C3954" t="s">
        <v>9973</v>
      </c>
      <c r="D3954" t="s">
        <v>2286</v>
      </c>
      <c r="E3954" t="s">
        <v>2170</v>
      </c>
    </row>
    <row r="3955" spans="1:5" x14ac:dyDescent="0.25">
      <c r="A3955" t="s">
        <v>1826</v>
      </c>
      <c r="B3955" t="s">
        <v>9974</v>
      </c>
      <c r="C3955" t="s">
        <v>9975</v>
      </c>
      <c r="D3955" t="s">
        <v>2286</v>
      </c>
      <c r="E3955" t="s">
        <v>2170</v>
      </c>
    </row>
    <row r="3956" spans="1:5" x14ac:dyDescent="0.25">
      <c r="A3956" t="s">
        <v>1826</v>
      </c>
      <c r="B3956" t="s">
        <v>9976</v>
      </c>
      <c r="C3956" t="s">
        <v>9977</v>
      </c>
      <c r="D3956" t="s">
        <v>2286</v>
      </c>
      <c r="E3956" t="s">
        <v>2170</v>
      </c>
    </row>
    <row r="3957" spans="1:5" x14ac:dyDescent="0.25">
      <c r="A3957" t="s">
        <v>1826</v>
      </c>
      <c r="B3957" t="s">
        <v>9978</v>
      </c>
      <c r="C3957" t="s">
        <v>9979</v>
      </c>
      <c r="D3957" t="s">
        <v>2286</v>
      </c>
      <c r="E3957" t="s">
        <v>2170</v>
      </c>
    </row>
    <row r="3958" spans="1:5" x14ac:dyDescent="0.25">
      <c r="A3958" t="s">
        <v>1826</v>
      </c>
      <c r="B3958" t="s">
        <v>9980</v>
      </c>
      <c r="C3958" t="s">
        <v>9981</v>
      </c>
      <c r="D3958" t="s">
        <v>2286</v>
      </c>
      <c r="E3958" t="s">
        <v>2170</v>
      </c>
    </row>
    <row r="3959" spans="1:5" x14ac:dyDescent="0.25">
      <c r="A3959" t="s">
        <v>1826</v>
      </c>
      <c r="B3959" t="s">
        <v>9982</v>
      </c>
      <c r="C3959" t="s">
        <v>9983</v>
      </c>
      <c r="D3959" t="s">
        <v>2286</v>
      </c>
      <c r="E3959" t="s">
        <v>2170</v>
      </c>
    </row>
    <row r="3960" spans="1:5" x14ac:dyDescent="0.25">
      <c r="A3960" t="s">
        <v>1826</v>
      </c>
      <c r="B3960" t="s">
        <v>9984</v>
      </c>
      <c r="C3960" t="s">
        <v>9985</v>
      </c>
      <c r="D3960" t="s">
        <v>2286</v>
      </c>
      <c r="E3960" t="s">
        <v>2170</v>
      </c>
    </row>
    <row r="3961" spans="1:5" x14ac:dyDescent="0.25">
      <c r="A3961" t="s">
        <v>1826</v>
      </c>
      <c r="B3961" t="s">
        <v>9986</v>
      </c>
      <c r="C3961" t="s">
        <v>9987</v>
      </c>
      <c r="D3961" t="s">
        <v>2286</v>
      </c>
      <c r="E3961" t="s">
        <v>2170</v>
      </c>
    </row>
    <row r="3962" spans="1:5" x14ac:dyDescent="0.25">
      <c r="A3962" t="s">
        <v>1826</v>
      </c>
      <c r="B3962" t="s">
        <v>9988</v>
      </c>
      <c r="C3962" t="s">
        <v>9989</v>
      </c>
      <c r="D3962" t="s">
        <v>2286</v>
      </c>
      <c r="E3962" t="s">
        <v>2170</v>
      </c>
    </row>
    <row r="3963" spans="1:5" x14ac:dyDescent="0.25">
      <c r="A3963" t="s">
        <v>1826</v>
      </c>
      <c r="B3963" t="s">
        <v>9990</v>
      </c>
      <c r="C3963" t="s">
        <v>9991</v>
      </c>
      <c r="D3963" t="s">
        <v>2286</v>
      </c>
      <c r="E3963" t="s">
        <v>2170</v>
      </c>
    </row>
    <row r="3964" spans="1:5" x14ac:dyDescent="0.25">
      <c r="A3964" t="s">
        <v>1826</v>
      </c>
      <c r="B3964" t="s">
        <v>9992</v>
      </c>
      <c r="C3964" t="s">
        <v>9993</v>
      </c>
      <c r="D3964" t="s">
        <v>2286</v>
      </c>
      <c r="E3964" t="s">
        <v>2170</v>
      </c>
    </row>
    <row r="3965" spans="1:5" x14ac:dyDescent="0.25">
      <c r="A3965" t="s">
        <v>1826</v>
      </c>
      <c r="B3965" t="s">
        <v>9994</v>
      </c>
      <c r="C3965" t="s">
        <v>9995</v>
      </c>
      <c r="D3965" t="s">
        <v>2286</v>
      </c>
      <c r="E3965" t="s">
        <v>2170</v>
      </c>
    </row>
    <row r="3966" spans="1:5" x14ac:dyDescent="0.25">
      <c r="A3966" t="s">
        <v>1826</v>
      </c>
      <c r="B3966" t="s">
        <v>9996</v>
      </c>
      <c r="C3966" t="s">
        <v>9997</v>
      </c>
      <c r="D3966" t="s">
        <v>2286</v>
      </c>
      <c r="E3966" t="s">
        <v>2170</v>
      </c>
    </row>
    <row r="3967" spans="1:5" x14ac:dyDescent="0.25">
      <c r="A3967" t="s">
        <v>1826</v>
      </c>
      <c r="B3967" t="s">
        <v>9998</v>
      </c>
      <c r="C3967" t="s">
        <v>9999</v>
      </c>
      <c r="D3967" t="s">
        <v>2286</v>
      </c>
      <c r="E3967" t="s">
        <v>2170</v>
      </c>
    </row>
    <row r="3968" spans="1:5" x14ac:dyDescent="0.25">
      <c r="A3968" t="s">
        <v>1826</v>
      </c>
      <c r="B3968" t="s">
        <v>10000</v>
      </c>
      <c r="C3968" t="s">
        <v>10001</v>
      </c>
      <c r="D3968" t="s">
        <v>2286</v>
      </c>
      <c r="E3968" t="s">
        <v>2170</v>
      </c>
    </row>
    <row r="3969" spans="1:5" x14ac:dyDescent="0.25">
      <c r="A3969" t="s">
        <v>1826</v>
      </c>
      <c r="B3969" t="s">
        <v>10002</v>
      </c>
      <c r="C3969" t="s">
        <v>10003</v>
      </c>
      <c r="D3969" t="s">
        <v>2286</v>
      </c>
      <c r="E3969" t="s">
        <v>2170</v>
      </c>
    </row>
    <row r="3970" spans="1:5" x14ac:dyDescent="0.25">
      <c r="A3970" t="s">
        <v>1848</v>
      </c>
      <c r="B3970" t="s">
        <v>10004</v>
      </c>
      <c r="C3970" t="s">
        <v>10005</v>
      </c>
      <c r="D3970" t="s">
        <v>2646</v>
      </c>
      <c r="E3970" t="s">
        <v>2170</v>
      </c>
    </row>
    <row r="3971" spans="1:5" x14ac:dyDescent="0.25">
      <c r="A3971" t="s">
        <v>1848</v>
      </c>
      <c r="B3971" t="s">
        <v>10006</v>
      </c>
      <c r="C3971" t="s">
        <v>3240</v>
      </c>
      <c r="D3971" t="s">
        <v>2646</v>
      </c>
      <c r="E3971" t="s">
        <v>2170</v>
      </c>
    </row>
    <row r="3972" spans="1:5" x14ac:dyDescent="0.25">
      <c r="A3972" t="s">
        <v>1848</v>
      </c>
      <c r="B3972" t="s">
        <v>10007</v>
      </c>
      <c r="C3972" t="s">
        <v>3242</v>
      </c>
      <c r="D3972" t="s">
        <v>2646</v>
      </c>
      <c r="E3972" t="s">
        <v>2170</v>
      </c>
    </row>
    <row r="3973" spans="1:5" x14ac:dyDescent="0.25">
      <c r="A3973" t="s">
        <v>1848</v>
      </c>
      <c r="B3973" t="s">
        <v>10008</v>
      </c>
      <c r="C3973" t="s">
        <v>3246</v>
      </c>
      <c r="D3973" t="s">
        <v>2646</v>
      </c>
      <c r="E3973" t="s">
        <v>2170</v>
      </c>
    </row>
    <row r="3974" spans="1:5" x14ac:dyDescent="0.25">
      <c r="A3974" t="s">
        <v>1848</v>
      </c>
      <c r="B3974" t="s">
        <v>10009</v>
      </c>
      <c r="C3974" t="s">
        <v>10010</v>
      </c>
      <c r="D3974" t="s">
        <v>2646</v>
      </c>
      <c r="E3974" t="s">
        <v>2170</v>
      </c>
    </row>
    <row r="3975" spans="1:5" x14ac:dyDescent="0.25">
      <c r="A3975" t="s">
        <v>1851</v>
      </c>
      <c r="B3975" t="s">
        <v>10011</v>
      </c>
      <c r="C3975" t="s">
        <v>10012</v>
      </c>
      <c r="D3975" t="s">
        <v>3723</v>
      </c>
      <c r="E3975" t="s">
        <v>2170</v>
      </c>
    </row>
    <row r="3976" spans="1:5" x14ac:dyDescent="0.25">
      <c r="A3976" t="s">
        <v>1851</v>
      </c>
      <c r="B3976" t="s">
        <v>10013</v>
      </c>
      <c r="C3976" t="s">
        <v>1231</v>
      </c>
      <c r="D3976" t="s">
        <v>3723</v>
      </c>
      <c r="E3976" t="s">
        <v>2170</v>
      </c>
    </row>
    <row r="3977" spans="1:5" x14ac:dyDescent="0.25">
      <c r="A3977" t="s">
        <v>1851</v>
      </c>
      <c r="B3977" t="s">
        <v>10014</v>
      </c>
      <c r="C3977" t="s">
        <v>10015</v>
      </c>
      <c r="D3977" t="s">
        <v>3723</v>
      </c>
      <c r="E3977" t="s">
        <v>2170</v>
      </c>
    </row>
    <row r="3978" spans="1:5" x14ac:dyDescent="0.25">
      <c r="A3978" t="s">
        <v>1854</v>
      </c>
      <c r="B3978" t="s">
        <v>10016</v>
      </c>
      <c r="C3978" t="s">
        <v>10017</v>
      </c>
      <c r="D3978" t="s">
        <v>2469</v>
      </c>
      <c r="E3978" t="s">
        <v>2170</v>
      </c>
    </row>
    <row r="3979" spans="1:5" x14ac:dyDescent="0.25">
      <c r="A3979" t="s">
        <v>1854</v>
      </c>
      <c r="B3979" t="s">
        <v>10018</v>
      </c>
      <c r="C3979" t="s">
        <v>10019</v>
      </c>
      <c r="D3979" t="s">
        <v>2469</v>
      </c>
      <c r="E3979" t="s">
        <v>2170</v>
      </c>
    </row>
    <row r="3980" spans="1:5" x14ac:dyDescent="0.25">
      <c r="A3980" t="s">
        <v>1854</v>
      </c>
      <c r="B3980" t="s">
        <v>10020</v>
      </c>
      <c r="C3980" t="s">
        <v>10021</v>
      </c>
      <c r="D3980" t="s">
        <v>2469</v>
      </c>
      <c r="E3980" t="s">
        <v>2170</v>
      </c>
    </row>
    <row r="3981" spans="1:5" x14ac:dyDescent="0.25">
      <c r="A3981" t="s">
        <v>1854</v>
      </c>
      <c r="B3981" t="s">
        <v>10022</v>
      </c>
      <c r="C3981" t="s">
        <v>10023</v>
      </c>
      <c r="D3981" t="s">
        <v>2469</v>
      </c>
      <c r="E3981" t="s">
        <v>2170</v>
      </c>
    </row>
    <row r="3982" spans="1:5" x14ac:dyDescent="0.25">
      <c r="A3982" t="s">
        <v>1854</v>
      </c>
      <c r="B3982" t="s">
        <v>10024</v>
      </c>
      <c r="C3982" t="s">
        <v>10025</v>
      </c>
      <c r="D3982" t="s">
        <v>2469</v>
      </c>
      <c r="E3982" t="s">
        <v>2170</v>
      </c>
    </row>
    <row r="3983" spans="1:5" x14ac:dyDescent="0.25">
      <c r="A3983" t="s">
        <v>1854</v>
      </c>
      <c r="B3983" t="s">
        <v>10026</v>
      </c>
      <c r="C3983" t="s">
        <v>10027</v>
      </c>
      <c r="D3983" t="s">
        <v>2469</v>
      </c>
      <c r="E3983" t="s">
        <v>2170</v>
      </c>
    </row>
    <row r="3984" spans="1:5" x14ac:dyDescent="0.25">
      <c r="A3984" t="s">
        <v>1854</v>
      </c>
      <c r="B3984" t="s">
        <v>10028</v>
      </c>
      <c r="C3984" t="s">
        <v>10029</v>
      </c>
      <c r="D3984" t="s">
        <v>2469</v>
      </c>
      <c r="E3984" t="s">
        <v>2170</v>
      </c>
    </row>
    <row r="3985" spans="1:5" x14ac:dyDescent="0.25">
      <c r="A3985" t="s">
        <v>1854</v>
      </c>
      <c r="B3985" t="s">
        <v>10030</v>
      </c>
      <c r="C3985" t="s">
        <v>10031</v>
      </c>
      <c r="D3985" t="s">
        <v>2469</v>
      </c>
      <c r="E3985" t="s">
        <v>2170</v>
      </c>
    </row>
    <row r="3986" spans="1:5" x14ac:dyDescent="0.25">
      <c r="A3986" t="s">
        <v>1854</v>
      </c>
      <c r="B3986" t="s">
        <v>10032</v>
      </c>
      <c r="C3986" t="s">
        <v>10033</v>
      </c>
      <c r="D3986" t="s">
        <v>2469</v>
      </c>
      <c r="E3986" t="s">
        <v>2170</v>
      </c>
    </row>
    <row r="3987" spans="1:5" x14ac:dyDescent="0.25">
      <c r="A3987" t="s">
        <v>1854</v>
      </c>
      <c r="B3987" t="s">
        <v>10034</v>
      </c>
      <c r="C3987" t="s">
        <v>10035</v>
      </c>
      <c r="D3987" t="s">
        <v>2469</v>
      </c>
      <c r="E3987" t="s">
        <v>2170</v>
      </c>
    </row>
    <row r="3988" spans="1:5" x14ac:dyDescent="0.25">
      <c r="A3988" t="s">
        <v>1854</v>
      </c>
      <c r="B3988" t="s">
        <v>10036</v>
      </c>
      <c r="C3988" t="s">
        <v>10037</v>
      </c>
      <c r="D3988" t="s">
        <v>2469</v>
      </c>
      <c r="E3988" t="s">
        <v>2170</v>
      </c>
    </row>
    <row r="3989" spans="1:5" x14ac:dyDescent="0.25">
      <c r="A3989" t="s">
        <v>1854</v>
      </c>
      <c r="B3989" t="s">
        <v>10038</v>
      </c>
      <c r="C3989" t="s">
        <v>10039</v>
      </c>
      <c r="D3989" t="s">
        <v>2469</v>
      </c>
      <c r="E3989" t="s">
        <v>2170</v>
      </c>
    </row>
    <row r="3990" spans="1:5" x14ac:dyDescent="0.25">
      <c r="A3990" t="s">
        <v>1854</v>
      </c>
      <c r="B3990" t="s">
        <v>10040</v>
      </c>
      <c r="C3990" t="s">
        <v>10041</v>
      </c>
      <c r="D3990" t="s">
        <v>2469</v>
      </c>
      <c r="E3990" t="s">
        <v>2170</v>
      </c>
    </row>
    <row r="3991" spans="1:5" x14ac:dyDescent="0.25">
      <c r="A3991" t="s">
        <v>1854</v>
      </c>
      <c r="B3991" t="s">
        <v>10042</v>
      </c>
      <c r="C3991" t="s">
        <v>10043</v>
      </c>
      <c r="D3991" t="s">
        <v>2469</v>
      </c>
      <c r="E3991" t="s">
        <v>2170</v>
      </c>
    </row>
    <row r="3992" spans="1:5" x14ac:dyDescent="0.25">
      <c r="A3992" t="s">
        <v>1854</v>
      </c>
      <c r="B3992" t="s">
        <v>10044</v>
      </c>
      <c r="C3992" t="s">
        <v>10045</v>
      </c>
      <c r="D3992" t="s">
        <v>2469</v>
      </c>
      <c r="E3992" t="s">
        <v>2170</v>
      </c>
    </row>
    <row r="3993" spans="1:5" x14ac:dyDescent="0.25">
      <c r="A3993" t="s">
        <v>1854</v>
      </c>
      <c r="B3993" t="s">
        <v>10046</v>
      </c>
      <c r="C3993" t="s">
        <v>10047</v>
      </c>
      <c r="D3993" t="s">
        <v>2469</v>
      </c>
      <c r="E3993" t="s">
        <v>2170</v>
      </c>
    </row>
    <row r="3994" spans="1:5" x14ac:dyDescent="0.25">
      <c r="A3994" t="s">
        <v>1854</v>
      </c>
      <c r="B3994" t="s">
        <v>10048</v>
      </c>
      <c r="C3994" t="s">
        <v>10049</v>
      </c>
      <c r="D3994" t="s">
        <v>4310</v>
      </c>
      <c r="E3994" t="s">
        <v>2170</v>
      </c>
    </row>
    <row r="3995" spans="1:5" x14ac:dyDescent="0.25">
      <c r="A3995" t="s">
        <v>1854</v>
      </c>
      <c r="B3995" t="s">
        <v>10050</v>
      </c>
      <c r="C3995" t="s">
        <v>10051</v>
      </c>
      <c r="D3995" t="s">
        <v>2469</v>
      </c>
      <c r="E3995" t="s">
        <v>2170</v>
      </c>
    </row>
    <row r="3996" spans="1:5" x14ac:dyDescent="0.25">
      <c r="A3996" t="s">
        <v>1854</v>
      </c>
      <c r="B3996" t="s">
        <v>10052</v>
      </c>
      <c r="C3996" t="s">
        <v>10053</v>
      </c>
      <c r="D3996" t="s">
        <v>2469</v>
      </c>
      <c r="E3996" t="s">
        <v>2170</v>
      </c>
    </row>
    <row r="3997" spans="1:5" x14ac:dyDescent="0.25">
      <c r="A3997" t="s">
        <v>1854</v>
      </c>
      <c r="B3997" t="s">
        <v>10054</v>
      </c>
      <c r="C3997" t="s">
        <v>10055</v>
      </c>
      <c r="D3997" t="s">
        <v>2469</v>
      </c>
      <c r="E3997" t="s">
        <v>2170</v>
      </c>
    </row>
    <row r="3998" spans="1:5" x14ac:dyDescent="0.25">
      <c r="A3998" t="s">
        <v>1854</v>
      </c>
      <c r="B3998" t="s">
        <v>10056</v>
      </c>
      <c r="C3998" t="s">
        <v>10057</v>
      </c>
      <c r="D3998" t="s">
        <v>2469</v>
      </c>
      <c r="E3998" t="s">
        <v>2170</v>
      </c>
    </row>
    <row r="3999" spans="1:5" x14ac:dyDescent="0.25">
      <c r="A3999" t="s">
        <v>1854</v>
      </c>
      <c r="B3999" t="s">
        <v>10058</v>
      </c>
      <c r="C3999" t="s">
        <v>10059</v>
      </c>
      <c r="D3999" t="s">
        <v>2469</v>
      </c>
      <c r="E3999" t="s">
        <v>2170</v>
      </c>
    </row>
    <row r="4000" spans="1:5" x14ac:dyDescent="0.25">
      <c r="A4000" t="s">
        <v>1854</v>
      </c>
      <c r="B4000" t="s">
        <v>10060</v>
      </c>
      <c r="C4000" t="s">
        <v>10061</v>
      </c>
      <c r="D4000" t="s">
        <v>2469</v>
      </c>
      <c r="E4000" t="s">
        <v>2170</v>
      </c>
    </row>
    <row r="4001" spans="1:5" x14ac:dyDescent="0.25">
      <c r="A4001" t="s">
        <v>1854</v>
      </c>
      <c r="B4001" t="s">
        <v>10062</v>
      </c>
      <c r="C4001" t="s">
        <v>10063</v>
      </c>
      <c r="D4001" t="s">
        <v>2469</v>
      </c>
      <c r="E4001" t="s">
        <v>2170</v>
      </c>
    </row>
    <row r="4002" spans="1:5" x14ac:dyDescent="0.25">
      <c r="A4002" t="s">
        <v>1854</v>
      </c>
      <c r="B4002" t="s">
        <v>10064</v>
      </c>
      <c r="C4002" t="s">
        <v>10065</v>
      </c>
      <c r="D4002" t="s">
        <v>2469</v>
      </c>
      <c r="E4002" t="s">
        <v>2170</v>
      </c>
    </row>
    <row r="4003" spans="1:5" x14ac:dyDescent="0.25">
      <c r="A4003" t="s">
        <v>1854</v>
      </c>
      <c r="B4003" t="s">
        <v>10066</v>
      </c>
      <c r="C4003" t="s">
        <v>10067</v>
      </c>
      <c r="D4003" t="s">
        <v>2469</v>
      </c>
      <c r="E4003" t="s">
        <v>2170</v>
      </c>
    </row>
    <row r="4004" spans="1:5" x14ac:dyDescent="0.25">
      <c r="A4004" t="s">
        <v>1854</v>
      </c>
      <c r="B4004" t="s">
        <v>10068</v>
      </c>
      <c r="C4004" t="s">
        <v>10069</v>
      </c>
      <c r="D4004" t="s">
        <v>2469</v>
      </c>
      <c r="E4004" t="s">
        <v>2170</v>
      </c>
    </row>
    <row r="4005" spans="1:5" x14ac:dyDescent="0.25">
      <c r="A4005" t="s">
        <v>1854</v>
      </c>
      <c r="B4005" t="s">
        <v>10070</v>
      </c>
      <c r="C4005" t="s">
        <v>10071</v>
      </c>
      <c r="D4005" t="s">
        <v>2469</v>
      </c>
      <c r="E4005" t="s">
        <v>2170</v>
      </c>
    </row>
    <row r="4006" spans="1:5" x14ac:dyDescent="0.25">
      <c r="A4006" t="s">
        <v>1854</v>
      </c>
      <c r="B4006" t="s">
        <v>10072</v>
      </c>
      <c r="C4006" t="s">
        <v>10073</v>
      </c>
      <c r="D4006" t="s">
        <v>2469</v>
      </c>
      <c r="E4006" t="s">
        <v>2170</v>
      </c>
    </row>
    <row r="4007" spans="1:5" x14ac:dyDescent="0.25">
      <c r="A4007" t="s">
        <v>1854</v>
      </c>
      <c r="B4007" t="s">
        <v>10074</v>
      </c>
      <c r="C4007" t="s">
        <v>10075</v>
      </c>
      <c r="D4007" t="s">
        <v>2469</v>
      </c>
      <c r="E4007" t="s">
        <v>2170</v>
      </c>
    </row>
    <row r="4008" spans="1:5" x14ac:dyDescent="0.25">
      <c r="A4008" t="s">
        <v>1854</v>
      </c>
      <c r="B4008" t="s">
        <v>10076</v>
      </c>
      <c r="C4008" t="s">
        <v>10077</v>
      </c>
      <c r="D4008" t="s">
        <v>2469</v>
      </c>
      <c r="E4008" t="s">
        <v>2170</v>
      </c>
    </row>
    <row r="4009" spans="1:5" x14ac:dyDescent="0.25">
      <c r="A4009" t="s">
        <v>1854</v>
      </c>
      <c r="B4009" t="s">
        <v>10078</v>
      </c>
      <c r="C4009" t="s">
        <v>10079</v>
      </c>
      <c r="D4009" t="s">
        <v>2469</v>
      </c>
      <c r="E4009" t="s">
        <v>2170</v>
      </c>
    </row>
    <row r="4010" spans="1:5" x14ac:dyDescent="0.25">
      <c r="A4010" t="s">
        <v>1854</v>
      </c>
      <c r="B4010" t="s">
        <v>10080</v>
      </c>
      <c r="C4010" t="s">
        <v>10081</v>
      </c>
      <c r="D4010" t="s">
        <v>2469</v>
      </c>
      <c r="E4010" t="s">
        <v>2170</v>
      </c>
    </row>
    <row r="4011" spans="1:5" x14ac:dyDescent="0.25">
      <c r="A4011" t="s">
        <v>1854</v>
      </c>
      <c r="B4011" t="s">
        <v>10082</v>
      </c>
      <c r="C4011" t="s">
        <v>10083</v>
      </c>
      <c r="D4011" t="s">
        <v>2469</v>
      </c>
      <c r="E4011" t="s">
        <v>2170</v>
      </c>
    </row>
    <row r="4012" spans="1:5" x14ac:dyDescent="0.25">
      <c r="A4012" t="s">
        <v>1854</v>
      </c>
      <c r="B4012" t="s">
        <v>10084</v>
      </c>
      <c r="C4012" t="s">
        <v>10085</v>
      </c>
      <c r="D4012" t="s">
        <v>2469</v>
      </c>
      <c r="E4012" t="s">
        <v>2170</v>
      </c>
    </row>
    <row r="4013" spans="1:5" x14ac:dyDescent="0.25">
      <c r="A4013" t="s">
        <v>1854</v>
      </c>
      <c r="B4013" t="s">
        <v>10086</v>
      </c>
      <c r="C4013" t="s">
        <v>10087</v>
      </c>
      <c r="D4013" t="s">
        <v>2469</v>
      </c>
      <c r="E4013" t="s">
        <v>2170</v>
      </c>
    </row>
    <row r="4014" spans="1:5" x14ac:dyDescent="0.25">
      <c r="A4014" t="s">
        <v>1854</v>
      </c>
      <c r="B4014" t="s">
        <v>10088</v>
      </c>
      <c r="C4014" t="s">
        <v>10089</v>
      </c>
      <c r="D4014" t="s">
        <v>2469</v>
      </c>
      <c r="E4014" t="s">
        <v>2170</v>
      </c>
    </row>
    <row r="4015" spans="1:5" x14ac:dyDescent="0.25">
      <c r="A4015" t="s">
        <v>1854</v>
      </c>
      <c r="B4015" t="s">
        <v>10090</v>
      </c>
      <c r="C4015" t="s">
        <v>10091</v>
      </c>
      <c r="D4015" t="s">
        <v>2469</v>
      </c>
      <c r="E4015" t="s">
        <v>2170</v>
      </c>
    </row>
    <row r="4016" spans="1:5" x14ac:dyDescent="0.25">
      <c r="A4016" t="s">
        <v>1854</v>
      </c>
      <c r="B4016" t="s">
        <v>10092</v>
      </c>
      <c r="C4016" t="s">
        <v>10093</v>
      </c>
      <c r="D4016" t="s">
        <v>2469</v>
      </c>
      <c r="E4016" t="s">
        <v>2170</v>
      </c>
    </row>
    <row r="4017" spans="1:5" x14ac:dyDescent="0.25">
      <c r="A4017" t="s">
        <v>1854</v>
      </c>
      <c r="B4017" t="s">
        <v>10094</v>
      </c>
      <c r="C4017" t="s">
        <v>10095</v>
      </c>
      <c r="D4017" t="s">
        <v>2469</v>
      </c>
      <c r="E4017" t="s">
        <v>2170</v>
      </c>
    </row>
    <row r="4018" spans="1:5" x14ac:dyDescent="0.25">
      <c r="A4018" t="s">
        <v>1854</v>
      </c>
      <c r="B4018" t="s">
        <v>10096</v>
      </c>
      <c r="C4018" t="s">
        <v>10097</v>
      </c>
      <c r="D4018" t="s">
        <v>2469</v>
      </c>
      <c r="E4018" t="s">
        <v>2170</v>
      </c>
    </row>
    <row r="4019" spans="1:5" x14ac:dyDescent="0.25">
      <c r="A4019" t="s">
        <v>1854</v>
      </c>
      <c r="B4019" t="s">
        <v>10098</v>
      </c>
      <c r="C4019" t="s">
        <v>10099</v>
      </c>
      <c r="D4019" t="s">
        <v>2469</v>
      </c>
      <c r="E4019" t="s">
        <v>2170</v>
      </c>
    </row>
    <row r="4020" spans="1:5" x14ac:dyDescent="0.25">
      <c r="A4020" t="s">
        <v>1854</v>
      </c>
      <c r="B4020" t="s">
        <v>10100</v>
      </c>
      <c r="C4020" t="s">
        <v>10101</v>
      </c>
      <c r="D4020" t="s">
        <v>2469</v>
      </c>
      <c r="E4020" t="s">
        <v>2170</v>
      </c>
    </row>
    <row r="4021" spans="1:5" x14ac:dyDescent="0.25">
      <c r="A4021" t="s">
        <v>1854</v>
      </c>
      <c r="B4021" t="s">
        <v>10102</v>
      </c>
      <c r="C4021" t="s">
        <v>10103</v>
      </c>
      <c r="D4021" t="s">
        <v>2469</v>
      </c>
      <c r="E4021" t="s">
        <v>2170</v>
      </c>
    </row>
    <row r="4022" spans="1:5" x14ac:dyDescent="0.25">
      <c r="A4022" t="s">
        <v>1854</v>
      </c>
      <c r="B4022" t="s">
        <v>10104</v>
      </c>
      <c r="C4022" t="s">
        <v>10105</v>
      </c>
      <c r="D4022" t="s">
        <v>2469</v>
      </c>
      <c r="E4022" t="s">
        <v>2170</v>
      </c>
    </row>
    <row r="4023" spans="1:5" x14ac:dyDescent="0.25">
      <c r="A4023" t="s">
        <v>1854</v>
      </c>
      <c r="B4023" t="s">
        <v>10106</v>
      </c>
      <c r="C4023" t="s">
        <v>10107</v>
      </c>
      <c r="D4023" t="s">
        <v>2469</v>
      </c>
      <c r="E4023" t="s">
        <v>2170</v>
      </c>
    </row>
    <row r="4024" spans="1:5" x14ac:dyDescent="0.25">
      <c r="A4024" t="s">
        <v>1854</v>
      </c>
      <c r="B4024" t="s">
        <v>10108</v>
      </c>
      <c r="C4024" t="s">
        <v>10109</v>
      </c>
      <c r="D4024" t="s">
        <v>2469</v>
      </c>
      <c r="E4024" t="s">
        <v>2170</v>
      </c>
    </row>
    <row r="4025" spans="1:5" x14ac:dyDescent="0.25">
      <c r="A4025" t="s">
        <v>1854</v>
      </c>
      <c r="B4025" t="s">
        <v>10110</v>
      </c>
      <c r="C4025" t="s">
        <v>10111</v>
      </c>
      <c r="D4025" t="s">
        <v>2469</v>
      </c>
      <c r="E4025" t="s">
        <v>2170</v>
      </c>
    </row>
    <row r="4026" spans="1:5" x14ac:dyDescent="0.25">
      <c r="A4026" t="s">
        <v>1854</v>
      </c>
      <c r="B4026" t="s">
        <v>10112</v>
      </c>
      <c r="C4026" t="s">
        <v>10113</v>
      </c>
      <c r="D4026" t="s">
        <v>2469</v>
      </c>
      <c r="E4026" t="s">
        <v>2170</v>
      </c>
    </row>
    <row r="4027" spans="1:5" x14ac:dyDescent="0.25">
      <c r="A4027" t="s">
        <v>1854</v>
      </c>
      <c r="B4027" t="s">
        <v>10114</v>
      </c>
      <c r="C4027" t="s">
        <v>10115</v>
      </c>
      <c r="D4027" t="s">
        <v>2469</v>
      </c>
      <c r="E4027" t="s">
        <v>2170</v>
      </c>
    </row>
    <row r="4028" spans="1:5" x14ac:dyDescent="0.25">
      <c r="A4028" t="s">
        <v>1854</v>
      </c>
      <c r="B4028" t="s">
        <v>10116</v>
      </c>
      <c r="C4028" t="s">
        <v>10117</v>
      </c>
      <c r="D4028" t="s">
        <v>2469</v>
      </c>
      <c r="E4028" t="s">
        <v>2170</v>
      </c>
    </row>
    <row r="4029" spans="1:5" x14ac:dyDescent="0.25">
      <c r="A4029" t="s">
        <v>1854</v>
      </c>
      <c r="B4029" t="s">
        <v>10118</v>
      </c>
      <c r="C4029" t="s">
        <v>10119</v>
      </c>
      <c r="D4029" t="s">
        <v>2469</v>
      </c>
      <c r="E4029" t="s">
        <v>2170</v>
      </c>
    </row>
    <row r="4030" spans="1:5" x14ac:dyDescent="0.25">
      <c r="A4030" t="s">
        <v>1854</v>
      </c>
      <c r="B4030" t="s">
        <v>10120</v>
      </c>
      <c r="C4030" t="s">
        <v>10121</v>
      </c>
      <c r="D4030" t="s">
        <v>2469</v>
      </c>
      <c r="E4030" t="s">
        <v>2170</v>
      </c>
    </row>
    <row r="4031" spans="1:5" x14ac:dyDescent="0.25">
      <c r="A4031" t="s">
        <v>1854</v>
      </c>
      <c r="B4031" t="s">
        <v>10122</v>
      </c>
      <c r="C4031" t="s">
        <v>10123</v>
      </c>
      <c r="D4031" t="s">
        <v>2469</v>
      </c>
      <c r="E4031" t="s">
        <v>2170</v>
      </c>
    </row>
    <row r="4032" spans="1:5" x14ac:dyDescent="0.25">
      <c r="A4032" t="s">
        <v>1854</v>
      </c>
      <c r="B4032" t="s">
        <v>10124</v>
      </c>
      <c r="C4032" t="s">
        <v>10125</v>
      </c>
      <c r="D4032" t="s">
        <v>2469</v>
      </c>
      <c r="E4032" t="s">
        <v>2170</v>
      </c>
    </row>
    <row r="4033" spans="1:5" x14ac:dyDescent="0.25">
      <c r="A4033" t="s">
        <v>1854</v>
      </c>
      <c r="B4033" t="s">
        <v>10126</v>
      </c>
      <c r="C4033" t="s">
        <v>10127</v>
      </c>
      <c r="D4033" t="s">
        <v>2469</v>
      </c>
      <c r="E4033" t="s">
        <v>2170</v>
      </c>
    </row>
    <row r="4034" spans="1:5" x14ac:dyDescent="0.25">
      <c r="A4034" t="s">
        <v>1854</v>
      </c>
      <c r="B4034" t="s">
        <v>10128</v>
      </c>
      <c r="C4034" t="s">
        <v>10129</v>
      </c>
      <c r="D4034" t="s">
        <v>2469</v>
      </c>
      <c r="E4034" t="s">
        <v>2170</v>
      </c>
    </row>
    <row r="4035" spans="1:5" x14ac:dyDescent="0.25">
      <c r="A4035" t="s">
        <v>1854</v>
      </c>
      <c r="B4035" t="s">
        <v>10130</v>
      </c>
      <c r="C4035" t="s">
        <v>10131</v>
      </c>
      <c r="D4035" t="s">
        <v>2469</v>
      </c>
      <c r="E4035" t="s">
        <v>2170</v>
      </c>
    </row>
    <row r="4036" spans="1:5" x14ac:dyDescent="0.25">
      <c r="A4036" t="s">
        <v>1854</v>
      </c>
      <c r="B4036" t="s">
        <v>10132</v>
      </c>
      <c r="C4036" t="s">
        <v>10133</v>
      </c>
      <c r="D4036" t="s">
        <v>2469</v>
      </c>
      <c r="E4036" t="s">
        <v>2170</v>
      </c>
    </row>
    <row r="4037" spans="1:5" x14ac:dyDescent="0.25">
      <c r="A4037" t="s">
        <v>1854</v>
      </c>
      <c r="B4037" t="s">
        <v>10134</v>
      </c>
      <c r="C4037" t="s">
        <v>10135</v>
      </c>
      <c r="D4037" t="s">
        <v>2469</v>
      </c>
      <c r="E4037" t="s">
        <v>2170</v>
      </c>
    </row>
    <row r="4038" spans="1:5" x14ac:dyDescent="0.25">
      <c r="A4038" t="s">
        <v>1854</v>
      </c>
      <c r="B4038" t="s">
        <v>10136</v>
      </c>
      <c r="C4038" t="s">
        <v>10137</v>
      </c>
      <c r="D4038" t="s">
        <v>2469</v>
      </c>
      <c r="E4038" t="s">
        <v>2170</v>
      </c>
    </row>
    <row r="4039" spans="1:5" x14ac:dyDescent="0.25">
      <c r="A4039" t="s">
        <v>1854</v>
      </c>
      <c r="B4039" t="s">
        <v>10138</v>
      </c>
      <c r="C4039" t="s">
        <v>10139</v>
      </c>
      <c r="D4039" t="s">
        <v>2469</v>
      </c>
      <c r="E4039" t="s">
        <v>2170</v>
      </c>
    </row>
    <row r="4040" spans="1:5" x14ac:dyDescent="0.25">
      <c r="A4040" t="s">
        <v>1854</v>
      </c>
      <c r="B4040" t="s">
        <v>10140</v>
      </c>
      <c r="C4040" t="s">
        <v>10141</v>
      </c>
      <c r="D4040" t="s">
        <v>2469</v>
      </c>
      <c r="E4040" t="s">
        <v>2170</v>
      </c>
    </row>
    <row r="4041" spans="1:5" x14ac:dyDescent="0.25">
      <c r="A4041" t="s">
        <v>1854</v>
      </c>
      <c r="B4041" t="s">
        <v>10142</v>
      </c>
      <c r="C4041" t="s">
        <v>10143</v>
      </c>
      <c r="D4041" t="s">
        <v>2469</v>
      </c>
      <c r="E4041" t="s">
        <v>2170</v>
      </c>
    </row>
    <row r="4042" spans="1:5" x14ac:dyDescent="0.25">
      <c r="A4042" t="s">
        <v>1854</v>
      </c>
      <c r="B4042" t="s">
        <v>10144</v>
      </c>
      <c r="C4042" t="s">
        <v>10145</v>
      </c>
      <c r="D4042" t="s">
        <v>2469</v>
      </c>
      <c r="E4042" t="s">
        <v>2170</v>
      </c>
    </row>
    <row r="4043" spans="1:5" x14ac:dyDescent="0.25">
      <c r="A4043" t="s">
        <v>1854</v>
      </c>
      <c r="B4043" t="s">
        <v>10146</v>
      </c>
      <c r="C4043" t="s">
        <v>10147</v>
      </c>
      <c r="D4043" t="s">
        <v>2469</v>
      </c>
      <c r="E4043" t="s">
        <v>2170</v>
      </c>
    </row>
    <row r="4044" spans="1:5" x14ac:dyDescent="0.25">
      <c r="A4044" t="s">
        <v>1854</v>
      </c>
      <c r="B4044" t="s">
        <v>10148</v>
      </c>
      <c r="C4044" t="s">
        <v>10149</v>
      </c>
      <c r="D4044" t="s">
        <v>2469</v>
      </c>
      <c r="E4044" t="s">
        <v>2170</v>
      </c>
    </row>
    <row r="4045" spans="1:5" x14ac:dyDescent="0.25">
      <c r="A4045" t="s">
        <v>1854</v>
      </c>
      <c r="B4045" t="s">
        <v>10150</v>
      </c>
      <c r="C4045" t="s">
        <v>10151</v>
      </c>
      <c r="D4045" t="s">
        <v>2469</v>
      </c>
      <c r="E4045" t="s">
        <v>2170</v>
      </c>
    </row>
    <row r="4046" spans="1:5" x14ac:dyDescent="0.25">
      <c r="A4046" t="s">
        <v>1854</v>
      </c>
      <c r="B4046" t="s">
        <v>10152</v>
      </c>
      <c r="C4046" t="s">
        <v>10153</v>
      </c>
      <c r="D4046" t="s">
        <v>4310</v>
      </c>
      <c r="E4046" t="s">
        <v>2170</v>
      </c>
    </row>
    <row r="4047" spans="1:5" x14ac:dyDescent="0.25">
      <c r="A4047" t="s">
        <v>1854</v>
      </c>
      <c r="B4047" t="s">
        <v>10154</v>
      </c>
      <c r="C4047" t="s">
        <v>10155</v>
      </c>
      <c r="D4047" t="s">
        <v>2469</v>
      </c>
      <c r="E4047" t="s">
        <v>2170</v>
      </c>
    </row>
    <row r="4048" spans="1:5" x14ac:dyDescent="0.25">
      <c r="A4048" t="s">
        <v>1854</v>
      </c>
      <c r="B4048" t="s">
        <v>10156</v>
      </c>
      <c r="C4048" t="s">
        <v>10157</v>
      </c>
      <c r="D4048" t="s">
        <v>2469</v>
      </c>
      <c r="E4048" t="s">
        <v>2170</v>
      </c>
    </row>
    <row r="4049" spans="1:5" x14ac:dyDescent="0.25">
      <c r="A4049" t="s">
        <v>1854</v>
      </c>
      <c r="B4049" t="s">
        <v>10158</v>
      </c>
      <c r="C4049" t="s">
        <v>10159</v>
      </c>
      <c r="D4049" t="s">
        <v>2469</v>
      </c>
      <c r="E4049" t="s">
        <v>2170</v>
      </c>
    </row>
    <row r="4050" spans="1:5" x14ac:dyDescent="0.25">
      <c r="A4050" t="s">
        <v>1854</v>
      </c>
      <c r="B4050" t="s">
        <v>10160</v>
      </c>
      <c r="C4050" t="s">
        <v>10161</v>
      </c>
      <c r="D4050" t="s">
        <v>4310</v>
      </c>
      <c r="E4050" t="s">
        <v>2170</v>
      </c>
    </row>
    <row r="4051" spans="1:5" x14ac:dyDescent="0.25">
      <c r="A4051" t="s">
        <v>1854</v>
      </c>
      <c r="B4051" t="s">
        <v>10162</v>
      </c>
      <c r="C4051" t="s">
        <v>10163</v>
      </c>
      <c r="D4051" t="s">
        <v>2469</v>
      </c>
      <c r="E4051" t="s">
        <v>2170</v>
      </c>
    </row>
    <row r="4052" spans="1:5" x14ac:dyDescent="0.25">
      <c r="A4052" t="s">
        <v>1854</v>
      </c>
      <c r="B4052" t="s">
        <v>10164</v>
      </c>
      <c r="C4052" t="s">
        <v>10165</v>
      </c>
      <c r="D4052" t="s">
        <v>2469</v>
      </c>
      <c r="E4052" t="s">
        <v>2170</v>
      </c>
    </row>
    <row r="4053" spans="1:5" x14ac:dyDescent="0.25">
      <c r="A4053" t="s">
        <v>1854</v>
      </c>
      <c r="B4053" t="s">
        <v>10166</v>
      </c>
      <c r="C4053" t="s">
        <v>10167</v>
      </c>
      <c r="D4053" t="s">
        <v>4310</v>
      </c>
      <c r="E4053" t="s">
        <v>2170</v>
      </c>
    </row>
    <row r="4054" spans="1:5" x14ac:dyDescent="0.25">
      <c r="A4054" t="s">
        <v>1854</v>
      </c>
      <c r="B4054" t="s">
        <v>10168</v>
      </c>
      <c r="C4054" t="s">
        <v>10169</v>
      </c>
      <c r="D4054" t="s">
        <v>2469</v>
      </c>
      <c r="E4054" t="s">
        <v>2170</v>
      </c>
    </row>
    <row r="4055" spans="1:5" x14ac:dyDescent="0.25">
      <c r="A4055" t="s">
        <v>1854</v>
      </c>
      <c r="B4055" t="s">
        <v>10170</v>
      </c>
      <c r="C4055" t="s">
        <v>10171</v>
      </c>
      <c r="D4055" t="s">
        <v>2469</v>
      </c>
      <c r="E4055" t="s">
        <v>2170</v>
      </c>
    </row>
    <row r="4056" spans="1:5" x14ac:dyDescent="0.25">
      <c r="A4056" t="s">
        <v>1854</v>
      </c>
      <c r="B4056" t="s">
        <v>10172</v>
      </c>
      <c r="C4056" t="s">
        <v>10173</v>
      </c>
      <c r="D4056" t="s">
        <v>2469</v>
      </c>
      <c r="E4056" t="s">
        <v>2170</v>
      </c>
    </row>
    <row r="4057" spans="1:5" x14ac:dyDescent="0.25">
      <c r="A4057" t="s">
        <v>1854</v>
      </c>
      <c r="B4057" t="s">
        <v>10174</v>
      </c>
      <c r="C4057" t="s">
        <v>10175</v>
      </c>
      <c r="D4057" t="s">
        <v>2469</v>
      </c>
      <c r="E4057" t="s">
        <v>2170</v>
      </c>
    </row>
    <row r="4058" spans="1:5" x14ac:dyDescent="0.25">
      <c r="A4058" t="s">
        <v>1854</v>
      </c>
      <c r="B4058" t="s">
        <v>10176</v>
      </c>
      <c r="C4058" t="s">
        <v>10177</v>
      </c>
      <c r="D4058" t="s">
        <v>2469</v>
      </c>
      <c r="E4058" t="s">
        <v>2170</v>
      </c>
    </row>
    <row r="4059" spans="1:5" x14ac:dyDescent="0.25">
      <c r="A4059" t="s">
        <v>1854</v>
      </c>
      <c r="B4059" t="s">
        <v>10178</v>
      </c>
      <c r="C4059" t="s">
        <v>10179</v>
      </c>
      <c r="D4059" t="s">
        <v>2469</v>
      </c>
      <c r="E4059" t="s">
        <v>2170</v>
      </c>
    </row>
    <row r="4060" spans="1:5" x14ac:dyDescent="0.25">
      <c r="A4060" t="s">
        <v>1854</v>
      </c>
      <c r="B4060" t="s">
        <v>10180</v>
      </c>
      <c r="C4060" t="s">
        <v>1853</v>
      </c>
      <c r="D4060" t="s">
        <v>4310</v>
      </c>
      <c r="E4060" t="s">
        <v>2170</v>
      </c>
    </row>
    <row r="4061" spans="1:5" x14ac:dyDescent="0.25">
      <c r="A4061" t="s">
        <v>1854</v>
      </c>
      <c r="B4061" t="s">
        <v>10181</v>
      </c>
      <c r="C4061" t="s">
        <v>10182</v>
      </c>
      <c r="D4061" t="s">
        <v>2469</v>
      </c>
      <c r="E4061" t="s">
        <v>2170</v>
      </c>
    </row>
    <row r="4062" spans="1:5" x14ac:dyDescent="0.25">
      <c r="A4062" t="s">
        <v>1854</v>
      </c>
      <c r="B4062" t="s">
        <v>10183</v>
      </c>
      <c r="C4062" t="s">
        <v>10184</v>
      </c>
      <c r="D4062" t="s">
        <v>2469</v>
      </c>
      <c r="E4062" t="s">
        <v>2170</v>
      </c>
    </row>
    <row r="4063" spans="1:5" x14ac:dyDescent="0.25">
      <c r="A4063" t="s">
        <v>1854</v>
      </c>
      <c r="B4063" t="s">
        <v>10185</v>
      </c>
      <c r="C4063" t="s">
        <v>10186</v>
      </c>
      <c r="D4063" t="s">
        <v>2469</v>
      </c>
      <c r="E4063" t="s">
        <v>2170</v>
      </c>
    </row>
    <row r="4064" spans="1:5" x14ac:dyDescent="0.25">
      <c r="A4064" t="s">
        <v>1854</v>
      </c>
      <c r="B4064" t="s">
        <v>10187</v>
      </c>
      <c r="C4064" t="s">
        <v>10188</v>
      </c>
      <c r="D4064" t="s">
        <v>2469</v>
      </c>
      <c r="E4064" t="s">
        <v>2170</v>
      </c>
    </row>
    <row r="4065" spans="1:5" x14ac:dyDescent="0.25">
      <c r="A4065" t="s">
        <v>1854</v>
      </c>
      <c r="B4065" t="s">
        <v>10189</v>
      </c>
      <c r="C4065" t="s">
        <v>10190</v>
      </c>
      <c r="D4065" t="s">
        <v>2469</v>
      </c>
      <c r="E4065" t="s">
        <v>2170</v>
      </c>
    </row>
    <row r="4066" spans="1:5" x14ac:dyDescent="0.25">
      <c r="A4066" t="s">
        <v>1854</v>
      </c>
      <c r="B4066" t="s">
        <v>10191</v>
      </c>
      <c r="C4066" t="s">
        <v>10192</v>
      </c>
      <c r="D4066" t="s">
        <v>2469</v>
      </c>
      <c r="E4066" t="s">
        <v>2170</v>
      </c>
    </row>
    <row r="4067" spans="1:5" x14ac:dyDescent="0.25">
      <c r="A4067" t="s">
        <v>1854</v>
      </c>
      <c r="B4067" t="s">
        <v>10193</v>
      </c>
      <c r="C4067" t="s">
        <v>10194</v>
      </c>
      <c r="D4067" t="s">
        <v>2469</v>
      </c>
      <c r="E4067" t="s">
        <v>2170</v>
      </c>
    </row>
    <row r="4068" spans="1:5" x14ac:dyDescent="0.25">
      <c r="A4068" t="s">
        <v>1854</v>
      </c>
      <c r="B4068" t="s">
        <v>10195</v>
      </c>
      <c r="C4068" t="s">
        <v>10196</v>
      </c>
      <c r="D4068" t="s">
        <v>2469</v>
      </c>
      <c r="E4068" t="s">
        <v>2170</v>
      </c>
    </row>
    <row r="4069" spans="1:5" x14ac:dyDescent="0.25">
      <c r="A4069" t="s">
        <v>1854</v>
      </c>
      <c r="B4069" t="s">
        <v>10197</v>
      </c>
      <c r="C4069" t="s">
        <v>10198</v>
      </c>
      <c r="D4069" t="s">
        <v>2469</v>
      </c>
      <c r="E4069" t="s">
        <v>2170</v>
      </c>
    </row>
    <row r="4070" spans="1:5" x14ac:dyDescent="0.25">
      <c r="A4070" t="s">
        <v>1854</v>
      </c>
      <c r="B4070" t="s">
        <v>10199</v>
      </c>
      <c r="C4070" t="s">
        <v>10200</v>
      </c>
      <c r="D4070" t="s">
        <v>2469</v>
      </c>
      <c r="E4070" t="s">
        <v>2170</v>
      </c>
    </row>
    <row r="4071" spans="1:5" x14ac:dyDescent="0.25">
      <c r="A4071" t="s">
        <v>1854</v>
      </c>
      <c r="B4071" t="s">
        <v>10201</v>
      </c>
      <c r="C4071" t="s">
        <v>10202</v>
      </c>
      <c r="D4071" t="s">
        <v>2469</v>
      </c>
      <c r="E4071" t="s">
        <v>2170</v>
      </c>
    </row>
    <row r="4072" spans="1:5" x14ac:dyDescent="0.25">
      <c r="A4072" t="s">
        <v>1854</v>
      </c>
      <c r="B4072" t="s">
        <v>10203</v>
      </c>
      <c r="C4072" t="s">
        <v>10204</v>
      </c>
      <c r="D4072" t="s">
        <v>4310</v>
      </c>
      <c r="E4072" t="s">
        <v>2170</v>
      </c>
    </row>
    <row r="4073" spans="1:5" x14ac:dyDescent="0.25">
      <c r="A4073" t="s">
        <v>1854</v>
      </c>
      <c r="B4073" t="s">
        <v>10205</v>
      </c>
      <c r="C4073" t="s">
        <v>10206</v>
      </c>
      <c r="D4073" t="s">
        <v>2469</v>
      </c>
      <c r="E4073" t="s">
        <v>2170</v>
      </c>
    </row>
    <row r="4074" spans="1:5" x14ac:dyDescent="0.25">
      <c r="A4074" t="s">
        <v>1854</v>
      </c>
      <c r="B4074" t="s">
        <v>10207</v>
      </c>
      <c r="C4074" t="s">
        <v>10208</v>
      </c>
      <c r="D4074" t="s">
        <v>2469</v>
      </c>
      <c r="E4074" t="s">
        <v>2170</v>
      </c>
    </row>
    <row r="4075" spans="1:5" x14ac:dyDescent="0.25">
      <c r="A4075" t="s">
        <v>1854</v>
      </c>
      <c r="B4075" t="s">
        <v>10209</v>
      </c>
      <c r="C4075" t="s">
        <v>10210</v>
      </c>
      <c r="D4075" t="s">
        <v>2469</v>
      </c>
      <c r="E4075" t="s">
        <v>2170</v>
      </c>
    </row>
    <row r="4076" spans="1:5" x14ac:dyDescent="0.25">
      <c r="A4076" t="s">
        <v>1854</v>
      </c>
      <c r="B4076" t="s">
        <v>10211</v>
      </c>
      <c r="C4076" t="s">
        <v>10212</v>
      </c>
      <c r="D4076" t="s">
        <v>2469</v>
      </c>
      <c r="E4076" t="s">
        <v>2170</v>
      </c>
    </row>
    <row r="4077" spans="1:5" x14ac:dyDescent="0.25">
      <c r="A4077" t="s">
        <v>1854</v>
      </c>
      <c r="B4077" t="s">
        <v>10213</v>
      </c>
      <c r="C4077" t="s">
        <v>10214</v>
      </c>
      <c r="D4077" t="s">
        <v>2469</v>
      </c>
      <c r="E4077" t="s">
        <v>2170</v>
      </c>
    </row>
    <row r="4078" spans="1:5" x14ac:dyDescent="0.25">
      <c r="A4078" t="s">
        <v>1854</v>
      </c>
      <c r="B4078" t="s">
        <v>10215</v>
      </c>
      <c r="C4078" t="s">
        <v>10216</v>
      </c>
      <c r="D4078" t="s">
        <v>2469</v>
      </c>
      <c r="E4078" t="s">
        <v>2170</v>
      </c>
    </row>
    <row r="4079" spans="1:5" x14ac:dyDescent="0.25">
      <c r="A4079" t="s">
        <v>1854</v>
      </c>
      <c r="B4079" t="s">
        <v>10217</v>
      </c>
      <c r="C4079" t="s">
        <v>10218</v>
      </c>
      <c r="D4079" t="s">
        <v>2469</v>
      </c>
      <c r="E4079" t="s">
        <v>2170</v>
      </c>
    </row>
    <row r="4080" spans="1:5" x14ac:dyDescent="0.25">
      <c r="A4080" t="s">
        <v>1854</v>
      </c>
      <c r="B4080" t="s">
        <v>10219</v>
      </c>
      <c r="C4080" t="s">
        <v>10220</v>
      </c>
      <c r="D4080" t="s">
        <v>2469</v>
      </c>
      <c r="E4080" t="s">
        <v>2170</v>
      </c>
    </row>
    <row r="4081" spans="1:5" x14ac:dyDescent="0.25">
      <c r="A4081" t="s">
        <v>1854</v>
      </c>
      <c r="B4081" t="s">
        <v>10221</v>
      </c>
      <c r="C4081" t="s">
        <v>10222</v>
      </c>
      <c r="D4081" t="s">
        <v>2469</v>
      </c>
      <c r="E4081" t="s">
        <v>2170</v>
      </c>
    </row>
    <row r="4082" spans="1:5" x14ac:dyDescent="0.25">
      <c r="A4082" t="s">
        <v>1854</v>
      </c>
      <c r="B4082" t="s">
        <v>10223</v>
      </c>
      <c r="C4082" t="s">
        <v>10224</v>
      </c>
      <c r="D4082" t="s">
        <v>2469</v>
      </c>
      <c r="E4082" t="s">
        <v>2170</v>
      </c>
    </row>
    <row r="4083" spans="1:5" x14ac:dyDescent="0.25">
      <c r="A4083" t="s">
        <v>1854</v>
      </c>
      <c r="B4083" t="s">
        <v>10225</v>
      </c>
      <c r="C4083" t="s">
        <v>10226</v>
      </c>
      <c r="D4083" t="s">
        <v>2469</v>
      </c>
      <c r="E4083" t="s">
        <v>2170</v>
      </c>
    </row>
    <row r="4084" spans="1:5" x14ac:dyDescent="0.25">
      <c r="A4084" t="s">
        <v>1854</v>
      </c>
      <c r="B4084" t="s">
        <v>10227</v>
      </c>
      <c r="C4084" t="s">
        <v>10228</v>
      </c>
      <c r="D4084" t="s">
        <v>2469</v>
      </c>
      <c r="E4084" t="s">
        <v>2170</v>
      </c>
    </row>
    <row r="4085" spans="1:5" x14ac:dyDescent="0.25">
      <c r="A4085" t="s">
        <v>1854</v>
      </c>
      <c r="B4085" t="s">
        <v>10229</v>
      </c>
      <c r="C4085" t="s">
        <v>10230</v>
      </c>
      <c r="D4085" t="s">
        <v>2469</v>
      </c>
      <c r="E4085" t="s">
        <v>2170</v>
      </c>
    </row>
    <row r="4086" spans="1:5" x14ac:dyDescent="0.25">
      <c r="A4086" t="s">
        <v>1854</v>
      </c>
      <c r="B4086" t="s">
        <v>10231</v>
      </c>
      <c r="C4086" t="s">
        <v>10232</v>
      </c>
      <c r="D4086" t="s">
        <v>2469</v>
      </c>
      <c r="E4086" t="s">
        <v>2170</v>
      </c>
    </row>
    <row r="4087" spans="1:5" x14ac:dyDescent="0.25">
      <c r="A4087" t="s">
        <v>1854</v>
      </c>
      <c r="B4087" t="s">
        <v>10233</v>
      </c>
      <c r="C4087" t="s">
        <v>10234</v>
      </c>
      <c r="D4087" t="s">
        <v>4310</v>
      </c>
      <c r="E4087" t="s">
        <v>2170</v>
      </c>
    </row>
    <row r="4088" spans="1:5" x14ac:dyDescent="0.25">
      <c r="A4088" t="s">
        <v>1854</v>
      </c>
      <c r="B4088" t="s">
        <v>10235</v>
      </c>
      <c r="C4088" t="s">
        <v>10236</v>
      </c>
      <c r="D4088" t="s">
        <v>2469</v>
      </c>
      <c r="E4088" t="s">
        <v>2170</v>
      </c>
    </row>
    <row r="4089" spans="1:5" x14ac:dyDescent="0.25">
      <c r="A4089" t="s">
        <v>1854</v>
      </c>
      <c r="B4089" t="s">
        <v>10237</v>
      </c>
      <c r="C4089" t="s">
        <v>10238</v>
      </c>
      <c r="D4089" t="s">
        <v>2469</v>
      </c>
      <c r="E4089" t="s">
        <v>2170</v>
      </c>
    </row>
    <row r="4090" spans="1:5" x14ac:dyDescent="0.25">
      <c r="A4090" t="s">
        <v>1854</v>
      </c>
      <c r="B4090" t="s">
        <v>10239</v>
      </c>
      <c r="C4090" t="s">
        <v>10240</v>
      </c>
      <c r="D4090" t="s">
        <v>2469</v>
      </c>
      <c r="E4090" t="s">
        <v>2170</v>
      </c>
    </row>
    <row r="4091" spans="1:5" x14ac:dyDescent="0.25">
      <c r="A4091" t="s">
        <v>1854</v>
      </c>
      <c r="B4091" t="s">
        <v>10241</v>
      </c>
      <c r="C4091" t="s">
        <v>10242</v>
      </c>
      <c r="D4091" t="s">
        <v>4310</v>
      </c>
      <c r="E4091" t="s">
        <v>2170</v>
      </c>
    </row>
    <row r="4092" spans="1:5" x14ac:dyDescent="0.25">
      <c r="A4092" t="s">
        <v>1854</v>
      </c>
      <c r="B4092" t="s">
        <v>10243</v>
      </c>
      <c r="C4092" t="s">
        <v>10244</v>
      </c>
      <c r="D4092" t="s">
        <v>4310</v>
      </c>
      <c r="E4092" t="s">
        <v>2170</v>
      </c>
    </row>
    <row r="4093" spans="1:5" x14ac:dyDescent="0.25">
      <c r="A4093" t="s">
        <v>1854</v>
      </c>
      <c r="B4093" t="s">
        <v>10245</v>
      </c>
      <c r="C4093" t="s">
        <v>10246</v>
      </c>
      <c r="D4093" t="s">
        <v>2469</v>
      </c>
      <c r="E4093" t="s">
        <v>2170</v>
      </c>
    </row>
    <row r="4094" spans="1:5" x14ac:dyDescent="0.25">
      <c r="A4094" t="s">
        <v>1854</v>
      </c>
      <c r="B4094" t="s">
        <v>10247</v>
      </c>
      <c r="C4094" t="s">
        <v>10248</v>
      </c>
      <c r="D4094" t="s">
        <v>2469</v>
      </c>
      <c r="E4094" t="s">
        <v>2170</v>
      </c>
    </row>
    <row r="4095" spans="1:5" x14ac:dyDescent="0.25">
      <c r="A4095" t="s">
        <v>1854</v>
      </c>
      <c r="B4095" t="s">
        <v>10249</v>
      </c>
      <c r="C4095" t="s">
        <v>10250</v>
      </c>
      <c r="D4095" t="s">
        <v>2469</v>
      </c>
      <c r="E4095" t="s">
        <v>2170</v>
      </c>
    </row>
    <row r="4096" spans="1:5" x14ac:dyDescent="0.25">
      <c r="A4096" t="s">
        <v>1854</v>
      </c>
      <c r="B4096" t="s">
        <v>10251</v>
      </c>
      <c r="C4096" t="s">
        <v>10252</v>
      </c>
      <c r="D4096" t="s">
        <v>2469</v>
      </c>
      <c r="E4096" t="s">
        <v>2170</v>
      </c>
    </row>
    <row r="4097" spans="1:5" x14ac:dyDescent="0.25">
      <c r="A4097" t="s">
        <v>1854</v>
      </c>
      <c r="B4097" t="s">
        <v>10253</v>
      </c>
      <c r="C4097" t="s">
        <v>10254</v>
      </c>
      <c r="D4097" t="s">
        <v>2469</v>
      </c>
      <c r="E4097" t="s">
        <v>2170</v>
      </c>
    </row>
    <row r="4098" spans="1:5" x14ac:dyDescent="0.25">
      <c r="A4098" t="s">
        <v>1854</v>
      </c>
      <c r="B4098" t="s">
        <v>10255</v>
      </c>
      <c r="C4098" t="s">
        <v>10256</v>
      </c>
      <c r="D4098" t="s">
        <v>2469</v>
      </c>
      <c r="E4098" t="s">
        <v>2170</v>
      </c>
    </row>
    <row r="4099" spans="1:5" x14ac:dyDescent="0.25">
      <c r="A4099" t="s">
        <v>1854</v>
      </c>
      <c r="B4099" t="s">
        <v>10257</v>
      </c>
      <c r="C4099" t="s">
        <v>10258</v>
      </c>
      <c r="D4099" t="s">
        <v>2469</v>
      </c>
      <c r="E4099" t="s">
        <v>2170</v>
      </c>
    </row>
    <row r="4100" spans="1:5" x14ac:dyDescent="0.25">
      <c r="A4100" t="s">
        <v>1854</v>
      </c>
      <c r="B4100" t="s">
        <v>10259</v>
      </c>
      <c r="C4100" t="s">
        <v>10260</v>
      </c>
      <c r="D4100" t="s">
        <v>2469</v>
      </c>
      <c r="E4100" t="s">
        <v>2170</v>
      </c>
    </row>
    <row r="4101" spans="1:5" x14ac:dyDescent="0.25">
      <c r="A4101" t="s">
        <v>1854</v>
      </c>
      <c r="B4101" t="s">
        <v>10261</v>
      </c>
      <c r="C4101" t="s">
        <v>10262</v>
      </c>
      <c r="D4101" t="s">
        <v>2469</v>
      </c>
      <c r="E4101" t="s">
        <v>2170</v>
      </c>
    </row>
    <row r="4102" spans="1:5" x14ac:dyDescent="0.25">
      <c r="A4102" t="s">
        <v>1854</v>
      </c>
      <c r="B4102" t="s">
        <v>10263</v>
      </c>
      <c r="C4102" t="s">
        <v>10264</v>
      </c>
      <c r="D4102" t="s">
        <v>2469</v>
      </c>
      <c r="E4102" t="s">
        <v>2170</v>
      </c>
    </row>
    <row r="4103" spans="1:5" x14ac:dyDescent="0.25">
      <c r="A4103" t="s">
        <v>1854</v>
      </c>
      <c r="B4103" t="s">
        <v>10265</v>
      </c>
      <c r="C4103" t="s">
        <v>10266</v>
      </c>
      <c r="D4103" t="s">
        <v>2469</v>
      </c>
      <c r="E4103" t="s">
        <v>2170</v>
      </c>
    </row>
    <row r="4104" spans="1:5" x14ac:dyDescent="0.25">
      <c r="A4104" t="s">
        <v>1854</v>
      </c>
      <c r="B4104" t="s">
        <v>10267</v>
      </c>
      <c r="C4104" t="s">
        <v>10268</v>
      </c>
      <c r="D4104" t="s">
        <v>2469</v>
      </c>
      <c r="E4104" t="s">
        <v>2170</v>
      </c>
    </row>
    <row r="4105" spans="1:5" x14ac:dyDescent="0.25">
      <c r="A4105" t="s">
        <v>1854</v>
      </c>
      <c r="B4105" t="s">
        <v>10269</v>
      </c>
      <c r="C4105" t="s">
        <v>10270</v>
      </c>
      <c r="D4105" t="s">
        <v>2469</v>
      </c>
      <c r="E4105" t="s">
        <v>2170</v>
      </c>
    </row>
    <row r="4106" spans="1:5" x14ac:dyDescent="0.25">
      <c r="A4106" t="s">
        <v>1854</v>
      </c>
      <c r="B4106" t="s">
        <v>10271</v>
      </c>
      <c r="C4106" t="s">
        <v>10272</v>
      </c>
      <c r="D4106" t="s">
        <v>2469</v>
      </c>
      <c r="E4106" t="s">
        <v>2170</v>
      </c>
    </row>
    <row r="4107" spans="1:5" x14ac:dyDescent="0.25">
      <c r="A4107" t="s">
        <v>1854</v>
      </c>
      <c r="B4107" t="s">
        <v>10273</v>
      </c>
      <c r="C4107" t="s">
        <v>10274</v>
      </c>
      <c r="D4107" t="s">
        <v>2469</v>
      </c>
      <c r="E4107" t="s">
        <v>2170</v>
      </c>
    </row>
    <row r="4108" spans="1:5" x14ac:dyDescent="0.25">
      <c r="A4108" t="s">
        <v>1854</v>
      </c>
      <c r="B4108" t="s">
        <v>10275</v>
      </c>
      <c r="C4108" t="s">
        <v>10276</v>
      </c>
      <c r="D4108" t="s">
        <v>2469</v>
      </c>
      <c r="E4108" t="s">
        <v>2170</v>
      </c>
    </row>
    <row r="4109" spans="1:5" x14ac:dyDescent="0.25">
      <c r="A4109" t="s">
        <v>1854</v>
      </c>
      <c r="B4109" t="s">
        <v>10277</v>
      </c>
      <c r="C4109" t="s">
        <v>10278</v>
      </c>
      <c r="D4109" t="s">
        <v>4310</v>
      </c>
      <c r="E4109" t="s">
        <v>2170</v>
      </c>
    </row>
    <row r="4110" spans="1:5" x14ac:dyDescent="0.25">
      <c r="A4110" t="s">
        <v>1854</v>
      </c>
      <c r="B4110" t="s">
        <v>10279</v>
      </c>
      <c r="C4110" t="s">
        <v>10280</v>
      </c>
      <c r="D4110" t="s">
        <v>2469</v>
      </c>
      <c r="E4110" t="s">
        <v>2170</v>
      </c>
    </row>
    <row r="4111" spans="1:5" x14ac:dyDescent="0.25">
      <c r="A4111" t="s">
        <v>1854</v>
      </c>
      <c r="B4111" t="s">
        <v>10281</v>
      </c>
      <c r="C4111" t="s">
        <v>10282</v>
      </c>
      <c r="D4111" t="s">
        <v>2469</v>
      </c>
      <c r="E4111" t="s">
        <v>2170</v>
      </c>
    </row>
    <row r="4112" spans="1:5" x14ac:dyDescent="0.25">
      <c r="A4112" t="s">
        <v>1854</v>
      </c>
      <c r="B4112" t="s">
        <v>10283</v>
      </c>
      <c r="C4112" t="s">
        <v>10284</v>
      </c>
      <c r="D4112" t="s">
        <v>2469</v>
      </c>
      <c r="E4112" t="s">
        <v>2170</v>
      </c>
    </row>
    <row r="4113" spans="1:5" x14ac:dyDescent="0.25">
      <c r="A4113" t="s">
        <v>1854</v>
      </c>
      <c r="B4113" t="s">
        <v>10285</v>
      </c>
      <c r="C4113" t="s">
        <v>10286</v>
      </c>
      <c r="D4113" t="s">
        <v>2469</v>
      </c>
      <c r="E4113" t="s">
        <v>2170</v>
      </c>
    </row>
    <row r="4114" spans="1:5" x14ac:dyDescent="0.25">
      <c r="A4114" t="s">
        <v>1854</v>
      </c>
      <c r="B4114" t="s">
        <v>10287</v>
      </c>
      <c r="C4114" t="s">
        <v>10288</v>
      </c>
      <c r="D4114" t="s">
        <v>2469</v>
      </c>
      <c r="E4114" t="s">
        <v>2170</v>
      </c>
    </row>
    <row r="4115" spans="1:5" x14ac:dyDescent="0.25">
      <c r="A4115" t="s">
        <v>1854</v>
      </c>
      <c r="B4115" t="s">
        <v>10289</v>
      </c>
      <c r="C4115" t="s">
        <v>10290</v>
      </c>
      <c r="D4115" t="s">
        <v>2469</v>
      </c>
      <c r="E4115" t="s">
        <v>2170</v>
      </c>
    </row>
    <row r="4116" spans="1:5" x14ac:dyDescent="0.25">
      <c r="A4116" t="s">
        <v>1854</v>
      </c>
      <c r="B4116" t="s">
        <v>10291</v>
      </c>
      <c r="C4116" t="s">
        <v>10292</v>
      </c>
      <c r="D4116" t="s">
        <v>2469</v>
      </c>
      <c r="E4116" t="s">
        <v>2170</v>
      </c>
    </row>
    <row r="4117" spans="1:5" x14ac:dyDescent="0.25">
      <c r="A4117" t="s">
        <v>1854</v>
      </c>
      <c r="B4117" t="s">
        <v>10293</v>
      </c>
      <c r="C4117" t="s">
        <v>10294</v>
      </c>
      <c r="D4117" t="s">
        <v>2469</v>
      </c>
      <c r="E4117" t="s">
        <v>2170</v>
      </c>
    </row>
    <row r="4118" spans="1:5" x14ac:dyDescent="0.25">
      <c r="A4118" t="s">
        <v>1854</v>
      </c>
      <c r="B4118" t="s">
        <v>10295</v>
      </c>
      <c r="C4118" t="s">
        <v>10296</v>
      </c>
      <c r="D4118" t="s">
        <v>2469</v>
      </c>
      <c r="E4118" t="s">
        <v>2170</v>
      </c>
    </row>
    <row r="4119" spans="1:5" x14ac:dyDescent="0.25">
      <c r="A4119" t="s">
        <v>1854</v>
      </c>
      <c r="B4119" t="s">
        <v>10297</v>
      </c>
      <c r="C4119" t="s">
        <v>10298</v>
      </c>
      <c r="D4119" t="s">
        <v>2469</v>
      </c>
      <c r="E4119" t="s">
        <v>2170</v>
      </c>
    </row>
    <row r="4120" spans="1:5" x14ac:dyDescent="0.25">
      <c r="A4120" t="s">
        <v>1854</v>
      </c>
      <c r="B4120" t="s">
        <v>10299</v>
      </c>
      <c r="C4120" t="s">
        <v>10300</v>
      </c>
      <c r="D4120" t="s">
        <v>2469</v>
      </c>
      <c r="E4120" t="s">
        <v>2170</v>
      </c>
    </row>
    <row r="4121" spans="1:5" x14ac:dyDescent="0.25">
      <c r="A4121" t="s">
        <v>1854</v>
      </c>
      <c r="B4121" t="s">
        <v>10301</v>
      </c>
      <c r="C4121" t="s">
        <v>10302</v>
      </c>
      <c r="D4121" t="s">
        <v>2469</v>
      </c>
      <c r="E4121" t="s">
        <v>2170</v>
      </c>
    </row>
    <row r="4122" spans="1:5" x14ac:dyDescent="0.25">
      <c r="A4122" t="s">
        <v>1854</v>
      </c>
      <c r="B4122" t="s">
        <v>10303</v>
      </c>
      <c r="C4122" t="s">
        <v>10304</v>
      </c>
      <c r="D4122" t="s">
        <v>2469</v>
      </c>
      <c r="E4122" t="s">
        <v>2170</v>
      </c>
    </row>
    <row r="4123" spans="1:5" x14ac:dyDescent="0.25">
      <c r="A4123" t="s">
        <v>1854</v>
      </c>
      <c r="B4123" t="s">
        <v>10305</v>
      </c>
      <c r="C4123" t="s">
        <v>10306</v>
      </c>
      <c r="D4123" t="s">
        <v>2469</v>
      </c>
      <c r="E4123" t="s">
        <v>2170</v>
      </c>
    </row>
    <row r="4124" spans="1:5" x14ac:dyDescent="0.25">
      <c r="A4124" t="s">
        <v>1854</v>
      </c>
      <c r="B4124" t="s">
        <v>10307</v>
      </c>
      <c r="C4124" t="s">
        <v>10308</v>
      </c>
      <c r="D4124" t="s">
        <v>2469</v>
      </c>
      <c r="E4124" t="s">
        <v>2170</v>
      </c>
    </row>
    <row r="4125" spans="1:5" x14ac:dyDescent="0.25">
      <c r="A4125" t="s">
        <v>1854</v>
      </c>
      <c r="B4125" t="s">
        <v>10309</v>
      </c>
      <c r="C4125" t="s">
        <v>10310</v>
      </c>
      <c r="D4125" t="s">
        <v>2469</v>
      </c>
      <c r="E4125" t="s">
        <v>2170</v>
      </c>
    </row>
    <row r="4126" spans="1:5" x14ac:dyDescent="0.25">
      <c r="A4126" t="s">
        <v>1854</v>
      </c>
      <c r="B4126" t="s">
        <v>10311</v>
      </c>
      <c r="C4126" t="s">
        <v>10312</v>
      </c>
      <c r="D4126" t="s">
        <v>2469</v>
      </c>
      <c r="E4126" t="s">
        <v>2170</v>
      </c>
    </row>
    <row r="4127" spans="1:5" x14ac:dyDescent="0.25">
      <c r="A4127" t="s">
        <v>1854</v>
      </c>
      <c r="B4127" t="s">
        <v>10313</v>
      </c>
      <c r="C4127" t="s">
        <v>10314</v>
      </c>
      <c r="D4127" t="s">
        <v>2469</v>
      </c>
      <c r="E4127" t="s">
        <v>2170</v>
      </c>
    </row>
    <row r="4128" spans="1:5" x14ac:dyDescent="0.25">
      <c r="A4128" t="s">
        <v>1854</v>
      </c>
      <c r="B4128" t="s">
        <v>10315</v>
      </c>
      <c r="C4128" t="s">
        <v>10316</v>
      </c>
      <c r="D4128" t="s">
        <v>2469</v>
      </c>
      <c r="E4128" t="s">
        <v>2170</v>
      </c>
    </row>
    <row r="4129" spans="1:5" x14ac:dyDescent="0.25">
      <c r="A4129" t="s">
        <v>1854</v>
      </c>
      <c r="B4129" t="s">
        <v>10317</v>
      </c>
      <c r="C4129" t="s">
        <v>10318</v>
      </c>
      <c r="D4129" t="s">
        <v>2469</v>
      </c>
      <c r="E4129" t="s">
        <v>2170</v>
      </c>
    </row>
    <row r="4130" spans="1:5" x14ac:dyDescent="0.25">
      <c r="A4130" t="s">
        <v>1854</v>
      </c>
      <c r="B4130" t="s">
        <v>10319</v>
      </c>
      <c r="C4130" t="s">
        <v>10320</v>
      </c>
      <c r="D4130" t="s">
        <v>4310</v>
      </c>
      <c r="E4130" t="s">
        <v>2170</v>
      </c>
    </row>
    <row r="4131" spans="1:5" x14ac:dyDescent="0.25">
      <c r="A4131" t="s">
        <v>1854</v>
      </c>
      <c r="B4131" t="s">
        <v>10321</v>
      </c>
      <c r="C4131" t="s">
        <v>10322</v>
      </c>
      <c r="D4131" t="s">
        <v>2469</v>
      </c>
      <c r="E4131" t="s">
        <v>2170</v>
      </c>
    </row>
    <row r="4132" spans="1:5" x14ac:dyDescent="0.25">
      <c r="A4132" t="s">
        <v>1854</v>
      </c>
      <c r="B4132" t="s">
        <v>10323</v>
      </c>
      <c r="C4132" t="s">
        <v>10324</v>
      </c>
      <c r="D4132" t="s">
        <v>2469</v>
      </c>
      <c r="E4132" t="s">
        <v>2170</v>
      </c>
    </row>
    <row r="4133" spans="1:5" x14ac:dyDescent="0.25">
      <c r="A4133" t="s">
        <v>1854</v>
      </c>
      <c r="B4133" t="s">
        <v>10325</v>
      </c>
      <c r="C4133" t="s">
        <v>10326</v>
      </c>
      <c r="D4133" t="s">
        <v>2469</v>
      </c>
      <c r="E4133" t="s">
        <v>2170</v>
      </c>
    </row>
    <row r="4134" spans="1:5" x14ac:dyDescent="0.25">
      <c r="A4134" t="s">
        <v>1854</v>
      </c>
      <c r="B4134" t="s">
        <v>10327</v>
      </c>
      <c r="C4134" t="s">
        <v>10328</v>
      </c>
      <c r="D4134" t="s">
        <v>2469</v>
      </c>
      <c r="E4134" t="s">
        <v>2170</v>
      </c>
    </row>
    <row r="4135" spans="1:5" x14ac:dyDescent="0.25">
      <c r="A4135" t="s">
        <v>1854</v>
      </c>
      <c r="B4135" t="s">
        <v>10329</v>
      </c>
      <c r="C4135" t="s">
        <v>10330</v>
      </c>
      <c r="D4135" t="s">
        <v>2469</v>
      </c>
      <c r="E4135" t="s">
        <v>2170</v>
      </c>
    </row>
    <row r="4136" spans="1:5" x14ac:dyDescent="0.25">
      <c r="A4136" t="s">
        <v>1854</v>
      </c>
      <c r="B4136" t="s">
        <v>10331</v>
      </c>
      <c r="C4136" t="s">
        <v>10332</v>
      </c>
      <c r="D4136" t="s">
        <v>2469</v>
      </c>
      <c r="E4136" t="s">
        <v>2170</v>
      </c>
    </row>
    <row r="4137" spans="1:5" x14ac:dyDescent="0.25">
      <c r="A4137" t="s">
        <v>1854</v>
      </c>
      <c r="B4137" t="s">
        <v>10333</v>
      </c>
      <c r="C4137" t="s">
        <v>10334</v>
      </c>
      <c r="D4137" t="s">
        <v>2469</v>
      </c>
      <c r="E4137" t="s">
        <v>2170</v>
      </c>
    </row>
    <row r="4138" spans="1:5" x14ac:dyDescent="0.25">
      <c r="A4138" t="s">
        <v>1854</v>
      </c>
      <c r="B4138" t="s">
        <v>10335</v>
      </c>
      <c r="C4138" t="s">
        <v>10336</v>
      </c>
      <c r="D4138" t="s">
        <v>2469</v>
      </c>
      <c r="E4138" t="s">
        <v>2170</v>
      </c>
    </row>
    <row r="4139" spans="1:5" x14ac:dyDescent="0.25">
      <c r="A4139" t="s">
        <v>1854</v>
      </c>
      <c r="B4139" t="s">
        <v>10337</v>
      </c>
      <c r="C4139" t="s">
        <v>10338</v>
      </c>
      <c r="D4139" t="s">
        <v>2469</v>
      </c>
      <c r="E4139" t="s">
        <v>2170</v>
      </c>
    </row>
    <row r="4140" spans="1:5" x14ac:dyDescent="0.25">
      <c r="A4140" t="s">
        <v>1854</v>
      </c>
      <c r="B4140" t="s">
        <v>10339</v>
      </c>
      <c r="C4140" t="s">
        <v>10340</v>
      </c>
      <c r="D4140" t="s">
        <v>2469</v>
      </c>
      <c r="E4140" t="s">
        <v>2170</v>
      </c>
    </row>
    <row r="4141" spans="1:5" x14ac:dyDescent="0.25">
      <c r="A4141" t="s">
        <v>1854</v>
      </c>
      <c r="B4141" t="s">
        <v>10341</v>
      </c>
      <c r="C4141" t="s">
        <v>10342</v>
      </c>
      <c r="D4141" t="s">
        <v>2469</v>
      </c>
      <c r="E4141" t="s">
        <v>2170</v>
      </c>
    </row>
    <row r="4142" spans="1:5" x14ac:dyDescent="0.25">
      <c r="A4142" t="s">
        <v>1854</v>
      </c>
      <c r="B4142" t="s">
        <v>10343</v>
      </c>
      <c r="C4142" t="s">
        <v>10344</v>
      </c>
      <c r="D4142" t="s">
        <v>2469</v>
      </c>
      <c r="E4142" t="s">
        <v>2170</v>
      </c>
    </row>
    <row r="4143" spans="1:5" x14ac:dyDescent="0.25">
      <c r="A4143" t="s">
        <v>1854</v>
      </c>
      <c r="B4143" t="s">
        <v>10345</v>
      </c>
      <c r="C4143" t="s">
        <v>10346</v>
      </c>
      <c r="D4143" t="s">
        <v>2469</v>
      </c>
      <c r="E4143" t="s">
        <v>2170</v>
      </c>
    </row>
    <row r="4144" spans="1:5" x14ac:dyDescent="0.25">
      <c r="A4144" t="s">
        <v>1854</v>
      </c>
      <c r="B4144" t="s">
        <v>10347</v>
      </c>
      <c r="C4144" t="s">
        <v>10348</v>
      </c>
      <c r="D4144" t="s">
        <v>2469</v>
      </c>
      <c r="E4144" t="s">
        <v>2170</v>
      </c>
    </row>
    <row r="4145" spans="1:5" x14ac:dyDescent="0.25">
      <c r="A4145" t="s">
        <v>1854</v>
      </c>
      <c r="B4145" t="s">
        <v>10349</v>
      </c>
      <c r="C4145" t="s">
        <v>10350</v>
      </c>
      <c r="D4145" t="s">
        <v>2469</v>
      </c>
      <c r="E4145" t="s">
        <v>2170</v>
      </c>
    </row>
    <row r="4146" spans="1:5" x14ac:dyDescent="0.25">
      <c r="A4146" t="s">
        <v>1854</v>
      </c>
      <c r="B4146" t="s">
        <v>10351</v>
      </c>
      <c r="C4146" t="s">
        <v>10352</v>
      </c>
      <c r="D4146" t="s">
        <v>2469</v>
      </c>
      <c r="E4146" t="s">
        <v>2170</v>
      </c>
    </row>
    <row r="4147" spans="1:5" x14ac:dyDescent="0.25">
      <c r="A4147" t="s">
        <v>1854</v>
      </c>
      <c r="B4147" t="s">
        <v>10353</v>
      </c>
      <c r="C4147" t="s">
        <v>10354</v>
      </c>
      <c r="D4147" t="s">
        <v>2469</v>
      </c>
      <c r="E4147" t="s">
        <v>2170</v>
      </c>
    </row>
    <row r="4148" spans="1:5" x14ac:dyDescent="0.25">
      <c r="A4148" t="s">
        <v>1854</v>
      </c>
      <c r="B4148" t="s">
        <v>10355</v>
      </c>
      <c r="C4148" t="s">
        <v>10356</v>
      </c>
      <c r="D4148" t="s">
        <v>2469</v>
      </c>
      <c r="E4148" t="s">
        <v>2170</v>
      </c>
    </row>
    <row r="4149" spans="1:5" x14ac:dyDescent="0.25">
      <c r="A4149" t="s">
        <v>1854</v>
      </c>
      <c r="B4149" t="s">
        <v>10357</v>
      </c>
      <c r="C4149" t="s">
        <v>10358</v>
      </c>
      <c r="D4149" t="s">
        <v>2469</v>
      </c>
      <c r="E4149" t="s">
        <v>2170</v>
      </c>
    </row>
    <row r="4150" spans="1:5" x14ac:dyDescent="0.25">
      <c r="A4150" t="s">
        <v>1854</v>
      </c>
      <c r="B4150" t="s">
        <v>10359</v>
      </c>
      <c r="C4150" t="s">
        <v>10360</v>
      </c>
      <c r="D4150" t="s">
        <v>2469</v>
      </c>
      <c r="E4150" t="s">
        <v>2170</v>
      </c>
    </row>
    <row r="4151" spans="1:5" x14ac:dyDescent="0.25">
      <c r="A4151" t="s">
        <v>1854</v>
      </c>
      <c r="B4151" t="s">
        <v>10361</v>
      </c>
      <c r="C4151" t="s">
        <v>10362</v>
      </c>
      <c r="D4151" t="s">
        <v>2469</v>
      </c>
      <c r="E4151" t="s">
        <v>2170</v>
      </c>
    </row>
    <row r="4152" spans="1:5" x14ac:dyDescent="0.25">
      <c r="A4152" t="s">
        <v>1854</v>
      </c>
      <c r="B4152" t="s">
        <v>10363</v>
      </c>
      <c r="C4152" t="s">
        <v>10364</v>
      </c>
      <c r="D4152" t="s">
        <v>2469</v>
      </c>
      <c r="E4152" t="s">
        <v>2170</v>
      </c>
    </row>
    <row r="4153" spans="1:5" x14ac:dyDescent="0.25">
      <c r="A4153" t="s">
        <v>1854</v>
      </c>
      <c r="B4153" t="s">
        <v>10365</v>
      </c>
      <c r="C4153" t="s">
        <v>10366</v>
      </c>
      <c r="D4153" t="s">
        <v>2469</v>
      </c>
      <c r="E4153" t="s">
        <v>2170</v>
      </c>
    </row>
    <row r="4154" spans="1:5" x14ac:dyDescent="0.25">
      <c r="A4154" t="s">
        <v>1854</v>
      </c>
      <c r="B4154" t="s">
        <v>10367</v>
      </c>
      <c r="C4154" t="s">
        <v>10368</v>
      </c>
      <c r="D4154" t="s">
        <v>2469</v>
      </c>
      <c r="E4154" t="s">
        <v>2170</v>
      </c>
    </row>
    <row r="4155" spans="1:5" x14ac:dyDescent="0.25">
      <c r="A4155" t="s">
        <v>1854</v>
      </c>
      <c r="B4155" t="s">
        <v>10369</v>
      </c>
      <c r="C4155" t="s">
        <v>10370</v>
      </c>
      <c r="D4155" t="s">
        <v>2469</v>
      </c>
      <c r="E4155" t="s">
        <v>2170</v>
      </c>
    </row>
    <row r="4156" spans="1:5" x14ac:dyDescent="0.25">
      <c r="A4156" t="s">
        <v>1854</v>
      </c>
      <c r="B4156" t="s">
        <v>10371</v>
      </c>
      <c r="C4156" t="s">
        <v>10372</v>
      </c>
      <c r="D4156" t="s">
        <v>2469</v>
      </c>
      <c r="E4156" t="s">
        <v>2170</v>
      </c>
    </row>
    <row r="4157" spans="1:5" x14ac:dyDescent="0.25">
      <c r="A4157" t="s">
        <v>1854</v>
      </c>
      <c r="B4157" t="s">
        <v>10373</v>
      </c>
      <c r="C4157" t="s">
        <v>10374</v>
      </c>
      <c r="D4157" t="s">
        <v>2469</v>
      </c>
      <c r="E4157" t="s">
        <v>2170</v>
      </c>
    </row>
    <row r="4158" spans="1:5" x14ac:dyDescent="0.25">
      <c r="A4158" t="s">
        <v>1854</v>
      </c>
      <c r="B4158" t="s">
        <v>10375</v>
      </c>
      <c r="C4158" t="s">
        <v>10376</v>
      </c>
      <c r="D4158" t="s">
        <v>2469</v>
      </c>
      <c r="E4158" t="s">
        <v>2170</v>
      </c>
    </row>
    <row r="4159" spans="1:5" x14ac:dyDescent="0.25">
      <c r="A4159" t="s">
        <v>1854</v>
      </c>
      <c r="B4159" t="s">
        <v>10377</v>
      </c>
      <c r="C4159" t="s">
        <v>10378</v>
      </c>
      <c r="D4159" t="s">
        <v>2469</v>
      </c>
      <c r="E4159" t="s">
        <v>2170</v>
      </c>
    </row>
    <row r="4160" spans="1:5" x14ac:dyDescent="0.25">
      <c r="A4160" t="s">
        <v>1854</v>
      </c>
      <c r="B4160" t="s">
        <v>10379</v>
      </c>
      <c r="C4160" t="s">
        <v>10380</v>
      </c>
      <c r="D4160" t="s">
        <v>2469</v>
      </c>
      <c r="E4160" t="s">
        <v>2170</v>
      </c>
    </row>
    <row r="4161" spans="1:5" x14ac:dyDescent="0.25">
      <c r="A4161" t="s">
        <v>1854</v>
      </c>
      <c r="B4161" t="s">
        <v>10381</v>
      </c>
      <c r="C4161" t="s">
        <v>10382</v>
      </c>
      <c r="D4161" t="s">
        <v>2469</v>
      </c>
      <c r="E4161" t="s">
        <v>2170</v>
      </c>
    </row>
    <row r="4162" spans="1:5" x14ac:dyDescent="0.25">
      <c r="A4162" t="s">
        <v>1854</v>
      </c>
      <c r="B4162" t="s">
        <v>10383</v>
      </c>
      <c r="C4162" t="s">
        <v>10384</v>
      </c>
      <c r="D4162" t="s">
        <v>2469</v>
      </c>
      <c r="E4162" t="s">
        <v>2170</v>
      </c>
    </row>
    <row r="4163" spans="1:5" x14ac:dyDescent="0.25">
      <c r="A4163" t="s">
        <v>1854</v>
      </c>
      <c r="B4163" t="s">
        <v>10385</v>
      </c>
      <c r="C4163" t="s">
        <v>10386</v>
      </c>
      <c r="D4163" t="s">
        <v>2469</v>
      </c>
      <c r="E4163" t="s">
        <v>2170</v>
      </c>
    </row>
    <row r="4164" spans="1:5" x14ac:dyDescent="0.25">
      <c r="A4164" t="s">
        <v>1854</v>
      </c>
      <c r="B4164" t="s">
        <v>10387</v>
      </c>
      <c r="C4164" t="s">
        <v>10388</v>
      </c>
      <c r="D4164" t="s">
        <v>2469</v>
      </c>
      <c r="E4164" t="s">
        <v>2170</v>
      </c>
    </row>
    <row r="4165" spans="1:5" x14ac:dyDescent="0.25">
      <c r="A4165" t="s">
        <v>1854</v>
      </c>
      <c r="B4165" t="s">
        <v>10389</v>
      </c>
      <c r="C4165" t="s">
        <v>10390</v>
      </c>
      <c r="D4165" t="s">
        <v>2469</v>
      </c>
      <c r="E4165" t="s">
        <v>2170</v>
      </c>
    </row>
    <row r="4166" spans="1:5" x14ac:dyDescent="0.25">
      <c r="A4166" t="s">
        <v>1854</v>
      </c>
      <c r="B4166" t="s">
        <v>10391</v>
      </c>
      <c r="C4166" t="s">
        <v>10392</v>
      </c>
      <c r="D4166" t="s">
        <v>2469</v>
      </c>
      <c r="E4166" t="s">
        <v>2170</v>
      </c>
    </row>
    <row r="4167" spans="1:5" x14ac:dyDescent="0.25">
      <c r="A4167" t="s">
        <v>1854</v>
      </c>
      <c r="B4167" t="s">
        <v>10393</v>
      </c>
      <c r="C4167" t="s">
        <v>10394</v>
      </c>
      <c r="D4167" t="s">
        <v>2469</v>
      </c>
      <c r="E4167" t="s">
        <v>2170</v>
      </c>
    </row>
    <row r="4168" spans="1:5" x14ac:dyDescent="0.25">
      <c r="A4168" t="s">
        <v>1854</v>
      </c>
      <c r="B4168" t="s">
        <v>10395</v>
      </c>
      <c r="C4168" t="s">
        <v>10396</v>
      </c>
      <c r="D4168" t="s">
        <v>2469</v>
      </c>
      <c r="E4168" t="s">
        <v>2170</v>
      </c>
    </row>
    <row r="4169" spans="1:5" x14ac:dyDescent="0.25">
      <c r="A4169" t="s">
        <v>1854</v>
      </c>
      <c r="B4169" t="s">
        <v>10397</v>
      </c>
      <c r="C4169" t="s">
        <v>10398</v>
      </c>
      <c r="D4169" t="s">
        <v>4310</v>
      </c>
      <c r="E4169" t="s">
        <v>2170</v>
      </c>
    </row>
    <row r="4170" spans="1:5" x14ac:dyDescent="0.25">
      <c r="A4170" t="s">
        <v>1854</v>
      </c>
      <c r="B4170" t="s">
        <v>10399</v>
      </c>
      <c r="C4170" t="s">
        <v>10400</v>
      </c>
      <c r="D4170" t="s">
        <v>2469</v>
      </c>
      <c r="E4170" t="s">
        <v>2170</v>
      </c>
    </row>
    <row r="4171" spans="1:5" x14ac:dyDescent="0.25">
      <c r="A4171" t="s">
        <v>1854</v>
      </c>
      <c r="B4171" t="s">
        <v>10401</v>
      </c>
      <c r="C4171" t="s">
        <v>10402</v>
      </c>
      <c r="D4171" t="s">
        <v>2469</v>
      </c>
      <c r="E4171" t="s">
        <v>2170</v>
      </c>
    </row>
    <row r="4172" spans="1:5" x14ac:dyDescent="0.25">
      <c r="A4172" t="s">
        <v>1854</v>
      </c>
      <c r="B4172" t="s">
        <v>10403</v>
      </c>
      <c r="C4172" t="s">
        <v>10404</v>
      </c>
      <c r="D4172" t="s">
        <v>2469</v>
      </c>
      <c r="E4172" t="s">
        <v>2170</v>
      </c>
    </row>
    <row r="4173" spans="1:5" x14ac:dyDescent="0.25">
      <c r="A4173" t="s">
        <v>1854</v>
      </c>
      <c r="B4173" t="s">
        <v>10405</v>
      </c>
      <c r="C4173" t="s">
        <v>10406</v>
      </c>
      <c r="D4173" t="s">
        <v>2469</v>
      </c>
      <c r="E4173" t="s">
        <v>2170</v>
      </c>
    </row>
    <row r="4174" spans="1:5" x14ac:dyDescent="0.25">
      <c r="A4174" t="s">
        <v>1854</v>
      </c>
      <c r="B4174" t="s">
        <v>10407</v>
      </c>
      <c r="C4174" t="s">
        <v>10408</v>
      </c>
      <c r="D4174" t="s">
        <v>2469</v>
      </c>
      <c r="E4174" t="s">
        <v>2170</v>
      </c>
    </row>
    <row r="4175" spans="1:5" x14ac:dyDescent="0.25">
      <c r="A4175" t="s">
        <v>1854</v>
      </c>
      <c r="B4175" t="s">
        <v>10409</v>
      </c>
      <c r="C4175" t="s">
        <v>10410</v>
      </c>
      <c r="D4175" t="s">
        <v>2469</v>
      </c>
      <c r="E4175" t="s">
        <v>2170</v>
      </c>
    </row>
    <row r="4176" spans="1:5" x14ac:dyDescent="0.25">
      <c r="A4176" t="s">
        <v>1854</v>
      </c>
      <c r="B4176" t="s">
        <v>10411</v>
      </c>
      <c r="C4176" t="s">
        <v>10412</v>
      </c>
      <c r="D4176" t="s">
        <v>2469</v>
      </c>
      <c r="E4176" t="s">
        <v>2170</v>
      </c>
    </row>
    <row r="4177" spans="1:5" x14ac:dyDescent="0.25">
      <c r="A4177" t="s">
        <v>1854</v>
      </c>
      <c r="B4177" t="s">
        <v>10413</v>
      </c>
      <c r="C4177" t="s">
        <v>10414</v>
      </c>
      <c r="D4177" t="s">
        <v>2469</v>
      </c>
      <c r="E4177" t="s">
        <v>2170</v>
      </c>
    </row>
    <row r="4178" spans="1:5" x14ac:dyDescent="0.25">
      <c r="A4178" t="s">
        <v>1854</v>
      </c>
      <c r="B4178" t="s">
        <v>10415</v>
      </c>
      <c r="C4178" t="s">
        <v>10416</v>
      </c>
      <c r="D4178" t="s">
        <v>2469</v>
      </c>
      <c r="E4178" t="s">
        <v>2170</v>
      </c>
    </row>
    <row r="4179" spans="1:5" x14ac:dyDescent="0.25">
      <c r="A4179" t="s">
        <v>1854</v>
      </c>
      <c r="B4179" t="s">
        <v>10417</v>
      </c>
      <c r="C4179" t="s">
        <v>10418</v>
      </c>
      <c r="D4179" t="s">
        <v>2469</v>
      </c>
      <c r="E4179" t="s">
        <v>2170</v>
      </c>
    </row>
    <row r="4180" spans="1:5" x14ac:dyDescent="0.25">
      <c r="A4180" t="s">
        <v>1854</v>
      </c>
      <c r="B4180" t="s">
        <v>10419</v>
      </c>
      <c r="C4180" t="s">
        <v>10420</v>
      </c>
      <c r="D4180" t="s">
        <v>2469</v>
      </c>
      <c r="E4180" t="s">
        <v>2170</v>
      </c>
    </row>
    <row r="4181" spans="1:5" x14ac:dyDescent="0.25">
      <c r="A4181" t="s">
        <v>1854</v>
      </c>
      <c r="B4181" t="s">
        <v>10421</v>
      </c>
      <c r="C4181" t="s">
        <v>10422</v>
      </c>
      <c r="D4181" t="s">
        <v>2469</v>
      </c>
      <c r="E4181" t="s">
        <v>2170</v>
      </c>
    </row>
    <row r="4182" spans="1:5" x14ac:dyDescent="0.25">
      <c r="A4182" t="s">
        <v>1854</v>
      </c>
      <c r="B4182" t="s">
        <v>10423</v>
      </c>
      <c r="C4182" t="s">
        <v>10424</v>
      </c>
      <c r="D4182" t="s">
        <v>2469</v>
      </c>
      <c r="E4182" t="s">
        <v>2170</v>
      </c>
    </row>
    <row r="4183" spans="1:5" x14ac:dyDescent="0.25">
      <c r="A4183" t="s">
        <v>1854</v>
      </c>
      <c r="B4183" t="s">
        <v>10425</v>
      </c>
      <c r="C4183" t="s">
        <v>10426</v>
      </c>
      <c r="D4183" t="s">
        <v>2469</v>
      </c>
      <c r="E4183" t="s">
        <v>2170</v>
      </c>
    </row>
    <row r="4184" spans="1:5" x14ac:dyDescent="0.25">
      <c r="A4184" t="s">
        <v>1854</v>
      </c>
      <c r="B4184" t="s">
        <v>10427</v>
      </c>
      <c r="C4184" t="s">
        <v>10428</v>
      </c>
      <c r="D4184" t="s">
        <v>2469</v>
      </c>
      <c r="E4184" t="s">
        <v>2170</v>
      </c>
    </row>
    <row r="4185" spans="1:5" x14ac:dyDescent="0.25">
      <c r="A4185" t="s">
        <v>1854</v>
      </c>
      <c r="B4185" t="s">
        <v>10429</v>
      </c>
      <c r="C4185" t="s">
        <v>10430</v>
      </c>
      <c r="D4185" t="s">
        <v>2469</v>
      </c>
      <c r="E4185" t="s">
        <v>2170</v>
      </c>
    </row>
    <row r="4186" spans="1:5" x14ac:dyDescent="0.25">
      <c r="A4186" t="s">
        <v>1854</v>
      </c>
      <c r="B4186" t="s">
        <v>10431</v>
      </c>
      <c r="C4186" t="s">
        <v>10432</v>
      </c>
      <c r="D4186" t="s">
        <v>2469</v>
      </c>
      <c r="E4186" t="s">
        <v>2170</v>
      </c>
    </row>
    <row r="4187" spans="1:5" x14ac:dyDescent="0.25">
      <c r="A4187" t="s">
        <v>1854</v>
      </c>
      <c r="B4187" t="s">
        <v>10433</v>
      </c>
      <c r="C4187" t="s">
        <v>10434</v>
      </c>
      <c r="D4187" t="s">
        <v>2469</v>
      </c>
      <c r="E4187" t="s">
        <v>2170</v>
      </c>
    </row>
    <row r="4188" spans="1:5" x14ac:dyDescent="0.25">
      <c r="A4188" t="s">
        <v>1854</v>
      </c>
      <c r="B4188" t="s">
        <v>10435</v>
      </c>
      <c r="C4188" t="s">
        <v>10436</v>
      </c>
      <c r="D4188" t="s">
        <v>2469</v>
      </c>
      <c r="E4188" t="s">
        <v>2170</v>
      </c>
    </row>
    <row r="4189" spans="1:5" x14ac:dyDescent="0.25">
      <c r="A4189" t="s">
        <v>1854</v>
      </c>
      <c r="B4189" t="s">
        <v>10437</v>
      </c>
      <c r="C4189" t="s">
        <v>10438</v>
      </c>
      <c r="D4189" t="s">
        <v>2469</v>
      </c>
      <c r="E4189" t="s">
        <v>2170</v>
      </c>
    </row>
    <row r="4190" spans="1:5" x14ac:dyDescent="0.25">
      <c r="A4190" t="s">
        <v>1860</v>
      </c>
      <c r="B4190" t="s">
        <v>10439</v>
      </c>
      <c r="C4190" t="s">
        <v>10440</v>
      </c>
      <c r="D4190" t="s">
        <v>2311</v>
      </c>
      <c r="E4190" t="s">
        <v>2170</v>
      </c>
    </row>
    <row r="4191" spans="1:5" x14ac:dyDescent="0.25">
      <c r="A4191" t="s">
        <v>1860</v>
      </c>
      <c r="B4191" t="s">
        <v>10441</v>
      </c>
      <c r="C4191" t="s">
        <v>10442</v>
      </c>
      <c r="D4191" t="s">
        <v>2311</v>
      </c>
      <c r="E4191" t="s">
        <v>2170</v>
      </c>
    </row>
    <row r="4192" spans="1:5" x14ac:dyDescent="0.25">
      <c r="A4192" t="s">
        <v>1860</v>
      </c>
      <c r="B4192" t="s">
        <v>10443</v>
      </c>
      <c r="C4192" t="s">
        <v>10444</v>
      </c>
      <c r="D4192" t="s">
        <v>2311</v>
      </c>
      <c r="E4192" t="s">
        <v>2170</v>
      </c>
    </row>
    <row r="4193" spans="1:5" x14ac:dyDescent="0.25">
      <c r="A4193" t="s">
        <v>1860</v>
      </c>
      <c r="B4193" t="s">
        <v>10445</v>
      </c>
      <c r="C4193" t="s">
        <v>10446</v>
      </c>
      <c r="D4193" t="s">
        <v>2311</v>
      </c>
      <c r="E4193" t="s">
        <v>2170</v>
      </c>
    </row>
    <row r="4194" spans="1:5" x14ac:dyDescent="0.25">
      <c r="A4194" t="s">
        <v>1860</v>
      </c>
      <c r="B4194" t="s">
        <v>10447</v>
      </c>
      <c r="C4194" t="s">
        <v>10448</v>
      </c>
      <c r="D4194" t="s">
        <v>2311</v>
      </c>
      <c r="E4194" t="s">
        <v>2170</v>
      </c>
    </row>
    <row r="4195" spans="1:5" x14ac:dyDescent="0.25">
      <c r="A4195" t="s">
        <v>1860</v>
      </c>
      <c r="B4195" t="s">
        <v>10449</v>
      </c>
      <c r="C4195" t="s">
        <v>10450</v>
      </c>
      <c r="D4195" t="s">
        <v>2311</v>
      </c>
      <c r="E4195" t="s">
        <v>2170</v>
      </c>
    </row>
    <row r="4196" spans="1:5" x14ac:dyDescent="0.25">
      <c r="A4196" t="s">
        <v>1860</v>
      </c>
      <c r="B4196" t="s">
        <v>10451</v>
      </c>
      <c r="C4196" t="s">
        <v>10452</v>
      </c>
      <c r="D4196" t="s">
        <v>2311</v>
      </c>
      <c r="E4196" t="s">
        <v>2170</v>
      </c>
    </row>
    <row r="4197" spans="1:5" x14ac:dyDescent="0.25">
      <c r="A4197" t="s">
        <v>1860</v>
      </c>
      <c r="B4197" t="s">
        <v>10453</v>
      </c>
      <c r="C4197" t="s">
        <v>10454</v>
      </c>
      <c r="D4197" t="s">
        <v>2311</v>
      </c>
      <c r="E4197" t="s">
        <v>2170</v>
      </c>
    </row>
    <row r="4198" spans="1:5" x14ac:dyDescent="0.25">
      <c r="A4198" t="s">
        <v>1863</v>
      </c>
      <c r="B4198" t="s">
        <v>10455</v>
      </c>
      <c r="C4198" t="s">
        <v>4718</v>
      </c>
      <c r="D4198" t="s">
        <v>2200</v>
      </c>
      <c r="E4198" t="s">
        <v>2170</v>
      </c>
    </row>
    <row r="4199" spans="1:5" x14ac:dyDescent="0.25">
      <c r="A4199" t="s">
        <v>1863</v>
      </c>
      <c r="B4199" t="s">
        <v>10456</v>
      </c>
      <c r="C4199" t="s">
        <v>10457</v>
      </c>
      <c r="D4199" t="s">
        <v>2200</v>
      </c>
      <c r="E4199" t="s">
        <v>2170</v>
      </c>
    </row>
    <row r="4200" spans="1:5" x14ac:dyDescent="0.25">
      <c r="A4200" t="s">
        <v>1863</v>
      </c>
      <c r="B4200" t="s">
        <v>10458</v>
      </c>
      <c r="C4200" t="s">
        <v>4720</v>
      </c>
      <c r="D4200" t="s">
        <v>2200</v>
      </c>
      <c r="E4200" t="s">
        <v>2170</v>
      </c>
    </row>
    <row r="4201" spans="1:5" x14ac:dyDescent="0.25">
      <c r="A4201" t="s">
        <v>1863</v>
      </c>
      <c r="B4201" t="s">
        <v>10459</v>
      </c>
      <c r="C4201" t="s">
        <v>3248</v>
      </c>
      <c r="D4201" t="s">
        <v>2200</v>
      </c>
      <c r="E4201" t="s">
        <v>2170</v>
      </c>
    </row>
    <row r="4202" spans="1:5" x14ac:dyDescent="0.25">
      <c r="A4202" t="s">
        <v>1863</v>
      </c>
      <c r="B4202" t="s">
        <v>10460</v>
      </c>
      <c r="C4202" t="s">
        <v>10461</v>
      </c>
      <c r="D4202" t="s">
        <v>10462</v>
      </c>
      <c r="E4202" t="s">
        <v>2170</v>
      </c>
    </row>
    <row r="4203" spans="1:5" x14ac:dyDescent="0.25">
      <c r="A4203" t="s">
        <v>1865</v>
      </c>
      <c r="B4203" t="s">
        <v>10463</v>
      </c>
      <c r="C4203" t="s">
        <v>10464</v>
      </c>
      <c r="D4203" t="s">
        <v>2469</v>
      </c>
      <c r="E4203" t="s">
        <v>2170</v>
      </c>
    </row>
    <row r="4204" spans="1:5" x14ac:dyDescent="0.25">
      <c r="A4204" t="s">
        <v>1865</v>
      </c>
      <c r="B4204" t="s">
        <v>10465</v>
      </c>
      <c r="C4204" t="s">
        <v>10466</v>
      </c>
      <c r="D4204" t="s">
        <v>2469</v>
      </c>
      <c r="E4204" t="s">
        <v>2170</v>
      </c>
    </row>
    <row r="4205" spans="1:5" x14ac:dyDescent="0.25">
      <c r="A4205" t="s">
        <v>1865</v>
      </c>
      <c r="B4205" t="s">
        <v>10467</v>
      </c>
      <c r="C4205" t="s">
        <v>10468</v>
      </c>
      <c r="D4205" t="s">
        <v>2469</v>
      </c>
      <c r="E4205" t="s">
        <v>2170</v>
      </c>
    </row>
    <row r="4206" spans="1:5" x14ac:dyDescent="0.25">
      <c r="A4206" t="s">
        <v>1865</v>
      </c>
      <c r="B4206" t="s">
        <v>10469</v>
      </c>
      <c r="C4206" t="s">
        <v>10470</v>
      </c>
      <c r="D4206" t="s">
        <v>2469</v>
      </c>
      <c r="E4206" t="s">
        <v>2170</v>
      </c>
    </row>
    <row r="4207" spans="1:5" x14ac:dyDescent="0.25">
      <c r="A4207" t="s">
        <v>1865</v>
      </c>
      <c r="B4207" t="s">
        <v>10471</v>
      </c>
      <c r="C4207" t="s">
        <v>10472</v>
      </c>
      <c r="D4207" t="s">
        <v>2469</v>
      </c>
      <c r="E4207" t="s">
        <v>2170</v>
      </c>
    </row>
    <row r="4208" spans="1:5" x14ac:dyDescent="0.25">
      <c r="A4208" t="s">
        <v>1865</v>
      </c>
      <c r="B4208" t="s">
        <v>10473</v>
      </c>
      <c r="C4208" t="s">
        <v>10474</v>
      </c>
      <c r="D4208" t="s">
        <v>2469</v>
      </c>
      <c r="E4208" t="s">
        <v>2170</v>
      </c>
    </row>
    <row r="4209" spans="1:5" x14ac:dyDescent="0.25">
      <c r="A4209" t="s">
        <v>1865</v>
      </c>
      <c r="B4209" t="s">
        <v>10475</v>
      </c>
      <c r="C4209" t="s">
        <v>10476</v>
      </c>
      <c r="D4209" t="s">
        <v>2469</v>
      </c>
      <c r="E4209" t="s">
        <v>2170</v>
      </c>
    </row>
    <row r="4210" spans="1:5" x14ac:dyDescent="0.25">
      <c r="A4210" t="s">
        <v>1865</v>
      </c>
      <c r="B4210" t="s">
        <v>10477</v>
      </c>
      <c r="C4210" t="s">
        <v>10478</v>
      </c>
      <c r="D4210" t="s">
        <v>2469</v>
      </c>
      <c r="E4210" t="s">
        <v>2170</v>
      </c>
    </row>
    <row r="4211" spans="1:5" x14ac:dyDescent="0.25">
      <c r="A4211" t="s">
        <v>1865</v>
      </c>
      <c r="B4211" t="s">
        <v>10479</v>
      </c>
      <c r="C4211" t="s">
        <v>10480</v>
      </c>
      <c r="D4211" t="s">
        <v>2469</v>
      </c>
      <c r="E4211" t="s">
        <v>2170</v>
      </c>
    </row>
    <row r="4212" spans="1:5" x14ac:dyDescent="0.25">
      <c r="A4212" t="s">
        <v>1868</v>
      </c>
      <c r="B4212" t="s">
        <v>10481</v>
      </c>
      <c r="C4212" t="s">
        <v>1867</v>
      </c>
      <c r="D4212" t="s">
        <v>2311</v>
      </c>
      <c r="E4212" t="s">
        <v>2170</v>
      </c>
    </row>
    <row r="4213" spans="1:5" x14ac:dyDescent="0.25">
      <c r="A4213" t="s">
        <v>1868</v>
      </c>
      <c r="B4213" t="s">
        <v>10482</v>
      </c>
      <c r="C4213" t="s">
        <v>10483</v>
      </c>
      <c r="D4213" t="s">
        <v>2311</v>
      </c>
      <c r="E4213" t="s">
        <v>2170</v>
      </c>
    </row>
    <row r="4214" spans="1:5" x14ac:dyDescent="0.25">
      <c r="A4214" t="s">
        <v>1868</v>
      </c>
      <c r="B4214" t="s">
        <v>10484</v>
      </c>
      <c r="C4214" t="s">
        <v>10485</v>
      </c>
      <c r="D4214" t="s">
        <v>2311</v>
      </c>
      <c r="E4214" t="s">
        <v>2170</v>
      </c>
    </row>
    <row r="4215" spans="1:5" x14ac:dyDescent="0.25">
      <c r="A4215" t="s">
        <v>1868</v>
      </c>
      <c r="B4215" t="s">
        <v>10486</v>
      </c>
      <c r="C4215" t="s">
        <v>10487</v>
      </c>
      <c r="D4215" t="s">
        <v>2311</v>
      </c>
      <c r="E4215" t="s">
        <v>2170</v>
      </c>
    </row>
    <row r="4216" spans="1:5" x14ac:dyDescent="0.25">
      <c r="A4216" t="s">
        <v>1868</v>
      </c>
      <c r="B4216" t="s">
        <v>10488</v>
      </c>
      <c r="C4216" t="s">
        <v>10489</v>
      </c>
      <c r="D4216" t="s">
        <v>2311</v>
      </c>
      <c r="E4216" t="s">
        <v>2170</v>
      </c>
    </row>
    <row r="4217" spans="1:5" x14ac:dyDescent="0.25">
      <c r="A4217" t="s">
        <v>1868</v>
      </c>
      <c r="B4217" t="s">
        <v>10490</v>
      </c>
      <c r="C4217" t="s">
        <v>10491</v>
      </c>
      <c r="D4217" t="s">
        <v>2311</v>
      </c>
      <c r="E4217" t="s">
        <v>2170</v>
      </c>
    </row>
    <row r="4218" spans="1:5" x14ac:dyDescent="0.25">
      <c r="A4218" t="s">
        <v>1868</v>
      </c>
      <c r="B4218" t="s">
        <v>10492</v>
      </c>
      <c r="C4218" t="s">
        <v>10493</v>
      </c>
      <c r="D4218" t="s">
        <v>2311</v>
      </c>
      <c r="E4218" t="s">
        <v>2170</v>
      </c>
    </row>
    <row r="4219" spans="1:5" x14ac:dyDescent="0.25">
      <c r="A4219" t="s">
        <v>1868</v>
      </c>
      <c r="B4219" t="s">
        <v>10494</v>
      </c>
      <c r="C4219" t="s">
        <v>10495</v>
      </c>
      <c r="D4219" t="s">
        <v>2311</v>
      </c>
      <c r="E4219" t="s">
        <v>2170</v>
      </c>
    </row>
    <row r="4220" spans="1:5" x14ac:dyDescent="0.25">
      <c r="A4220" t="s">
        <v>1868</v>
      </c>
      <c r="B4220" t="s">
        <v>10496</v>
      </c>
      <c r="C4220" t="s">
        <v>10497</v>
      </c>
      <c r="D4220" t="s">
        <v>2311</v>
      </c>
      <c r="E4220" t="s">
        <v>2170</v>
      </c>
    </row>
    <row r="4221" spans="1:5" x14ac:dyDescent="0.25">
      <c r="A4221" t="s">
        <v>1868</v>
      </c>
      <c r="B4221" t="s">
        <v>10498</v>
      </c>
      <c r="C4221" t="s">
        <v>10499</v>
      </c>
      <c r="D4221" t="s">
        <v>2311</v>
      </c>
      <c r="E4221" t="s">
        <v>2170</v>
      </c>
    </row>
    <row r="4222" spans="1:5" x14ac:dyDescent="0.25">
      <c r="A4222" t="s">
        <v>1868</v>
      </c>
      <c r="B4222" t="s">
        <v>10500</v>
      </c>
      <c r="C4222" t="s">
        <v>10501</v>
      </c>
      <c r="D4222" t="s">
        <v>2311</v>
      </c>
      <c r="E4222" t="s">
        <v>2170</v>
      </c>
    </row>
    <row r="4223" spans="1:5" x14ac:dyDescent="0.25">
      <c r="A4223" t="s">
        <v>1868</v>
      </c>
      <c r="B4223" t="s">
        <v>10502</v>
      </c>
      <c r="C4223" t="s">
        <v>10503</v>
      </c>
      <c r="D4223" t="s">
        <v>2311</v>
      </c>
      <c r="E4223" t="s">
        <v>2170</v>
      </c>
    </row>
    <row r="4224" spans="1:5" x14ac:dyDescent="0.25">
      <c r="A4224" t="s">
        <v>1868</v>
      </c>
      <c r="B4224" t="s">
        <v>10504</v>
      </c>
      <c r="C4224" t="s">
        <v>10505</v>
      </c>
      <c r="D4224" t="s">
        <v>2311</v>
      </c>
      <c r="E4224" t="s">
        <v>2170</v>
      </c>
    </row>
    <row r="4225" spans="1:5" x14ac:dyDescent="0.25">
      <c r="A4225" t="s">
        <v>1868</v>
      </c>
      <c r="B4225" t="s">
        <v>10506</v>
      </c>
      <c r="C4225" t="s">
        <v>10507</v>
      </c>
      <c r="D4225" t="s">
        <v>2311</v>
      </c>
      <c r="E4225" t="s">
        <v>2170</v>
      </c>
    </row>
    <row r="4226" spans="1:5" x14ac:dyDescent="0.25">
      <c r="A4226" t="s">
        <v>1464</v>
      </c>
      <c r="B4226" t="s">
        <v>10508</v>
      </c>
      <c r="C4226" t="s">
        <v>10509</v>
      </c>
      <c r="D4226" t="s">
        <v>2311</v>
      </c>
      <c r="E4226" t="s">
        <v>2170</v>
      </c>
    </row>
    <row r="4227" spans="1:5" x14ac:dyDescent="0.25">
      <c r="A4227" t="s">
        <v>1464</v>
      </c>
      <c r="B4227" t="s">
        <v>10510</v>
      </c>
      <c r="C4227" t="s">
        <v>10511</v>
      </c>
      <c r="D4227" t="s">
        <v>2311</v>
      </c>
      <c r="E4227" t="s">
        <v>2170</v>
      </c>
    </row>
    <row r="4228" spans="1:5" x14ac:dyDescent="0.25">
      <c r="A4228" t="s">
        <v>1464</v>
      </c>
      <c r="B4228" t="s">
        <v>10512</v>
      </c>
      <c r="C4228" t="s">
        <v>10513</v>
      </c>
      <c r="D4228" t="s">
        <v>2311</v>
      </c>
      <c r="E4228" t="s">
        <v>2170</v>
      </c>
    </row>
    <row r="4229" spans="1:5" x14ac:dyDescent="0.25">
      <c r="A4229" t="s">
        <v>1464</v>
      </c>
      <c r="B4229" t="s">
        <v>10514</v>
      </c>
      <c r="C4229" t="s">
        <v>6471</v>
      </c>
      <c r="D4229" t="s">
        <v>2311</v>
      </c>
      <c r="E4229" t="s">
        <v>2170</v>
      </c>
    </row>
    <row r="4230" spans="1:5" x14ac:dyDescent="0.25">
      <c r="A4230" t="s">
        <v>1464</v>
      </c>
      <c r="B4230" t="s">
        <v>10515</v>
      </c>
      <c r="C4230" t="s">
        <v>10516</v>
      </c>
      <c r="D4230" t="s">
        <v>2311</v>
      </c>
      <c r="E4230" t="s">
        <v>2170</v>
      </c>
    </row>
    <row r="4231" spans="1:5" x14ac:dyDescent="0.25">
      <c r="A4231" t="s">
        <v>1464</v>
      </c>
      <c r="B4231" t="s">
        <v>10517</v>
      </c>
      <c r="C4231" t="s">
        <v>10518</v>
      </c>
      <c r="D4231" t="s">
        <v>2311</v>
      </c>
      <c r="E4231" t="s">
        <v>2170</v>
      </c>
    </row>
    <row r="4232" spans="1:5" x14ac:dyDescent="0.25">
      <c r="A4232" t="s">
        <v>1464</v>
      </c>
      <c r="B4232" t="s">
        <v>10519</v>
      </c>
      <c r="C4232" t="s">
        <v>10520</v>
      </c>
      <c r="D4232" t="s">
        <v>2311</v>
      </c>
      <c r="E4232" t="s">
        <v>2170</v>
      </c>
    </row>
    <row r="4233" spans="1:5" x14ac:dyDescent="0.25">
      <c r="A4233" t="s">
        <v>1464</v>
      </c>
      <c r="B4233" t="s">
        <v>10521</v>
      </c>
      <c r="C4233" t="s">
        <v>10522</v>
      </c>
      <c r="D4233" t="s">
        <v>2311</v>
      </c>
      <c r="E4233" t="s">
        <v>2170</v>
      </c>
    </row>
    <row r="4234" spans="1:5" x14ac:dyDescent="0.25">
      <c r="A4234" t="s">
        <v>1464</v>
      </c>
      <c r="B4234" t="s">
        <v>10523</v>
      </c>
      <c r="C4234" t="s">
        <v>10524</v>
      </c>
      <c r="D4234" t="s">
        <v>2311</v>
      </c>
      <c r="E4234" t="s">
        <v>2170</v>
      </c>
    </row>
    <row r="4235" spans="1:5" x14ac:dyDescent="0.25">
      <c r="A4235" t="s">
        <v>1464</v>
      </c>
      <c r="B4235" t="s">
        <v>10525</v>
      </c>
      <c r="C4235" t="s">
        <v>10526</v>
      </c>
      <c r="D4235" t="s">
        <v>2311</v>
      </c>
      <c r="E4235" t="s">
        <v>2170</v>
      </c>
    </row>
    <row r="4236" spans="1:5" x14ac:dyDescent="0.25">
      <c r="A4236" t="s">
        <v>1464</v>
      </c>
      <c r="B4236" t="s">
        <v>10527</v>
      </c>
      <c r="C4236" t="s">
        <v>10528</v>
      </c>
      <c r="D4236" t="s">
        <v>2311</v>
      </c>
      <c r="E4236" t="s">
        <v>2170</v>
      </c>
    </row>
    <row r="4237" spans="1:5" x14ac:dyDescent="0.25">
      <c r="A4237" t="s">
        <v>1464</v>
      </c>
      <c r="B4237" t="s">
        <v>10529</v>
      </c>
      <c r="C4237" t="s">
        <v>10530</v>
      </c>
      <c r="D4237" t="s">
        <v>2311</v>
      </c>
      <c r="E4237" t="s">
        <v>2170</v>
      </c>
    </row>
    <row r="4238" spans="1:5" x14ac:dyDescent="0.25">
      <c r="A4238" t="s">
        <v>1464</v>
      </c>
      <c r="B4238" t="s">
        <v>10531</v>
      </c>
      <c r="C4238" t="s">
        <v>10532</v>
      </c>
      <c r="D4238" t="s">
        <v>2311</v>
      </c>
      <c r="E4238" t="s">
        <v>2170</v>
      </c>
    </row>
    <row r="4239" spans="1:5" x14ac:dyDescent="0.25">
      <c r="A4239" t="s">
        <v>1464</v>
      </c>
      <c r="B4239" t="s">
        <v>10533</v>
      </c>
      <c r="C4239" t="s">
        <v>10534</v>
      </c>
      <c r="D4239" t="s">
        <v>2311</v>
      </c>
      <c r="E4239" t="s">
        <v>2170</v>
      </c>
    </row>
    <row r="4240" spans="1:5" x14ac:dyDescent="0.25">
      <c r="A4240" t="s">
        <v>1464</v>
      </c>
      <c r="B4240" t="s">
        <v>10535</v>
      </c>
      <c r="C4240" t="s">
        <v>10536</v>
      </c>
      <c r="D4240" t="s">
        <v>2311</v>
      </c>
      <c r="E4240" t="s">
        <v>2170</v>
      </c>
    </row>
    <row r="4241" spans="1:5" x14ac:dyDescent="0.25">
      <c r="A4241" t="s">
        <v>1464</v>
      </c>
      <c r="B4241" t="s">
        <v>10537</v>
      </c>
      <c r="C4241" t="s">
        <v>10538</v>
      </c>
      <c r="D4241" t="s">
        <v>2311</v>
      </c>
      <c r="E4241" t="s">
        <v>2170</v>
      </c>
    </row>
    <row r="4242" spans="1:5" x14ac:dyDescent="0.25">
      <c r="A4242" t="s">
        <v>1464</v>
      </c>
      <c r="B4242" t="s">
        <v>10539</v>
      </c>
      <c r="C4242" t="s">
        <v>10540</v>
      </c>
      <c r="D4242" t="s">
        <v>2311</v>
      </c>
      <c r="E4242" t="s">
        <v>2170</v>
      </c>
    </row>
    <row r="4243" spans="1:5" x14ac:dyDescent="0.25">
      <c r="A4243" t="s">
        <v>1464</v>
      </c>
      <c r="B4243" t="s">
        <v>10541</v>
      </c>
      <c r="C4243" t="s">
        <v>10542</v>
      </c>
      <c r="D4243" t="s">
        <v>2311</v>
      </c>
      <c r="E4243" t="s">
        <v>2170</v>
      </c>
    </row>
    <row r="4244" spans="1:5" x14ac:dyDescent="0.25">
      <c r="A4244" t="s">
        <v>1873</v>
      </c>
      <c r="B4244" t="s">
        <v>10543</v>
      </c>
      <c r="C4244" t="s">
        <v>10544</v>
      </c>
      <c r="D4244" t="s">
        <v>2646</v>
      </c>
      <c r="E4244" t="s">
        <v>2170</v>
      </c>
    </row>
    <row r="4245" spans="1:5" x14ac:dyDescent="0.25">
      <c r="A4245" t="s">
        <v>1873</v>
      </c>
      <c r="B4245" t="s">
        <v>10545</v>
      </c>
      <c r="C4245" t="s">
        <v>10546</v>
      </c>
      <c r="D4245" t="s">
        <v>2646</v>
      </c>
      <c r="E4245" t="s">
        <v>2170</v>
      </c>
    </row>
    <row r="4246" spans="1:5" x14ac:dyDescent="0.25">
      <c r="A4246" t="s">
        <v>1873</v>
      </c>
      <c r="B4246" t="s">
        <v>10547</v>
      </c>
      <c r="C4246" t="s">
        <v>10548</v>
      </c>
      <c r="D4246" t="s">
        <v>2646</v>
      </c>
      <c r="E4246" t="s">
        <v>2170</v>
      </c>
    </row>
    <row r="4247" spans="1:5" x14ac:dyDescent="0.25">
      <c r="A4247" t="s">
        <v>1873</v>
      </c>
      <c r="B4247" t="s">
        <v>10549</v>
      </c>
      <c r="C4247" t="s">
        <v>10550</v>
      </c>
      <c r="D4247" t="s">
        <v>2646</v>
      </c>
      <c r="E4247" t="s">
        <v>2170</v>
      </c>
    </row>
    <row r="4248" spans="1:5" x14ac:dyDescent="0.25">
      <c r="A4248" t="s">
        <v>1873</v>
      </c>
      <c r="B4248" t="s">
        <v>10551</v>
      </c>
      <c r="C4248" t="s">
        <v>10552</v>
      </c>
      <c r="D4248" t="s">
        <v>2646</v>
      </c>
      <c r="E4248" t="s">
        <v>2170</v>
      </c>
    </row>
    <row r="4249" spans="1:5" x14ac:dyDescent="0.25">
      <c r="A4249" t="s">
        <v>1873</v>
      </c>
      <c r="B4249" t="s">
        <v>10553</v>
      </c>
      <c r="C4249" t="s">
        <v>10554</v>
      </c>
      <c r="D4249" t="s">
        <v>2646</v>
      </c>
      <c r="E4249" t="s">
        <v>2170</v>
      </c>
    </row>
    <row r="4250" spans="1:5" x14ac:dyDescent="0.25">
      <c r="A4250" t="s">
        <v>1873</v>
      </c>
      <c r="B4250" t="s">
        <v>10555</v>
      </c>
      <c r="C4250" t="s">
        <v>1872</v>
      </c>
      <c r="D4250" t="s">
        <v>2646</v>
      </c>
      <c r="E4250" t="s">
        <v>2170</v>
      </c>
    </row>
    <row r="4251" spans="1:5" x14ac:dyDescent="0.25">
      <c r="A4251" t="s">
        <v>1873</v>
      </c>
      <c r="B4251" t="s">
        <v>10556</v>
      </c>
      <c r="C4251" t="s">
        <v>10557</v>
      </c>
      <c r="D4251" t="s">
        <v>2646</v>
      </c>
      <c r="E4251" t="s">
        <v>2170</v>
      </c>
    </row>
    <row r="4252" spans="1:5" x14ac:dyDescent="0.25">
      <c r="A4252" t="s">
        <v>1873</v>
      </c>
      <c r="B4252" t="s">
        <v>10558</v>
      </c>
      <c r="C4252" t="s">
        <v>10559</v>
      </c>
      <c r="D4252" t="s">
        <v>2646</v>
      </c>
      <c r="E4252" t="s">
        <v>2170</v>
      </c>
    </row>
    <row r="4253" spans="1:5" x14ac:dyDescent="0.25">
      <c r="A4253" t="s">
        <v>1873</v>
      </c>
      <c r="B4253" t="s">
        <v>10560</v>
      </c>
      <c r="C4253" t="s">
        <v>10561</v>
      </c>
      <c r="D4253" t="s">
        <v>2646</v>
      </c>
      <c r="E4253" t="s">
        <v>2170</v>
      </c>
    </row>
    <row r="4254" spans="1:5" x14ac:dyDescent="0.25">
      <c r="A4254" t="s">
        <v>1876</v>
      </c>
      <c r="B4254" t="s">
        <v>10562</v>
      </c>
      <c r="C4254" t="s">
        <v>10563</v>
      </c>
      <c r="D4254" t="s">
        <v>2415</v>
      </c>
      <c r="E4254" t="s">
        <v>2170</v>
      </c>
    </row>
    <row r="4255" spans="1:5" x14ac:dyDescent="0.25">
      <c r="A4255" t="s">
        <v>1876</v>
      </c>
      <c r="B4255" t="s">
        <v>10564</v>
      </c>
      <c r="C4255" t="s">
        <v>10565</v>
      </c>
      <c r="D4255" t="s">
        <v>2415</v>
      </c>
      <c r="E4255" t="s">
        <v>2170</v>
      </c>
    </row>
    <row r="4256" spans="1:5" x14ac:dyDescent="0.25">
      <c r="A4256" t="s">
        <v>1876</v>
      </c>
      <c r="B4256" t="s">
        <v>10566</v>
      </c>
      <c r="C4256" t="s">
        <v>10567</v>
      </c>
      <c r="D4256" t="s">
        <v>2415</v>
      </c>
      <c r="E4256" t="s">
        <v>2170</v>
      </c>
    </row>
    <row r="4257" spans="1:5" x14ac:dyDescent="0.25">
      <c r="A4257" t="s">
        <v>1876</v>
      </c>
      <c r="B4257" t="s">
        <v>10568</v>
      </c>
      <c r="C4257" t="s">
        <v>10569</v>
      </c>
      <c r="D4257" t="s">
        <v>2415</v>
      </c>
      <c r="E4257" t="s">
        <v>2170</v>
      </c>
    </row>
    <row r="4258" spans="1:5" x14ac:dyDescent="0.25">
      <c r="A4258" t="s">
        <v>1876</v>
      </c>
      <c r="B4258" t="s">
        <v>10570</v>
      </c>
      <c r="C4258" t="s">
        <v>10571</v>
      </c>
      <c r="D4258" t="s">
        <v>2415</v>
      </c>
      <c r="E4258" t="s">
        <v>2170</v>
      </c>
    </row>
    <row r="4259" spans="1:5" x14ac:dyDescent="0.25">
      <c r="A4259" t="s">
        <v>1876</v>
      </c>
      <c r="B4259" t="s">
        <v>10572</v>
      </c>
      <c r="C4259" t="s">
        <v>10573</v>
      </c>
      <c r="D4259" t="s">
        <v>2415</v>
      </c>
      <c r="E4259" t="s">
        <v>2170</v>
      </c>
    </row>
    <row r="4260" spans="1:5" x14ac:dyDescent="0.25">
      <c r="A4260" t="s">
        <v>1876</v>
      </c>
      <c r="B4260" t="s">
        <v>10574</v>
      </c>
      <c r="C4260" t="s">
        <v>10575</v>
      </c>
      <c r="D4260" t="s">
        <v>2415</v>
      </c>
      <c r="E4260" t="s">
        <v>2170</v>
      </c>
    </row>
    <row r="4261" spans="1:5" x14ac:dyDescent="0.25">
      <c r="A4261" t="s">
        <v>1876</v>
      </c>
      <c r="B4261" t="s">
        <v>10576</v>
      </c>
      <c r="C4261" t="s">
        <v>10577</v>
      </c>
      <c r="D4261" t="s">
        <v>2415</v>
      </c>
      <c r="E4261" t="s">
        <v>2170</v>
      </c>
    </row>
    <row r="4262" spans="1:5" x14ac:dyDescent="0.25">
      <c r="A4262" t="s">
        <v>1876</v>
      </c>
      <c r="B4262" t="s">
        <v>10578</v>
      </c>
      <c r="C4262" t="s">
        <v>10579</v>
      </c>
      <c r="D4262" t="s">
        <v>2415</v>
      </c>
      <c r="E4262" t="s">
        <v>2170</v>
      </c>
    </row>
    <row r="4263" spans="1:5" x14ac:dyDescent="0.25">
      <c r="A4263" t="s">
        <v>1876</v>
      </c>
      <c r="B4263" t="s">
        <v>10580</v>
      </c>
      <c r="C4263" t="s">
        <v>10581</v>
      </c>
      <c r="D4263" t="s">
        <v>2415</v>
      </c>
      <c r="E4263" t="s">
        <v>2170</v>
      </c>
    </row>
    <row r="4264" spans="1:5" x14ac:dyDescent="0.25">
      <c r="A4264" t="s">
        <v>1468</v>
      </c>
      <c r="B4264" t="s">
        <v>10582</v>
      </c>
      <c r="C4264" t="s">
        <v>10583</v>
      </c>
      <c r="D4264" t="s">
        <v>2646</v>
      </c>
      <c r="E4264" t="s">
        <v>2170</v>
      </c>
    </row>
    <row r="4265" spans="1:5" x14ac:dyDescent="0.25">
      <c r="A4265" t="s">
        <v>1468</v>
      </c>
      <c r="B4265" t="s">
        <v>10584</v>
      </c>
      <c r="C4265" t="s">
        <v>10585</v>
      </c>
      <c r="D4265" t="s">
        <v>2646</v>
      </c>
      <c r="E4265" t="s">
        <v>2170</v>
      </c>
    </row>
    <row r="4266" spans="1:5" x14ac:dyDescent="0.25">
      <c r="A4266" t="s">
        <v>1468</v>
      </c>
      <c r="B4266" t="s">
        <v>10586</v>
      </c>
      <c r="C4266" t="s">
        <v>10587</v>
      </c>
      <c r="D4266" t="s">
        <v>2646</v>
      </c>
      <c r="E4266" t="s">
        <v>2170</v>
      </c>
    </row>
    <row r="4267" spans="1:5" x14ac:dyDescent="0.25">
      <c r="A4267" t="s">
        <v>1468</v>
      </c>
      <c r="B4267" t="s">
        <v>10588</v>
      </c>
      <c r="C4267" t="s">
        <v>10589</v>
      </c>
      <c r="D4267" t="s">
        <v>2646</v>
      </c>
      <c r="E4267" t="s">
        <v>2170</v>
      </c>
    </row>
    <row r="4268" spans="1:5" x14ac:dyDescent="0.25">
      <c r="A4268" t="s">
        <v>1468</v>
      </c>
      <c r="B4268" t="s">
        <v>10590</v>
      </c>
      <c r="C4268" t="s">
        <v>10591</v>
      </c>
      <c r="D4268" t="s">
        <v>2646</v>
      </c>
      <c r="E4268" t="s">
        <v>2170</v>
      </c>
    </row>
    <row r="4269" spans="1:5" x14ac:dyDescent="0.25">
      <c r="A4269" t="s">
        <v>1468</v>
      </c>
      <c r="B4269" t="s">
        <v>10592</v>
      </c>
      <c r="C4269" t="s">
        <v>10593</v>
      </c>
      <c r="D4269" t="s">
        <v>2646</v>
      </c>
      <c r="E4269" t="s">
        <v>2170</v>
      </c>
    </row>
    <row r="4270" spans="1:5" x14ac:dyDescent="0.25">
      <c r="A4270" t="s">
        <v>1468</v>
      </c>
      <c r="B4270" t="s">
        <v>10594</v>
      </c>
      <c r="C4270" t="s">
        <v>10595</v>
      </c>
      <c r="D4270" t="s">
        <v>3555</v>
      </c>
      <c r="E4270" t="s">
        <v>2170</v>
      </c>
    </row>
    <row r="4271" spans="1:5" x14ac:dyDescent="0.25">
      <c r="A4271" t="s">
        <v>1881</v>
      </c>
      <c r="B4271" t="s">
        <v>10596</v>
      </c>
      <c r="C4271" t="s">
        <v>10597</v>
      </c>
      <c r="D4271" t="s">
        <v>3008</v>
      </c>
      <c r="E4271" t="s">
        <v>2170</v>
      </c>
    </row>
    <row r="4272" spans="1:5" x14ac:dyDescent="0.25">
      <c r="A4272" t="s">
        <v>1881</v>
      </c>
      <c r="B4272" t="s">
        <v>10598</v>
      </c>
      <c r="C4272" t="s">
        <v>10599</v>
      </c>
      <c r="D4272" t="s">
        <v>3008</v>
      </c>
      <c r="E4272" t="s">
        <v>2170</v>
      </c>
    </row>
    <row r="4273" spans="1:5" x14ac:dyDescent="0.25">
      <c r="A4273" t="s">
        <v>1881</v>
      </c>
      <c r="B4273" t="s">
        <v>10600</v>
      </c>
      <c r="C4273" t="s">
        <v>10601</v>
      </c>
      <c r="D4273" t="s">
        <v>3008</v>
      </c>
      <c r="E4273" t="s">
        <v>2170</v>
      </c>
    </row>
    <row r="4274" spans="1:5" x14ac:dyDescent="0.25">
      <c r="A4274" t="s">
        <v>1881</v>
      </c>
      <c r="B4274" t="s">
        <v>10602</v>
      </c>
      <c r="C4274" t="s">
        <v>10603</v>
      </c>
      <c r="D4274" t="s">
        <v>3008</v>
      </c>
      <c r="E4274" t="s">
        <v>2170</v>
      </c>
    </row>
    <row r="4275" spans="1:5" x14ac:dyDescent="0.25">
      <c r="A4275" t="s">
        <v>1881</v>
      </c>
      <c r="B4275" t="s">
        <v>10604</v>
      </c>
      <c r="C4275" t="s">
        <v>9042</v>
      </c>
      <c r="D4275" t="s">
        <v>3008</v>
      </c>
      <c r="E4275" t="s">
        <v>2170</v>
      </c>
    </row>
    <row r="4276" spans="1:5" x14ac:dyDescent="0.25">
      <c r="A4276" t="s">
        <v>1881</v>
      </c>
      <c r="B4276" t="s">
        <v>10605</v>
      </c>
      <c r="C4276" t="s">
        <v>3046</v>
      </c>
      <c r="D4276" t="s">
        <v>3008</v>
      </c>
      <c r="E4276" t="s">
        <v>2170</v>
      </c>
    </row>
    <row r="4277" spans="1:5" x14ac:dyDescent="0.25">
      <c r="A4277" t="s">
        <v>1881</v>
      </c>
      <c r="B4277" t="s">
        <v>10606</v>
      </c>
      <c r="C4277" t="s">
        <v>10607</v>
      </c>
      <c r="D4277" t="s">
        <v>3008</v>
      </c>
      <c r="E4277" t="s">
        <v>2170</v>
      </c>
    </row>
    <row r="4278" spans="1:5" x14ac:dyDescent="0.25">
      <c r="A4278" t="s">
        <v>1881</v>
      </c>
      <c r="B4278" t="s">
        <v>10608</v>
      </c>
      <c r="C4278" t="s">
        <v>10609</v>
      </c>
      <c r="D4278" t="s">
        <v>3008</v>
      </c>
      <c r="E4278" t="s">
        <v>2170</v>
      </c>
    </row>
    <row r="4279" spans="1:5" x14ac:dyDescent="0.25">
      <c r="A4279" t="s">
        <v>1881</v>
      </c>
      <c r="B4279" t="s">
        <v>10610</v>
      </c>
      <c r="C4279" t="s">
        <v>10611</v>
      </c>
      <c r="D4279" t="s">
        <v>3008</v>
      </c>
      <c r="E4279" t="s">
        <v>2170</v>
      </c>
    </row>
    <row r="4280" spans="1:5" x14ac:dyDescent="0.25">
      <c r="A4280" t="s">
        <v>1881</v>
      </c>
      <c r="B4280" t="s">
        <v>10612</v>
      </c>
      <c r="C4280" t="s">
        <v>1880</v>
      </c>
      <c r="D4280" t="s">
        <v>3008</v>
      </c>
      <c r="E4280" t="s">
        <v>2170</v>
      </c>
    </row>
    <row r="4281" spans="1:5" x14ac:dyDescent="0.25">
      <c r="A4281" t="s">
        <v>1881</v>
      </c>
      <c r="B4281" t="s">
        <v>10613</v>
      </c>
      <c r="C4281" t="s">
        <v>10614</v>
      </c>
      <c r="D4281" t="s">
        <v>3008</v>
      </c>
      <c r="E4281" t="s">
        <v>2170</v>
      </c>
    </row>
    <row r="4282" spans="1:5" x14ac:dyDescent="0.25">
      <c r="A4282" t="s">
        <v>1881</v>
      </c>
      <c r="B4282" t="s">
        <v>10615</v>
      </c>
      <c r="C4282" t="s">
        <v>10616</v>
      </c>
      <c r="D4282" t="s">
        <v>3008</v>
      </c>
      <c r="E4282" t="s">
        <v>2170</v>
      </c>
    </row>
    <row r="4283" spans="1:5" x14ac:dyDescent="0.25">
      <c r="A4283" t="s">
        <v>1881</v>
      </c>
      <c r="B4283" t="s">
        <v>10617</v>
      </c>
      <c r="C4283" t="s">
        <v>10618</v>
      </c>
      <c r="D4283" t="s">
        <v>3008</v>
      </c>
      <c r="E4283" t="s">
        <v>2170</v>
      </c>
    </row>
    <row r="4284" spans="1:5" x14ac:dyDescent="0.25">
      <c r="A4284" t="s">
        <v>1881</v>
      </c>
      <c r="B4284" t="s">
        <v>10619</v>
      </c>
      <c r="C4284" t="s">
        <v>10620</v>
      </c>
      <c r="D4284" t="s">
        <v>3008</v>
      </c>
      <c r="E4284" t="s">
        <v>2170</v>
      </c>
    </row>
    <row r="4285" spans="1:5" x14ac:dyDescent="0.25">
      <c r="A4285" t="s">
        <v>1887</v>
      </c>
      <c r="B4285" t="s">
        <v>10621</v>
      </c>
      <c r="C4285" t="s">
        <v>10622</v>
      </c>
      <c r="D4285" t="s">
        <v>2200</v>
      </c>
      <c r="E4285" t="s">
        <v>2170</v>
      </c>
    </row>
    <row r="4286" spans="1:5" x14ac:dyDescent="0.25">
      <c r="A4286" t="s">
        <v>1887</v>
      </c>
      <c r="B4286" t="s">
        <v>10623</v>
      </c>
      <c r="C4286" t="s">
        <v>10624</v>
      </c>
      <c r="D4286" t="s">
        <v>2200</v>
      </c>
      <c r="E4286" t="s">
        <v>2170</v>
      </c>
    </row>
    <row r="4287" spans="1:5" x14ac:dyDescent="0.25">
      <c r="A4287" t="s">
        <v>1887</v>
      </c>
      <c r="B4287" t="s">
        <v>10625</v>
      </c>
      <c r="C4287" t="s">
        <v>10626</v>
      </c>
      <c r="D4287" t="s">
        <v>2200</v>
      </c>
      <c r="E4287" t="s">
        <v>2170</v>
      </c>
    </row>
    <row r="4288" spans="1:5" x14ac:dyDescent="0.25">
      <c r="A4288" t="s">
        <v>1887</v>
      </c>
      <c r="B4288" t="s">
        <v>10627</v>
      </c>
      <c r="C4288" t="s">
        <v>10628</v>
      </c>
      <c r="D4288" t="s">
        <v>2200</v>
      </c>
      <c r="E4288" t="s">
        <v>2170</v>
      </c>
    </row>
    <row r="4289" spans="1:5" x14ac:dyDescent="0.25">
      <c r="A4289" t="s">
        <v>1887</v>
      </c>
      <c r="B4289" t="s">
        <v>10629</v>
      </c>
      <c r="C4289" t="s">
        <v>10630</v>
      </c>
      <c r="D4289" t="s">
        <v>2200</v>
      </c>
      <c r="E4289" t="s">
        <v>2170</v>
      </c>
    </row>
    <row r="4290" spans="1:5" x14ac:dyDescent="0.25">
      <c r="A4290" t="s">
        <v>1887</v>
      </c>
      <c r="B4290" t="s">
        <v>10631</v>
      </c>
      <c r="C4290" t="s">
        <v>10632</v>
      </c>
      <c r="D4290" t="s">
        <v>2200</v>
      </c>
      <c r="E4290" t="s">
        <v>2170</v>
      </c>
    </row>
    <row r="4291" spans="1:5" x14ac:dyDescent="0.25">
      <c r="A4291" t="s">
        <v>1887</v>
      </c>
      <c r="B4291" t="s">
        <v>10633</v>
      </c>
      <c r="C4291" t="s">
        <v>10634</v>
      </c>
      <c r="D4291" t="s">
        <v>2200</v>
      </c>
      <c r="E4291" t="s">
        <v>2170</v>
      </c>
    </row>
    <row r="4292" spans="1:5" x14ac:dyDescent="0.25">
      <c r="A4292" t="s">
        <v>1887</v>
      </c>
      <c r="B4292" t="s">
        <v>10635</v>
      </c>
      <c r="C4292" t="s">
        <v>10636</v>
      </c>
      <c r="D4292" t="s">
        <v>2200</v>
      </c>
      <c r="E4292" t="s">
        <v>2170</v>
      </c>
    </row>
    <row r="4293" spans="1:5" x14ac:dyDescent="0.25">
      <c r="A4293" t="s">
        <v>1887</v>
      </c>
      <c r="B4293" t="s">
        <v>10637</v>
      </c>
      <c r="C4293" t="s">
        <v>10638</v>
      </c>
      <c r="D4293" t="s">
        <v>2200</v>
      </c>
      <c r="E4293" t="s">
        <v>2170</v>
      </c>
    </row>
    <row r="4294" spans="1:5" x14ac:dyDescent="0.25">
      <c r="A4294" t="s">
        <v>1887</v>
      </c>
      <c r="B4294" t="s">
        <v>10639</v>
      </c>
      <c r="C4294" t="s">
        <v>10640</v>
      </c>
      <c r="D4294" t="s">
        <v>2200</v>
      </c>
      <c r="E4294" t="s">
        <v>2170</v>
      </c>
    </row>
    <row r="4295" spans="1:5" x14ac:dyDescent="0.25">
      <c r="A4295" t="s">
        <v>1887</v>
      </c>
      <c r="B4295" t="s">
        <v>10641</v>
      </c>
      <c r="C4295" t="s">
        <v>10642</v>
      </c>
      <c r="D4295" t="s">
        <v>2200</v>
      </c>
      <c r="E4295" t="s">
        <v>2170</v>
      </c>
    </row>
    <row r="4296" spans="1:5" x14ac:dyDescent="0.25">
      <c r="A4296" t="s">
        <v>1887</v>
      </c>
      <c r="B4296" t="s">
        <v>10643</v>
      </c>
      <c r="C4296" t="s">
        <v>10644</v>
      </c>
      <c r="D4296" t="s">
        <v>2200</v>
      </c>
      <c r="E4296" t="s">
        <v>2170</v>
      </c>
    </row>
    <row r="4297" spans="1:5" x14ac:dyDescent="0.25">
      <c r="A4297" t="s">
        <v>1887</v>
      </c>
      <c r="B4297" t="s">
        <v>10645</v>
      </c>
      <c r="C4297" t="s">
        <v>10646</v>
      </c>
      <c r="D4297" t="s">
        <v>2200</v>
      </c>
      <c r="E4297" t="s">
        <v>2170</v>
      </c>
    </row>
    <row r="4298" spans="1:5" x14ac:dyDescent="0.25">
      <c r="A4298" t="s">
        <v>1887</v>
      </c>
      <c r="B4298" t="s">
        <v>10647</v>
      </c>
      <c r="C4298" t="s">
        <v>10648</v>
      </c>
      <c r="D4298" t="s">
        <v>2200</v>
      </c>
      <c r="E4298" t="s">
        <v>2170</v>
      </c>
    </row>
    <row r="4299" spans="1:5" x14ac:dyDescent="0.25">
      <c r="A4299" t="s">
        <v>1890</v>
      </c>
      <c r="B4299" t="s">
        <v>10649</v>
      </c>
      <c r="C4299" t="s">
        <v>10650</v>
      </c>
      <c r="D4299" t="s">
        <v>2311</v>
      </c>
      <c r="E4299" t="s">
        <v>2170</v>
      </c>
    </row>
    <row r="4300" spans="1:5" x14ac:dyDescent="0.25">
      <c r="A4300" t="s">
        <v>1890</v>
      </c>
      <c r="B4300" t="s">
        <v>10651</v>
      </c>
      <c r="C4300" t="s">
        <v>10652</v>
      </c>
      <c r="D4300" t="s">
        <v>2311</v>
      </c>
      <c r="E4300" t="s">
        <v>2170</v>
      </c>
    </row>
    <row r="4301" spans="1:5" x14ac:dyDescent="0.25">
      <c r="A4301" t="s">
        <v>1890</v>
      </c>
      <c r="B4301" t="s">
        <v>10653</v>
      </c>
      <c r="C4301" t="s">
        <v>1889</v>
      </c>
      <c r="D4301" t="s">
        <v>2311</v>
      </c>
      <c r="E4301" t="s">
        <v>2170</v>
      </c>
    </row>
    <row r="4302" spans="1:5" x14ac:dyDescent="0.25">
      <c r="A4302" t="s">
        <v>1890</v>
      </c>
      <c r="B4302" t="s">
        <v>10654</v>
      </c>
      <c r="C4302" t="s">
        <v>10655</v>
      </c>
      <c r="D4302" t="s">
        <v>2311</v>
      </c>
      <c r="E4302" t="s">
        <v>2170</v>
      </c>
    </row>
    <row r="4303" spans="1:5" x14ac:dyDescent="0.25">
      <c r="A4303" t="s">
        <v>1896</v>
      </c>
      <c r="B4303" t="s">
        <v>10656</v>
      </c>
      <c r="C4303" t="s">
        <v>10657</v>
      </c>
      <c r="D4303" t="s">
        <v>2200</v>
      </c>
      <c r="E4303" t="s">
        <v>2170</v>
      </c>
    </row>
    <row r="4304" spans="1:5" x14ac:dyDescent="0.25">
      <c r="A4304" t="s">
        <v>1896</v>
      </c>
      <c r="B4304" t="s">
        <v>10658</v>
      </c>
      <c r="C4304" t="s">
        <v>10659</v>
      </c>
      <c r="D4304" t="s">
        <v>2200</v>
      </c>
      <c r="E4304" t="s">
        <v>2170</v>
      </c>
    </row>
    <row r="4305" spans="1:5" x14ac:dyDescent="0.25">
      <c r="A4305" t="s">
        <v>1896</v>
      </c>
      <c r="B4305" t="s">
        <v>10660</v>
      </c>
      <c r="C4305" t="s">
        <v>10661</v>
      </c>
      <c r="D4305" t="s">
        <v>2200</v>
      </c>
      <c r="E4305" t="s">
        <v>2170</v>
      </c>
    </row>
    <row r="4306" spans="1:5" x14ac:dyDescent="0.25">
      <c r="A4306" t="s">
        <v>1896</v>
      </c>
      <c r="B4306" t="s">
        <v>10662</v>
      </c>
      <c r="C4306" t="s">
        <v>10663</v>
      </c>
      <c r="D4306" t="s">
        <v>2200</v>
      </c>
      <c r="E4306" t="s">
        <v>2170</v>
      </c>
    </row>
    <row r="4307" spans="1:5" x14ac:dyDescent="0.25">
      <c r="A4307" t="s">
        <v>1896</v>
      </c>
      <c r="B4307" t="s">
        <v>10664</v>
      </c>
      <c r="C4307" t="s">
        <v>10665</v>
      </c>
      <c r="D4307" t="s">
        <v>2200</v>
      </c>
      <c r="E4307" t="s">
        <v>2170</v>
      </c>
    </row>
    <row r="4308" spans="1:5" x14ac:dyDescent="0.25">
      <c r="A4308" t="s">
        <v>1896</v>
      </c>
      <c r="B4308" t="s">
        <v>10666</v>
      </c>
      <c r="C4308" t="s">
        <v>10667</v>
      </c>
      <c r="D4308" t="s">
        <v>2200</v>
      </c>
      <c r="E4308" t="s">
        <v>2170</v>
      </c>
    </row>
    <row r="4309" spans="1:5" x14ac:dyDescent="0.25">
      <c r="A4309" t="s">
        <v>1896</v>
      </c>
      <c r="B4309" t="s">
        <v>10668</v>
      </c>
      <c r="C4309" t="s">
        <v>10669</v>
      </c>
      <c r="D4309" t="s">
        <v>2200</v>
      </c>
      <c r="E4309" t="s">
        <v>2170</v>
      </c>
    </row>
    <row r="4310" spans="1:5" x14ac:dyDescent="0.25">
      <c r="A4310" t="s">
        <v>1896</v>
      </c>
      <c r="B4310" t="s">
        <v>10670</v>
      </c>
      <c r="C4310" t="s">
        <v>10671</v>
      </c>
      <c r="D4310" t="s">
        <v>2200</v>
      </c>
      <c r="E4310" t="s">
        <v>2170</v>
      </c>
    </row>
    <row r="4311" spans="1:5" x14ac:dyDescent="0.25">
      <c r="A4311" t="s">
        <v>1896</v>
      </c>
      <c r="B4311" t="s">
        <v>10672</v>
      </c>
      <c r="C4311" t="s">
        <v>10673</v>
      </c>
      <c r="D4311" t="s">
        <v>2200</v>
      </c>
      <c r="E4311" t="s">
        <v>2170</v>
      </c>
    </row>
    <row r="4312" spans="1:5" x14ac:dyDescent="0.25">
      <c r="A4312" t="s">
        <v>1896</v>
      </c>
      <c r="B4312" t="s">
        <v>10674</v>
      </c>
      <c r="C4312" t="s">
        <v>10675</v>
      </c>
      <c r="D4312" t="s">
        <v>2200</v>
      </c>
      <c r="E4312" t="s">
        <v>2170</v>
      </c>
    </row>
    <row r="4313" spans="1:5" x14ac:dyDescent="0.25">
      <c r="A4313" t="s">
        <v>1896</v>
      </c>
      <c r="B4313" t="s">
        <v>10676</v>
      </c>
      <c r="C4313" t="s">
        <v>10677</v>
      </c>
      <c r="D4313" t="s">
        <v>2200</v>
      </c>
      <c r="E4313" t="s">
        <v>2170</v>
      </c>
    </row>
    <row r="4314" spans="1:5" x14ac:dyDescent="0.25">
      <c r="A4314" t="s">
        <v>1896</v>
      </c>
      <c r="B4314" t="s">
        <v>10678</v>
      </c>
      <c r="C4314" t="s">
        <v>10679</v>
      </c>
      <c r="D4314" t="s">
        <v>2200</v>
      </c>
      <c r="E4314" t="s">
        <v>2170</v>
      </c>
    </row>
    <row r="4315" spans="1:5" x14ac:dyDescent="0.25">
      <c r="A4315" t="s">
        <v>1896</v>
      </c>
      <c r="B4315" t="s">
        <v>10680</v>
      </c>
      <c r="C4315" t="s">
        <v>10681</v>
      </c>
      <c r="D4315" t="s">
        <v>2200</v>
      </c>
      <c r="E4315" t="s">
        <v>2170</v>
      </c>
    </row>
    <row r="4316" spans="1:5" x14ac:dyDescent="0.25">
      <c r="A4316" t="s">
        <v>1896</v>
      </c>
      <c r="B4316" t="s">
        <v>10682</v>
      </c>
      <c r="C4316" t="s">
        <v>10683</v>
      </c>
      <c r="D4316" t="s">
        <v>2200</v>
      </c>
      <c r="E4316" t="s">
        <v>2170</v>
      </c>
    </row>
    <row r="4317" spans="1:5" x14ac:dyDescent="0.25">
      <c r="A4317" t="s">
        <v>1896</v>
      </c>
      <c r="B4317" t="s">
        <v>10684</v>
      </c>
      <c r="C4317" t="s">
        <v>10685</v>
      </c>
      <c r="D4317" t="s">
        <v>2200</v>
      </c>
      <c r="E4317" t="s">
        <v>2170</v>
      </c>
    </row>
    <row r="4318" spans="1:5" x14ac:dyDescent="0.25">
      <c r="A4318" t="s">
        <v>1896</v>
      </c>
      <c r="B4318" t="s">
        <v>10686</v>
      </c>
      <c r="C4318" t="s">
        <v>10687</v>
      </c>
      <c r="D4318" t="s">
        <v>2200</v>
      </c>
      <c r="E4318" t="s">
        <v>2170</v>
      </c>
    </row>
    <row r="4319" spans="1:5" x14ac:dyDescent="0.25">
      <c r="A4319" t="s">
        <v>1896</v>
      </c>
      <c r="B4319" t="s">
        <v>10688</v>
      </c>
      <c r="C4319" t="s">
        <v>10689</v>
      </c>
      <c r="D4319" t="s">
        <v>2200</v>
      </c>
      <c r="E4319" t="s">
        <v>2170</v>
      </c>
    </row>
    <row r="4320" spans="1:5" x14ac:dyDescent="0.25">
      <c r="A4320" t="s">
        <v>1896</v>
      </c>
      <c r="B4320" t="s">
        <v>10690</v>
      </c>
      <c r="C4320" t="s">
        <v>10691</v>
      </c>
      <c r="D4320" t="s">
        <v>2200</v>
      </c>
      <c r="E4320" t="s">
        <v>2170</v>
      </c>
    </row>
    <row r="4321" spans="1:5" x14ac:dyDescent="0.25">
      <c r="A4321" t="s">
        <v>1896</v>
      </c>
      <c r="B4321" t="s">
        <v>10692</v>
      </c>
      <c r="C4321" t="s">
        <v>10693</v>
      </c>
      <c r="D4321" t="s">
        <v>2200</v>
      </c>
      <c r="E4321" t="s">
        <v>2170</v>
      </c>
    </row>
    <row r="4322" spans="1:5" x14ac:dyDescent="0.25">
      <c r="A4322" t="s">
        <v>1896</v>
      </c>
      <c r="B4322" t="s">
        <v>10694</v>
      </c>
      <c r="C4322" t="s">
        <v>10695</v>
      </c>
      <c r="D4322" t="s">
        <v>2200</v>
      </c>
      <c r="E4322" t="s">
        <v>2170</v>
      </c>
    </row>
    <row r="4323" spans="1:5" x14ac:dyDescent="0.25">
      <c r="A4323" t="s">
        <v>1896</v>
      </c>
      <c r="B4323" t="s">
        <v>10696</v>
      </c>
      <c r="C4323" t="s">
        <v>10697</v>
      </c>
      <c r="D4323" t="s">
        <v>2200</v>
      </c>
      <c r="E4323" t="s">
        <v>2170</v>
      </c>
    </row>
    <row r="4324" spans="1:5" x14ac:dyDescent="0.25">
      <c r="A4324" t="s">
        <v>1896</v>
      </c>
      <c r="B4324" t="s">
        <v>10698</v>
      </c>
      <c r="C4324" t="s">
        <v>10699</v>
      </c>
      <c r="D4324" t="s">
        <v>2200</v>
      </c>
      <c r="E4324" t="s">
        <v>2170</v>
      </c>
    </row>
    <row r="4325" spans="1:5" x14ac:dyDescent="0.25">
      <c r="A4325" t="s">
        <v>1896</v>
      </c>
      <c r="B4325" t="s">
        <v>10700</v>
      </c>
      <c r="C4325" t="s">
        <v>10701</v>
      </c>
      <c r="D4325" t="s">
        <v>2200</v>
      </c>
      <c r="E4325" t="s">
        <v>2170</v>
      </c>
    </row>
    <row r="4326" spans="1:5" x14ac:dyDescent="0.25">
      <c r="A4326" t="s">
        <v>1902</v>
      </c>
      <c r="B4326" t="s">
        <v>10702</v>
      </c>
      <c r="C4326" t="s">
        <v>10703</v>
      </c>
      <c r="D4326" t="s">
        <v>2311</v>
      </c>
      <c r="E4326" t="s">
        <v>2170</v>
      </c>
    </row>
    <row r="4327" spans="1:5" x14ac:dyDescent="0.25">
      <c r="A4327" t="s">
        <v>1902</v>
      </c>
      <c r="B4327" t="s">
        <v>10704</v>
      </c>
      <c r="C4327" t="s">
        <v>10705</v>
      </c>
      <c r="D4327" t="s">
        <v>2311</v>
      </c>
      <c r="E4327" t="s">
        <v>2170</v>
      </c>
    </row>
    <row r="4328" spans="1:5" x14ac:dyDescent="0.25">
      <c r="A4328" t="s">
        <v>1902</v>
      </c>
      <c r="B4328" t="s">
        <v>10706</v>
      </c>
      <c r="C4328" t="s">
        <v>10707</v>
      </c>
      <c r="D4328" t="s">
        <v>2311</v>
      </c>
      <c r="E4328" t="s">
        <v>2170</v>
      </c>
    </row>
    <row r="4329" spans="1:5" x14ac:dyDescent="0.25">
      <c r="A4329" t="s">
        <v>1902</v>
      </c>
      <c r="B4329" t="s">
        <v>10708</v>
      </c>
      <c r="C4329" t="s">
        <v>3406</v>
      </c>
      <c r="D4329" t="s">
        <v>2311</v>
      </c>
      <c r="E4329" t="s">
        <v>2170</v>
      </c>
    </row>
    <row r="4330" spans="1:5" x14ac:dyDescent="0.25">
      <c r="A4330" t="s">
        <v>1902</v>
      </c>
      <c r="B4330" t="s">
        <v>10709</v>
      </c>
      <c r="C4330" t="s">
        <v>3482</v>
      </c>
      <c r="D4330" t="s">
        <v>2311</v>
      </c>
      <c r="E4330" t="s">
        <v>2170</v>
      </c>
    </row>
    <row r="4331" spans="1:5" x14ac:dyDescent="0.25">
      <c r="A4331" t="s">
        <v>1905</v>
      </c>
      <c r="B4331" t="s">
        <v>10710</v>
      </c>
      <c r="C4331" t="s">
        <v>10711</v>
      </c>
      <c r="D4331" t="s">
        <v>2200</v>
      </c>
      <c r="E4331" t="s">
        <v>2170</v>
      </c>
    </row>
    <row r="4332" spans="1:5" x14ac:dyDescent="0.25">
      <c r="A4332" t="s">
        <v>1905</v>
      </c>
      <c r="B4332" t="s">
        <v>10712</v>
      </c>
      <c r="C4332" t="s">
        <v>10713</v>
      </c>
      <c r="D4332" t="s">
        <v>2200</v>
      </c>
      <c r="E4332" t="s">
        <v>2170</v>
      </c>
    </row>
    <row r="4333" spans="1:5" x14ac:dyDescent="0.25">
      <c r="A4333" t="s">
        <v>1905</v>
      </c>
      <c r="B4333" t="s">
        <v>10714</v>
      </c>
      <c r="C4333" t="s">
        <v>10715</v>
      </c>
      <c r="D4333" t="s">
        <v>2200</v>
      </c>
      <c r="E4333" t="s">
        <v>2170</v>
      </c>
    </row>
    <row r="4334" spans="1:5" x14ac:dyDescent="0.25">
      <c r="A4334" t="s">
        <v>1905</v>
      </c>
      <c r="B4334" t="s">
        <v>10716</v>
      </c>
      <c r="C4334" t="s">
        <v>10717</v>
      </c>
      <c r="D4334" t="s">
        <v>2200</v>
      </c>
      <c r="E4334" t="s">
        <v>2170</v>
      </c>
    </row>
    <row r="4335" spans="1:5" x14ac:dyDescent="0.25">
      <c r="A4335" t="s">
        <v>1905</v>
      </c>
      <c r="B4335" t="s">
        <v>10718</v>
      </c>
      <c r="C4335" t="s">
        <v>10719</v>
      </c>
      <c r="D4335" t="s">
        <v>2200</v>
      </c>
      <c r="E4335" t="s">
        <v>2170</v>
      </c>
    </row>
    <row r="4336" spans="1:5" x14ac:dyDescent="0.25">
      <c r="A4336" t="s">
        <v>1905</v>
      </c>
      <c r="B4336" t="s">
        <v>10720</v>
      </c>
      <c r="C4336" t="s">
        <v>10721</v>
      </c>
      <c r="D4336" t="s">
        <v>2200</v>
      </c>
      <c r="E4336" t="s">
        <v>2170</v>
      </c>
    </row>
    <row r="4337" spans="1:5" x14ac:dyDescent="0.25">
      <c r="A4337" t="s">
        <v>1905</v>
      </c>
      <c r="B4337" t="s">
        <v>10722</v>
      </c>
      <c r="C4337" t="s">
        <v>10723</v>
      </c>
      <c r="D4337" t="s">
        <v>2200</v>
      </c>
      <c r="E4337" t="s">
        <v>2170</v>
      </c>
    </row>
    <row r="4338" spans="1:5" x14ac:dyDescent="0.25">
      <c r="A4338" t="s">
        <v>1905</v>
      </c>
      <c r="B4338" t="s">
        <v>10724</v>
      </c>
      <c r="C4338" t="s">
        <v>10725</v>
      </c>
      <c r="D4338" t="s">
        <v>2200</v>
      </c>
      <c r="E4338" t="s">
        <v>2170</v>
      </c>
    </row>
    <row r="4339" spans="1:5" x14ac:dyDescent="0.25">
      <c r="A4339" t="s">
        <v>1905</v>
      </c>
      <c r="B4339" t="s">
        <v>10726</v>
      </c>
      <c r="C4339" t="s">
        <v>10727</v>
      </c>
      <c r="D4339" t="s">
        <v>2200</v>
      </c>
      <c r="E4339" t="s">
        <v>2170</v>
      </c>
    </row>
    <row r="4340" spans="1:5" x14ac:dyDescent="0.25">
      <c r="A4340" t="s">
        <v>1905</v>
      </c>
      <c r="B4340" t="s">
        <v>10728</v>
      </c>
      <c r="C4340" t="s">
        <v>10729</v>
      </c>
      <c r="D4340" t="s">
        <v>2200</v>
      </c>
      <c r="E4340" t="s">
        <v>2170</v>
      </c>
    </row>
    <row r="4341" spans="1:5" x14ac:dyDescent="0.25">
      <c r="A4341" t="s">
        <v>1905</v>
      </c>
      <c r="B4341" t="s">
        <v>10730</v>
      </c>
      <c r="C4341" t="s">
        <v>10731</v>
      </c>
      <c r="D4341" t="s">
        <v>2200</v>
      </c>
      <c r="E4341" t="s">
        <v>2170</v>
      </c>
    </row>
    <row r="4342" spans="1:5" x14ac:dyDescent="0.25">
      <c r="A4342" t="s">
        <v>1905</v>
      </c>
      <c r="B4342" t="s">
        <v>10732</v>
      </c>
      <c r="C4342" t="s">
        <v>10733</v>
      </c>
      <c r="D4342" t="s">
        <v>2200</v>
      </c>
      <c r="E4342" t="s">
        <v>2170</v>
      </c>
    </row>
    <row r="4343" spans="1:5" x14ac:dyDescent="0.25">
      <c r="A4343" t="s">
        <v>1905</v>
      </c>
      <c r="B4343" t="s">
        <v>10734</v>
      </c>
      <c r="C4343" t="s">
        <v>10735</v>
      </c>
      <c r="D4343" t="s">
        <v>2200</v>
      </c>
      <c r="E4343" t="s">
        <v>2170</v>
      </c>
    </row>
    <row r="4344" spans="1:5" x14ac:dyDescent="0.25">
      <c r="A4344" t="s">
        <v>1905</v>
      </c>
      <c r="B4344" t="s">
        <v>10736</v>
      </c>
      <c r="C4344" t="s">
        <v>10737</v>
      </c>
      <c r="D4344" t="s">
        <v>2200</v>
      </c>
      <c r="E4344" t="s">
        <v>2170</v>
      </c>
    </row>
    <row r="4345" spans="1:5" x14ac:dyDescent="0.25">
      <c r="A4345" t="s">
        <v>1905</v>
      </c>
      <c r="B4345" t="s">
        <v>10738</v>
      </c>
      <c r="C4345" t="s">
        <v>10739</v>
      </c>
      <c r="D4345" t="s">
        <v>2200</v>
      </c>
      <c r="E4345" t="s">
        <v>2170</v>
      </c>
    </row>
    <row r="4346" spans="1:5" x14ac:dyDescent="0.25">
      <c r="A4346" t="s">
        <v>1905</v>
      </c>
      <c r="B4346" t="s">
        <v>10740</v>
      </c>
      <c r="C4346" t="s">
        <v>10741</v>
      </c>
      <c r="D4346" t="s">
        <v>2200</v>
      </c>
      <c r="E4346" t="s">
        <v>2170</v>
      </c>
    </row>
    <row r="4347" spans="1:5" x14ac:dyDescent="0.25">
      <c r="A4347" t="s">
        <v>1905</v>
      </c>
      <c r="B4347" t="s">
        <v>10742</v>
      </c>
      <c r="C4347" t="s">
        <v>10743</v>
      </c>
      <c r="D4347" t="s">
        <v>2200</v>
      </c>
      <c r="E4347" t="s">
        <v>2170</v>
      </c>
    </row>
    <row r="4348" spans="1:5" x14ac:dyDescent="0.25">
      <c r="A4348" t="s">
        <v>1905</v>
      </c>
      <c r="B4348" t="s">
        <v>10744</v>
      </c>
      <c r="C4348" t="s">
        <v>1904</v>
      </c>
      <c r="D4348" t="s">
        <v>10745</v>
      </c>
      <c r="E4348" t="s">
        <v>2170</v>
      </c>
    </row>
    <row r="4349" spans="1:5" x14ac:dyDescent="0.25">
      <c r="A4349" t="s">
        <v>1905</v>
      </c>
      <c r="B4349" t="s">
        <v>10746</v>
      </c>
      <c r="C4349" t="s">
        <v>10747</v>
      </c>
      <c r="D4349" t="s">
        <v>2200</v>
      </c>
      <c r="E4349" t="s">
        <v>2170</v>
      </c>
    </row>
    <row r="4350" spans="1:5" x14ac:dyDescent="0.25">
      <c r="A4350" t="s">
        <v>1905</v>
      </c>
      <c r="B4350" t="s">
        <v>10748</v>
      </c>
      <c r="C4350" t="s">
        <v>10749</v>
      </c>
      <c r="D4350" t="s">
        <v>2200</v>
      </c>
      <c r="E4350" t="s">
        <v>2170</v>
      </c>
    </row>
    <row r="4351" spans="1:5" x14ac:dyDescent="0.25">
      <c r="A4351" t="s">
        <v>1905</v>
      </c>
      <c r="B4351" t="s">
        <v>10750</v>
      </c>
      <c r="C4351" t="s">
        <v>10751</v>
      </c>
      <c r="D4351" t="s">
        <v>2200</v>
      </c>
      <c r="E4351" t="s">
        <v>2170</v>
      </c>
    </row>
    <row r="4352" spans="1:5" x14ac:dyDescent="0.25">
      <c r="A4352" t="s">
        <v>1905</v>
      </c>
      <c r="B4352" t="s">
        <v>10752</v>
      </c>
      <c r="C4352" t="s">
        <v>10753</v>
      </c>
      <c r="D4352" t="s">
        <v>2200</v>
      </c>
      <c r="E4352" t="s">
        <v>2170</v>
      </c>
    </row>
    <row r="4353" spans="1:5" x14ac:dyDescent="0.25">
      <c r="A4353" t="s">
        <v>1905</v>
      </c>
      <c r="B4353" t="s">
        <v>10754</v>
      </c>
      <c r="C4353" t="s">
        <v>10755</v>
      </c>
      <c r="D4353" t="s">
        <v>2200</v>
      </c>
      <c r="E4353" t="s">
        <v>2170</v>
      </c>
    </row>
    <row r="4354" spans="1:5" x14ac:dyDescent="0.25">
      <c r="A4354" t="s">
        <v>1905</v>
      </c>
      <c r="B4354" t="s">
        <v>10756</v>
      </c>
      <c r="C4354" t="s">
        <v>10757</v>
      </c>
      <c r="D4354" t="s">
        <v>2200</v>
      </c>
      <c r="E4354" t="s">
        <v>2170</v>
      </c>
    </row>
    <row r="4355" spans="1:5" x14ac:dyDescent="0.25">
      <c r="A4355" t="s">
        <v>1905</v>
      </c>
      <c r="B4355" t="s">
        <v>10758</v>
      </c>
      <c r="C4355" t="s">
        <v>10759</v>
      </c>
      <c r="D4355" t="s">
        <v>2200</v>
      </c>
      <c r="E4355" t="s">
        <v>2170</v>
      </c>
    </row>
    <row r="4356" spans="1:5" x14ac:dyDescent="0.25">
      <c r="A4356" t="s">
        <v>1905</v>
      </c>
      <c r="B4356" t="s">
        <v>10760</v>
      </c>
      <c r="C4356" t="s">
        <v>10761</v>
      </c>
      <c r="D4356" t="s">
        <v>2200</v>
      </c>
      <c r="E4356" t="s">
        <v>2170</v>
      </c>
    </row>
    <row r="4357" spans="1:5" x14ac:dyDescent="0.25">
      <c r="A4357" t="s">
        <v>1905</v>
      </c>
      <c r="B4357" t="s">
        <v>10762</v>
      </c>
      <c r="C4357" t="s">
        <v>10763</v>
      </c>
      <c r="D4357" t="s">
        <v>2200</v>
      </c>
      <c r="E4357" t="s">
        <v>2170</v>
      </c>
    </row>
    <row r="4358" spans="1:5" x14ac:dyDescent="0.25">
      <c r="A4358" t="s">
        <v>1905</v>
      </c>
      <c r="B4358" t="s">
        <v>10764</v>
      </c>
      <c r="C4358" t="s">
        <v>10765</v>
      </c>
      <c r="D4358" t="s">
        <v>2200</v>
      </c>
      <c r="E4358" t="s">
        <v>2170</v>
      </c>
    </row>
    <row r="4359" spans="1:5" x14ac:dyDescent="0.25">
      <c r="A4359" t="s">
        <v>1905</v>
      </c>
      <c r="B4359" t="s">
        <v>10766</v>
      </c>
      <c r="C4359" t="s">
        <v>10767</v>
      </c>
      <c r="D4359" t="s">
        <v>2200</v>
      </c>
      <c r="E4359" t="s">
        <v>2170</v>
      </c>
    </row>
    <row r="4360" spans="1:5" x14ac:dyDescent="0.25">
      <c r="A4360" t="s">
        <v>1905</v>
      </c>
      <c r="B4360" t="s">
        <v>10768</v>
      </c>
      <c r="C4360" t="s">
        <v>10769</v>
      </c>
      <c r="D4360" t="s">
        <v>2200</v>
      </c>
      <c r="E4360" t="s">
        <v>2170</v>
      </c>
    </row>
    <row r="4361" spans="1:5" x14ac:dyDescent="0.25">
      <c r="A4361" t="s">
        <v>1905</v>
      </c>
      <c r="B4361" t="s">
        <v>10770</v>
      </c>
      <c r="C4361" t="s">
        <v>10771</v>
      </c>
      <c r="D4361" t="s">
        <v>2200</v>
      </c>
      <c r="E4361" t="s">
        <v>2170</v>
      </c>
    </row>
    <row r="4362" spans="1:5" x14ac:dyDescent="0.25">
      <c r="A4362" t="s">
        <v>1905</v>
      </c>
      <c r="B4362" t="s">
        <v>10772</v>
      </c>
      <c r="C4362" t="s">
        <v>10773</v>
      </c>
      <c r="D4362" t="s">
        <v>2200</v>
      </c>
      <c r="E4362" t="s">
        <v>2170</v>
      </c>
    </row>
    <row r="4363" spans="1:5" x14ac:dyDescent="0.25">
      <c r="A4363" t="s">
        <v>1905</v>
      </c>
      <c r="B4363" t="s">
        <v>10774</v>
      </c>
      <c r="C4363" t="s">
        <v>10775</v>
      </c>
      <c r="D4363" t="s">
        <v>2200</v>
      </c>
      <c r="E4363" t="s">
        <v>2170</v>
      </c>
    </row>
    <row r="4364" spans="1:5" x14ac:dyDescent="0.25">
      <c r="A4364" t="s">
        <v>1905</v>
      </c>
      <c r="B4364" t="s">
        <v>10776</v>
      </c>
      <c r="C4364" t="s">
        <v>10777</v>
      </c>
      <c r="D4364" t="s">
        <v>2200</v>
      </c>
      <c r="E4364" t="s">
        <v>2170</v>
      </c>
    </row>
    <row r="4365" spans="1:5" x14ac:dyDescent="0.25">
      <c r="A4365" t="s">
        <v>1905</v>
      </c>
      <c r="B4365" t="s">
        <v>10778</v>
      </c>
      <c r="C4365" t="s">
        <v>10779</v>
      </c>
      <c r="D4365" t="s">
        <v>2200</v>
      </c>
      <c r="E4365" t="s">
        <v>2170</v>
      </c>
    </row>
    <row r="4366" spans="1:5" x14ac:dyDescent="0.25">
      <c r="A4366" t="s">
        <v>1905</v>
      </c>
      <c r="B4366" t="s">
        <v>10780</v>
      </c>
      <c r="C4366" t="s">
        <v>10781</v>
      </c>
      <c r="D4366" t="s">
        <v>2200</v>
      </c>
      <c r="E4366" t="s">
        <v>2170</v>
      </c>
    </row>
    <row r="4367" spans="1:5" x14ac:dyDescent="0.25">
      <c r="A4367" t="s">
        <v>1905</v>
      </c>
      <c r="B4367" t="s">
        <v>10782</v>
      </c>
      <c r="C4367" t="s">
        <v>10783</v>
      </c>
      <c r="D4367" t="s">
        <v>2200</v>
      </c>
      <c r="E4367" t="s">
        <v>2170</v>
      </c>
    </row>
    <row r="4368" spans="1:5" x14ac:dyDescent="0.25">
      <c r="A4368" t="s">
        <v>1905</v>
      </c>
      <c r="B4368" t="s">
        <v>10784</v>
      </c>
      <c r="C4368" t="s">
        <v>10785</v>
      </c>
      <c r="D4368" t="s">
        <v>2200</v>
      </c>
      <c r="E4368" t="s">
        <v>2170</v>
      </c>
    </row>
    <row r="4369" spans="1:5" x14ac:dyDescent="0.25">
      <c r="A4369" t="s">
        <v>1905</v>
      </c>
      <c r="B4369" t="s">
        <v>10786</v>
      </c>
      <c r="C4369" t="s">
        <v>10787</v>
      </c>
      <c r="D4369" t="s">
        <v>2200</v>
      </c>
      <c r="E4369" t="s">
        <v>2170</v>
      </c>
    </row>
    <row r="4370" spans="1:5" x14ac:dyDescent="0.25">
      <c r="A4370" t="s">
        <v>1905</v>
      </c>
      <c r="B4370" t="s">
        <v>10788</v>
      </c>
      <c r="C4370" t="s">
        <v>10789</v>
      </c>
      <c r="D4370" t="s">
        <v>2200</v>
      </c>
      <c r="E4370" t="s">
        <v>2170</v>
      </c>
    </row>
    <row r="4371" spans="1:5" x14ac:dyDescent="0.25">
      <c r="A4371" t="s">
        <v>1905</v>
      </c>
      <c r="B4371" t="s">
        <v>10790</v>
      </c>
      <c r="C4371" t="s">
        <v>10791</v>
      </c>
      <c r="D4371" t="s">
        <v>10792</v>
      </c>
      <c r="E4371" t="s">
        <v>2170</v>
      </c>
    </row>
    <row r="4372" spans="1:5" x14ac:dyDescent="0.25">
      <c r="A4372" t="s">
        <v>1905</v>
      </c>
      <c r="B4372" t="s">
        <v>10793</v>
      </c>
      <c r="C4372" t="s">
        <v>10794</v>
      </c>
      <c r="D4372" t="s">
        <v>2200</v>
      </c>
      <c r="E4372" t="s">
        <v>2170</v>
      </c>
    </row>
    <row r="4373" spans="1:5" x14ac:dyDescent="0.25">
      <c r="A4373" t="s">
        <v>1905</v>
      </c>
      <c r="B4373" t="s">
        <v>10795</v>
      </c>
      <c r="C4373" t="s">
        <v>10796</v>
      </c>
      <c r="D4373" t="s">
        <v>2200</v>
      </c>
      <c r="E4373" t="s">
        <v>2170</v>
      </c>
    </row>
    <row r="4374" spans="1:5" x14ac:dyDescent="0.25">
      <c r="A4374" t="s">
        <v>1905</v>
      </c>
      <c r="B4374" t="s">
        <v>10797</v>
      </c>
      <c r="C4374" t="s">
        <v>10798</v>
      </c>
      <c r="D4374" t="s">
        <v>2200</v>
      </c>
      <c r="E4374" t="s">
        <v>2170</v>
      </c>
    </row>
    <row r="4375" spans="1:5" x14ac:dyDescent="0.25">
      <c r="A4375" t="s">
        <v>1905</v>
      </c>
      <c r="B4375" t="s">
        <v>10799</v>
      </c>
      <c r="C4375" t="s">
        <v>10800</v>
      </c>
      <c r="D4375" t="s">
        <v>2200</v>
      </c>
      <c r="E4375" t="s">
        <v>2170</v>
      </c>
    </row>
    <row r="4376" spans="1:5" x14ac:dyDescent="0.25">
      <c r="A4376" t="s">
        <v>1905</v>
      </c>
      <c r="B4376" t="s">
        <v>10801</v>
      </c>
      <c r="C4376" t="s">
        <v>10802</v>
      </c>
      <c r="D4376" t="s">
        <v>2200</v>
      </c>
      <c r="E4376" t="s">
        <v>2170</v>
      </c>
    </row>
    <row r="4377" spans="1:5" x14ac:dyDescent="0.25">
      <c r="A4377" t="s">
        <v>1905</v>
      </c>
      <c r="B4377" t="s">
        <v>10803</v>
      </c>
      <c r="C4377" t="s">
        <v>10804</v>
      </c>
      <c r="D4377" t="s">
        <v>2200</v>
      </c>
      <c r="E4377" t="s">
        <v>2170</v>
      </c>
    </row>
    <row r="4378" spans="1:5" x14ac:dyDescent="0.25">
      <c r="A4378" t="s">
        <v>1905</v>
      </c>
      <c r="B4378" t="s">
        <v>10805</v>
      </c>
      <c r="C4378" t="s">
        <v>10806</v>
      </c>
      <c r="D4378" t="s">
        <v>2200</v>
      </c>
      <c r="E4378" t="s">
        <v>2170</v>
      </c>
    </row>
    <row r="4379" spans="1:5" x14ac:dyDescent="0.25">
      <c r="A4379" t="s">
        <v>1905</v>
      </c>
      <c r="B4379" t="s">
        <v>10807</v>
      </c>
      <c r="C4379" t="s">
        <v>10808</v>
      </c>
      <c r="D4379" t="s">
        <v>2200</v>
      </c>
      <c r="E4379" t="s">
        <v>2170</v>
      </c>
    </row>
    <row r="4380" spans="1:5" x14ac:dyDescent="0.25">
      <c r="A4380" t="s">
        <v>1905</v>
      </c>
      <c r="B4380" t="s">
        <v>10809</v>
      </c>
      <c r="C4380" t="s">
        <v>10810</v>
      </c>
      <c r="D4380" t="s">
        <v>2200</v>
      </c>
      <c r="E4380" t="s">
        <v>2170</v>
      </c>
    </row>
    <row r="4381" spans="1:5" x14ac:dyDescent="0.25">
      <c r="A4381" t="s">
        <v>1905</v>
      </c>
      <c r="B4381" t="s">
        <v>10811</v>
      </c>
      <c r="C4381" t="s">
        <v>10812</v>
      </c>
      <c r="D4381" t="s">
        <v>2200</v>
      </c>
      <c r="E4381" t="s">
        <v>2170</v>
      </c>
    </row>
    <row r="4382" spans="1:5" x14ac:dyDescent="0.25">
      <c r="A4382" t="s">
        <v>1905</v>
      </c>
      <c r="B4382" t="s">
        <v>10813</v>
      </c>
      <c r="C4382" t="s">
        <v>10814</v>
      </c>
      <c r="D4382" t="s">
        <v>2200</v>
      </c>
      <c r="E4382" t="s">
        <v>2170</v>
      </c>
    </row>
    <row r="4383" spans="1:5" x14ac:dyDescent="0.25">
      <c r="A4383" t="s">
        <v>1905</v>
      </c>
      <c r="B4383" t="s">
        <v>10815</v>
      </c>
      <c r="C4383" t="s">
        <v>10816</v>
      </c>
      <c r="D4383" t="s">
        <v>2200</v>
      </c>
      <c r="E4383" t="s">
        <v>2170</v>
      </c>
    </row>
    <row r="4384" spans="1:5" x14ac:dyDescent="0.25">
      <c r="A4384" t="s">
        <v>1905</v>
      </c>
      <c r="B4384" t="s">
        <v>10817</v>
      </c>
      <c r="C4384" t="s">
        <v>10818</v>
      </c>
      <c r="D4384" t="s">
        <v>2200</v>
      </c>
      <c r="E4384" t="s">
        <v>2170</v>
      </c>
    </row>
    <row r="4385" spans="1:5" x14ac:dyDescent="0.25">
      <c r="A4385" t="s">
        <v>1905</v>
      </c>
      <c r="B4385" t="s">
        <v>10819</v>
      </c>
      <c r="C4385" t="s">
        <v>10820</v>
      </c>
      <c r="D4385" t="s">
        <v>2200</v>
      </c>
      <c r="E4385" t="s">
        <v>2170</v>
      </c>
    </row>
    <row r="4386" spans="1:5" x14ac:dyDescent="0.25">
      <c r="A4386" t="s">
        <v>1905</v>
      </c>
      <c r="B4386" t="s">
        <v>10821</v>
      </c>
      <c r="C4386" t="s">
        <v>10822</v>
      </c>
      <c r="D4386" t="s">
        <v>2200</v>
      </c>
      <c r="E4386" t="s">
        <v>2170</v>
      </c>
    </row>
    <row r="4387" spans="1:5" x14ac:dyDescent="0.25">
      <c r="A4387" t="s">
        <v>1905</v>
      </c>
      <c r="B4387" t="s">
        <v>10823</v>
      </c>
      <c r="C4387" t="s">
        <v>10824</v>
      </c>
      <c r="D4387" t="s">
        <v>2200</v>
      </c>
      <c r="E4387" t="s">
        <v>2170</v>
      </c>
    </row>
    <row r="4388" spans="1:5" x14ac:dyDescent="0.25">
      <c r="A4388" t="s">
        <v>1905</v>
      </c>
      <c r="B4388" t="s">
        <v>10825</v>
      </c>
      <c r="C4388" t="s">
        <v>10826</v>
      </c>
      <c r="D4388" t="s">
        <v>2200</v>
      </c>
      <c r="E4388" t="s">
        <v>2170</v>
      </c>
    </row>
    <row r="4389" spans="1:5" x14ac:dyDescent="0.25">
      <c r="A4389" t="s">
        <v>1905</v>
      </c>
      <c r="B4389" t="s">
        <v>10827</v>
      </c>
      <c r="C4389" t="s">
        <v>10828</v>
      </c>
      <c r="D4389" t="s">
        <v>2200</v>
      </c>
      <c r="E4389" t="s">
        <v>2170</v>
      </c>
    </row>
    <row r="4390" spans="1:5" x14ac:dyDescent="0.25">
      <c r="A4390" t="s">
        <v>1905</v>
      </c>
      <c r="B4390" t="s">
        <v>10829</v>
      </c>
      <c r="C4390" t="s">
        <v>10830</v>
      </c>
      <c r="D4390" t="s">
        <v>2200</v>
      </c>
      <c r="E4390" t="s">
        <v>2170</v>
      </c>
    </row>
    <row r="4391" spans="1:5" x14ac:dyDescent="0.25">
      <c r="A4391" t="s">
        <v>1905</v>
      </c>
      <c r="B4391" t="s">
        <v>10831</v>
      </c>
      <c r="C4391" t="s">
        <v>10832</v>
      </c>
      <c r="D4391" t="s">
        <v>2200</v>
      </c>
      <c r="E4391" t="s">
        <v>2170</v>
      </c>
    </row>
    <row r="4392" spans="1:5" x14ac:dyDescent="0.25">
      <c r="A4392" t="s">
        <v>1905</v>
      </c>
      <c r="B4392" t="s">
        <v>10833</v>
      </c>
      <c r="C4392" t="s">
        <v>10834</v>
      </c>
      <c r="D4392" t="s">
        <v>2200</v>
      </c>
      <c r="E4392" t="s">
        <v>2170</v>
      </c>
    </row>
    <row r="4393" spans="1:5" x14ac:dyDescent="0.25">
      <c r="A4393" t="s">
        <v>1905</v>
      </c>
      <c r="B4393" t="s">
        <v>10835</v>
      </c>
      <c r="C4393" t="s">
        <v>10836</v>
      </c>
      <c r="D4393" t="s">
        <v>2200</v>
      </c>
      <c r="E4393" t="s">
        <v>2170</v>
      </c>
    </row>
    <row r="4394" spans="1:5" x14ac:dyDescent="0.25">
      <c r="A4394" t="s">
        <v>1905</v>
      </c>
      <c r="B4394" t="s">
        <v>10837</v>
      </c>
      <c r="C4394" t="s">
        <v>10838</v>
      </c>
      <c r="D4394" t="s">
        <v>2200</v>
      </c>
      <c r="E4394" t="s">
        <v>2170</v>
      </c>
    </row>
    <row r="4395" spans="1:5" x14ac:dyDescent="0.25">
      <c r="A4395" t="s">
        <v>1905</v>
      </c>
      <c r="B4395" t="s">
        <v>10839</v>
      </c>
      <c r="C4395" t="s">
        <v>10840</v>
      </c>
      <c r="D4395" t="s">
        <v>2200</v>
      </c>
      <c r="E4395" t="s">
        <v>2170</v>
      </c>
    </row>
    <row r="4396" spans="1:5" x14ac:dyDescent="0.25">
      <c r="A4396" t="s">
        <v>1905</v>
      </c>
      <c r="B4396" t="s">
        <v>10841</v>
      </c>
      <c r="C4396" t="s">
        <v>10842</v>
      </c>
      <c r="D4396" t="s">
        <v>2200</v>
      </c>
      <c r="E4396" t="s">
        <v>2170</v>
      </c>
    </row>
    <row r="4397" spans="1:5" x14ac:dyDescent="0.25">
      <c r="A4397" t="s">
        <v>1905</v>
      </c>
      <c r="B4397" t="s">
        <v>10843</v>
      </c>
      <c r="C4397" t="s">
        <v>10844</v>
      </c>
      <c r="D4397" t="s">
        <v>2200</v>
      </c>
      <c r="E4397" t="s">
        <v>2170</v>
      </c>
    </row>
    <row r="4398" spans="1:5" x14ac:dyDescent="0.25">
      <c r="A4398" t="s">
        <v>1905</v>
      </c>
      <c r="B4398" t="s">
        <v>10845</v>
      </c>
      <c r="C4398" t="s">
        <v>10846</v>
      </c>
      <c r="D4398" t="s">
        <v>2200</v>
      </c>
      <c r="E4398" t="s">
        <v>2170</v>
      </c>
    </row>
    <row r="4399" spans="1:5" x14ac:dyDescent="0.25">
      <c r="A4399" t="s">
        <v>1905</v>
      </c>
      <c r="B4399" t="s">
        <v>10847</v>
      </c>
      <c r="C4399" t="s">
        <v>10848</v>
      </c>
      <c r="D4399" t="s">
        <v>2200</v>
      </c>
      <c r="E4399" t="s">
        <v>2170</v>
      </c>
    </row>
    <row r="4400" spans="1:5" x14ac:dyDescent="0.25">
      <c r="A4400" t="s">
        <v>1905</v>
      </c>
      <c r="B4400" t="s">
        <v>10849</v>
      </c>
      <c r="C4400" t="s">
        <v>10850</v>
      </c>
      <c r="D4400" t="s">
        <v>2200</v>
      </c>
      <c r="E4400" t="s">
        <v>2170</v>
      </c>
    </row>
    <row r="4401" spans="1:5" x14ac:dyDescent="0.25">
      <c r="A4401" t="s">
        <v>1905</v>
      </c>
      <c r="B4401" t="s">
        <v>10851</v>
      </c>
      <c r="C4401" t="s">
        <v>10852</v>
      </c>
      <c r="D4401" t="s">
        <v>2200</v>
      </c>
      <c r="E4401" t="s">
        <v>2170</v>
      </c>
    </row>
    <row r="4402" spans="1:5" x14ac:dyDescent="0.25">
      <c r="A4402" t="s">
        <v>1905</v>
      </c>
      <c r="B4402" t="s">
        <v>10853</v>
      </c>
      <c r="C4402" t="s">
        <v>10854</v>
      </c>
      <c r="D4402" t="s">
        <v>2200</v>
      </c>
      <c r="E4402" t="s">
        <v>2170</v>
      </c>
    </row>
    <row r="4403" spans="1:5" x14ac:dyDescent="0.25">
      <c r="A4403" t="s">
        <v>1905</v>
      </c>
      <c r="B4403" t="s">
        <v>10855</v>
      </c>
      <c r="C4403" t="s">
        <v>10856</v>
      </c>
      <c r="D4403" t="s">
        <v>2200</v>
      </c>
      <c r="E4403" t="s">
        <v>2170</v>
      </c>
    </row>
    <row r="4404" spans="1:5" x14ac:dyDescent="0.25">
      <c r="A4404" t="s">
        <v>1905</v>
      </c>
      <c r="B4404" t="s">
        <v>10857</v>
      </c>
      <c r="C4404" t="s">
        <v>10858</v>
      </c>
      <c r="D4404" t="s">
        <v>2200</v>
      </c>
      <c r="E4404" t="s">
        <v>2170</v>
      </c>
    </row>
    <row r="4405" spans="1:5" x14ac:dyDescent="0.25">
      <c r="A4405" t="s">
        <v>1905</v>
      </c>
      <c r="B4405" t="s">
        <v>10859</v>
      </c>
      <c r="C4405" t="s">
        <v>10860</v>
      </c>
      <c r="D4405" t="s">
        <v>2200</v>
      </c>
      <c r="E4405" t="s">
        <v>2170</v>
      </c>
    </row>
    <row r="4406" spans="1:5" x14ac:dyDescent="0.25">
      <c r="A4406" t="s">
        <v>1905</v>
      </c>
      <c r="B4406" t="s">
        <v>10861</v>
      </c>
      <c r="C4406" t="s">
        <v>10862</v>
      </c>
      <c r="D4406" t="s">
        <v>2200</v>
      </c>
      <c r="E4406" t="s">
        <v>2170</v>
      </c>
    </row>
    <row r="4407" spans="1:5" x14ac:dyDescent="0.25">
      <c r="A4407" t="s">
        <v>1905</v>
      </c>
      <c r="B4407" t="s">
        <v>10863</v>
      </c>
      <c r="C4407" t="s">
        <v>10864</v>
      </c>
      <c r="D4407" t="s">
        <v>2200</v>
      </c>
      <c r="E4407" t="s">
        <v>2170</v>
      </c>
    </row>
    <row r="4408" spans="1:5" x14ac:dyDescent="0.25">
      <c r="A4408" t="s">
        <v>1905</v>
      </c>
      <c r="B4408" t="s">
        <v>10865</v>
      </c>
      <c r="C4408" t="s">
        <v>10866</v>
      </c>
      <c r="D4408" t="s">
        <v>2200</v>
      </c>
      <c r="E4408" t="s">
        <v>2170</v>
      </c>
    </row>
    <row r="4409" spans="1:5" x14ac:dyDescent="0.25">
      <c r="A4409" t="s">
        <v>1908</v>
      </c>
      <c r="B4409" t="s">
        <v>10867</v>
      </c>
      <c r="C4409" t="s">
        <v>1907</v>
      </c>
      <c r="D4409" t="s">
        <v>8738</v>
      </c>
      <c r="E4409" t="s">
        <v>2170</v>
      </c>
    </row>
    <row r="4410" spans="1:5" x14ac:dyDescent="0.25">
      <c r="A4410" t="s">
        <v>1908</v>
      </c>
      <c r="B4410" t="s">
        <v>10868</v>
      </c>
      <c r="C4410" t="s">
        <v>10869</v>
      </c>
      <c r="D4410" t="s">
        <v>2311</v>
      </c>
      <c r="E4410" t="s">
        <v>2170</v>
      </c>
    </row>
    <row r="4411" spans="1:5" x14ac:dyDescent="0.25">
      <c r="A4411" t="s">
        <v>1908</v>
      </c>
      <c r="B4411" t="s">
        <v>10870</v>
      </c>
      <c r="C4411" t="s">
        <v>10871</v>
      </c>
      <c r="D4411" t="s">
        <v>3555</v>
      </c>
      <c r="E4411" t="s">
        <v>2170</v>
      </c>
    </row>
    <row r="4412" spans="1:5" x14ac:dyDescent="0.25">
      <c r="A4412" t="s">
        <v>1908</v>
      </c>
      <c r="B4412" t="s">
        <v>10872</v>
      </c>
      <c r="C4412" t="s">
        <v>10873</v>
      </c>
      <c r="D4412" t="s">
        <v>10874</v>
      </c>
      <c r="E4412" t="s">
        <v>2170</v>
      </c>
    </row>
    <row r="4413" spans="1:5" x14ac:dyDescent="0.25">
      <c r="A4413" t="s">
        <v>1908</v>
      </c>
      <c r="B4413" t="s">
        <v>10875</v>
      </c>
      <c r="C4413" t="s">
        <v>10876</v>
      </c>
      <c r="D4413" t="s">
        <v>2311</v>
      </c>
      <c r="E4413" t="s">
        <v>2170</v>
      </c>
    </row>
    <row r="4414" spans="1:5" x14ac:dyDescent="0.25">
      <c r="A4414" t="s">
        <v>1911</v>
      </c>
      <c r="B4414" t="s">
        <v>10877</v>
      </c>
      <c r="C4414" t="s">
        <v>10878</v>
      </c>
      <c r="D4414" t="s">
        <v>2469</v>
      </c>
      <c r="E4414" t="s">
        <v>2170</v>
      </c>
    </row>
    <row r="4415" spans="1:5" x14ac:dyDescent="0.25">
      <c r="A4415" t="s">
        <v>1911</v>
      </c>
      <c r="B4415" t="s">
        <v>10879</v>
      </c>
      <c r="C4415" t="s">
        <v>10880</v>
      </c>
      <c r="D4415" t="s">
        <v>2469</v>
      </c>
      <c r="E4415" t="s">
        <v>2170</v>
      </c>
    </row>
    <row r="4416" spans="1:5" x14ac:dyDescent="0.25">
      <c r="A4416" t="s">
        <v>1911</v>
      </c>
      <c r="B4416" t="s">
        <v>10881</v>
      </c>
      <c r="C4416" t="s">
        <v>10882</v>
      </c>
      <c r="D4416" t="s">
        <v>2469</v>
      </c>
      <c r="E4416" t="s">
        <v>2170</v>
      </c>
    </row>
    <row r="4417" spans="1:5" x14ac:dyDescent="0.25">
      <c r="A4417" t="s">
        <v>1911</v>
      </c>
      <c r="B4417" t="s">
        <v>10883</v>
      </c>
      <c r="C4417" t="s">
        <v>10884</v>
      </c>
      <c r="D4417" t="s">
        <v>2469</v>
      </c>
      <c r="E4417" t="s">
        <v>2170</v>
      </c>
    </row>
    <row r="4418" spans="1:5" x14ac:dyDescent="0.25">
      <c r="A4418" t="s">
        <v>1911</v>
      </c>
      <c r="B4418" t="s">
        <v>10885</v>
      </c>
      <c r="C4418" t="s">
        <v>10886</v>
      </c>
      <c r="D4418" t="s">
        <v>2469</v>
      </c>
      <c r="E4418" t="s">
        <v>2170</v>
      </c>
    </row>
    <row r="4419" spans="1:5" x14ac:dyDescent="0.25">
      <c r="A4419" t="s">
        <v>1911</v>
      </c>
      <c r="B4419" t="s">
        <v>10887</v>
      </c>
      <c r="C4419" t="s">
        <v>10888</v>
      </c>
      <c r="D4419" t="s">
        <v>2469</v>
      </c>
      <c r="E4419" t="s">
        <v>2170</v>
      </c>
    </row>
    <row r="4420" spans="1:5" x14ac:dyDescent="0.25">
      <c r="A4420" t="s">
        <v>1911</v>
      </c>
      <c r="B4420" t="s">
        <v>10889</v>
      </c>
      <c r="C4420" t="s">
        <v>10890</v>
      </c>
      <c r="D4420" t="s">
        <v>2469</v>
      </c>
      <c r="E4420" t="s">
        <v>2170</v>
      </c>
    </row>
    <row r="4421" spans="1:5" x14ac:dyDescent="0.25">
      <c r="A4421" t="s">
        <v>1911</v>
      </c>
      <c r="B4421" t="s">
        <v>10891</v>
      </c>
      <c r="C4421" t="s">
        <v>10892</v>
      </c>
      <c r="D4421" t="s">
        <v>2469</v>
      </c>
      <c r="E4421" t="s">
        <v>2170</v>
      </c>
    </row>
    <row r="4422" spans="1:5" x14ac:dyDescent="0.25">
      <c r="A4422" t="s">
        <v>1911</v>
      </c>
      <c r="B4422" t="s">
        <v>10893</v>
      </c>
      <c r="C4422" t="s">
        <v>10894</v>
      </c>
      <c r="D4422" t="s">
        <v>2469</v>
      </c>
      <c r="E4422" t="s">
        <v>2170</v>
      </c>
    </row>
    <row r="4423" spans="1:5" x14ac:dyDescent="0.25">
      <c r="A4423" t="s">
        <v>1911</v>
      </c>
      <c r="B4423" t="s">
        <v>10895</v>
      </c>
      <c r="C4423" t="s">
        <v>10896</v>
      </c>
      <c r="D4423" t="s">
        <v>2469</v>
      </c>
      <c r="E4423" t="s">
        <v>2170</v>
      </c>
    </row>
    <row r="4424" spans="1:5" x14ac:dyDescent="0.25">
      <c r="A4424" t="s">
        <v>1911</v>
      </c>
      <c r="B4424" t="s">
        <v>10897</v>
      </c>
      <c r="C4424" t="s">
        <v>10898</v>
      </c>
      <c r="D4424" t="s">
        <v>2469</v>
      </c>
      <c r="E4424" t="s">
        <v>2170</v>
      </c>
    </row>
    <row r="4425" spans="1:5" x14ac:dyDescent="0.25">
      <c r="A4425" t="s">
        <v>1911</v>
      </c>
      <c r="B4425" t="s">
        <v>10899</v>
      </c>
      <c r="C4425" t="s">
        <v>10900</v>
      </c>
      <c r="D4425" t="s">
        <v>3568</v>
      </c>
      <c r="E4425" t="s">
        <v>2170</v>
      </c>
    </row>
    <row r="4426" spans="1:5" x14ac:dyDescent="0.25">
      <c r="A4426" t="s">
        <v>1911</v>
      </c>
      <c r="B4426" t="s">
        <v>10901</v>
      </c>
      <c r="C4426" t="s">
        <v>10902</v>
      </c>
      <c r="D4426" t="s">
        <v>2469</v>
      </c>
      <c r="E4426" t="s">
        <v>2170</v>
      </c>
    </row>
    <row r="4427" spans="1:5" x14ac:dyDescent="0.25">
      <c r="A4427" t="s">
        <v>1915</v>
      </c>
      <c r="B4427" t="s">
        <v>10903</v>
      </c>
      <c r="C4427" t="s">
        <v>10904</v>
      </c>
      <c r="D4427" t="s">
        <v>2311</v>
      </c>
      <c r="E4427" t="s">
        <v>2170</v>
      </c>
    </row>
    <row r="4428" spans="1:5" x14ac:dyDescent="0.25">
      <c r="A4428" t="s">
        <v>1915</v>
      </c>
      <c r="B4428" t="s">
        <v>10905</v>
      </c>
      <c r="C4428" t="s">
        <v>10906</v>
      </c>
      <c r="D4428" t="s">
        <v>2318</v>
      </c>
      <c r="E4428" t="s">
        <v>2170</v>
      </c>
    </row>
    <row r="4429" spans="1:5" x14ac:dyDescent="0.25">
      <c r="A4429" t="s">
        <v>1915</v>
      </c>
      <c r="B4429" t="s">
        <v>10907</v>
      </c>
      <c r="C4429" t="s">
        <v>10908</v>
      </c>
      <c r="D4429" t="s">
        <v>2311</v>
      </c>
      <c r="E4429" t="s">
        <v>2170</v>
      </c>
    </row>
    <row r="4430" spans="1:5" x14ac:dyDescent="0.25">
      <c r="A4430" t="s">
        <v>1915</v>
      </c>
      <c r="B4430" t="s">
        <v>10909</v>
      </c>
      <c r="C4430" t="s">
        <v>10910</v>
      </c>
      <c r="D4430" t="s">
        <v>2311</v>
      </c>
      <c r="E4430" t="s">
        <v>2170</v>
      </c>
    </row>
    <row r="4431" spans="1:5" x14ac:dyDescent="0.25">
      <c r="A4431" t="s">
        <v>1915</v>
      </c>
      <c r="B4431" t="s">
        <v>10911</v>
      </c>
      <c r="C4431" t="s">
        <v>10912</v>
      </c>
      <c r="D4431" t="s">
        <v>2311</v>
      </c>
      <c r="E4431" t="s">
        <v>2170</v>
      </c>
    </row>
    <row r="4432" spans="1:5" x14ac:dyDescent="0.25">
      <c r="A4432" t="s">
        <v>1915</v>
      </c>
      <c r="B4432" t="s">
        <v>10913</v>
      </c>
      <c r="C4432" t="s">
        <v>10914</v>
      </c>
      <c r="D4432" t="s">
        <v>2311</v>
      </c>
      <c r="E4432" t="s">
        <v>2170</v>
      </c>
    </row>
    <row r="4433" spans="1:5" x14ac:dyDescent="0.25">
      <c r="A4433" t="s">
        <v>1918</v>
      </c>
      <c r="B4433" t="s">
        <v>10915</v>
      </c>
      <c r="C4433" t="s">
        <v>10916</v>
      </c>
      <c r="D4433" t="s">
        <v>2963</v>
      </c>
      <c r="E4433" t="s">
        <v>2170</v>
      </c>
    </row>
    <row r="4434" spans="1:5" x14ac:dyDescent="0.25">
      <c r="A4434" t="s">
        <v>1918</v>
      </c>
      <c r="B4434" t="s">
        <v>10917</v>
      </c>
      <c r="C4434" t="s">
        <v>10918</v>
      </c>
      <c r="D4434" t="s">
        <v>2963</v>
      </c>
      <c r="E4434" t="s">
        <v>2170</v>
      </c>
    </row>
    <row r="4435" spans="1:5" x14ac:dyDescent="0.25">
      <c r="A4435" t="s">
        <v>1918</v>
      </c>
      <c r="B4435" t="s">
        <v>10919</v>
      </c>
      <c r="C4435" t="s">
        <v>10920</v>
      </c>
      <c r="D4435" t="s">
        <v>2963</v>
      </c>
      <c r="E4435" t="s">
        <v>2170</v>
      </c>
    </row>
    <row r="4436" spans="1:5" x14ac:dyDescent="0.25">
      <c r="A4436" t="s">
        <v>1918</v>
      </c>
      <c r="B4436" t="s">
        <v>10921</v>
      </c>
      <c r="C4436" t="s">
        <v>10922</v>
      </c>
      <c r="D4436" t="s">
        <v>2963</v>
      </c>
      <c r="E4436" t="s">
        <v>2170</v>
      </c>
    </row>
    <row r="4437" spans="1:5" x14ac:dyDescent="0.25">
      <c r="A4437" t="s">
        <v>1918</v>
      </c>
      <c r="B4437" t="s">
        <v>10923</v>
      </c>
      <c r="C4437" t="s">
        <v>10924</v>
      </c>
      <c r="D4437" t="s">
        <v>2963</v>
      </c>
      <c r="E4437" t="s">
        <v>2170</v>
      </c>
    </row>
    <row r="4438" spans="1:5" x14ac:dyDescent="0.25">
      <c r="A4438" t="s">
        <v>1918</v>
      </c>
      <c r="B4438" t="s">
        <v>10925</v>
      </c>
      <c r="C4438" t="s">
        <v>10926</v>
      </c>
      <c r="D4438" t="s">
        <v>2963</v>
      </c>
      <c r="E4438" t="s">
        <v>2170</v>
      </c>
    </row>
    <row r="4439" spans="1:5" x14ac:dyDescent="0.25">
      <c r="A4439" t="s">
        <v>1918</v>
      </c>
      <c r="B4439" t="s">
        <v>10927</v>
      </c>
      <c r="C4439" t="s">
        <v>10928</v>
      </c>
      <c r="D4439" t="s">
        <v>2963</v>
      </c>
      <c r="E4439" t="s">
        <v>2170</v>
      </c>
    </row>
    <row r="4440" spans="1:5" x14ac:dyDescent="0.25">
      <c r="A4440" t="s">
        <v>1918</v>
      </c>
      <c r="B4440" t="s">
        <v>10929</v>
      </c>
      <c r="C4440" t="s">
        <v>10930</v>
      </c>
      <c r="D4440" t="s">
        <v>2963</v>
      </c>
      <c r="E4440" t="s">
        <v>2170</v>
      </c>
    </row>
    <row r="4441" spans="1:5" x14ac:dyDescent="0.25">
      <c r="A4441" t="s">
        <v>1918</v>
      </c>
      <c r="B4441" t="s">
        <v>10931</v>
      </c>
      <c r="C4441" t="s">
        <v>10932</v>
      </c>
      <c r="D4441" t="s">
        <v>2963</v>
      </c>
      <c r="E4441" t="s">
        <v>2170</v>
      </c>
    </row>
    <row r="4442" spans="1:5" x14ac:dyDescent="0.25">
      <c r="A4442" t="s">
        <v>1918</v>
      </c>
      <c r="B4442" t="s">
        <v>10933</v>
      </c>
      <c r="C4442" t="s">
        <v>10934</v>
      </c>
      <c r="D4442" t="s">
        <v>2963</v>
      </c>
      <c r="E4442" t="s">
        <v>2170</v>
      </c>
    </row>
    <row r="4443" spans="1:5" x14ac:dyDescent="0.25">
      <c r="A4443" t="s">
        <v>1918</v>
      </c>
      <c r="B4443" t="s">
        <v>10935</v>
      </c>
      <c r="C4443" t="s">
        <v>10936</v>
      </c>
      <c r="D4443" t="s">
        <v>2963</v>
      </c>
      <c r="E4443" t="s">
        <v>2170</v>
      </c>
    </row>
    <row r="4444" spans="1:5" x14ac:dyDescent="0.25">
      <c r="A4444" t="s">
        <v>1918</v>
      </c>
      <c r="B4444" t="s">
        <v>10937</v>
      </c>
      <c r="C4444" t="s">
        <v>10938</v>
      </c>
      <c r="D4444" t="s">
        <v>2963</v>
      </c>
      <c r="E4444" t="s">
        <v>2170</v>
      </c>
    </row>
    <row r="4445" spans="1:5" x14ac:dyDescent="0.25">
      <c r="A4445" t="s">
        <v>1918</v>
      </c>
      <c r="B4445" t="s">
        <v>10939</v>
      </c>
      <c r="C4445" t="s">
        <v>10940</v>
      </c>
      <c r="D4445" t="s">
        <v>2963</v>
      </c>
      <c r="E4445" t="s">
        <v>2170</v>
      </c>
    </row>
    <row r="4446" spans="1:5" x14ac:dyDescent="0.25">
      <c r="A4446" t="s">
        <v>1918</v>
      </c>
      <c r="B4446" t="s">
        <v>10941</v>
      </c>
      <c r="C4446" t="s">
        <v>10942</v>
      </c>
      <c r="D4446" t="s">
        <v>2963</v>
      </c>
      <c r="E4446" t="s">
        <v>2170</v>
      </c>
    </row>
    <row r="4447" spans="1:5" x14ac:dyDescent="0.25">
      <c r="A4447" t="s">
        <v>1918</v>
      </c>
      <c r="B4447" t="s">
        <v>10943</v>
      </c>
      <c r="C4447" t="s">
        <v>10944</v>
      </c>
      <c r="D4447" t="s">
        <v>2963</v>
      </c>
      <c r="E4447" t="s">
        <v>2170</v>
      </c>
    </row>
    <row r="4448" spans="1:5" x14ac:dyDescent="0.25">
      <c r="A4448" t="s">
        <v>1918</v>
      </c>
      <c r="B4448" t="s">
        <v>10945</v>
      </c>
      <c r="C4448" t="s">
        <v>10946</v>
      </c>
      <c r="D4448" t="s">
        <v>2963</v>
      </c>
      <c r="E4448" t="s">
        <v>2170</v>
      </c>
    </row>
    <row r="4449" spans="1:5" x14ac:dyDescent="0.25">
      <c r="A4449" t="s">
        <v>1918</v>
      </c>
      <c r="B4449" t="s">
        <v>10947</v>
      </c>
      <c r="C4449" t="s">
        <v>10948</v>
      </c>
      <c r="D4449" t="s">
        <v>2963</v>
      </c>
      <c r="E4449" t="s">
        <v>2170</v>
      </c>
    </row>
    <row r="4450" spans="1:5" x14ac:dyDescent="0.25">
      <c r="A4450" t="s">
        <v>1918</v>
      </c>
      <c r="B4450" t="s">
        <v>10949</v>
      </c>
      <c r="C4450" t="s">
        <v>10950</v>
      </c>
      <c r="D4450" t="s">
        <v>2963</v>
      </c>
      <c r="E4450" t="s">
        <v>2170</v>
      </c>
    </row>
    <row r="4451" spans="1:5" x14ac:dyDescent="0.25">
      <c r="A4451" t="s">
        <v>1918</v>
      </c>
      <c r="B4451" t="s">
        <v>10951</v>
      </c>
      <c r="C4451" t="s">
        <v>10952</v>
      </c>
      <c r="D4451" t="s">
        <v>2963</v>
      </c>
      <c r="E4451" t="s">
        <v>2170</v>
      </c>
    </row>
    <row r="4452" spans="1:5" x14ac:dyDescent="0.25">
      <c r="A4452" t="s">
        <v>1918</v>
      </c>
      <c r="B4452" t="s">
        <v>10953</v>
      </c>
      <c r="C4452" t="s">
        <v>10954</v>
      </c>
      <c r="D4452" t="s">
        <v>2963</v>
      </c>
      <c r="E4452" t="s">
        <v>2170</v>
      </c>
    </row>
    <row r="4453" spans="1:5" x14ac:dyDescent="0.25">
      <c r="A4453" t="s">
        <v>1918</v>
      </c>
      <c r="B4453" t="s">
        <v>10955</v>
      </c>
      <c r="C4453" t="s">
        <v>10956</v>
      </c>
      <c r="D4453" t="s">
        <v>2963</v>
      </c>
      <c r="E4453" t="s">
        <v>2170</v>
      </c>
    </row>
    <row r="4454" spans="1:5" x14ac:dyDescent="0.25">
      <c r="A4454" t="s">
        <v>1918</v>
      </c>
      <c r="B4454" t="s">
        <v>10957</v>
      </c>
      <c r="C4454" t="s">
        <v>10958</v>
      </c>
      <c r="D4454" t="s">
        <v>2963</v>
      </c>
      <c r="E4454" t="s">
        <v>2170</v>
      </c>
    </row>
    <row r="4455" spans="1:5" x14ac:dyDescent="0.25">
      <c r="A4455" t="s">
        <v>1918</v>
      </c>
      <c r="B4455" t="s">
        <v>10959</v>
      </c>
      <c r="C4455" t="s">
        <v>1917</v>
      </c>
      <c r="D4455" t="s">
        <v>2963</v>
      </c>
      <c r="E4455" t="s">
        <v>2170</v>
      </c>
    </row>
    <row r="4456" spans="1:5" x14ac:dyDescent="0.25">
      <c r="A4456" t="s">
        <v>1918</v>
      </c>
      <c r="B4456" t="s">
        <v>10960</v>
      </c>
      <c r="C4456" t="s">
        <v>10961</v>
      </c>
      <c r="D4456" t="s">
        <v>2963</v>
      </c>
      <c r="E4456" t="s">
        <v>2170</v>
      </c>
    </row>
    <row r="4457" spans="1:5" x14ac:dyDescent="0.25">
      <c r="A4457" t="s">
        <v>1921</v>
      </c>
      <c r="B4457" t="s">
        <v>10962</v>
      </c>
      <c r="C4457" t="s">
        <v>10963</v>
      </c>
      <c r="D4457" t="s">
        <v>2630</v>
      </c>
      <c r="E4457" t="s">
        <v>2170</v>
      </c>
    </row>
    <row r="4458" spans="1:5" x14ac:dyDescent="0.25">
      <c r="A4458" t="s">
        <v>1921</v>
      </c>
      <c r="B4458" t="s">
        <v>10964</v>
      </c>
      <c r="C4458" t="s">
        <v>10965</v>
      </c>
      <c r="D4458" t="s">
        <v>2630</v>
      </c>
      <c r="E4458" t="s">
        <v>2170</v>
      </c>
    </row>
    <row r="4459" spans="1:5" x14ac:dyDescent="0.25">
      <c r="A4459" t="s">
        <v>1921</v>
      </c>
      <c r="B4459" t="s">
        <v>10966</v>
      </c>
      <c r="C4459" t="s">
        <v>10967</v>
      </c>
      <c r="D4459" t="s">
        <v>2630</v>
      </c>
      <c r="E4459" t="s">
        <v>2170</v>
      </c>
    </row>
    <row r="4460" spans="1:5" x14ac:dyDescent="0.25">
      <c r="A4460" t="s">
        <v>1921</v>
      </c>
      <c r="B4460" t="s">
        <v>10968</v>
      </c>
      <c r="C4460" t="s">
        <v>10969</v>
      </c>
      <c r="D4460" t="s">
        <v>2630</v>
      </c>
      <c r="E4460" t="s">
        <v>2170</v>
      </c>
    </row>
    <row r="4461" spans="1:5" x14ac:dyDescent="0.25">
      <c r="A4461" t="s">
        <v>1921</v>
      </c>
      <c r="B4461" t="s">
        <v>10970</v>
      </c>
      <c r="C4461" t="s">
        <v>10971</v>
      </c>
      <c r="D4461" t="s">
        <v>2630</v>
      </c>
      <c r="E4461" t="s">
        <v>2170</v>
      </c>
    </row>
    <row r="4462" spans="1:5" x14ac:dyDescent="0.25">
      <c r="A4462" t="s">
        <v>1924</v>
      </c>
      <c r="B4462" t="s">
        <v>10972</v>
      </c>
      <c r="C4462" t="s">
        <v>10973</v>
      </c>
      <c r="D4462" t="s">
        <v>2200</v>
      </c>
      <c r="E4462" t="s">
        <v>2170</v>
      </c>
    </row>
    <row r="4463" spans="1:5" x14ac:dyDescent="0.25">
      <c r="A4463" t="s">
        <v>1924</v>
      </c>
      <c r="B4463" t="s">
        <v>10974</v>
      </c>
      <c r="C4463" t="s">
        <v>10975</v>
      </c>
      <c r="D4463" t="s">
        <v>2200</v>
      </c>
      <c r="E4463" t="s">
        <v>2170</v>
      </c>
    </row>
    <row r="4464" spans="1:5" x14ac:dyDescent="0.25">
      <c r="A4464" t="s">
        <v>1924</v>
      </c>
      <c r="B4464" t="s">
        <v>10976</v>
      </c>
      <c r="C4464" t="s">
        <v>10977</v>
      </c>
      <c r="D4464" t="s">
        <v>2200</v>
      </c>
      <c r="E4464" t="s">
        <v>2170</v>
      </c>
    </row>
    <row r="4465" spans="1:5" x14ac:dyDescent="0.25">
      <c r="A4465" t="s">
        <v>1924</v>
      </c>
      <c r="B4465" t="s">
        <v>10978</v>
      </c>
      <c r="C4465" t="s">
        <v>10979</v>
      </c>
      <c r="D4465" t="s">
        <v>2200</v>
      </c>
      <c r="E4465" t="s">
        <v>2170</v>
      </c>
    </row>
    <row r="4466" spans="1:5" x14ac:dyDescent="0.25">
      <c r="A4466" t="s">
        <v>1924</v>
      </c>
      <c r="B4466" t="s">
        <v>10980</v>
      </c>
      <c r="C4466" t="s">
        <v>10981</v>
      </c>
      <c r="D4466" t="s">
        <v>2200</v>
      </c>
      <c r="E4466" t="s">
        <v>2170</v>
      </c>
    </row>
    <row r="4467" spans="1:5" x14ac:dyDescent="0.25">
      <c r="A4467" t="s">
        <v>1924</v>
      </c>
      <c r="B4467" t="s">
        <v>10982</v>
      </c>
      <c r="C4467" t="s">
        <v>10983</v>
      </c>
      <c r="D4467" t="s">
        <v>2200</v>
      </c>
      <c r="E4467" t="s">
        <v>2170</v>
      </c>
    </row>
    <row r="4468" spans="1:5" x14ac:dyDescent="0.25">
      <c r="A4468" t="s">
        <v>1924</v>
      </c>
      <c r="B4468" t="s">
        <v>10984</v>
      </c>
      <c r="C4468" t="s">
        <v>10985</v>
      </c>
      <c r="D4468" t="s">
        <v>2200</v>
      </c>
      <c r="E4468" t="s">
        <v>2170</v>
      </c>
    </row>
    <row r="4469" spans="1:5" x14ac:dyDescent="0.25">
      <c r="A4469" t="s">
        <v>1924</v>
      </c>
      <c r="B4469" t="s">
        <v>10986</v>
      </c>
      <c r="C4469" t="s">
        <v>10987</v>
      </c>
      <c r="D4469" t="s">
        <v>2200</v>
      </c>
      <c r="E4469" t="s">
        <v>2170</v>
      </c>
    </row>
    <row r="4470" spans="1:5" x14ac:dyDescent="0.25">
      <c r="A4470" t="s">
        <v>1924</v>
      </c>
      <c r="B4470" t="s">
        <v>10988</v>
      </c>
      <c r="C4470" t="s">
        <v>10989</v>
      </c>
      <c r="D4470" t="s">
        <v>2200</v>
      </c>
      <c r="E4470" t="s">
        <v>2170</v>
      </c>
    </row>
    <row r="4471" spans="1:5" x14ac:dyDescent="0.25">
      <c r="A4471" t="s">
        <v>1924</v>
      </c>
      <c r="B4471" t="s">
        <v>10990</v>
      </c>
      <c r="C4471" t="s">
        <v>10991</v>
      </c>
      <c r="D4471" t="s">
        <v>2200</v>
      </c>
      <c r="E4471" t="s">
        <v>2170</v>
      </c>
    </row>
    <row r="4472" spans="1:5" x14ac:dyDescent="0.25">
      <c r="A4472" t="s">
        <v>1924</v>
      </c>
      <c r="B4472" t="s">
        <v>10992</v>
      </c>
      <c r="C4472" t="s">
        <v>10993</v>
      </c>
      <c r="D4472" t="s">
        <v>2200</v>
      </c>
      <c r="E4472" t="s">
        <v>2170</v>
      </c>
    </row>
    <row r="4473" spans="1:5" x14ac:dyDescent="0.25">
      <c r="A4473" t="s">
        <v>1924</v>
      </c>
      <c r="B4473" t="s">
        <v>10994</v>
      </c>
      <c r="C4473" t="s">
        <v>10995</v>
      </c>
      <c r="D4473" t="s">
        <v>2200</v>
      </c>
      <c r="E4473" t="s">
        <v>2170</v>
      </c>
    </row>
    <row r="4474" spans="1:5" x14ac:dyDescent="0.25">
      <c r="A4474" t="s">
        <v>1924</v>
      </c>
      <c r="B4474" t="s">
        <v>10996</v>
      </c>
      <c r="C4474" t="s">
        <v>10997</v>
      </c>
      <c r="D4474" t="s">
        <v>2200</v>
      </c>
      <c r="E4474" t="s">
        <v>2170</v>
      </c>
    </row>
    <row r="4475" spans="1:5" x14ac:dyDescent="0.25">
      <c r="A4475" t="s">
        <v>1924</v>
      </c>
      <c r="B4475" t="s">
        <v>10998</v>
      </c>
      <c r="C4475" t="s">
        <v>10999</v>
      </c>
      <c r="D4475" t="s">
        <v>2200</v>
      </c>
      <c r="E4475" t="s">
        <v>2170</v>
      </c>
    </row>
    <row r="4476" spans="1:5" x14ac:dyDescent="0.25">
      <c r="A4476" t="s">
        <v>1924</v>
      </c>
      <c r="B4476" t="s">
        <v>11000</v>
      </c>
      <c r="C4476" t="s">
        <v>11001</v>
      </c>
      <c r="D4476" t="s">
        <v>2200</v>
      </c>
      <c r="E4476" t="s">
        <v>2170</v>
      </c>
    </row>
    <row r="4477" spans="1:5" x14ac:dyDescent="0.25">
      <c r="A4477" t="s">
        <v>1924</v>
      </c>
      <c r="B4477" t="s">
        <v>11002</v>
      </c>
      <c r="C4477" t="s">
        <v>11003</v>
      </c>
      <c r="D4477" t="s">
        <v>2200</v>
      </c>
      <c r="E4477" t="s">
        <v>2170</v>
      </c>
    </row>
    <row r="4478" spans="1:5" x14ac:dyDescent="0.25">
      <c r="A4478" t="s">
        <v>1924</v>
      </c>
      <c r="B4478" t="s">
        <v>11004</v>
      </c>
      <c r="C4478" t="s">
        <v>11005</v>
      </c>
      <c r="D4478" t="s">
        <v>2200</v>
      </c>
      <c r="E4478" t="s">
        <v>2170</v>
      </c>
    </row>
    <row r="4479" spans="1:5" x14ac:dyDescent="0.25">
      <c r="A4479" t="s">
        <v>1924</v>
      </c>
      <c r="B4479" t="s">
        <v>11006</v>
      </c>
      <c r="C4479" t="s">
        <v>11007</v>
      </c>
      <c r="D4479" t="s">
        <v>2200</v>
      </c>
      <c r="E4479" t="s">
        <v>2170</v>
      </c>
    </row>
    <row r="4480" spans="1:5" x14ac:dyDescent="0.25">
      <c r="A4480" t="s">
        <v>1924</v>
      </c>
      <c r="B4480" t="s">
        <v>11008</v>
      </c>
      <c r="C4480" t="s">
        <v>11009</v>
      </c>
      <c r="D4480" t="s">
        <v>2200</v>
      </c>
      <c r="E4480" t="s">
        <v>2170</v>
      </c>
    </row>
    <row r="4481" spans="1:5" x14ac:dyDescent="0.25">
      <c r="A4481" t="s">
        <v>1924</v>
      </c>
      <c r="B4481" t="s">
        <v>11010</v>
      </c>
      <c r="C4481" t="s">
        <v>11011</v>
      </c>
      <c r="D4481" t="s">
        <v>2200</v>
      </c>
      <c r="E4481" t="s">
        <v>2170</v>
      </c>
    </row>
    <row r="4482" spans="1:5" x14ac:dyDescent="0.25">
      <c r="A4482" t="s">
        <v>1924</v>
      </c>
      <c r="B4482" t="s">
        <v>11012</v>
      </c>
      <c r="C4482" t="s">
        <v>11013</v>
      </c>
      <c r="D4482" t="s">
        <v>2200</v>
      </c>
      <c r="E4482" t="s">
        <v>2170</v>
      </c>
    </row>
    <row r="4483" spans="1:5" x14ac:dyDescent="0.25">
      <c r="A4483" t="s">
        <v>1924</v>
      </c>
      <c r="B4483" t="s">
        <v>11014</v>
      </c>
      <c r="C4483" t="s">
        <v>11015</v>
      </c>
      <c r="D4483" t="s">
        <v>2200</v>
      </c>
      <c r="E4483" t="s">
        <v>2170</v>
      </c>
    </row>
    <row r="4484" spans="1:5" x14ac:dyDescent="0.25">
      <c r="A4484" t="s">
        <v>1924</v>
      </c>
      <c r="B4484" t="s">
        <v>11016</v>
      </c>
      <c r="C4484" t="s">
        <v>11017</v>
      </c>
      <c r="D4484" t="s">
        <v>2200</v>
      </c>
      <c r="E4484" t="s">
        <v>2170</v>
      </c>
    </row>
    <row r="4485" spans="1:5" x14ac:dyDescent="0.25">
      <c r="A4485" t="s">
        <v>1924</v>
      </c>
      <c r="B4485" t="s">
        <v>11018</v>
      </c>
      <c r="C4485" t="s">
        <v>11019</v>
      </c>
      <c r="D4485" t="s">
        <v>2200</v>
      </c>
      <c r="E4485" t="s">
        <v>2170</v>
      </c>
    </row>
    <row r="4486" spans="1:5" x14ac:dyDescent="0.25">
      <c r="A4486" t="s">
        <v>1924</v>
      </c>
      <c r="B4486" t="s">
        <v>11020</v>
      </c>
      <c r="C4486" t="s">
        <v>11021</v>
      </c>
      <c r="D4486" t="s">
        <v>2200</v>
      </c>
      <c r="E4486" t="s">
        <v>2170</v>
      </c>
    </row>
    <row r="4487" spans="1:5" x14ac:dyDescent="0.25">
      <c r="A4487" t="s">
        <v>1924</v>
      </c>
      <c r="B4487" t="s">
        <v>11022</v>
      </c>
      <c r="C4487" t="s">
        <v>11023</v>
      </c>
      <c r="D4487" t="s">
        <v>2200</v>
      </c>
      <c r="E4487" t="s">
        <v>2170</v>
      </c>
    </row>
    <row r="4488" spans="1:5" x14ac:dyDescent="0.25">
      <c r="A4488" t="s">
        <v>1924</v>
      </c>
      <c r="B4488" t="s">
        <v>11024</v>
      </c>
      <c r="C4488" t="s">
        <v>11025</v>
      </c>
      <c r="D4488" t="s">
        <v>2200</v>
      </c>
      <c r="E4488" t="s">
        <v>2170</v>
      </c>
    </row>
    <row r="4489" spans="1:5" x14ac:dyDescent="0.25">
      <c r="A4489" t="s">
        <v>1924</v>
      </c>
      <c r="B4489" t="s">
        <v>11026</v>
      </c>
      <c r="C4489" t="s">
        <v>11027</v>
      </c>
      <c r="D4489" t="s">
        <v>2200</v>
      </c>
      <c r="E4489" t="s">
        <v>2170</v>
      </c>
    </row>
    <row r="4490" spans="1:5" x14ac:dyDescent="0.25">
      <c r="A4490" t="s">
        <v>1924</v>
      </c>
      <c r="B4490" t="s">
        <v>11028</v>
      </c>
      <c r="C4490" t="s">
        <v>11029</v>
      </c>
      <c r="D4490" t="s">
        <v>2200</v>
      </c>
      <c r="E4490" t="s">
        <v>2170</v>
      </c>
    </row>
    <row r="4491" spans="1:5" x14ac:dyDescent="0.25">
      <c r="A4491" t="s">
        <v>1924</v>
      </c>
      <c r="B4491" t="s">
        <v>11030</v>
      </c>
      <c r="C4491" t="s">
        <v>11031</v>
      </c>
      <c r="D4491" t="s">
        <v>2200</v>
      </c>
      <c r="E4491" t="s">
        <v>2170</v>
      </c>
    </row>
    <row r="4492" spans="1:5" x14ac:dyDescent="0.25">
      <c r="A4492" t="s">
        <v>1924</v>
      </c>
      <c r="B4492" t="s">
        <v>11032</v>
      </c>
      <c r="C4492" t="s">
        <v>11033</v>
      </c>
      <c r="D4492" t="s">
        <v>2200</v>
      </c>
      <c r="E4492" t="s">
        <v>2170</v>
      </c>
    </row>
    <row r="4493" spans="1:5" x14ac:dyDescent="0.25">
      <c r="A4493" t="s">
        <v>1924</v>
      </c>
      <c r="B4493" t="s">
        <v>11034</v>
      </c>
      <c r="C4493" t="s">
        <v>11035</v>
      </c>
      <c r="D4493" t="s">
        <v>2200</v>
      </c>
      <c r="E4493" t="s">
        <v>2170</v>
      </c>
    </row>
    <row r="4494" spans="1:5" x14ac:dyDescent="0.25">
      <c r="A4494" t="s">
        <v>1924</v>
      </c>
      <c r="B4494" t="s">
        <v>11036</v>
      </c>
      <c r="C4494" t="s">
        <v>11037</v>
      </c>
      <c r="D4494" t="s">
        <v>2200</v>
      </c>
      <c r="E4494" t="s">
        <v>2170</v>
      </c>
    </row>
    <row r="4495" spans="1:5" x14ac:dyDescent="0.25">
      <c r="A4495" t="s">
        <v>1924</v>
      </c>
      <c r="B4495" t="s">
        <v>11038</v>
      </c>
      <c r="C4495" t="s">
        <v>11039</v>
      </c>
      <c r="D4495" t="s">
        <v>2200</v>
      </c>
      <c r="E4495" t="s">
        <v>2170</v>
      </c>
    </row>
    <row r="4496" spans="1:5" x14ac:dyDescent="0.25">
      <c r="A4496" t="s">
        <v>1924</v>
      </c>
      <c r="B4496" t="s">
        <v>11040</v>
      </c>
      <c r="C4496" t="s">
        <v>11041</v>
      </c>
      <c r="D4496" t="s">
        <v>2200</v>
      </c>
      <c r="E4496" t="s">
        <v>2170</v>
      </c>
    </row>
    <row r="4497" spans="1:5" x14ac:dyDescent="0.25">
      <c r="A4497" t="s">
        <v>1924</v>
      </c>
      <c r="B4497" t="s">
        <v>11042</v>
      </c>
      <c r="C4497" t="s">
        <v>11043</v>
      </c>
      <c r="D4497" t="s">
        <v>2200</v>
      </c>
      <c r="E4497" t="s">
        <v>2170</v>
      </c>
    </row>
    <row r="4498" spans="1:5" x14ac:dyDescent="0.25">
      <c r="A4498" t="s">
        <v>1924</v>
      </c>
      <c r="B4498" t="s">
        <v>11044</v>
      </c>
      <c r="C4498" t="s">
        <v>11045</v>
      </c>
      <c r="D4498" t="s">
        <v>2200</v>
      </c>
      <c r="E4498" t="s">
        <v>2170</v>
      </c>
    </row>
    <row r="4499" spans="1:5" x14ac:dyDescent="0.25">
      <c r="A4499" t="s">
        <v>1924</v>
      </c>
      <c r="B4499" t="s">
        <v>11046</v>
      </c>
      <c r="C4499" t="s">
        <v>11047</v>
      </c>
      <c r="D4499" t="s">
        <v>2200</v>
      </c>
      <c r="E4499" t="s">
        <v>2170</v>
      </c>
    </row>
    <row r="4500" spans="1:5" x14ac:dyDescent="0.25">
      <c r="A4500" t="s">
        <v>1924</v>
      </c>
      <c r="B4500" t="s">
        <v>11048</v>
      </c>
      <c r="C4500" t="s">
        <v>11049</v>
      </c>
      <c r="D4500" t="s">
        <v>2200</v>
      </c>
      <c r="E4500" t="s">
        <v>2170</v>
      </c>
    </row>
    <row r="4501" spans="1:5" x14ac:dyDescent="0.25">
      <c r="A4501" t="s">
        <v>1924</v>
      </c>
      <c r="B4501" t="s">
        <v>11050</v>
      </c>
      <c r="C4501" t="s">
        <v>1923</v>
      </c>
      <c r="D4501" t="s">
        <v>2200</v>
      </c>
      <c r="E4501" t="s">
        <v>2170</v>
      </c>
    </row>
    <row r="4502" spans="1:5" x14ac:dyDescent="0.25">
      <c r="A4502" t="s">
        <v>1924</v>
      </c>
      <c r="B4502" t="s">
        <v>11051</v>
      </c>
      <c r="C4502" t="s">
        <v>11052</v>
      </c>
      <c r="D4502" t="s">
        <v>2200</v>
      </c>
      <c r="E4502" t="s">
        <v>2170</v>
      </c>
    </row>
    <row r="4503" spans="1:5" x14ac:dyDescent="0.25">
      <c r="A4503" t="s">
        <v>1924</v>
      </c>
      <c r="B4503" t="s">
        <v>11053</v>
      </c>
      <c r="C4503" t="s">
        <v>11054</v>
      </c>
      <c r="D4503" t="s">
        <v>2200</v>
      </c>
      <c r="E4503" t="s">
        <v>2170</v>
      </c>
    </row>
    <row r="4504" spans="1:5" x14ac:dyDescent="0.25">
      <c r="A4504" t="s">
        <v>1924</v>
      </c>
      <c r="B4504" t="s">
        <v>11055</v>
      </c>
      <c r="C4504" t="s">
        <v>11056</v>
      </c>
      <c r="D4504" t="s">
        <v>2200</v>
      </c>
      <c r="E4504" t="s">
        <v>2170</v>
      </c>
    </row>
    <row r="4505" spans="1:5" x14ac:dyDescent="0.25">
      <c r="A4505" t="s">
        <v>1924</v>
      </c>
      <c r="B4505" t="s">
        <v>11057</v>
      </c>
      <c r="C4505" t="s">
        <v>11058</v>
      </c>
      <c r="D4505" t="s">
        <v>2200</v>
      </c>
      <c r="E4505" t="s">
        <v>2170</v>
      </c>
    </row>
    <row r="4506" spans="1:5" x14ac:dyDescent="0.25">
      <c r="A4506" t="s">
        <v>1924</v>
      </c>
      <c r="B4506" t="s">
        <v>11059</v>
      </c>
      <c r="C4506" t="s">
        <v>11060</v>
      </c>
      <c r="D4506" t="s">
        <v>2200</v>
      </c>
      <c r="E4506" t="s">
        <v>2170</v>
      </c>
    </row>
    <row r="4507" spans="1:5" x14ac:dyDescent="0.25">
      <c r="A4507" t="s">
        <v>1924</v>
      </c>
      <c r="B4507" t="s">
        <v>11061</v>
      </c>
      <c r="C4507" t="s">
        <v>11062</v>
      </c>
      <c r="D4507" t="s">
        <v>2200</v>
      </c>
      <c r="E4507" t="s">
        <v>2170</v>
      </c>
    </row>
    <row r="4508" spans="1:5" x14ac:dyDescent="0.25">
      <c r="A4508" t="s">
        <v>1924</v>
      </c>
      <c r="B4508" t="s">
        <v>11063</v>
      </c>
      <c r="C4508" t="s">
        <v>11064</v>
      </c>
      <c r="D4508" t="s">
        <v>2200</v>
      </c>
      <c r="E4508" t="s">
        <v>2170</v>
      </c>
    </row>
    <row r="4509" spans="1:5" x14ac:dyDescent="0.25">
      <c r="A4509" t="s">
        <v>1924</v>
      </c>
      <c r="B4509" t="s">
        <v>11065</v>
      </c>
      <c r="C4509" t="s">
        <v>11066</v>
      </c>
      <c r="D4509" t="s">
        <v>2200</v>
      </c>
      <c r="E4509" t="s">
        <v>2170</v>
      </c>
    </row>
    <row r="4510" spans="1:5" x14ac:dyDescent="0.25">
      <c r="A4510" t="s">
        <v>1924</v>
      </c>
      <c r="B4510" t="s">
        <v>11067</v>
      </c>
      <c r="C4510" t="s">
        <v>11068</v>
      </c>
      <c r="D4510" t="s">
        <v>2200</v>
      </c>
      <c r="E4510" t="s">
        <v>2170</v>
      </c>
    </row>
    <row r="4511" spans="1:5" x14ac:dyDescent="0.25">
      <c r="A4511" t="s">
        <v>1924</v>
      </c>
      <c r="B4511" t="s">
        <v>11069</v>
      </c>
      <c r="C4511" t="s">
        <v>11070</v>
      </c>
      <c r="D4511" t="s">
        <v>2200</v>
      </c>
      <c r="E4511" t="s">
        <v>2170</v>
      </c>
    </row>
    <row r="4512" spans="1:5" x14ac:dyDescent="0.25">
      <c r="A4512" t="s">
        <v>1924</v>
      </c>
      <c r="B4512" t="s">
        <v>11071</v>
      </c>
      <c r="C4512" t="s">
        <v>11072</v>
      </c>
      <c r="D4512" t="s">
        <v>2200</v>
      </c>
      <c r="E4512" t="s">
        <v>2170</v>
      </c>
    </row>
    <row r="4513" spans="1:5" x14ac:dyDescent="0.25">
      <c r="A4513" t="s">
        <v>1924</v>
      </c>
      <c r="B4513" t="s">
        <v>11073</v>
      </c>
      <c r="C4513" t="s">
        <v>11074</v>
      </c>
      <c r="D4513" t="s">
        <v>2200</v>
      </c>
      <c r="E4513" t="s">
        <v>2170</v>
      </c>
    </row>
    <row r="4514" spans="1:5" x14ac:dyDescent="0.25">
      <c r="A4514" t="s">
        <v>1924</v>
      </c>
      <c r="B4514" t="s">
        <v>11075</v>
      </c>
      <c r="C4514" t="s">
        <v>11076</v>
      </c>
      <c r="D4514" t="s">
        <v>2200</v>
      </c>
      <c r="E4514" t="s">
        <v>2170</v>
      </c>
    </row>
    <row r="4515" spans="1:5" x14ac:dyDescent="0.25">
      <c r="A4515" t="s">
        <v>1924</v>
      </c>
      <c r="B4515" t="s">
        <v>11077</v>
      </c>
      <c r="C4515" t="s">
        <v>11078</v>
      </c>
      <c r="D4515" t="s">
        <v>2200</v>
      </c>
      <c r="E4515" t="s">
        <v>2170</v>
      </c>
    </row>
    <row r="4516" spans="1:5" x14ac:dyDescent="0.25">
      <c r="A4516" t="s">
        <v>1924</v>
      </c>
      <c r="B4516" t="s">
        <v>11079</v>
      </c>
      <c r="C4516" t="s">
        <v>11080</v>
      </c>
      <c r="D4516" t="s">
        <v>2200</v>
      </c>
      <c r="E4516" t="s">
        <v>2170</v>
      </c>
    </row>
    <row r="4517" spans="1:5" x14ac:dyDescent="0.25">
      <c r="A4517" t="s">
        <v>1924</v>
      </c>
      <c r="B4517" t="s">
        <v>11081</v>
      </c>
      <c r="C4517" t="s">
        <v>11082</v>
      </c>
      <c r="D4517" t="s">
        <v>2200</v>
      </c>
      <c r="E4517" t="s">
        <v>2170</v>
      </c>
    </row>
    <row r="4518" spans="1:5" x14ac:dyDescent="0.25">
      <c r="A4518" t="s">
        <v>1924</v>
      </c>
      <c r="B4518" t="s">
        <v>11083</v>
      </c>
      <c r="C4518" t="s">
        <v>11084</v>
      </c>
      <c r="D4518" t="s">
        <v>2200</v>
      </c>
      <c r="E4518" t="s">
        <v>2170</v>
      </c>
    </row>
    <row r="4519" spans="1:5" x14ac:dyDescent="0.25">
      <c r="A4519" t="s">
        <v>1924</v>
      </c>
      <c r="B4519" t="s">
        <v>11085</v>
      </c>
      <c r="C4519" t="s">
        <v>11086</v>
      </c>
      <c r="D4519" t="s">
        <v>2200</v>
      </c>
      <c r="E4519" t="s">
        <v>2170</v>
      </c>
    </row>
    <row r="4520" spans="1:5" x14ac:dyDescent="0.25">
      <c r="A4520" t="s">
        <v>1924</v>
      </c>
      <c r="B4520" t="s">
        <v>11087</v>
      </c>
      <c r="C4520" t="s">
        <v>11088</v>
      </c>
      <c r="D4520" t="s">
        <v>2200</v>
      </c>
      <c r="E4520" t="s">
        <v>2170</v>
      </c>
    </row>
    <row r="4521" spans="1:5" x14ac:dyDescent="0.25">
      <c r="A4521" t="s">
        <v>1924</v>
      </c>
      <c r="B4521" t="s">
        <v>11089</v>
      </c>
      <c r="C4521" t="s">
        <v>11090</v>
      </c>
      <c r="D4521" t="s">
        <v>2200</v>
      </c>
      <c r="E4521" t="s">
        <v>2170</v>
      </c>
    </row>
    <row r="4522" spans="1:5" x14ac:dyDescent="0.25">
      <c r="A4522" t="s">
        <v>1924</v>
      </c>
      <c r="B4522" t="s">
        <v>11091</v>
      </c>
      <c r="C4522" t="s">
        <v>11092</v>
      </c>
      <c r="D4522" t="s">
        <v>2200</v>
      </c>
      <c r="E4522" t="s">
        <v>2170</v>
      </c>
    </row>
    <row r="4523" spans="1:5" x14ac:dyDescent="0.25">
      <c r="A4523" t="s">
        <v>1924</v>
      </c>
      <c r="B4523" t="s">
        <v>11093</v>
      </c>
      <c r="C4523" t="s">
        <v>11094</v>
      </c>
      <c r="D4523" t="s">
        <v>2200</v>
      </c>
      <c r="E4523" t="s">
        <v>2170</v>
      </c>
    </row>
    <row r="4524" spans="1:5" x14ac:dyDescent="0.25">
      <c r="A4524" t="s">
        <v>1924</v>
      </c>
      <c r="B4524" t="s">
        <v>11095</v>
      </c>
      <c r="C4524" t="s">
        <v>11096</v>
      </c>
      <c r="D4524" t="s">
        <v>2200</v>
      </c>
      <c r="E4524" t="s">
        <v>2170</v>
      </c>
    </row>
    <row r="4525" spans="1:5" x14ac:dyDescent="0.25">
      <c r="A4525" t="s">
        <v>1924</v>
      </c>
      <c r="B4525" t="s">
        <v>11097</v>
      </c>
      <c r="C4525" t="s">
        <v>11098</v>
      </c>
      <c r="D4525" t="s">
        <v>2200</v>
      </c>
      <c r="E4525" t="s">
        <v>2170</v>
      </c>
    </row>
    <row r="4526" spans="1:5" x14ac:dyDescent="0.25">
      <c r="A4526" t="s">
        <v>1924</v>
      </c>
      <c r="B4526" t="s">
        <v>11099</v>
      </c>
      <c r="C4526" t="s">
        <v>11100</v>
      </c>
      <c r="D4526" t="s">
        <v>2200</v>
      </c>
      <c r="E4526" t="s">
        <v>2170</v>
      </c>
    </row>
    <row r="4527" spans="1:5" x14ac:dyDescent="0.25">
      <c r="A4527" t="s">
        <v>1924</v>
      </c>
      <c r="B4527" t="s">
        <v>11101</v>
      </c>
      <c r="C4527" t="s">
        <v>11102</v>
      </c>
      <c r="D4527" t="s">
        <v>2200</v>
      </c>
      <c r="E4527" t="s">
        <v>2170</v>
      </c>
    </row>
    <row r="4528" spans="1:5" x14ac:dyDescent="0.25">
      <c r="A4528" t="s">
        <v>1924</v>
      </c>
      <c r="B4528" t="s">
        <v>11103</v>
      </c>
      <c r="C4528" t="s">
        <v>11104</v>
      </c>
      <c r="D4528" t="s">
        <v>2200</v>
      </c>
      <c r="E4528" t="s">
        <v>2170</v>
      </c>
    </row>
    <row r="4529" spans="1:5" x14ac:dyDescent="0.25">
      <c r="A4529" t="s">
        <v>1924</v>
      </c>
      <c r="B4529" t="s">
        <v>11105</v>
      </c>
      <c r="C4529" t="s">
        <v>11106</v>
      </c>
      <c r="D4529" t="s">
        <v>2200</v>
      </c>
      <c r="E4529" t="s">
        <v>2170</v>
      </c>
    </row>
    <row r="4530" spans="1:5" x14ac:dyDescent="0.25">
      <c r="A4530" t="s">
        <v>1924</v>
      </c>
      <c r="B4530" t="s">
        <v>11107</v>
      </c>
      <c r="C4530" t="s">
        <v>11108</v>
      </c>
      <c r="D4530" t="s">
        <v>2200</v>
      </c>
      <c r="E4530" t="s">
        <v>2170</v>
      </c>
    </row>
    <row r="4531" spans="1:5" x14ac:dyDescent="0.25">
      <c r="A4531" t="s">
        <v>1924</v>
      </c>
      <c r="B4531" t="s">
        <v>11109</v>
      </c>
      <c r="C4531" t="s">
        <v>11110</v>
      </c>
      <c r="D4531" t="s">
        <v>2200</v>
      </c>
      <c r="E4531" t="s">
        <v>2170</v>
      </c>
    </row>
    <row r="4532" spans="1:5" x14ac:dyDescent="0.25">
      <c r="A4532" t="s">
        <v>1924</v>
      </c>
      <c r="B4532" t="s">
        <v>11111</v>
      </c>
      <c r="C4532" t="s">
        <v>11112</v>
      </c>
      <c r="D4532" t="s">
        <v>2200</v>
      </c>
      <c r="E4532" t="s">
        <v>2170</v>
      </c>
    </row>
    <row r="4533" spans="1:5" x14ac:dyDescent="0.25">
      <c r="A4533" t="s">
        <v>1924</v>
      </c>
      <c r="B4533" t="s">
        <v>11113</v>
      </c>
      <c r="C4533" t="s">
        <v>11114</v>
      </c>
      <c r="D4533" t="s">
        <v>2200</v>
      </c>
      <c r="E4533" t="s">
        <v>2170</v>
      </c>
    </row>
    <row r="4534" spans="1:5" x14ac:dyDescent="0.25">
      <c r="A4534" t="s">
        <v>1924</v>
      </c>
      <c r="B4534" t="s">
        <v>11115</v>
      </c>
      <c r="C4534" t="s">
        <v>11116</v>
      </c>
      <c r="D4534" t="s">
        <v>2200</v>
      </c>
      <c r="E4534" t="s">
        <v>2170</v>
      </c>
    </row>
    <row r="4535" spans="1:5" x14ac:dyDescent="0.25">
      <c r="A4535" t="s">
        <v>1924</v>
      </c>
      <c r="B4535" t="s">
        <v>11117</v>
      </c>
      <c r="C4535" t="s">
        <v>11118</v>
      </c>
      <c r="D4535" t="s">
        <v>2200</v>
      </c>
      <c r="E4535" t="s">
        <v>2170</v>
      </c>
    </row>
    <row r="4536" spans="1:5" x14ac:dyDescent="0.25">
      <c r="A4536" t="s">
        <v>1924</v>
      </c>
      <c r="B4536" t="s">
        <v>11119</v>
      </c>
      <c r="C4536" t="s">
        <v>11120</v>
      </c>
      <c r="D4536" t="s">
        <v>2200</v>
      </c>
      <c r="E4536" t="s">
        <v>2170</v>
      </c>
    </row>
    <row r="4537" spans="1:5" x14ac:dyDescent="0.25">
      <c r="A4537" t="s">
        <v>1924</v>
      </c>
      <c r="B4537" t="s">
        <v>11121</v>
      </c>
      <c r="C4537" t="s">
        <v>11122</v>
      </c>
      <c r="D4537" t="s">
        <v>2200</v>
      </c>
      <c r="E4537" t="s">
        <v>2170</v>
      </c>
    </row>
    <row r="4538" spans="1:5" x14ac:dyDescent="0.25">
      <c r="A4538" t="s">
        <v>1924</v>
      </c>
      <c r="B4538" t="s">
        <v>11123</v>
      </c>
      <c r="C4538" t="s">
        <v>11124</v>
      </c>
      <c r="D4538" t="s">
        <v>2200</v>
      </c>
      <c r="E4538" t="s">
        <v>2170</v>
      </c>
    </row>
    <row r="4539" spans="1:5" x14ac:dyDescent="0.25">
      <c r="A4539" t="s">
        <v>1924</v>
      </c>
      <c r="B4539" t="s">
        <v>11125</v>
      </c>
      <c r="C4539" t="s">
        <v>11126</v>
      </c>
      <c r="D4539" t="s">
        <v>2200</v>
      </c>
      <c r="E4539" t="s">
        <v>2170</v>
      </c>
    </row>
    <row r="4540" spans="1:5" x14ac:dyDescent="0.25">
      <c r="A4540" t="s">
        <v>1924</v>
      </c>
      <c r="B4540" t="s">
        <v>11127</v>
      </c>
      <c r="C4540" t="s">
        <v>11128</v>
      </c>
      <c r="D4540" t="s">
        <v>2200</v>
      </c>
      <c r="E4540" t="s">
        <v>2170</v>
      </c>
    </row>
    <row r="4541" spans="1:5" x14ac:dyDescent="0.25">
      <c r="A4541" t="s">
        <v>1924</v>
      </c>
      <c r="B4541" t="s">
        <v>11129</v>
      </c>
      <c r="C4541" t="s">
        <v>11130</v>
      </c>
      <c r="D4541" t="s">
        <v>2200</v>
      </c>
      <c r="E4541" t="s">
        <v>2170</v>
      </c>
    </row>
    <row r="4542" spans="1:5" x14ac:dyDescent="0.25">
      <c r="A4542" t="s">
        <v>1924</v>
      </c>
      <c r="B4542" t="s">
        <v>11131</v>
      </c>
      <c r="C4542" t="s">
        <v>11132</v>
      </c>
      <c r="D4542" t="s">
        <v>2200</v>
      </c>
      <c r="E4542" t="s">
        <v>2170</v>
      </c>
    </row>
    <row r="4543" spans="1:5" x14ac:dyDescent="0.25">
      <c r="A4543" t="s">
        <v>1927</v>
      </c>
      <c r="B4543" t="s">
        <v>11133</v>
      </c>
      <c r="C4543" t="s">
        <v>11134</v>
      </c>
      <c r="D4543" t="s">
        <v>11135</v>
      </c>
      <c r="E4543" t="s">
        <v>2170</v>
      </c>
    </row>
    <row r="4544" spans="1:5" x14ac:dyDescent="0.25">
      <c r="A4544" t="s">
        <v>1927</v>
      </c>
      <c r="B4544" t="s">
        <v>11136</v>
      </c>
      <c r="C4544" t="s">
        <v>11137</v>
      </c>
      <c r="D4544" t="s">
        <v>11135</v>
      </c>
      <c r="E4544" t="s">
        <v>2170</v>
      </c>
    </row>
    <row r="4545" spans="1:5" x14ac:dyDescent="0.25">
      <c r="A4545" t="s">
        <v>1927</v>
      </c>
      <c r="B4545" t="s">
        <v>11138</v>
      </c>
      <c r="C4545" t="s">
        <v>11139</v>
      </c>
      <c r="D4545" t="s">
        <v>2311</v>
      </c>
      <c r="E4545" t="s">
        <v>2170</v>
      </c>
    </row>
    <row r="4546" spans="1:5" x14ac:dyDescent="0.25">
      <c r="A4546" t="s">
        <v>1927</v>
      </c>
      <c r="B4546" t="s">
        <v>11140</v>
      </c>
      <c r="C4546" t="s">
        <v>11141</v>
      </c>
      <c r="D4546" t="s">
        <v>2311</v>
      </c>
      <c r="E4546" t="s">
        <v>2170</v>
      </c>
    </row>
    <row r="4547" spans="1:5" x14ac:dyDescent="0.25">
      <c r="A4547" t="s">
        <v>1927</v>
      </c>
      <c r="B4547" t="s">
        <v>11142</v>
      </c>
      <c r="C4547" t="s">
        <v>11143</v>
      </c>
      <c r="D4547" t="s">
        <v>2311</v>
      </c>
      <c r="E4547" t="s">
        <v>2170</v>
      </c>
    </row>
    <row r="4548" spans="1:5" x14ac:dyDescent="0.25">
      <c r="A4548" t="s">
        <v>1927</v>
      </c>
      <c r="B4548" t="s">
        <v>11144</v>
      </c>
      <c r="C4548" t="s">
        <v>11145</v>
      </c>
      <c r="D4548" t="s">
        <v>2311</v>
      </c>
      <c r="E4548" t="s">
        <v>2170</v>
      </c>
    </row>
    <row r="4549" spans="1:5" x14ac:dyDescent="0.25">
      <c r="A4549" t="s">
        <v>1927</v>
      </c>
      <c r="B4549" t="s">
        <v>11146</v>
      </c>
      <c r="C4549" t="s">
        <v>11147</v>
      </c>
      <c r="D4549" t="s">
        <v>2318</v>
      </c>
      <c r="E4549" t="s">
        <v>2170</v>
      </c>
    </row>
    <row r="4550" spans="1:5" x14ac:dyDescent="0.25">
      <c r="A4550" t="s">
        <v>1927</v>
      </c>
      <c r="B4550" t="s">
        <v>11148</v>
      </c>
      <c r="C4550" t="s">
        <v>11149</v>
      </c>
      <c r="D4550" t="s">
        <v>2311</v>
      </c>
      <c r="E4550" t="s">
        <v>2170</v>
      </c>
    </row>
    <row r="4551" spans="1:5" x14ac:dyDescent="0.25">
      <c r="A4551" t="s">
        <v>1927</v>
      </c>
      <c r="B4551" t="s">
        <v>11150</v>
      </c>
      <c r="C4551" t="s">
        <v>11151</v>
      </c>
      <c r="D4551" t="s">
        <v>11135</v>
      </c>
      <c r="E4551" t="s">
        <v>2170</v>
      </c>
    </row>
    <row r="4552" spans="1:5" x14ac:dyDescent="0.25">
      <c r="A4552" t="s">
        <v>1927</v>
      </c>
      <c r="B4552" t="s">
        <v>11152</v>
      </c>
      <c r="C4552" t="s">
        <v>11153</v>
      </c>
      <c r="D4552" t="s">
        <v>2318</v>
      </c>
      <c r="E4552" t="s">
        <v>2170</v>
      </c>
    </row>
    <row r="4553" spans="1:5" x14ac:dyDescent="0.25">
      <c r="A4553" t="s">
        <v>1927</v>
      </c>
      <c r="B4553" t="s">
        <v>11154</v>
      </c>
      <c r="C4553" t="s">
        <v>11155</v>
      </c>
      <c r="D4553" t="s">
        <v>2311</v>
      </c>
      <c r="E4553" t="s">
        <v>2170</v>
      </c>
    </row>
    <row r="4554" spans="1:5" x14ac:dyDescent="0.25">
      <c r="A4554" t="s">
        <v>1927</v>
      </c>
      <c r="B4554" t="s">
        <v>11156</v>
      </c>
      <c r="C4554" t="s">
        <v>11157</v>
      </c>
      <c r="D4554" t="s">
        <v>2311</v>
      </c>
      <c r="E4554" t="s">
        <v>2170</v>
      </c>
    </row>
    <row r="4555" spans="1:5" x14ac:dyDescent="0.25">
      <c r="A4555" t="s">
        <v>1927</v>
      </c>
      <c r="B4555" t="s">
        <v>11158</v>
      </c>
      <c r="C4555" t="s">
        <v>11159</v>
      </c>
      <c r="D4555" t="s">
        <v>2311</v>
      </c>
      <c r="E4555" t="s">
        <v>2170</v>
      </c>
    </row>
    <row r="4556" spans="1:5" x14ac:dyDescent="0.25">
      <c r="A4556" t="s">
        <v>1927</v>
      </c>
      <c r="B4556" t="s">
        <v>11160</v>
      </c>
      <c r="C4556" t="s">
        <v>11161</v>
      </c>
      <c r="D4556" t="s">
        <v>11162</v>
      </c>
      <c r="E4556" t="s">
        <v>2170</v>
      </c>
    </row>
    <row r="4557" spans="1:5" x14ac:dyDescent="0.25">
      <c r="A4557" t="s">
        <v>1927</v>
      </c>
      <c r="B4557" t="s">
        <v>11163</v>
      </c>
      <c r="C4557" t="s">
        <v>11164</v>
      </c>
      <c r="D4557" t="s">
        <v>2311</v>
      </c>
      <c r="E4557" t="s">
        <v>2170</v>
      </c>
    </row>
    <row r="4558" spans="1:5" x14ac:dyDescent="0.25">
      <c r="A4558" t="s">
        <v>1931</v>
      </c>
      <c r="B4558" t="s">
        <v>11165</v>
      </c>
      <c r="C4558" t="s">
        <v>1930</v>
      </c>
      <c r="D4558" t="s">
        <v>11166</v>
      </c>
      <c r="E4558" t="s">
        <v>2170</v>
      </c>
    </row>
    <row r="4559" spans="1:5" x14ac:dyDescent="0.25">
      <c r="A4559" t="s">
        <v>1931</v>
      </c>
      <c r="B4559" t="s">
        <v>11167</v>
      </c>
      <c r="C4559" t="s">
        <v>11168</v>
      </c>
      <c r="D4559" t="s">
        <v>11169</v>
      </c>
      <c r="E4559" t="s">
        <v>2170</v>
      </c>
    </row>
    <row r="4560" spans="1:5" x14ac:dyDescent="0.25">
      <c r="A4560" t="s">
        <v>1931</v>
      </c>
      <c r="B4560" t="s">
        <v>11170</v>
      </c>
      <c r="C4560" t="s">
        <v>11171</v>
      </c>
      <c r="D4560" t="s">
        <v>11169</v>
      </c>
      <c r="E4560" t="s">
        <v>2170</v>
      </c>
    </row>
    <row r="4561" spans="1:5" x14ac:dyDescent="0.25">
      <c r="A4561" t="s">
        <v>1931</v>
      </c>
      <c r="B4561" t="s">
        <v>11172</v>
      </c>
      <c r="C4561" t="s">
        <v>11173</v>
      </c>
      <c r="D4561" t="s">
        <v>11169</v>
      </c>
      <c r="E4561" t="s">
        <v>2170</v>
      </c>
    </row>
    <row r="4562" spans="1:5" x14ac:dyDescent="0.25">
      <c r="A4562" t="s">
        <v>1931</v>
      </c>
      <c r="B4562" t="s">
        <v>11174</v>
      </c>
      <c r="C4562" t="s">
        <v>11175</v>
      </c>
      <c r="D4562" t="s">
        <v>11169</v>
      </c>
      <c r="E4562" t="s">
        <v>2170</v>
      </c>
    </row>
    <row r="4563" spans="1:5" x14ac:dyDescent="0.25">
      <c r="A4563" t="s">
        <v>1931</v>
      </c>
      <c r="B4563" t="s">
        <v>11176</v>
      </c>
      <c r="C4563" t="s">
        <v>11177</v>
      </c>
      <c r="D4563" t="s">
        <v>11169</v>
      </c>
      <c r="E4563" t="s">
        <v>2170</v>
      </c>
    </row>
    <row r="4564" spans="1:5" x14ac:dyDescent="0.25">
      <c r="A4564" t="s">
        <v>1931</v>
      </c>
      <c r="B4564" t="s">
        <v>11178</v>
      </c>
      <c r="C4564" t="s">
        <v>11179</v>
      </c>
      <c r="D4564" t="s">
        <v>11169</v>
      </c>
      <c r="E4564" t="s">
        <v>2170</v>
      </c>
    </row>
    <row r="4565" spans="1:5" x14ac:dyDescent="0.25">
      <c r="A4565" t="s">
        <v>1931</v>
      </c>
      <c r="B4565" t="s">
        <v>11180</v>
      </c>
      <c r="C4565" t="s">
        <v>11181</v>
      </c>
      <c r="D4565" t="s">
        <v>11169</v>
      </c>
      <c r="E4565" t="s">
        <v>2170</v>
      </c>
    </row>
    <row r="4566" spans="1:5" x14ac:dyDescent="0.25">
      <c r="A4566" t="s">
        <v>1604</v>
      </c>
      <c r="B4566" t="s">
        <v>11182</v>
      </c>
      <c r="C4566" t="s">
        <v>11183</v>
      </c>
      <c r="D4566" t="s">
        <v>2286</v>
      </c>
      <c r="E4566" t="s">
        <v>2170</v>
      </c>
    </row>
    <row r="4567" spans="1:5" x14ac:dyDescent="0.25">
      <c r="A4567" t="s">
        <v>1604</v>
      </c>
      <c r="B4567" t="s">
        <v>11184</v>
      </c>
      <c r="C4567" t="s">
        <v>11185</v>
      </c>
      <c r="D4567" t="s">
        <v>2318</v>
      </c>
      <c r="E4567" t="s">
        <v>2170</v>
      </c>
    </row>
    <row r="4568" spans="1:5" x14ac:dyDescent="0.25">
      <c r="A4568" t="s">
        <v>1604</v>
      </c>
      <c r="B4568" t="s">
        <v>11186</v>
      </c>
      <c r="C4568" t="s">
        <v>11185</v>
      </c>
      <c r="D4568" t="s">
        <v>2286</v>
      </c>
      <c r="E4568" t="s">
        <v>2170</v>
      </c>
    </row>
    <row r="4569" spans="1:5" x14ac:dyDescent="0.25">
      <c r="A4569" t="s">
        <v>1604</v>
      </c>
      <c r="B4569" t="s">
        <v>11187</v>
      </c>
      <c r="C4569" t="s">
        <v>11188</v>
      </c>
      <c r="D4569" t="s">
        <v>2318</v>
      </c>
      <c r="E4569" t="s">
        <v>2170</v>
      </c>
    </row>
    <row r="4570" spans="1:5" x14ac:dyDescent="0.25">
      <c r="A4570" t="s">
        <v>1604</v>
      </c>
      <c r="B4570" t="s">
        <v>11189</v>
      </c>
      <c r="C4570" t="s">
        <v>11188</v>
      </c>
      <c r="D4570" t="s">
        <v>2286</v>
      </c>
      <c r="E4570" t="s">
        <v>2170</v>
      </c>
    </row>
    <row r="4571" spans="1:5" x14ac:dyDescent="0.25">
      <c r="A4571" t="s">
        <v>1604</v>
      </c>
      <c r="B4571" t="s">
        <v>11190</v>
      </c>
      <c r="C4571" t="s">
        <v>11191</v>
      </c>
      <c r="D4571" t="s">
        <v>2286</v>
      </c>
      <c r="E4571" t="s">
        <v>2170</v>
      </c>
    </row>
    <row r="4572" spans="1:5" x14ac:dyDescent="0.25">
      <c r="A4572" t="s">
        <v>1604</v>
      </c>
      <c r="B4572" t="s">
        <v>11192</v>
      </c>
      <c r="C4572" t="s">
        <v>11193</v>
      </c>
      <c r="D4572" t="s">
        <v>3057</v>
      </c>
      <c r="E4572" t="s">
        <v>2170</v>
      </c>
    </row>
    <row r="4573" spans="1:5" x14ac:dyDescent="0.25">
      <c r="A4573" t="s">
        <v>1604</v>
      </c>
      <c r="B4573" t="s">
        <v>11194</v>
      </c>
      <c r="C4573" t="s">
        <v>11195</v>
      </c>
      <c r="D4573" t="s">
        <v>2318</v>
      </c>
      <c r="E4573" t="s">
        <v>2170</v>
      </c>
    </row>
    <row r="4574" spans="1:5" x14ac:dyDescent="0.25">
      <c r="A4574" t="s">
        <v>1604</v>
      </c>
      <c r="B4574" t="s">
        <v>11196</v>
      </c>
      <c r="C4574" t="s">
        <v>11197</v>
      </c>
      <c r="D4574" t="s">
        <v>2286</v>
      </c>
      <c r="E4574" t="s">
        <v>2170</v>
      </c>
    </row>
    <row r="4575" spans="1:5" x14ac:dyDescent="0.25">
      <c r="A4575" t="s">
        <v>1604</v>
      </c>
      <c r="B4575" t="s">
        <v>11198</v>
      </c>
      <c r="C4575" t="s">
        <v>11199</v>
      </c>
      <c r="D4575" t="s">
        <v>2286</v>
      </c>
      <c r="E4575" t="s">
        <v>2170</v>
      </c>
    </row>
    <row r="4576" spans="1:5" x14ac:dyDescent="0.25">
      <c r="A4576" t="s">
        <v>1604</v>
      </c>
      <c r="B4576" t="s">
        <v>11200</v>
      </c>
      <c r="C4576" t="s">
        <v>11201</v>
      </c>
      <c r="D4576" t="s">
        <v>2286</v>
      </c>
      <c r="E4576" t="s">
        <v>2170</v>
      </c>
    </row>
    <row r="4577" spans="1:5" x14ac:dyDescent="0.25">
      <c r="A4577" t="s">
        <v>1604</v>
      </c>
      <c r="B4577" t="s">
        <v>11202</v>
      </c>
      <c r="C4577" t="s">
        <v>11203</v>
      </c>
      <c r="D4577" t="s">
        <v>2286</v>
      </c>
      <c r="E4577" t="s">
        <v>2170</v>
      </c>
    </row>
    <row r="4578" spans="1:5" x14ac:dyDescent="0.25">
      <c r="A4578" t="s">
        <v>1604</v>
      </c>
      <c r="B4578" t="s">
        <v>11204</v>
      </c>
      <c r="C4578" t="s">
        <v>11205</v>
      </c>
      <c r="D4578" t="s">
        <v>3057</v>
      </c>
      <c r="E4578" t="s">
        <v>2170</v>
      </c>
    </row>
    <row r="4579" spans="1:5" x14ac:dyDescent="0.25">
      <c r="A4579" t="s">
        <v>1604</v>
      </c>
      <c r="B4579" t="s">
        <v>11206</v>
      </c>
      <c r="C4579" t="s">
        <v>11207</v>
      </c>
      <c r="D4579" t="s">
        <v>2286</v>
      </c>
      <c r="E4579" t="s">
        <v>2170</v>
      </c>
    </row>
    <row r="4580" spans="1:5" x14ac:dyDescent="0.25">
      <c r="A4580" t="s">
        <v>1604</v>
      </c>
      <c r="B4580" t="s">
        <v>11208</v>
      </c>
      <c r="C4580" t="s">
        <v>11209</v>
      </c>
      <c r="D4580" t="s">
        <v>2286</v>
      </c>
      <c r="E4580" t="s">
        <v>2170</v>
      </c>
    </row>
    <row r="4581" spans="1:5" x14ac:dyDescent="0.25">
      <c r="A4581" t="s">
        <v>1604</v>
      </c>
      <c r="B4581" t="s">
        <v>11210</v>
      </c>
      <c r="C4581" t="s">
        <v>11211</v>
      </c>
      <c r="D4581" t="s">
        <v>3057</v>
      </c>
      <c r="E4581" t="s">
        <v>2170</v>
      </c>
    </row>
    <row r="4582" spans="1:5" x14ac:dyDescent="0.25">
      <c r="A4582" t="s">
        <v>1604</v>
      </c>
      <c r="B4582" t="s">
        <v>11212</v>
      </c>
      <c r="C4582" t="s">
        <v>11213</v>
      </c>
      <c r="D4582" t="s">
        <v>3057</v>
      </c>
      <c r="E4582" t="s">
        <v>2170</v>
      </c>
    </row>
    <row r="4583" spans="1:5" x14ac:dyDescent="0.25">
      <c r="A4583" t="s">
        <v>1604</v>
      </c>
      <c r="B4583" t="s">
        <v>11214</v>
      </c>
      <c r="C4583" t="s">
        <v>1934</v>
      </c>
      <c r="D4583" t="s">
        <v>3057</v>
      </c>
      <c r="E4583" t="s">
        <v>2170</v>
      </c>
    </row>
    <row r="4584" spans="1:5" x14ac:dyDescent="0.25">
      <c r="A4584" t="s">
        <v>1604</v>
      </c>
      <c r="B4584" t="s">
        <v>11215</v>
      </c>
      <c r="C4584" t="s">
        <v>11216</v>
      </c>
      <c r="D4584" t="s">
        <v>2286</v>
      </c>
      <c r="E4584" t="s">
        <v>2170</v>
      </c>
    </row>
    <row r="4585" spans="1:5" x14ac:dyDescent="0.25">
      <c r="A4585" t="s">
        <v>1604</v>
      </c>
      <c r="B4585" t="s">
        <v>11217</v>
      </c>
      <c r="C4585" t="s">
        <v>11218</v>
      </c>
      <c r="D4585" t="s">
        <v>3057</v>
      </c>
      <c r="E4585" t="s">
        <v>2170</v>
      </c>
    </row>
    <row r="4586" spans="1:5" x14ac:dyDescent="0.25">
      <c r="A4586" t="s">
        <v>1604</v>
      </c>
      <c r="B4586" t="s">
        <v>11219</v>
      </c>
      <c r="C4586" t="s">
        <v>11220</v>
      </c>
      <c r="D4586" t="s">
        <v>2286</v>
      </c>
      <c r="E4586" t="s">
        <v>2170</v>
      </c>
    </row>
    <row r="4587" spans="1:5" x14ac:dyDescent="0.25">
      <c r="A4587" t="s">
        <v>1604</v>
      </c>
      <c r="B4587" t="s">
        <v>11221</v>
      </c>
      <c r="C4587" t="s">
        <v>11222</v>
      </c>
      <c r="D4587" t="s">
        <v>2286</v>
      </c>
      <c r="E4587" t="s">
        <v>2170</v>
      </c>
    </row>
    <row r="4588" spans="1:5" x14ac:dyDescent="0.25">
      <c r="A4588" t="s">
        <v>1938</v>
      </c>
      <c r="B4588" t="s">
        <v>11223</v>
      </c>
      <c r="C4588" t="s">
        <v>11224</v>
      </c>
      <c r="D4588" t="s">
        <v>2311</v>
      </c>
      <c r="E4588" t="s">
        <v>2170</v>
      </c>
    </row>
    <row r="4589" spans="1:5" x14ac:dyDescent="0.25">
      <c r="A4589" t="s">
        <v>1938</v>
      </c>
      <c r="B4589" t="s">
        <v>11225</v>
      </c>
      <c r="C4589" t="s">
        <v>1937</v>
      </c>
      <c r="D4589" t="s">
        <v>2311</v>
      </c>
      <c r="E4589" t="s">
        <v>2170</v>
      </c>
    </row>
    <row r="4590" spans="1:5" x14ac:dyDescent="0.25">
      <c r="A4590" t="s">
        <v>1938</v>
      </c>
      <c r="B4590" t="s">
        <v>11226</v>
      </c>
      <c r="C4590" t="s">
        <v>11227</v>
      </c>
      <c r="D4590" t="s">
        <v>2311</v>
      </c>
      <c r="E4590" t="s">
        <v>2170</v>
      </c>
    </row>
    <row r="4591" spans="1:5" x14ac:dyDescent="0.25">
      <c r="A4591" t="s">
        <v>1938</v>
      </c>
      <c r="B4591" t="s">
        <v>11228</v>
      </c>
      <c r="C4591" t="s">
        <v>11229</v>
      </c>
      <c r="D4591" t="s">
        <v>2311</v>
      </c>
      <c r="E4591" t="s">
        <v>2170</v>
      </c>
    </row>
    <row r="4592" spans="1:5" x14ac:dyDescent="0.25">
      <c r="A4592" t="s">
        <v>1938</v>
      </c>
      <c r="B4592" t="s">
        <v>11230</v>
      </c>
      <c r="C4592" t="s">
        <v>11231</v>
      </c>
      <c r="D4592" t="s">
        <v>2311</v>
      </c>
      <c r="E4592" t="s">
        <v>2170</v>
      </c>
    </row>
    <row r="4593" spans="1:5" x14ac:dyDescent="0.25">
      <c r="A4593" t="s">
        <v>1938</v>
      </c>
      <c r="B4593" t="s">
        <v>11232</v>
      </c>
      <c r="C4593" t="s">
        <v>11233</v>
      </c>
      <c r="D4593" t="s">
        <v>2311</v>
      </c>
      <c r="E4593" t="s">
        <v>2170</v>
      </c>
    </row>
    <row r="4594" spans="1:5" x14ac:dyDescent="0.25">
      <c r="A4594" t="s">
        <v>1938</v>
      </c>
      <c r="B4594" t="s">
        <v>11234</v>
      </c>
      <c r="C4594" t="s">
        <v>11235</v>
      </c>
      <c r="D4594" t="s">
        <v>2311</v>
      </c>
      <c r="E4594" t="s">
        <v>2170</v>
      </c>
    </row>
    <row r="4595" spans="1:5" x14ac:dyDescent="0.25">
      <c r="A4595" t="s">
        <v>1938</v>
      </c>
      <c r="B4595" t="s">
        <v>11236</v>
      </c>
      <c r="C4595" t="s">
        <v>11237</v>
      </c>
      <c r="D4595" t="s">
        <v>2311</v>
      </c>
      <c r="E4595" t="s">
        <v>2170</v>
      </c>
    </row>
    <row r="4596" spans="1:5" x14ac:dyDescent="0.25">
      <c r="A4596" t="s">
        <v>1938</v>
      </c>
      <c r="B4596" t="s">
        <v>11238</v>
      </c>
      <c r="C4596" t="s">
        <v>11239</v>
      </c>
      <c r="D4596" t="s">
        <v>2311</v>
      </c>
      <c r="E4596" t="s">
        <v>2170</v>
      </c>
    </row>
    <row r="4597" spans="1:5" x14ac:dyDescent="0.25">
      <c r="A4597" t="s">
        <v>1938</v>
      </c>
      <c r="B4597" t="s">
        <v>11240</v>
      </c>
      <c r="C4597" t="s">
        <v>11241</v>
      </c>
      <c r="D4597" t="s">
        <v>2311</v>
      </c>
      <c r="E4597" t="s">
        <v>2170</v>
      </c>
    </row>
    <row r="4598" spans="1:5" x14ac:dyDescent="0.25">
      <c r="A4598" t="s">
        <v>1938</v>
      </c>
      <c r="B4598" t="s">
        <v>11242</v>
      </c>
      <c r="C4598" t="s">
        <v>11243</v>
      </c>
      <c r="D4598" t="s">
        <v>2311</v>
      </c>
      <c r="E4598" t="s">
        <v>2170</v>
      </c>
    </row>
    <row r="4599" spans="1:5" x14ac:dyDescent="0.25">
      <c r="A4599" t="s">
        <v>1938</v>
      </c>
      <c r="B4599" t="s">
        <v>11244</v>
      </c>
      <c r="C4599" t="s">
        <v>11245</v>
      </c>
      <c r="D4599" t="s">
        <v>2311</v>
      </c>
      <c r="E4599" t="s">
        <v>2170</v>
      </c>
    </row>
    <row r="4600" spans="1:5" x14ac:dyDescent="0.25">
      <c r="A4600" t="s">
        <v>1938</v>
      </c>
      <c r="B4600" t="s">
        <v>11246</v>
      </c>
      <c r="C4600" t="s">
        <v>11247</v>
      </c>
      <c r="D4600" t="s">
        <v>2311</v>
      </c>
      <c r="E4600" t="s">
        <v>2170</v>
      </c>
    </row>
    <row r="4601" spans="1:5" x14ac:dyDescent="0.25">
      <c r="A4601" t="s">
        <v>1938</v>
      </c>
      <c r="B4601" t="s">
        <v>11248</v>
      </c>
      <c r="C4601" t="s">
        <v>11249</v>
      </c>
      <c r="D4601" t="s">
        <v>2311</v>
      </c>
      <c r="E4601" t="s">
        <v>2170</v>
      </c>
    </row>
    <row r="4602" spans="1:5" x14ac:dyDescent="0.25">
      <c r="A4602" t="s">
        <v>1938</v>
      </c>
      <c r="B4602" t="s">
        <v>11250</v>
      </c>
      <c r="C4602" t="s">
        <v>11251</v>
      </c>
      <c r="D4602" t="s">
        <v>2311</v>
      </c>
      <c r="E4602" t="s">
        <v>2170</v>
      </c>
    </row>
    <row r="4603" spans="1:5" x14ac:dyDescent="0.25">
      <c r="A4603" t="s">
        <v>1938</v>
      </c>
      <c r="B4603" t="s">
        <v>11252</v>
      </c>
      <c r="C4603" t="s">
        <v>11253</v>
      </c>
      <c r="D4603" t="s">
        <v>2311</v>
      </c>
      <c r="E4603" t="s">
        <v>2170</v>
      </c>
    </row>
    <row r="4604" spans="1:5" x14ac:dyDescent="0.25">
      <c r="A4604" t="s">
        <v>1938</v>
      </c>
      <c r="B4604" t="s">
        <v>11254</v>
      </c>
      <c r="C4604" t="s">
        <v>11255</v>
      </c>
      <c r="D4604" t="s">
        <v>2311</v>
      </c>
      <c r="E4604" t="s">
        <v>2170</v>
      </c>
    </row>
    <row r="4605" spans="1:5" x14ac:dyDescent="0.25">
      <c r="A4605" t="s">
        <v>1938</v>
      </c>
      <c r="B4605" t="s">
        <v>11256</v>
      </c>
      <c r="C4605" t="s">
        <v>11257</v>
      </c>
      <c r="D4605" t="s">
        <v>2311</v>
      </c>
      <c r="E4605" t="s">
        <v>2170</v>
      </c>
    </row>
    <row r="4606" spans="1:5" x14ac:dyDescent="0.25">
      <c r="A4606" t="s">
        <v>1938</v>
      </c>
      <c r="B4606" t="s">
        <v>11258</v>
      </c>
      <c r="C4606" t="s">
        <v>11259</v>
      </c>
      <c r="D4606" t="s">
        <v>2311</v>
      </c>
      <c r="E4606" t="s">
        <v>2170</v>
      </c>
    </row>
    <row r="4607" spans="1:5" x14ac:dyDescent="0.25">
      <c r="A4607" t="s">
        <v>1938</v>
      </c>
      <c r="B4607" t="s">
        <v>11260</v>
      </c>
      <c r="C4607" t="s">
        <v>11261</v>
      </c>
      <c r="D4607" t="s">
        <v>2311</v>
      </c>
      <c r="E4607" t="s">
        <v>2170</v>
      </c>
    </row>
    <row r="4608" spans="1:5" x14ac:dyDescent="0.25">
      <c r="A4608" t="s">
        <v>1938</v>
      </c>
      <c r="B4608" t="s">
        <v>11262</v>
      </c>
      <c r="C4608" t="s">
        <v>8547</v>
      </c>
      <c r="D4608" t="s">
        <v>2311</v>
      </c>
      <c r="E4608" t="s">
        <v>2170</v>
      </c>
    </row>
    <row r="4609" spans="1:5" x14ac:dyDescent="0.25">
      <c r="A4609" t="s">
        <v>1938</v>
      </c>
      <c r="B4609" t="s">
        <v>11263</v>
      </c>
      <c r="C4609" t="s">
        <v>11264</v>
      </c>
      <c r="D4609" t="s">
        <v>2311</v>
      </c>
      <c r="E4609" t="s">
        <v>2170</v>
      </c>
    </row>
    <row r="4610" spans="1:5" x14ac:dyDescent="0.25">
      <c r="A4610" t="s">
        <v>1938</v>
      </c>
      <c r="B4610" t="s">
        <v>11265</v>
      </c>
      <c r="C4610" t="s">
        <v>11266</v>
      </c>
      <c r="D4610" t="s">
        <v>2311</v>
      </c>
      <c r="E4610" t="s">
        <v>2170</v>
      </c>
    </row>
    <row r="4611" spans="1:5" x14ac:dyDescent="0.25">
      <c r="A4611" t="s">
        <v>1938</v>
      </c>
      <c r="B4611" t="s">
        <v>11267</v>
      </c>
      <c r="C4611" t="s">
        <v>11268</v>
      </c>
      <c r="D4611" t="s">
        <v>2311</v>
      </c>
      <c r="E4611" t="s">
        <v>2170</v>
      </c>
    </row>
    <row r="4612" spans="1:5" x14ac:dyDescent="0.25">
      <c r="A4612" t="s">
        <v>1938</v>
      </c>
      <c r="B4612" t="s">
        <v>11269</v>
      </c>
      <c r="C4612" t="s">
        <v>11270</v>
      </c>
      <c r="D4612" t="s">
        <v>2311</v>
      </c>
      <c r="E4612" t="s">
        <v>2170</v>
      </c>
    </row>
    <row r="4613" spans="1:5" x14ac:dyDescent="0.25">
      <c r="A4613" t="s">
        <v>1938</v>
      </c>
      <c r="B4613" t="s">
        <v>11271</v>
      </c>
      <c r="C4613" t="s">
        <v>11272</v>
      </c>
      <c r="D4613" t="s">
        <v>2311</v>
      </c>
      <c r="E4613" t="s">
        <v>2170</v>
      </c>
    </row>
    <row r="4614" spans="1:5" x14ac:dyDescent="0.25">
      <c r="A4614" t="s">
        <v>1938</v>
      </c>
      <c r="B4614" t="s">
        <v>11273</v>
      </c>
      <c r="C4614" t="s">
        <v>11274</v>
      </c>
      <c r="D4614" t="s">
        <v>2311</v>
      </c>
      <c r="E4614" t="s">
        <v>2170</v>
      </c>
    </row>
    <row r="4615" spans="1:5" x14ac:dyDescent="0.25">
      <c r="A4615" t="s">
        <v>1938</v>
      </c>
      <c r="B4615" t="s">
        <v>11275</v>
      </c>
      <c r="C4615" t="s">
        <v>11276</v>
      </c>
      <c r="D4615" t="s">
        <v>2311</v>
      </c>
      <c r="E4615" t="s">
        <v>2170</v>
      </c>
    </row>
    <row r="4616" spans="1:5" x14ac:dyDescent="0.25">
      <c r="A4616" t="s">
        <v>1938</v>
      </c>
      <c r="B4616" t="s">
        <v>11277</v>
      </c>
      <c r="C4616" t="s">
        <v>11278</v>
      </c>
      <c r="D4616" t="s">
        <v>2311</v>
      </c>
      <c r="E4616" t="s">
        <v>2170</v>
      </c>
    </row>
    <row r="4617" spans="1:5" x14ac:dyDescent="0.25">
      <c r="A4617" t="s">
        <v>1938</v>
      </c>
      <c r="B4617" t="s">
        <v>11279</v>
      </c>
      <c r="C4617" t="s">
        <v>11280</v>
      </c>
      <c r="D4617" t="s">
        <v>2311</v>
      </c>
      <c r="E4617" t="s">
        <v>2170</v>
      </c>
    </row>
    <row r="4618" spans="1:5" x14ac:dyDescent="0.25">
      <c r="A4618" t="s">
        <v>1938</v>
      </c>
      <c r="B4618" t="s">
        <v>11281</v>
      </c>
      <c r="C4618" t="s">
        <v>11282</v>
      </c>
      <c r="D4618" t="s">
        <v>2311</v>
      </c>
      <c r="E4618" t="s">
        <v>2170</v>
      </c>
    </row>
    <row r="4619" spans="1:5" x14ac:dyDescent="0.25">
      <c r="A4619" t="s">
        <v>1941</v>
      </c>
      <c r="B4619" t="s">
        <v>11283</v>
      </c>
      <c r="C4619" t="s">
        <v>11284</v>
      </c>
      <c r="D4619" t="s">
        <v>9659</v>
      </c>
      <c r="E4619" t="s">
        <v>2170</v>
      </c>
    </row>
    <row r="4620" spans="1:5" x14ac:dyDescent="0.25">
      <c r="A4620" t="s">
        <v>1941</v>
      </c>
      <c r="B4620" t="s">
        <v>11285</v>
      </c>
      <c r="C4620" t="s">
        <v>11286</v>
      </c>
      <c r="D4620" t="s">
        <v>2311</v>
      </c>
      <c r="E4620" t="s">
        <v>2170</v>
      </c>
    </row>
    <row r="4621" spans="1:5" x14ac:dyDescent="0.25">
      <c r="A4621" t="s">
        <v>1941</v>
      </c>
      <c r="B4621" t="s">
        <v>11287</v>
      </c>
      <c r="C4621" t="s">
        <v>11288</v>
      </c>
      <c r="D4621" t="s">
        <v>2311</v>
      </c>
      <c r="E4621" t="s">
        <v>2170</v>
      </c>
    </row>
    <row r="4622" spans="1:5" x14ac:dyDescent="0.25">
      <c r="A4622" t="s">
        <v>1941</v>
      </c>
      <c r="B4622" t="s">
        <v>11289</v>
      </c>
      <c r="C4622" t="s">
        <v>11290</v>
      </c>
      <c r="D4622" t="s">
        <v>2311</v>
      </c>
      <c r="E4622" t="s">
        <v>2170</v>
      </c>
    </row>
    <row r="4623" spans="1:5" x14ac:dyDescent="0.25">
      <c r="A4623" t="s">
        <v>1941</v>
      </c>
      <c r="B4623" t="s">
        <v>11291</v>
      </c>
      <c r="C4623" t="s">
        <v>11292</v>
      </c>
      <c r="D4623" t="s">
        <v>2311</v>
      </c>
      <c r="E4623" t="s">
        <v>2170</v>
      </c>
    </row>
    <row r="4624" spans="1:5" x14ac:dyDescent="0.25">
      <c r="A4624" t="s">
        <v>1941</v>
      </c>
      <c r="B4624" t="s">
        <v>11293</v>
      </c>
      <c r="C4624" t="s">
        <v>11294</v>
      </c>
      <c r="D4624" t="s">
        <v>2311</v>
      </c>
      <c r="E4624" t="s">
        <v>2170</v>
      </c>
    </row>
    <row r="4625" spans="1:5" x14ac:dyDescent="0.25">
      <c r="A4625" t="s">
        <v>1941</v>
      </c>
      <c r="B4625" t="s">
        <v>11295</v>
      </c>
      <c r="C4625" t="s">
        <v>11296</v>
      </c>
      <c r="D4625" t="s">
        <v>2311</v>
      </c>
      <c r="E4625" t="s">
        <v>2170</v>
      </c>
    </row>
    <row r="4626" spans="1:5" x14ac:dyDescent="0.25">
      <c r="A4626" t="s">
        <v>1941</v>
      </c>
      <c r="B4626" t="s">
        <v>11297</v>
      </c>
      <c r="C4626" t="s">
        <v>11298</v>
      </c>
      <c r="D4626" t="s">
        <v>2311</v>
      </c>
      <c r="E4626" t="s">
        <v>2170</v>
      </c>
    </row>
    <row r="4627" spans="1:5" x14ac:dyDescent="0.25">
      <c r="A4627" t="s">
        <v>1941</v>
      </c>
      <c r="B4627" t="s">
        <v>11299</v>
      </c>
      <c r="C4627" t="s">
        <v>11300</v>
      </c>
      <c r="D4627" t="s">
        <v>2311</v>
      </c>
      <c r="E4627" t="s">
        <v>2170</v>
      </c>
    </row>
    <row r="4628" spans="1:5" x14ac:dyDescent="0.25">
      <c r="A4628" t="s">
        <v>1941</v>
      </c>
      <c r="B4628" t="s">
        <v>11301</v>
      </c>
      <c r="C4628" t="s">
        <v>11302</v>
      </c>
      <c r="D4628" t="s">
        <v>2311</v>
      </c>
      <c r="E4628" t="s">
        <v>2170</v>
      </c>
    </row>
    <row r="4629" spans="1:5" x14ac:dyDescent="0.25">
      <c r="A4629" t="s">
        <v>1941</v>
      </c>
      <c r="B4629" t="s">
        <v>11303</v>
      </c>
      <c r="C4629" t="s">
        <v>11304</v>
      </c>
      <c r="D4629" t="s">
        <v>2311</v>
      </c>
      <c r="E4629" t="s">
        <v>2170</v>
      </c>
    </row>
    <row r="4630" spans="1:5" x14ac:dyDescent="0.25">
      <c r="A4630" t="s">
        <v>1941</v>
      </c>
      <c r="B4630" t="s">
        <v>11305</v>
      </c>
      <c r="C4630" t="s">
        <v>11306</v>
      </c>
      <c r="D4630" t="s">
        <v>2318</v>
      </c>
      <c r="E4630" t="s">
        <v>2170</v>
      </c>
    </row>
    <row r="4631" spans="1:5" x14ac:dyDescent="0.25">
      <c r="A4631" t="s">
        <v>1941</v>
      </c>
      <c r="B4631" t="s">
        <v>11307</v>
      </c>
      <c r="C4631" t="s">
        <v>11308</v>
      </c>
      <c r="D4631" t="s">
        <v>2311</v>
      </c>
      <c r="E4631" t="s">
        <v>2170</v>
      </c>
    </row>
    <row r="4632" spans="1:5" x14ac:dyDescent="0.25">
      <c r="A4632" t="s">
        <v>1941</v>
      </c>
      <c r="B4632" t="s">
        <v>11309</v>
      </c>
      <c r="C4632" t="s">
        <v>11310</v>
      </c>
      <c r="D4632" t="s">
        <v>2311</v>
      </c>
      <c r="E4632" t="s">
        <v>2170</v>
      </c>
    </row>
    <row r="4633" spans="1:5" x14ac:dyDescent="0.25">
      <c r="A4633" t="s">
        <v>1941</v>
      </c>
      <c r="B4633" t="s">
        <v>11311</v>
      </c>
      <c r="C4633" t="s">
        <v>11312</v>
      </c>
      <c r="D4633" t="s">
        <v>2311</v>
      </c>
      <c r="E4633" t="s">
        <v>2170</v>
      </c>
    </row>
    <row r="4634" spans="1:5" x14ac:dyDescent="0.25">
      <c r="A4634" t="s">
        <v>1941</v>
      </c>
      <c r="B4634" t="s">
        <v>11313</v>
      </c>
      <c r="C4634" t="s">
        <v>11314</v>
      </c>
      <c r="D4634" t="s">
        <v>2311</v>
      </c>
      <c r="E4634" t="s">
        <v>2170</v>
      </c>
    </row>
    <row r="4635" spans="1:5" x14ac:dyDescent="0.25">
      <c r="A4635" t="s">
        <v>1941</v>
      </c>
      <c r="B4635" t="s">
        <v>11315</v>
      </c>
      <c r="C4635" t="s">
        <v>11316</v>
      </c>
      <c r="D4635" t="s">
        <v>2311</v>
      </c>
      <c r="E4635" t="s">
        <v>2170</v>
      </c>
    </row>
    <row r="4636" spans="1:5" x14ac:dyDescent="0.25">
      <c r="A4636" t="s">
        <v>1941</v>
      </c>
      <c r="B4636" t="s">
        <v>11317</v>
      </c>
      <c r="C4636" t="s">
        <v>11318</v>
      </c>
      <c r="D4636" t="s">
        <v>2311</v>
      </c>
      <c r="E4636" t="s">
        <v>2170</v>
      </c>
    </row>
    <row r="4637" spans="1:5" x14ac:dyDescent="0.25">
      <c r="A4637" t="s">
        <v>1941</v>
      </c>
      <c r="B4637" t="s">
        <v>11319</v>
      </c>
      <c r="C4637" t="s">
        <v>11320</v>
      </c>
      <c r="D4637" t="s">
        <v>2311</v>
      </c>
      <c r="E4637" t="s">
        <v>2170</v>
      </c>
    </row>
    <row r="4638" spans="1:5" x14ac:dyDescent="0.25">
      <c r="A4638" t="s">
        <v>1941</v>
      </c>
      <c r="B4638" t="s">
        <v>11321</v>
      </c>
      <c r="C4638" t="s">
        <v>11322</v>
      </c>
      <c r="D4638" t="s">
        <v>2318</v>
      </c>
      <c r="E4638" t="s">
        <v>2170</v>
      </c>
    </row>
    <row r="4639" spans="1:5" x14ac:dyDescent="0.25">
      <c r="A4639" t="s">
        <v>1941</v>
      </c>
      <c r="B4639" t="s">
        <v>11323</v>
      </c>
      <c r="C4639" t="s">
        <v>11324</v>
      </c>
      <c r="D4639" t="s">
        <v>2311</v>
      </c>
      <c r="E4639" t="s">
        <v>2170</v>
      </c>
    </row>
    <row r="4640" spans="1:5" x14ac:dyDescent="0.25">
      <c r="A4640" t="s">
        <v>1941</v>
      </c>
      <c r="B4640" t="s">
        <v>11325</v>
      </c>
      <c r="C4640" t="s">
        <v>11326</v>
      </c>
      <c r="D4640" t="s">
        <v>2311</v>
      </c>
      <c r="E4640" t="s">
        <v>2170</v>
      </c>
    </row>
    <row r="4641" spans="1:5" x14ac:dyDescent="0.25">
      <c r="A4641" t="s">
        <v>1941</v>
      </c>
      <c r="B4641" t="s">
        <v>11327</v>
      </c>
      <c r="C4641" t="s">
        <v>11328</v>
      </c>
      <c r="D4641" t="s">
        <v>2311</v>
      </c>
      <c r="E4641" t="s">
        <v>2170</v>
      </c>
    </row>
    <row r="4642" spans="1:5" x14ac:dyDescent="0.25">
      <c r="A4642" t="s">
        <v>1941</v>
      </c>
      <c r="B4642" t="s">
        <v>11329</v>
      </c>
      <c r="C4642" t="s">
        <v>11330</v>
      </c>
      <c r="D4642" t="s">
        <v>2311</v>
      </c>
      <c r="E4642" t="s">
        <v>2170</v>
      </c>
    </row>
    <row r="4643" spans="1:5" x14ac:dyDescent="0.25">
      <c r="A4643" t="s">
        <v>1941</v>
      </c>
      <c r="B4643" t="s">
        <v>11331</v>
      </c>
      <c r="C4643" t="s">
        <v>11332</v>
      </c>
      <c r="D4643" t="s">
        <v>2311</v>
      </c>
      <c r="E4643" t="s">
        <v>2170</v>
      </c>
    </row>
    <row r="4644" spans="1:5" x14ac:dyDescent="0.25">
      <c r="A4644" t="s">
        <v>1941</v>
      </c>
      <c r="B4644" t="s">
        <v>11333</v>
      </c>
      <c r="C4644" t="s">
        <v>11334</v>
      </c>
      <c r="D4644" t="s">
        <v>2311</v>
      </c>
      <c r="E4644" t="s">
        <v>2170</v>
      </c>
    </row>
    <row r="4645" spans="1:5" x14ac:dyDescent="0.25">
      <c r="A4645" t="s">
        <v>1941</v>
      </c>
      <c r="B4645" t="s">
        <v>11335</v>
      </c>
      <c r="C4645" t="s">
        <v>11336</v>
      </c>
      <c r="D4645" t="s">
        <v>2311</v>
      </c>
      <c r="E4645" t="s">
        <v>2170</v>
      </c>
    </row>
    <row r="4646" spans="1:5" x14ac:dyDescent="0.25">
      <c r="A4646" t="s">
        <v>1944</v>
      </c>
      <c r="B4646" t="s">
        <v>11337</v>
      </c>
      <c r="C4646" t="s">
        <v>3220</v>
      </c>
      <c r="D4646" t="s">
        <v>3723</v>
      </c>
      <c r="E4646" t="s">
        <v>2170</v>
      </c>
    </row>
    <row r="4647" spans="1:5" x14ac:dyDescent="0.25">
      <c r="A4647" t="s">
        <v>1944</v>
      </c>
      <c r="B4647" t="s">
        <v>11338</v>
      </c>
      <c r="C4647" t="s">
        <v>4718</v>
      </c>
      <c r="D4647" t="s">
        <v>3723</v>
      </c>
      <c r="E4647" t="s">
        <v>2170</v>
      </c>
    </row>
    <row r="4648" spans="1:5" x14ac:dyDescent="0.25">
      <c r="A4648" t="s">
        <v>1944</v>
      </c>
      <c r="B4648" t="s">
        <v>11339</v>
      </c>
      <c r="C4648" t="s">
        <v>4720</v>
      </c>
      <c r="D4648" t="s">
        <v>3723</v>
      </c>
      <c r="E4648" t="s">
        <v>2170</v>
      </c>
    </row>
    <row r="4649" spans="1:5" x14ac:dyDescent="0.25">
      <c r="A4649" t="s">
        <v>1944</v>
      </c>
      <c r="B4649" t="s">
        <v>11340</v>
      </c>
      <c r="C4649" t="s">
        <v>4722</v>
      </c>
      <c r="D4649" t="s">
        <v>3723</v>
      </c>
      <c r="E4649" t="s">
        <v>2170</v>
      </c>
    </row>
    <row r="4650" spans="1:5" x14ac:dyDescent="0.25">
      <c r="A4650" t="s">
        <v>1944</v>
      </c>
      <c r="B4650" t="s">
        <v>11341</v>
      </c>
      <c r="C4650" t="s">
        <v>11342</v>
      </c>
      <c r="D4650" t="s">
        <v>2646</v>
      </c>
      <c r="E4650" t="s">
        <v>11339</v>
      </c>
    </row>
    <row r="4651" spans="1:5" x14ac:dyDescent="0.25">
      <c r="A4651" t="s">
        <v>1944</v>
      </c>
      <c r="B4651" t="s">
        <v>11343</v>
      </c>
      <c r="C4651" t="s">
        <v>11344</v>
      </c>
      <c r="D4651" t="s">
        <v>2646</v>
      </c>
      <c r="E4651" t="s">
        <v>11339</v>
      </c>
    </row>
    <row r="4652" spans="1:5" x14ac:dyDescent="0.25">
      <c r="A4652" t="s">
        <v>1944</v>
      </c>
      <c r="B4652" t="s">
        <v>11345</v>
      </c>
      <c r="C4652" t="s">
        <v>11346</v>
      </c>
      <c r="D4652" t="s">
        <v>2646</v>
      </c>
      <c r="E4652" t="s">
        <v>11339</v>
      </c>
    </row>
    <row r="4653" spans="1:5" x14ac:dyDescent="0.25">
      <c r="A4653" t="s">
        <v>1944</v>
      </c>
      <c r="B4653" t="s">
        <v>11347</v>
      </c>
      <c r="C4653" t="s">
        <v>11348</v>
      </c>
      <c r="D4653" t="s">
        <v>2646</v>
      </c>
      <c r="E4653" t="s">
        <v>11339</v>
      </c>
    </row>
    <row r="4654" spans="1:5" x14ac:dyDescent="0.25">
      <c r="A4654" t="s">
        <v>1944</v>
      </c>
      <c r="B4654" t="s">
        <v>11349</v>
      </c>
      <c r="C4654" t="s">
        <v>11350</v>
      </c>
      <c r="D4654" t="s">
        <v>2646</v>
      </c>
      <c r="E4654" t="s">
        <v>11339</v>
      </c>
    </row>
    <row r="4655" spans="1:5" x14ac:dyDescent="0.25">
      <c r="A4655" t="s">
        <v>1944</v>
      </c>
      <c r="B4655" t="s">
        <v>11351</v>
      </c>
      <c r="C4655" t="s">
        <v>11352</v>
      </c>
      <c r="D4655" t="s">
        <v>2646</v>
      </c>
      <c r="E4655" t="s">
        <v>11339</v>
      </c>
    </row>
    <row r="4656" spans="1:5" x14ac:dyDescent="0.25">
      <c r="A4656" t="s">
        <v>1944</v>
      </c>
      <c r="B4656" t="s">
        <v>11353</v>
      </c>
      <c r="C4656" t="s">
        <v>11354</v>
      </c>
      <c r="D4656" t="s">
        <v>2646</v>
      </c>
      <c r="E4656" t="s">
        <v>11338</v>
      </c>
    </row>
    <row r="4657" spans="1:5" x14ac:dyDescent="0.25">
      <c r="A4657" t="s">
        <v>1944</v>
      </c>
      <c r="B4657" t="s">
        <v>11355</v>
      </c>
      <c r="C4657" t="s">
        <v>11356</v>
      </c>
      <c r="D4657" t="s">
        <v>2646</v>
      </c>
      <c r="E4657" t="s">
        <v>11339</v>
      </c>
    </row>
    <row r="4658" spans="1:5" x14ac:dyDescent="0.25">
      <c r="A4658" t="s">
        <v>1944</v>
      </c>
      <c r="B4658" t="s">
        <v>11357</v>
      </c>
      <c r="C4658" t="s">
        <v>11358</v>
      </c>
      <c r="D4658" t="s">
        <v>2646</v>
      </c>
      <c r="E4658" t="s">
        <v>11339</v>
      </c>
    </row>
    <row r="4659" spans="1:5" x14ac:dyDescent="0.25">
      <c r="A4659" t="s">
        <v>1944</v>
      </c>
      <c r="B4659" t="s">
        <v>11359</v>
      </c>
      <c r="C4659" t="s">
        <v>11360</v>
      </c>
      <c r="D4659" t="s">
        <v>2646</v>
      </c>
      <c r="E4659" t="s">
        <v>11339</v>
      </c>
    </row>
    <row r="4660" spans="1:5" x14ac:dyDescent="0.25">
      <c r="A4660" t="s">
        <v>1944</v>
      </c>
      <c r="B4660" t="s">
        <v>11361</v>
      </c>
      <c r="C4660" t="s">
        <v>11362</v>
      </c>
      <c r="D4660" t="s">
        <v>2646</v>
      </c>
      <c r="E4660" t="s">
        <v>11338</v>
      </c>
    </row>
    <row r="4661" spans="1:5" x14ac:dyDescent="0.25">
      <c r="A4661" t="s">
        <v>1944</v>
      </c>
      <c r="B4661" t="s">
        <v>11363</v>
      </c>
      <c r="C4661" t="s">
        <v>11364</v>
      </c>
      <c r="D4661" t="s">
        <v>2646</v>
      </c>
      <c r="E4661" t="s">
        <v>11338</v>
      </c>
    </row>
    <row r="4662" spans="1:5" x14ac:dyDescent="0.25">
      <c r="A4662" t="s">
        <v>1944</v>
      </c>
      <c r="B4662" t="s">
        <v>11365</v>
      </c>
      <c r="C4662" t="s">
        <v>11366</v>
      </c>
      <c r="D4662" t="s">
        <v>2646</v>
      </c>
      <c r="E4662" t="s">
        <v>11338</v>
      </c>
    </row>
    <row r="4663" spans="1:5" x14ac:dyDescent="0.25">
      <c r="A4663" t="s">
        <v>1944</v>
      </c>
      <c r="B4663" t="s">
        <v>11367</v>
      </c>
      <c r="C4663" t="s">
        <v>11368</v>
      </c>
      <c r="D4663" t="s">
        <v>2646</v>
      </c>
      <c r="E4663" t="s">
        <v>11338</v>
      </c>
    </row>
    <row r="4664" spans="1:5" x14ac:dyDescent="0.25">
      <c r="A4664" t="s">
        <v>1944</v>
      </c>
      <c r="B4664" t="s">
        <v>11369</v>
      </c>
      <c r="C4664" t="s">
        <v>11370</v>
      </c>
      <c r="D4664" t="s">
        <v>2646</v>
      </c>
      <c r="E4664" t="s">
        <v>11340</v>
      </c>
    </row>
    <row r="4665" spans="1:5" x14ac:dyDescent="0.25">
      <c r="A4665" t="s">
        <v>1944</v>
      </c>
      <c r="B4665" t="s">
        <v>11371</v>
      </c>
      <c r="C4665" t="s">
        <v>11372</v>
      </c>
      <c r="D4665" t="s">
        <v>2646</v>
      </c>
      <c r="E4665" t="s">
        <v>11337</v>
      </c>
    </row>
    <row r="4666" spans="1:5" x14ac:dyDescent="0.25">
      <c r="A4666" t="s">
        <v>1944</v>
      </c>
      <c r="B4666" t="s">
        <v>11373</v>
      </c>
      <c r="C4666" t="s">
        <v>11374</v>
      </c>
      <c r="D4666" t="s">
        <v>2646</v>
      </c>
      <c r="E4666" t="s">
        <v>11338</v>
      </c>
    </row>
    <row r="4667" spans="1:5" x14ac:dyDescent="0.25">
      <c r="A4667" t="s">
        <v>1944</v>
      </c>
      <c r="B4667" t="s">
        <v>11375</v>
      </c>
      <c r="C4667" t="s">
        <v>11376</v>
      </c>
      <c r="D4667" t="s">
        <v>2646</v>
      </c>
      <c r="E4667" t="s">
        <v>11337</v>
      </c>
    </row>
    <row r="4668" spans="1:5" x14ac:dyDescent="0.25">
      <c r="A4668" t="s">
        <v>1944</v>
      </c>
      <c r="B4668" t="s">
        <v>11377</v>
      </c>
      <c r="C4668" t="s">
        <v>11378</v>
      </c>
      <c r="D4668" t="s">
        <v>2646</v>
      </c>
      <c r="E4668" t="s">
        <v>11338</v>
      </c>
    </row>
    <row r="4669" spans="1:5" x14ac:dyDescent="0.25">
      <c r="A4669" t="s">
        <v>1944</v>
      </c>
      <c r="B4669" t="s">
        <v>11379</v>
      </c>
      <c r="C4669" t="s">
        <v>11380</v>
      </c>
      <c r="D4669" t="s">
        <v>2646</v>
      </c>
      <c r="E4669" t="s">
        <v>11338</v>
      </c>
    </row>
    <row r="4670" spans="1:5" x14ac:dyDescent="0.25">
      <c r="A4670" t="s">
        <v>1944</v>
      </c>
      <c r="B4670" t="s">
        <v>11381</v>
      </c>
      <c r="C4670" t="s">
        <v>11382</v>
      </c>
      <c r="D4670" t="s">
        <v>2646</v>
      </c>
      <c r="E4670" t="s">
        <v>11340</v>
      </c>
    </row>
    <row r="4671" spans="1:5" x14ac:dyDescent="0.25">
      <c r="A4671" t="s">
        <v>1944</v>
      </c>
      <c r="B4671" t="s">
        <v>11383</v>
      </c>
      <c r="C4671" t="s">
        <v>11384</v>
      </c>
      <c r="D4671" t="s">
        <v>2646</v>
      </c>
      <c r="E4671" t="s">
        <v>11340</v>
      </c>
    </row>
    <row r="4672" spans="1:5" x14ac:dyDescent="0.25">
      <c r="A4672" t="s">
        <v>1944</v>
      </c>
      <c r="B4672" t="s">
        <v>11385</v>
      </c>
      <c r="C4672" t="s">
        <v>11386</v>
      </c>
      <c r="D4672" t="s">
        <v>2646</v>
      </c>
      <c r="E4672" t="s">
        <v>11340</v>
      </c>
    </row>
    <row r="4673" spans="1:5" x14ac:dyDescent="0.25">
      <c r="A4673" t="s">
        <v>1944</v>
      </c>
      <c r="B4673" t="s">
        <v>11387</v>
      </c>
      <c r="C4673" t="s">
        <v>11388</v>
      </c>
      <c r="D4673" t="s">
        <v>2646</v>
      </c>
      <c r="E4673" t="s">
        <v>11340</v>
      </c>
    </row>
    <row r="4674" spans="1:5" x14ac:dyDescent="0.25">
      <c r="A4674" t="s">
        <v>1944</v>
      </c>
      <c r="B4674" t="s">
        <v>11389</v>
      </c>
      <c r="C4674" t="s">
        <v>6818</v>
      </c>
      <c r="D4674" t="s">
        <v>2646</v>
      </c>
      <c r="E4674" t="s">
        <v>11338</v>
      </c>
    </row>
    <row r="4675" spans="1:5" x14ac:dyDescent="0.25">
      <c r="A4675" t="s">
        <v>1944</v>
      </c>
      <c r="B4675" t="s">
        <v>11390</v>
      </c>
      <c r="C4675" t="s">
        <v>11391</v>
      </c>
      <c r="D4675" t="s">
        <v>2646</v>
      </c>
      <c r="E4675" t="s">
        <v>11338</v>
      </c>
    </row>
    <row r="4676" spans="1:5" x14ac:dyDescent="0.25">
      <c r="A4676" t="s">
        <v>1944</v>
      </c>
      <c r="B4676" t="s">
        <v>11392</v>
      </c>
      <c r="C4676" t="s">
        <v>11393</v>
      </c>
      <c r="D4676" t="s">
        <v>2646</v>
      </c>
      <c r="E4676" t="s">
        <v>11337</v>
      </c>
    </row>
    <row r="4677" spans="1:5" x14ac:dyDescent="0.25">
      <c r="A4677" t="s">
        <v>1944</v>
      </c>
      <c r="B4677" t="s">
        <v>11394</v>
      </c>
      <c r="C4677" t="s">
        <v>11395</v>
      </c>
      <c r="D4677" t="s">
        <v>2646</v>
      </c>
      <c r="E4677" t="s">
        <v>11338</v>
      </c>
    </row>
    <row r="4678" spans="1:5" x14ac:dyDescent="0.25">
      <c r="A4678" t="s">
        <v>1944</v>
      </c>
      <c r="B4678" t="s">
        <v>11396</v>
      </c>
      <c r="C4678" t="s">
        <v>11397</v>
      </c>
      <c r="D4678" t="s">
        <v>2646</v>
      </c>
      <c r="E4678" t="s">
        <v>11337</v>
      </c>
    </row>
    <row r="4679" spans="1:5" x14ac:dyDescent="0.25">
      <c r="A4679" t="s">
        <v>1944</v>
      </c>
      <c r="B4679" t="s">
        <v>11398</v>
      </c>
      <c r="C4679" t="s">
        <v>11399</v>
      </c>
      <c r="D4679" t="s">
        <v>2646</v>
      </c>
      <c r="E4679" t="s">
        <v>11338</v>
      </c>
    </row>
    <row r="4680" spans="1:5" x14ac:dyDescent="0.25">
      <c r="A4680" t="s">
        <v>1944</v>
      </c>
      <c r="B4680" t="s">
        <v>11400</v>
      </c>
      <c r="C4680" t="s">
        <v>11401</v>
      </c>
      <c r="D4680" t="s">
        <v>2646</v>
      </c>
      <c r="E4680" t="s">
        <v>11339</v>
      </c>
    </row>
    <row r="4681" spans="1:5" x14ac:dyDescent="0.25">
      <c r="A4681" t="s">
        <v>1944</v>
      </c>
      <c r="B4681" t="s">
        <v>11402</v>
      </c>
      <c r="C4681" t="s">
        <v>11403</v>
      </c>
      <c r="D4681" t="s">
        <v>2646</v>
      </c>
      <c r="E4681" t="s">
        <v>11337</v>
      </c>
    </row>
    <row r="4682" spans="1:5" x14ac:dyDescent="0.25">
      <c r="A4682" t="s">
        <v>1944</v>
      </c>
      <c r="B4682" t="s">
        <v>11404</v>
      </c>
      <c r="C4682" t="s">
        <v>11405</v>
      </c>
      <c r="D4682" t="s">
        <v>2646</v>
      </c>
      <c r="E4682" t="s">
        <v>11339</v>
      </c>
    </row>
    <row r="4683" spans="1:5" x14ac:dyDescent="0.25">
      <c r="A4683" t="s">
        <v>1944</v>
      </c>
      <c r="B4683" t="s">
        <v>11406</v>
      </c>
      <c r="C4683" t="s">
        <v>11407</v>
      </c>
      <c r="D4683" t="s">
        <v>2646</v>
      </c>
      <c r="E4683" t="s">
        <v>11340</v>
      </c>
    </row>
    <row r="4684" spans="1:5" x14ac:dyDescent="0.25">
      <c r="A4684" t="s">
        <v>1944</v>
      </c>
      <c r="B4684" t="s">
        <v>11408</v>
      </c>
      <c r="C4684" t="s">
        <v>11409</v>
      </c>
      <c r="D4684" t="s">
        <v>2646</v>
      </c>
      <c r="E4684" t="s">
        <v>11340</v>
      </c>
    </row>
    <row r="4685" spans="1:5" x14ac:dyDescent="0.25">
      <c r="A4685" t="s">
        <v>1944</v>
      </c>
      <c r="B4685" t="s">
        <v>11410</v>
      </c>
      <c r="C4685" t="s">
        <v>11411</v>
      </c>
      <c r="D4685" t="s">
        <v>2646</v>
      </c>
      <c r="E4685" t="s">
        <v>11338</v>
      </c>
    </row>
    <row r="4686" spans="1:5" x14ac:dyDescent="0.25">
      <c r="A4686" t="s">
        <v>1944</v>
      </c>
      <c r="B4686" t="s">
        <v>11412</v>
      </c>
      <c r="C4686" t="s">
        <v>11413</v>
      </c>
      <c r="D4686" t="s">
        <v>2646</v>
      </c>
      <c r="E4686" t="s">
        <v>11340</v>
      </c>
    </row>
    <row r="4687" spans="1:5" x14ac:dyDescent="0.25">
      <c r="A4687" t="s">
        <v>1944</v>
      </c>
      <c r="B4687" t="s">
        <v>11414</v>
      </c>
      <c r="C4687" t="s">
        <v>11415</v>
      </c>
      <c r="D4687" t="s">
        <v>2646</v>
      </c>
      <c r="E4687" t="s">
        <v>11338</v>
      </c>
    </row>
    <row r="4688" spans="1:5" x14ac:dyDescent="0.25">
      <c r="A4688" t="s">
        <v>1944</v>
      </c>
      <c r="B4688" t="s">
        <v>11416</v>
      </c>
      <c r="C4688" t="s">
        <v>11417</v>
      </c>
      <c r="D4688" t="s">
        <v>2646</v>
      </c>
      <c r="E4688" t="s">
        <v>11339</v>
      </c>
    </row>
    <row r="4689" spans="1:5" x14ac:dyDescent="0.25">
      <c r="A4689" t="s">
        <v>1944</v>
      </c>
      <c r="B4689" t="s">
        <v>11418</v>
      </c>
      <c r="C4689" t="s">
        <v>11419</v>
      </c>
      <c r="D4689" t="s">
        <v>2646</v>
      </c>
      <c r="E4689" t="s">
        <v>11340</v>
      </c>
    </row>
    <row r="4690" spans="1:5" x14ac:dyDescent="0.25">
      <c r="A4690" t="s">
        <v>1944</v>
      </c>
      <c r="B4690" t="s">
        <v>11420</v>
      </c>
      <c r="C4690" t="s">
        <v>11421</v>
      </c>
      <c r="D4690" t="s">
        <v>2646</v>
      </c>
      <c r="E4690" t="s">
        <v>11340</v>
      </c>
    </row>
    <row r="4691" spans="1:5" x14ac:dyDescent="0.25">
      <c r="A4691" t="s">
        <v>1944</v>
      </c>
      <c r="B4691" t="s">
        <v>11422</v>
      </c>
      <c r="C4691" t="s">
        <v>11423</v>
      </c>
      <c r="D4691" t="s">
        <v>2646</v>
      </c>
      <c r="E4691" t="s">
        <v>11338</v>
      </c>
    </row>
    <row r="4692" spans="1:5" x14ac:dyDescent="0.25">
      <c r="A4692" t="s">
        <v>1944</v>
      </c>
      <c r="B4692" t="s">
        <v>11424</v>
      </c>
      <c r="C4692" t="s">
        <v>11425</v>
      </c>
      <c r="D4692" t="s">
        <v>2646</v>
      </c>
      <c r="E4692" t="s">
        <v>11340</v>
      </c>
    </row>
    <row r="4693" spans="1:5" x14ac:dyDescent="0.25">
      <c r="A4693" t="s">
        <v>1944</v>
      </c>
      <c r="B4693" t="s">
        <v>11426</v>
      </c>
      <c r="C4693" t="s">
        <v>11427</v>
      </c>
      <c r="D4693" t="s">
        <v>2646</v>
      </c>
      <c r="E4693" t="s">
        <v>11340</v>
      </c>
    </row>
    <row r="4694" spans="1:5" x14ac:dyDescent="0.25">
      <c r="A4694" t="s">
        <v>1944</v>
      </c>
      <c r="B4694" t="s">
        <v>11428</v>
      </c>
      <c r="C4694" t="s">
        <v>11429</v>
      </c>
      <c r="D4694" t="s">
        <v>2646</v>
      </c>
      <c r="E4694" t="s">
        <v>11338</v>
      </c>
    </row>
    <row r="4695" spans="1:5" x14ac:dyDescent="0.25">
      <c r="A4695" t="s">
        <v>1944</v>
      </c>
      <c r="B4695" t="s">
        <v>11430</v>
      </c>
      <c r="C4695" t="s">
        <v>11431</v>
      </c>
      <c r="D4695" t="s">
        <v>2646</v>
      </c>
      <c r="E4695" t="s">
        <v>11337</v>
      </c>
    </row>
    <row r="4696" spans="1:5" x14ac:dyDescent="0.25">
      <c r="A4696" t="s">
        <v>1944</v>
      </c>
      <c r="B4696" t="s">
        <v>11432</v>
      </c>
      <c r="C4696" t="s">
        <v>11433</v>
      </c>
      <c r="D4696" t="s">
        <v>2646</v>
      </c>
      <c r="E4696" t="s">
        <v>11338</v>
      </c>
    </row>
    <row r="4697" spans="1:5" x14ac:dyDescent="0.25">
      <c r="A4697" t="s">
        <v>1944</v>
      </c>
      <c r="B4697" t="s">
        <v>11434</v>
      </c>
      <c r="C4697" t="s">
        <v>11435</v>
      </c>
      <c r="D4697" t="s">
        <v>2646</v>
      </c>
      <c r="E4697" t="s">
        <v>11337</v>
      </c>
    </row>
    <row r="4698" spans="1:5" x14ac:dyDescent="0.25">
      <c r="A4698" t="s">
        <v>1944</v>
      </c>
      <c r="B4698" t="s">
        <v>11436</v>
      </c>
      <c r="C4698" t="s">
        <v>1943</v>
      </c>
      <c r="D4698" t="s">
        <v>2318</v>
      </c>
      <c r="E4698" t="s">
        <v>11337</v>
      </c>
    </row>
    <row r="4699" spans="1:5" x14ac:dyDescent="0.25">
      <c r="A4699" t="s">
        <v>1944</v>
      </c>
      <c r="B4699" t="s">
        <v>11437</v>
      </c>
      <c r="C4699" t="s">
        <v>11438</v>
      </c>
      <c r="D4699" t="s">
        <v>2646</v>
      </c>
      <c r="E4699" t="s">
        <v>11338</v>
      </c>
    </row>
    <row r="4700" spans="1:5" x14ac:dyDescent="0.25">
      <c r="A4700" t="s">
        <v>1944</v>
      </c>
      <c r="B4700" t="s">
        <v>11439</v>
      </c>
      <c r="C4700" t="s">
        <v>11440</v>
      </c>
      <c r="D4700" t="s">
        <v>2646</v>
      </c>
      <c r="E4700" t="s">
        <v>11340</v>
      </c>
    </row>
    <row r="4701" spans="1:5" x14ac:dyDescent="0.25">
      <c r="A4701" t="s">
        <v>1944</v>
      </c>
      <c r="B4701" t="s">
        <v>11441</v>
      </c>
      <c r="C4701" t="s">
        <v>11442</v>
      </c>
      <c r="D4701" t="s">
        <v>2646</v>
      </c>
      <c r="E4701" t="s">
        <v>11340</v>
      </c>
    </row>
    <row r="4702" spans="1:5" x14ac:dyDescent="0.25">
      <c r="A4702" t="s">
        <v>1944</v>
      </c>
      <c r="B4702" t="s">
        <v>11443</v>
      </c>
      <c r="C4702" t="s">
        <v>11444</v>
      </c>
      <c r="D4702" t="s">
        <v>2646</v>
      </c>
      <c r="E4702" t="s">
        <v>11338</v>
      </c>
    </row>
    <row r="4703" spans="1:5" x14ac:dyDescent="0.25">
      <c r="A4703" t="s">
        <v>1944</v>
      </c>
      <c r="B4703" t="s">
        <v>11445</v>
      </c>
      <c r="C4703" t="s">
        <v>11446</v>
      </c>
      <c r="D4703" t="s">
        <v>2646</v>
      </c>
      <c r="E4703" t="s">
        <v>11338</v>
      </c>
    </row>
    <row r="4704" spans="1:5" x14ac:dyDescent="0.25">
      <c r="A4704" t="s">
        <v>1944</v>
      </c>
      <c r="B4704" t="s">
        <v>11447</v>
      </c>
      <c r="C4704" t="s">
        <v>11448</v>
      </c>
      <c r="D4704" t="s">
        <v>2646</v>
      </c>
      <c r="E4704" t="s">
        <v>11339</v>
      </c>
    </row>
    <row r="4705" spans="1:5" x14ac:dyDescent="0.25">
      <c r="A4705" t="s">
        <v>1944</v>
      </c>
      <c r="B4705" t="s">
        <v>11449</v>
      </c>
      <c r="C4705" t="s">
        <v>11450</v>
      </c>
      <c r="D4705" t="s">
        <v>2646</v>
      </c>
      <c r="E4705" t="s">
        <v>11337</v>
      </c>
    </row>
    <row r="4706" spans="1:5" x14ac:dyDescent="0.25">
      <c r="A4706" t="s">
        <v>1944</v>
      </c>
      <c r="B4706" t="s">
        <v>11451</v>
      </c>
      <c r="C4706" t="s">
        <v>11452</v>
      </c>
      <c r="D4706" t="s">
        <v>2646</v>
      </c>
      <c r="E4706" t="s">
        <v>11340</v>
      </c>
    </row>
    <row r="4707" spans="1:5" x14ac:dyDescent="0.25">
      <c r="A4707" t="s">
        <v>1944</v>
      </c>
      <c r="B4707" t="s">
        <v>11453</v>
      </c>
      <c r="C4707" t="s">
        <v>11454</v>
      </c>
      <c r="D4707" t="s">
        <v>2646</v>
      </c>
      <c r="E4707" t="s">
        <v>11338</v>
      </c>
    </row>
    <row r="4708" spans="1:5" x14ac:dyDescent="0.25">
      <c r="A4708" t="s">
        <v>1944</v>
      </c>
      <c r="B4708" t="s">
        <v>11455</v>
      </c>
      <c r="C4708" t="s">
        <v>11456</v>
      </c>
      <c r="D4708" t="s">
        <v>2646</v>
      </c>
      <c r="E4708" t="s">
        <v>11337</v>
      </c>
    </row>
    <row r="4709" spans="1:5" x14ac:dyDescent="0.25">
      <c r="A4709" t="s">
        <v>1944</v>
      </c>
      <c r="B4709" t="s">
        <v>11457</v>
      </c>
      <c r="C4709" t="s">
        <v>11458</v>
      </c>
      <c r="D4709" t="s">
        <v>2646</v>
      </c>
      <c r="E4709" t="s">
        <v>11340</v>
      </c>
    </row>
    <row r="4710" spans="1:5" x14ac:dyDescent="0.25">
      <c r="A4710" t="s">
        <v>1944</v>
      </c>
      <c r="B4710" t="s">
        <v>11459</v>
      </c>
      <c r="C4710" t="s">
        <v>11460</v>
      </c>
      <c r="D4710" t="s">
        <v>2646</v>
      </c>
      <c r="E4710" t="s">
        <v>11340</v>
      </c>
    </row>
    <row r="4711" spans="1:5" x14ac:dyDescent="0.25">
      <c r="A4711" t="s">
        <v>1944</v>
      </c>
      <c r="B4711" t="s">
        <v>11461</v>
      </c>
      <c r="C4711" t="s">
        <v>11462</v>
      </c>
      <c r="D4711" t="s">
        <v>2646</v>
      </c>
      <c r="E4711" t="s">
        <v>11337</v>
      </c>
    </row>
    <row r="4712" spans="1:5" x14ac:dyDescent="0.25">
      <c r="A4712" t="s">
        <v>1944</v>
      </c>
      <c r="B4712" t="s">
        <v>11463</v>
      </c>
      <c r="C4712" t="s">
        <v>11464</v>
      </c>
      <c r="D4712" t="s">
        <v>2646</v>
      </c>
      <c r="E4712" t="s">
        <v>11338</v>
      </c>
    </row>
    <row r="4713" spans="1:5" x14ac:dyDescent="0.25">
      <c r="A4713" t="s">
        <v>1944</v>
      </c>
      <c r="B4713" t="s">
        <v>11465</v>
      </c>
      <c r="C4713" t="s">
        <v>11466</v>
      </c>
      <c r="D4713" t="s">
        <v>2646</v>
      </c>
      <c r="E4713" t="s">
        <v>11340</v>
      </c>
    </row>
    <row r="4714" spans="1:5" x14ac:dyDescent="0.25">
      <c r="A4714" t="s">
        <v>1944</v>
      </c>
      <c r="B4714" t="s">
        <v>11467</v>
      </c>
      <c r="C4714" t="s">
        <v>11468</v>
      </c>
      <c r="D4714" t="s">
        <v>2646</v>
      </c>
      <c r="E4714" t="s">
        <v>11340</v>
      </c>
    </row>
    <row r="4715" spans="1:5" x14ac:dyDescent="0.25">
      <c r="A4715" t="s">
        <v>1944</v>
      </c>
      <c r="B4715" t="s">
        <v>11469</v>
      </c>
      <c r="C4715" t="s">
        <v>11470</v>
      </c>
      <c r="D4715" t="s">
        <v>2646</v>
      </c>
      <c r="E4715" t="s">
        <v>11340</v>
      </c>
    </row>
    <row r="4716" spans="1:5" x14ac:dyDescent="0.25">
      <c r="A4716" t="s">
        <v>1944</v>
      </c>
      <c r="B4716" t="s">
        <v>11471</v>
      </c>
      <c r="C4716" t="s">
        <v>11472</v>
      </c>
      <c r="D4716" t="s">
        <v>2646</v>
      </c>
      <c r="E4716" t="s">
        <v>11340</v>
      </c>
    </row>
    <row r="4717" spans="1:5" x14ac:dyDescent="0.25">
      <c r="A4717" t="s">
        <v>1944</v>
      </c>
      <c r="B4717" t="s">
        <v>11473</v>
      </c>
      <c r="C4717" t="s">
        <v>11474</v>
      </c>
      <c r="D4717" t="s">
        <v>2646</v>
      </c>
      <c r="E4717" t="s">
        <v>11340</v>
      </c>
    </row>
    <row r="4718" spans="1:5" x14ac:dyDescent="0.25">
      <c r="A4718" t="s">
        <v>1944</v>
      </c>
      <c r="B4718" t="s">
        <v>11475</v>
      </c>
      <c r="C4718" t="s">
        <v>11476</v>
      </c>
      <c r="D4718" t="s">
        <v>2646</v>
      </c>
      <c r="E4718" t="s">
        <v>11339</v>
      </c>
    </row>
    <row r="4719" spans="1:5" x14ac:dyDescent="0.25">
      <c r="A4719" t="s">
        <v>1944</v>
      </c>
      <c r="B4719" t="s">
        <v>11477</v>
      </c>
      <c r="C4719" t="s">
        <v>11478</v>
      </c>
      <c r="D4719" t="s">
        <v>2646</v>
      </c>
      <c r="E4719" t="s">
        <v>11339</v>
      </c>
    </row>
    <row r="4720" spans="1:5" x14ac:dyDescent="0.25">
      <c r="A4720" t="s">
        <v>1944</v>
      </c>
      <c r="B4720" t="s">
        <v>11479</v>
      </c>
      <c r="C4720" t="s">
        <v>11480</v>
      </c>
      <c r="D4720" t="s">
        <v>2646</v>
      </c>
      <c r="E4720" t="s">
        <v>11339</v>
      </c>
    </row>
    <row r="4721" spans="1:5" x14ac:dyDescent="0.25">
      <c r="A4721" t="s">
        <v>1944</v>
      </c>
      <c r="B4721" t="s">
        <v>11481</v>
      </c>
      <c r="C4721" t="s">
        <v>11482</v>
      </c>
      <c r="D4721" t="s">
        <v>2646</v>
      </c>
      <c r="E4721" t="s">
        <v>11339</v>
      </c>
    </row>
    <row r="4722" spans="1:5" x14ac:dyDescent="0.25">
      <c r="A4722" t="s">
        <v>1944</v>
      </c>
      <c r="B4722" t="s">
        <v>11483</v>
      </c>
      <c r="C4722" t="s">
        <v>11484</v>
      </c>
      <c r="D4722" t="s">
        <v>2646</v>
      </c>
      <c r="E4722" t="s">
        <v>11338</v>
      </c>
    </row>
    <row r="4723" spans="1:5" x14ac:dyDescent="0.25">
      <c r="A4723" t="s">
        <v>1944</v>
      </c>
      <c r="B4723" t="s">
        <v>11485</v>
      </c>
      <c r="C4723" t="s">
        <v>11486</v>
      </c>
      <c r="D4723" t="s">
        <v>2646</v>
      </c>
      <c r="E4723" t="s">
        <v>11339</v>
      </c>
    </row>
    <row r="4724" spans="1:5" x14ac:dyDescent="0.25">
      <c r="A4724" t="s">
        <v>1944</v>
      </c>
      <c r="B4724" t="s">
        <v>11487</v>
      </c>
      <c r="C4724" t="s">
        <v>11488</v>
      </c>
      <c r="D4724" t="s">
        <v>2646</v>
      </c>
      <c r="E4724" t="s">
        <v>11338</v>
      </c>
    </row>
    <row r="4725" spans="1:5" x14ac:dyDescent="0.25">
      <c r="A4725" t="s">
        <v>1944</v>
      </c>
      <c r="B4725" t="s">
        <v>11489</v>
      </c>
      <c r="C4725" t="s">
        <v>11490</v>
      </c>
      <c r="D4725" t="s">
        <v>2646</v>
      </c>
      <c r="E4725" t="s">
        <v>11337</v>
      </c>
    </row>
    <row r="4726" spans="1:5" x14ac:dyDescent="0.25">
      <c r="A4726" t="s">
        <v>1944</v>
      </c>
      <c r="B4726" t="s">
        <v>11491</v>
      </c>
      <c r="C4726" t="s">
        <v>11492</v>
      </c>
      <c r="D4726" t="s">
        <v>2646</v>
      </c>
      <c r="E4726" t="s">
        <v>11340</v>
      </c>
    </row>
    <row r="4727" spans="1:5" x14ac:dyDescent="0.25">
      <c r="A4727" t="s">
        <v>1944</v>
      </c>
      <c r="B4727" t="s">
        <v>11493</v>
      </c>
      <c r="C4727" t="s">
        <v>11494</v>
      </c>
      <c r="D4727" t="s">
        <v>2646</v>
      </c>
      <c r="E4727" t="s">
        <v>11340</v>
      </c>
    </row>
    <row r="4728" spans="1:5" x14ac:dyDescent="0.25">
      <c r="A4728" t="s">
        <v>1944</v>
      </c>
      <c r="B4728" t="s">
        <v>11495</v>
      </c>
      <c r="C4728" t="s">
        <v>11496</v>
      </c>
      <c r="D4728" t="s">
        <v>2646</v>
      </c>
      <c r="E4728" t="s">
        <v>11337</v>
      </c>
    </row>
    <row r="4729" spans="1:5" x14ac:dyDescent="0.25">
      <c r="A4729" t="s">
        <v>1944</v>
      </c>
      <c r="B4729" t="s">
        <v>11497</v>
      </c>
      <c r="C4729" t="s">
        <v>11498</v>
      </c>
      <c r="D4729" t="s">
        <v>2646</v>
      </c>
      <c r="E4729" t="s">
        <v>11339</v>
      </c>
    </row>
    <row r="4730" spans="1:5" x14ac:dyDescent="0.25">
      <c r="A4730" t="s">
        <v>1944</v>
      </c>
      <c r="B4730" t="s">
        <v>11499</v>
      </c>
      <c r="C4730" t="s">
        <v>11500</v>
      </c>
      <c r="D4730" t="s">
        <v>2646</v>
      </c>
      <c r="E4730" t="s">
        <v>11339</v>
      </c>
    </row>
    <row r="4731" spans="1:5" x14ac:dyDescent="0.25">
      <c r="A4731" t="s">
        <v>1944</v>
      </c>
      <c r="B4731" t="s">
        <v>11501</v>
      </c>
      <c r="C4731" t="s">
        <v>11502</v>
      </c>
      <c r="D4731" t="s">
        <v>2646</v>
      </c>
      <c r="E4731" t="s">
        <v>11338</v>
      </c>
    </row>
    <row r="4732" spans="1:5" x14ac:dyDescent="0.25">
      <c r="A4732" t="s">
        <v>1944</v>
      </c>
      <c r="B4732" t="s">
        <v>11503</v>
      </c>
      <c r="C4732" t="s">
        <v>11504</v>
      </c>
      <c r="D4732" t="s">
        <v>2646</v>
      </c>
      <c r="E4732" t="s">
        <v>11337</v>
      </c>
    </row>
    <row r="4733" spans="1:5" x14ac:dyDescent="0.25">
      <c r="A4733" t="s">
        <v>1944</v>
      </c>
      <c r="B4733" t="s">
        <v>11505</v>
      </c>
      <c r="C4733" t="s">
        <v>11506</v>
      </c>
      <c r="D4733" t="s">
        <v>2646</v>
      </c>
      <c r="E4733" t="s">
        <v>11337</v>
      </c>
    </row>
    <row r="4734" spans="1:5" x14ac:dyDescent="0.25">
      <c r="A4734" t="s">
        <v>1944</v>
      </c>
      <c r="B4734" t="s">
        <v>11507</v>
      </c>
      <c r="C4734" t="s">
        <v>11508</v>
      </c>
      <c r="D4734" t="s">
        <v>2646</v>
      </c>
      <c r="E4734" t="s">
        <v>11337</v>
      </c>
    </row>
    <row r="4735" spans="1:5" x14ac:dyDescent="0.25">
      <c r="A4735" t="s">
        <v>1944</v>
      </c>
      <c r="B4735" t="s">
        <v>11509</v>
      </c>
      <c r="C4735" t="s">
        <v>11510</v>
      </c>
      <c r="D4735" t="s">
        <v>2646</v>
      </c>
      <c r="E4735" t="s">
        <v>11339</v>
      </c>
    </row>
    <row r="4736" spans="1:5" x14ac:dyDescent="0.25">
      <c r="A4736" t="s">
        <v>1944</v>
      </c>
      <c r="B4736" t="s">
        <v>11511</v>
      </c>
      <c r="C4736" t="s">
        <v>11512</v>
      </c>
      <c r="D4736" t="s">
        <v>2646</v>
      </c>
      <c r="E4736" t="s">
        <v>11338</v>
      </c>
    </row>
    <row r="4737" spans="1:5" x14ac:dyDescent="0.25">
      <c r="A4737" t="s">
        <v>1944</v>
      </c>
      <c r="B4737" t="s">
        <v>11513</v>
      </c>
      <c r="C4737" t="s">
        <v>11514</v>
      </c>
      <c r="D4737" t="s">
        <v>2646</v>
      </c>
      <c r="E4737" t="s">
        <v>11339</v>
      </c>
    </row>
    <row r="4738" spans="1:5" x14ac:dyDescent="0.25">
      <c r="A4738" t="s">
        <v>1944</v>
      </c>
      <c r="B4738" t="s">
        <v>11515</v>
      </c>
      <c r="C4738" t="s">
        <v>11516</v>
      </c>
      <c r="D4738" t="s">
        <v>2646</v>
      </c>
      <c r="E4738" t="s">
        <v>11337</v>
      </c>
    </row>
    <row r="4739" spans="1:5" x14ac:dyDescent="0.25">
      <c r="A4739" t="s">
        <v>1944</v>
      </c>
      <c r="B4739" t="s">
        <v>11517</v>
      </c>
      <c r="C4739" t="s">
        <v>11518</v>
      </c>
      <c r="D4739" t="s">
        <v>2646</v>
      </c>
      <c r="E4739" t="s">
        <v>11340</v>
      </c>
    </row>
    <row r="4740" spans="1:5" x14ac:dyDescent="0.25">
      <c r="A4740" t="s">
        <v>1944</v>
      </c>
      <c r="B4740" t="s">
        <v>11519</v>
      </c>
      <c r="C4740" t="s">
        <v>11520</v>
      </c>
      <c r="D4740" t="s">
        <v>2646</v>
      </c>
      <c r="E4740" t="s">
        <v>11338</v>
      </c>
    </row>
    <row r="4741" spans="1:5" x14ac:dyDescent="0.25">
      <c r="A4741" t="s">
        <v>1944</v>
      </c>
      <c r="B4741" t="s">
        <v>11521</v>
      </c>
      <c r="C4741" t="s">
        <v>11522</v>
      </c>
      <c r="D4741" t="s">
        <v>2646</v>
      </c>
      <c r="E4741" t="s">
        <v>11338</v>
      </c>
    </row>
    <row r="4742" spans="1:5" x14ac:dyDescent="0.25">
      <c r="A4742" t="s">
        <v>1944</v>
      </c>
      <c r="B4742" t="s">
        <v>11523</v>
      </c>
      <c r="C4742" t="s">
        <v>11524</v>
      </c>
      <c r="D4742" t="s">
        <v>2646</v>
      </c>
      <c r="E4742" t="s">
        <v>11340</v>
      </c>
    </row>
    <row r="4743" spans="1:5" x14ac:dyDescent="0.25">
      <c r="A4743" t="s">
        <v>1944</v>
      </c>
      <c r="B4743" t="s">
        <v>11525</v>
      </c>
      <c r="C4743" t="s">
        <v>11526</v>
      </c>
      <c r="D4743" t="s">
        <v>2646</v>
      </c>
      <c r="E4743" t="s">
        <v>11340</v>
      </c>
    </row>
    <row r="4744" spans="1:5" x14ac:dyDescent="0.25">
      <c r="A4744" t="s">
        <v>1944</v>
      </c>
      <c r="B4744" t="s">
        <v>11527</v>
      </c>
      <c r="C4744" t="s">
        <v>11528</v>
      </c>
      <c r="D4744" t="s">
        <v>2646</v>
      </c>
      <c r="E4744" t="s">
        <v>11337</v>
      </c>
    </row>
    <row r="4745" spans="1:5" x14ac:dyDescent="0.25">
      <c r="A4745" t="s">
        <v>1944</v>
      </c>
      <c r="B4745" t="s">
        <v>11529</v>
      </c>
      <c r="C4745" t="s">
        <v>11530</v>
      </c>
      <c r="D4745" t="s">
        <v>2646</v>
      </c>
      <c r="E4745" t="s">
        <v>11339</v>
      </c>
    </row>
    <row r="4746" spans="1:5" x14ac:dyDescent="0.25">
      <c r="A4746" t="s">
        <v>1944</v>
      </c>
      <c r="B4746" t="s">
        <v>11531</v>
      </c>
      <c r="C4746" t="s">
        <v>11532</v>
      </c>
      <c r="D4746" t="s">
        <v>2646</v>
      </c>
      <c r="E4746" t="s">
        <v>11339</v>
      </c>
    </row>
    <row r="4747" spans="1:5" x14ac:dyDescent="0.25">
      <c r="A4747" t="s">
        <v>1944</v>
      </c>
      <c r="B4747" t="s">
        <v>11533</v>
      </c>
      <c r="C4747" t="s">
        <v>11534</v>
      </c>
      <c r="D4747" t="s">
        <v>2646</v>
      </c>
      <c r="E4747" t="s">
        <v>11337</v>
      </c>
    </row>
    <row r="4748" spans="1:5" x14ac:dyDescent="0.25">
      <c r="A4748" t="s">
        <v>1944</v>
      </c>
      <c r="B4748" t="s">
        <v>11535</v>
      </c>
      <c r="C4748" t="s">
        <v>11536</v>
      </c>
      <c r="D4748" t="s">
        <v>2646</v>
      </c>
      <c r="E4748" t="s">
        <v>11337</v>
      </c>
    </row>
    <row r="4749" spans="1:5" x14ac:dyDescent="0.25">
      <c r="A4749" t="s">
        <v>1944</v>
      </c>
      <c r="B4749" t="s">
        <v>11537</v>
      </c>
      <c r="C4749" t="s">
        <v>11538</v>
      </c>
      <c r="D4749" t="s">
        <v>2646</v>
      </c>
      <c r="E4749" t="s">
        <v>11337</v>
      </c>
    </row>
    <row r="4750" spans="1:5" x14ac:dyDescent="0.25">
      <c r="A4750" t="s">
        <v>1944</v>
      </c>
      <c r="B4750" t="s">
        <v>11539</v>
      </c>
      <c r="C4750" t="s">
        <v>11540</v>
      </c>
      <c r="D4750" t="s">
        <v>2646</v>
      </c>
      <c r="E4750" t="s">
        <v>11339</v>
      </c>
    </row>
    <row r="4751" spans="1:5" x14ac:dyDescent="0.25">
      <c r="A4751" t="s">
        <v>1944</v>
      </c>
      <c r="B4751" t="s">
        <v>11541</v>
      </c>
      <c r="C4751" t="s">
        <v>11542</v>
      </c>
      <c r="D4751" t="s">
        <v>2646</v>
      </c>
      <c r="E4751" t="s">
        <v>11339</v>
      </c>
    </row>
    <row r="4752" spans="1:5" x14ac:dyDescent="0.25">
      <c r="A4752" t="s">
        <v>1944</v>
      </c>
      <c r="B4752" t="s">
        <v>11543</v>
      </c>
      <c r="C4752" t="s">
        <v>11544</v>
      </c>
      <c r="D4752" t="s">
        <v>2646</v>
      </c>
      <c r="E4752" t="s">
        <v>11337</v>
      </c>
    </row>
    <row r="4753" spans="1:5" x14ac:dyDescent="0.25">
      <c r="A4753" t="s">
        <v>1944</v>
      </c>
      <c r="B4753" t="s">
        <v>11545</v>
      </c>
      <c r="C4753" t="s">
        <v>11546</v>
      </c>
      <c r="D4753" t="s">
        <v>2646</v>
      </c>
      <c r="E4753" t="s">
        <v>11337</v>
      </c>
    </row>
    <row r="4754" spans="1:5" x14ac:dyDescent="0.25">
      <c r="A4754" t="s">
        <v>1944</v>
      </c>
      <c r="B4754" t="s">
        <v>11547</v>
      </c>
      <c r="C4754" t="s">
        <v>11548</v>
      </c>
      <c r="D4754" t="s">
        <v>2646</v>
      </c>
      <c r="E4754" t="s">
        <v>11338</v>
      </c>
    </row>
    <row r="4755" spans="1:5" x14ac:dyDescent="0.25">
      <c r="A4755" t="s">
        <v>1944</v>
      </c>
      <c r="B4755" t="s">
        <v>11549</v>
      </c>
      <c r="C4755" t="s">
        <v>11550</v>
      </c>
      <c r="D4755" t="s">
        <v>2646</v>
      </c>
      <c r="E4755" t="s">
        <v>11338</v>
      </c>
    </row>
    <row r="4756" spans="1:5" x14ac:dyDescent="0.25">
      <c r="A4756" t="s">
        <v>1944</v>
      </c>
      <c r="B4756" t="s">
        <v>11551</v>
      </c>
      <c r="C4756" t="s">
        <v>11552</v>
      </c>
      <c r="D4756" t="s">
        <v>2646</v>
      </c>
      <c r="E4756" t="s">
        <v>11338</v>
      </c>
    </row>
    <row r="4757" spans="1:5" x14ac:dyDescent="0.25">
      <c r="A4757" t="s">
        <v>1944</v>
      </c>
      <c r="B4757" t="s">
        <v>11553</v>
      </c>
      <c r="C4757" t="s">
        <v>11554</v>
      </c>
      <c r="D4757" t="s">
        <v>2646</v>
      </c>
      <c r="E4757" t="s">
        <v>11339</v>
      </c>
    </row>
    <row r="4758" spans="1:5" x14ac:dyDescent="0.25">
      <c r="A4758" t="s">
        <v>1944</v>
      </c>
      <c r="B4758" t="s">
        <v>11555</v>
      </c>
      <c r="C4758" t="s">
        <v>11556</v>
      </c>
      <c r="D4758" t="s">
        <v>2646</v>
      </c>
      <c r="E4758" t="s">
        <v>11339</v>
      </c>
    </row>
    <row r="4759" spans="1:5" x14ac:dyDescent="0.25">
      <c r="A4759" t="s">
        <v>1944</v>
      </c>
      <c r="B4759" t="s">
        <v>11557</v>
      </c>
      <c r="C4759" t="s">
        <v>11558</v>
      </c>
      <c r="D4759" t="s">
        <v>2646</v>
      </c>
      <c r="E4759" t="s">
        <v>11338</v>
      </c>
    </row>
    <row r="4760" spans="1:5" x14ac:dyDescent="0.25">
      <c r="A4760" t="s">
        <v>1944</v>
      </c>
      <c r="B4760" t="s">
        <v>11559</v>
      </c>
      <c r="C4760" t="s">
        <v>11560</v>
      </c>
      <c r="D4760" t="s">
        <v>2646</v>
      </c>
      <c r="E4760" t="s">
        <v>11340</v>
      </c>
    </row>
    <row r="4761" spans="1:5" x14ac:dyDescent="0.25">
      <c r="A4761" t="s">
        <v>1944</v>
      </c>
      <c r="B4761" t="s">
        <v>11561</v>
      </c>
      <c r="C4761" t="s">
        <v>11562</v>
      </c>
      <c r="D4761" t="s">
        <v>2646</v>
      </c>
      <c r="E4761" t="s">
        <v>11340</v>
      </c>
    </row>
    <row r="4762" spans="1:5" x14ac:dyDescent="0.25">
      <c r="A4762" t="s">
        <v>1944</v>
      </c>
      <c r="B4762" t="s">
        <v>11563</v>
      </c>
      <c r="C4762" t="s">
        <v>11564</v>
      </c>
      <c r="D4762" t="s">
        <v>2646</v>
      </c>
      <c r="E4762" t="s">
        <v>11339</v>
      </c>
    </row>
    <row r="4763" spans="1:5" x14ac:dyDescent="0.25">
      <c r="A4763" t="s">
        <v>1944</v>
      </c>
      <c r="B4763" t="s">
        <v>11565</v>
      </c>
      <c r="C4763" t="s">
        <v>11566</v>
      </c>
      <c r="D4763" t="s">
        <v>2646</v>
      </c>
      <c r="E4763" t="s">
        <v>11339</v>
      </c>
    </row>
    <row r="4764" spans="1:5" x14ac:dyDescent="0.25">
      <c r="A4764" t="s">
        <v>1944</v>
      </c>
      <c r="B4764" t="s">
        <v>11567</v>
      </c>
      <c r="C4764" t="s">
        <v>11568</v>
      </c>
      <c r="D4764" t="s">
        <v>2646</v>
      </c>
      <c r="E4764" t="s">
        <v>11339</v>
      </c>
    </row>
    <row r="4765" spans="1:5" x14ac:dyDescent="0.25">
      <c r="A4765" t="s">
        <v>1944</v>
      </c>
      <c r="B4765" t="s">
        <v>11569</v>
      </c>
      <c r="C4765" t="s">
        <v>11570</v>
      </c>
      <c r="D4765" t="s">
        <v>2646</v>
      </c>
      <c r="E4765" t="s">
        <v>11339</v>
      </c>
    </row>
    <row r="4766" spans="1:5" x14ac:dyDescent="0.25">
      <c r="A4766" t="s">
        <v>1944</v>
      </c>
      <c r="B4766" t="s">
        <v>11571</v>
      </c>
      <c r="C4766" t="s">
        <v>11572</v>
      </c>
      <c r="D4766" t="s">
        <v>2646</v>
      </c>
      <c r="E4766" t="s">
        <v>11339</v>
      </c>
    </row>
    <row r="4767" spans="1:5" x14ac:dyDescent="0.25">
      <c r="A4767" t="s">
        <v>1944</v>
      </c>
      <c r="B4767" t="s">
        <v>11573</v>
      </c>
      <c r="C4767" t="s">
        <v>11574</v>
      </c>
      <c r="D4767" t="s">
        <v>2646</v>
      </c>
      <c r="E4767" t="s">
        <v>11339</v>
      </c>
    </row>
    <row r="4768" spans="1:5" x14ac:dyDescent="0.25">
      <c r="A4768" t="s">
        <v>1944</v>
      </c>
      <c r="B4768" t="s">
        <v>11575</v>
      </c>
      <c r="C4768" t="s">
        <v>11576</v>
      </c>
      <c r="D4768" t="s">
        <v>2646</v>
      </c>
      <c r="E4768" t="s">
        <v>11339</v>
      </c>
    </row>
    <row r="4769" spans="1:5" x14ac:dyDescent="0.25">
      <c r="A4769" t="s">
        <v>1944</v>
      </c>
      <c r="B4769" t="s">
        <v>11577</v>
      </c>
      <c r="C4769" t="s">
        <v>11578</v>
      </c>
      <c r="D4769" t="s">
        <v>2646</v>
      </c>
      <c r="E4769" t="s">
        <v>11338</v>
      </c>
    </row>
    <row r="4770" spans="1:5" x14ac:dyDescent="0.25">
      <c r="A4770" t="s">
        <v>1944</v>
      </c>
      <c r="B4770" t="s">
        <v>11579</v>
      </c>
      <c r="C4770" t="s">
        <v>11580</v>
      </c>
      <c r="D4770" t="s">
        <v>2646</v>
      </c>
      <c r="E4770" t="s">
        <v>11337</v>
      </c>
    </row>
    <row r="4771" spans="1:5" x14ac:dyDescent="0.25">
      <c r="A4771" t="s">
        <v>1944</v>
      </c>
      <c r="B4771" t="s">
        <v>11581</v>
      </c>
      <c r="C4771" t="s">
        <v>11582</v>
      </c>
      <c r="D4771" t="s">
        <v>2646</v>
      </c>
      <c r="E4771" t="s">
        <v>11340</v>
      </c>
    </row>
    <row r="4772" spans="1:5" x14ac:dyDescent="0.25">
      <c r="A4772" t="s">
        <v>1944</v>
      </c>
      <c r="B4772" t="s">
        <v>11583</v>
      </c>
      <c r="C4772" t="s">
        <v>11584</v>
      </c>
      <c r="D4772" t="s">
        <v>2646</v>
      </c>
      <c r="E4772" t="s">
        <v>11340</v>
      </c>
    </row>
    <row r="4773" spans="1:5" x14ac:dyDescent="0.25">
      <c r="A4773" t="s">
        <v>1944</v>
      </c>
      <c r="B4773" t="s">
        <v>11585</v>
      </c>
      <c r="C4773" t="s">
        <v>11586</v>
      </c>
      <c r="D4773" t="s">
        <v>2646</v>
      </c>
      <c r="E4773" t="s">
        <v>11340</v>
      </c>
    </row>
    <row r="4774" spans="1:5" x14ac:dyDescent="0.25">
      <c r="A4774" t="s">
        <v>1944</v>
      </c>
      <c r="B4774" t="s">
        <v>11587</v>
      </c>
      <c r="C4774" t="s">
        <v>11588</v>
      </c>
      <c r="D4774" t="s">
        <v>2646</v>
      </c>
      <c r="E4774" t="s">
        <v>11340</v>
      </c>
    </row>
    <row r="4775" spans="1:5" x14ac:dyDescent="0.25">
      <c r="A4775" t="s">
        <v>1944</v>
      </c>
      <c r="B4775" t="s">
        <v>11589</v>
      </c>
      <c r="C4775" t="s">
        <v>11590</v>
      </c>
      <c r="D4775" t="s">
        <v>2646</v>
      </c>
      <c r="E4775" t="s">
        <v>11340</v>
      </c>
    </row>
    <row r="4776" spans="1:5" x14ac:dyDescent="0.25">
      <c r="A4776" t="s">
        <v>1944</v>
      </c>
      <c r="B4776" t="s">
        <v>11591</v>
      </c>
      <c r="C4776" t="s">
        <v>11592</v>
      </c>
      <c r="D4776" t="s">
        <v>2646</v>
      </c>
      <c r="E4776" t="s">
        <v>11337</v>
      </c>
    </row>
    <row r="4777" spans="1:5" x14ac:dyDescent="0.25">
      <c r="A4777" t="s">
        <v>1944</v>
      </c>
      <c r="B4777" t="s">
        <v>11593</v>
      </c>
      <c r="C4777" t="s">
        <v>11594</v>
      </c>
      <c r="D4777" t="s">
        <v>2646</v>
      </c>
      <c r="E4777" t="s">
        <v>11338</v>
      </c>
    </row>
    <row r="4778" spans="1:5" x14ac:dyDescent="0.25">
      <c r="A4778" t="s">
        <v>1944</v>
      </c>
      <c r="B4778" t="s">
        <v>11595</v>
      </c>
      <c r="C4778" t="s">
        <v>11596</v>
      </c>
      <c r="D4778" t="s">
        <v>2646</v>
      </c>
      <c r="E4778" t="s">
        <v>11340</v>
      </c>
    </row>
    <row r="4779" spans="1:5" x14ac:dyDescent="0.25">
      <c r="A4779" t="s">
        <v>1944</v>
      </c>
      <c r="B4779" t="s">
        <v>11597</v>
      </c>
      <c r="C4779" t="s">
        <v>11598</v>
      </c>
      <c r="D4779" t="s">
        <v>2646</v>
      </c>
      <c r="E4779" t="s">
        <v>11338</v>
      </c>
    </row>
    <row r="4780" spans="1:5" x14ac:dyDescent="0.25">
      <c r="A4780" t="s">
        <v>1944</v>
      </c>
      <c r="B4780" t="s">
        <v>11599</v>
      </c>
      <c r="C4780" t="s">
        <v>11600</v>
      </c>
      <c r="D4780" t="s">
        <v>2646</v>
      </c>
      <c r="E4780" t="s">
        <v>11338</v>
      </c>
    </row>
    <row r="4781" spans="1:5" x14ac:dyDescent="0.25">
      <c r="A4781" t="s">
        <v>1944</v>
      </c>
      <c r="B4781" t="s">
        <v>11601</v>
      </c>
      <c r="C4781" t="s">
        <v>11602</v>
      </c>
      <c r="D4781" t="s">
        <v>2646</v>
      </c>
      <c r="E4781" t="s">
        <v>11338</v>
      </c>
    </row>
    <row r="4782" spans="1:5" x14ac:dyDescent="0.25">
      <c r="A4782" t="s">
        <v>1944</v>
      </c>
      <c r="B4782" t="s">
        <v>11603</v>
      </c>
      <c r="C4782" t="s">
        <v>11604</v>
      </c>
      <c r="D4782" t="s">
        <v>2646</v>
      </c>
      <c r="E4782" t="s">
        <v>11337</v>
      </c>
    </row>
    <row r="4783" spans="1:5" x14ac:dyDescent="0.25">
      <c r="A4783" t="s">
        <v>1944</v>
      </c>
      <c r="B4783" t="s">
        <v>11605</v>
      </c>
      <c r="C4783" t="s">
        <v>11606</v>
      </c>
      <c r="D4783" t="s">
        <v>2646</v>
      </c>
      <c r="E4783" t="s">
        <v>11339</v>
      </c>
    </row>
    <row r="4784" spans="1:5" x14ac:dyDescent="0.25">
      <c r="A4784" t="s">
        <v>1944</v>
      </c>
      <c r="B4784" t="s">
        <v>11607</v>
      </c>
      <c r="C4784" t="s">
        <v>11608</v>
      </c>
      <c r="D4784" t="s">
        <v>2646</v>
      </c>
      <c r="E4784" t="s">
        <v>11339</v>
      </c>
    </row>
    <row r="4785" spans="1:5" x14ac:dyDescent="0.25">
      <c r="A4785" t="s">
        <v>2155</v>
      </c>
      <c r="B4785" t="s">
        <v>11609</v>
      </c>
      <c r="C4785" t="s">
        <v>11610</v>
      </c>
      <c r="D4785" t="s">
        <v>5939</v>
      </c>
      <c r="E4785" t="s">
        <v>2170</v>
      </c>
    </row>
    <row r="4786" spans="1:5" x14ac:dyDescent="0.25">
      <c r="A4786" t="s">
        <v>2155</v>
      </c>
      <c r="B4786" t="s">
        <v>11611</v>
      </c>
      <c r="C4786" t="s">
        <v>11612</v>
      </c>
      <c r="D4786" t="s">
        <v>5939</v>
      </c>
      <c r="E4786" t="s">
        <v>2170</v>
      </c>
    </row>
    <row r="4787" spans="1:5" x14ac:dyDescent="0.25">
      <c r="A4787" t="s">
        <v>2155</v>
      </c>
      <c r="B4787" t="s">
        <v>11613</v>
      </c>
      <c r="C4787" t="s">
        <v>11614</v>
      </c>
      <c r="D4787" t="s">
        <v>5939</v>
      </c>
      <c r="E4787" t="s">
        <v>2170</v>
      </c>
    </row>
    <row r="4788" spans="1:5" x14ac:dyDescent="0.25">
      <c r="A4788" t="s">
        <v>2155</v>
      </c>
      <c r="B4788" t="s">
        <v>11615</v>
      </c>
      <c r="C4788" t="s">
        <v>11616</v>
      </c>
      <c r="D4788" t="s">
        <v>5939</v>
      </c>
      <c r="E4788" t="s">
        <v>2170</v>
      </c>
    </row>
    <row r="4789" spans="1:5" x14ac:dyDescent="0.25">
      <c r="A4789" t="s">
        <v>2155</v>
      </c>
      <c r="B4789" t="s">
        <v>11617</v>
      </c>
      <c r="C4789" t="s">
        <v>11618</v>
      </c>
      <c r="D4789" t="s">
        <v>5939</v>
      </c>
      <c r="E4789" t="s">
        <v>2170</v>
      </c>
    </row>
    <row r="4790" spans="1:5" x14ac:dyDescent="0.25">
      <c r="A4790" t="s">
        <v>2155</v>
      </c>
      <c r="B4790" t="s">
        <v>11619</v>
      </c>
      <c r="C4790" t="s">
        <v>11620</v>
      </c>
      <c r="D4790" t="s">
        <v>5939</v>
      </c>
      <c r="E4790" t="s">
        <v>2170</v>
      </c>
    </row>
    <row r="4791" spans="1:5" x14ac:dyDescent="0.25">
      <c r="A4791" t="s">
        <v>2155</v>
      </c>
      <c r="B4791" t="s">
        <v>11621</v>
      </c>
      <c r="C4791" t="s">
        <v>11622</v>
      </c>
      <c r="D4791" t="s">
        <v>5939</v>
      </c>
      <c r="E4791" t="s">
        <v>2170</v>
      </c>
    </row>
    <row r="4792" spans="1:5" x14ac:dyDescent="0.25">
      <c r="A4792" t="s">
        <v>2155</v>
      </c>
      <c r="B4792" t="s">
        <v>11623</v>
      </c>
      <c r="C4792" t="s">
        <v>11624</v>
      </c>
      <c r="D4792" t="s">
        <v>5939</v>
      </c>
      <c r="E4792" t="s">
        <v>2170</v>
      </c>
    </row>
    <row r="4793" spans="1:5" x14ac:dyDescent="0.25">
      <c r="A4793" t="s">
        <v>2155</v>
      </c>
      <c r="B4793" t="s">
        <v>11625</v>
      </c>
      <c r="C4793" t="s">
        <v>11626</v>
      </c>
      <c r="D4793" t="s">
        <v>5939</v>
      </c>
      <c r="E4793" t="s">
        <v>2170</v>
      </c>
    </row>
    <row r="4794" spans="1:5" x14ac:dyDescent="0.25">
      <c r="A4794" t="s">
        <v>1947</v>
      </c>
      <c r="B4794" t="s">
        <v>11627</v>
      </c>
      <c r="C4794" t="s">
        <v>2027</v>
      </c>
      <c r="D4794" t="s">
        <v>2415</v>
      </c>
      <c r="E4794" t="s">
        <v>2170</v>
      </c>
    </row>
    <row r="4795" spans="1:5" x14ac:dyDescent="0.25">
      <c r="A4795" t="s">
        <v>1947</v>
      </c>
      <c r="B4795" t="s">
        <v>11628</v>
      </c>
      <c r="C4795" t="s">
        <v>2031</v>
      </c>
      <c r="D4795" t="s">
        <v>2415</v>
      </c>
      <c r="E4795" t="s">
        <v>2170</v>
      </c>
    </row>
    <row r="4796" spans="1:5" x14ac:dyDescent="0.25">
      <c r="A4796" t="s">
        <v>1947</v>
      </c>
      <c r="B4796" t="s">
        <v>11629</v>
      </c>
      <c r="C4796" t="s">
        <v>2035</v>
      </c>
      <c r="D4796" t="s">
        <v>2415</v>
      </c>
      <c r="E4796" t="s">
        <v>2170</v>
      </c>
    </row>
    <row r="4797" spans="1:5" x14ac:dyDescent="0.25">
      <c r="A4797" t="s">
        <v>1947</v>
      </c>
      <c r="B4797" t="s">
        <v>11630</v>
      </c>
      <c r="C4797" t="s">
        <v>2039</v>
      </c>
      <c r="D4797" t="s">
        <v>2415</v>
      </c>
      <c r="E4797" t="s">
        <v>2170</v>
      </c>
    </row>
    <row r="4798" spans="1:5" x14ac:dyDescent="0.25">
      <c r="A4798" t="s">
        <v>1947</v>
      </c>
      <c r="B4798" t="s">
        <v>11631</v>
      </c>
      <c r="C4798" t="s">
        <v>2043</v>
      </c>
      <c r="D4798" t="s">
        <v>2415</v>
      </c>
      <c r="E4798" t="s">
        <v>2170</v>
      </c>
    </row>
    <row r="4799" spans="1:5" x14ac:dyDescent="0.25">
      <c r="A4799" t="s">
        <v>1947</v>
      </c>
      <c r="B4799" t="s">
        <v>11632</v>
      </c>
      <c r="C4799" t="s">
        <v>2047</v>
      </c>
      <c r="D4799" t="s">
        <v>2415</v>
      </c>
      <c r="E4799" t="s">
        <v>2170</v>
      </c>
    </row>
    <row r="4800" spans="1:5" x14ac:dyDescent="0.25">
      <c r="A4800" t="s">
        <v>1947</v>
      </c>
      <c r="B4800" t="s">
        <v>11633</v>
      </c>
      <c r="C4800" t="s">
        <v>2051</v>
      </c>
      <c r="D4800" t="s">
        <v>2415</v>
      </c>
      <c r="E4800" t="s">
        <v>2170</v>
      </c>
    </row>
    <row r="4801" spans="1:5" x14ac:dyDescent="0.25">
      <c r="A4801" t="s">
        <v>1947</v>
      </c>
      <c r="B4801" t="s">
        <v>11634</v>
      </c>
      <c r="C4801" t="s">
        <v>2055</v>
      </c>
      <c r="D4801" t="s">
        <v>2415</v>
      </c>
      <c r="E4801" t="s">
        <v>2170</v>
      </c>
    </row>
    <row r="4802" spans="1:5" x14ac:dyDescent="0.25">
      <c r="A4802" t="s">
        <v>1947</v>
      </c>
      <c r="B4802" t="s">
        <v>11635</v>
      </c>
      <c r="C4802" t="s">
        <v>2059</v>
      </c>
      <c r="D4802" t="s">
        <v>2415</v>
      </c>
      <c r="E4802" t="s">
        <v>2170</v>
      </c>
    </row>
    <row r="4803" spans="1:5" x14ac:dyDescent="0.25">
      <c r="A4803" t="s">
        <v>1947</v>
      </c>
      <c r="B4803" t="s">
        <v>11636</v>
      </c>
      <c r="C4803" t="s">
        <v>61</v>
      </c>
      <c r="D4803" t="s">
        <v>2415</v>
      </c>
      <c r="E4803" t="s">
        <v>2170</v>
      </c>
    </row>
    <row r="4804" spans="1:5" x14ac:dyDescent="0.25">
      <c r="A4804" t="s">
        <v>1947</v>
      </c>
      <c r="B4804" t="s">
        <v>11637</v>
      </c>
      <c r="C4804" t="s">
        <v>2066</v>
      </c>
      <c r="D4804" t="s">
        <v>2415</v>
      </c>
      <c r="E4804" t="s">
        <v>2170</v>
      </c>
    </row>
    <row r="4805" spans="1:5" x14ac:dyDescent="0.25">
      <c r="A4805" t="s">
        <v>1947</v>
      </c>
      <c r="B4805" t="s">
        <v>11638</v>
      </c>
      <c r="C4805" t="s">
        <v>2070</v>
      </c>
      <c r="D4805" t="s">
        <v>2415</v>
      </c>
      <c r="E4805" t="s">
        <v>2170</v>
      </c>
    </row>
    <row r="4806" spans="1:5" x14ac:dyDescent="0.25">
      <c r="A4806" t="s">
        <v>1947</v>
      </c>
      <c r="B4806" t="s">
        <v>11639</v>
      </c>
      <c r="C4806" t="s">
        <v>2074</v>
      </c>
      <c r="D4806" t="s">
        <v>2415</v>
      </c>
      <c r="E4806" t="s">
        <v>2170</v>
      </c>
    </row>
    <row r="4807" spans="1:5" x14ac:dyDescent="0.25">
      <c r="A4807" t="s">
        <v>1947</v>
      </c>
      <c r="B4807" t="s">
        <v>11640</v>
      </c>
      <c r="C4807" t="s">
        <v>2078</v>
      </c>
      <c r="D4807" t="s">
        <v>2415</v>
      </c>
      <c r="E4807" t="s">
        <v>2170</v>
      </c>
    </row>
    <row r="4808" spans="1:5" x14ac:dyDescent="0.25">
      <c r="A4808" t="s">
        <v>1947</v>
      </c>
      <c r="B4808" t="s">
        <v>11641</v>
      </c>
      <c r="C4808" t="s">
        <v>2082</v>
      </c>
      <c r="D4808" t="s">
        <v>2415</v>
      </c>
      <c r="E4808" t="s">
        <v>2170</v>
      </c>
    </row>
    <row r="4809" spans="1:5" x14ac:dyDescent="0.25">
      <c r="A4809" t="s">
        <v>1947</v>
      </c>
      <c r="B4809" t="s">
        <v>11642</v>
      </c>
      <c r="C4809" t="s">
        <v>2086</v>
      </c>
      <c r="D4809" t="s">
        <v>2415</v>
      </c>
      <c r="E4809" t="s">
        <v>2170</v>
      </c>
    </row>
    <row r="4810" spans="1:5" x14ac:dyDescent="0.25">
      <c r="A4810" t="s">
        <v>1947</v>
      </c>
      <c r="B4810" t="s">
        <v>11643</v>
      </c>
      <c r="C4810" t="s">
        <v>2090</v>
      </c>
      <c r="D4810" t="s">
        <v>2415</v>
      </c>
      <c r="E4810" t="s">
        <v>2170</v>
      </c>
    </row>
    <row r="4811" spans="1:5" x14ac:dyDescent="0.25">
      <c r="A4811" t="s">
        <v>1947</v>
      </c>
      <c r="B4811" t="s">
        <v>11644</v>
      </c>
      <c r="C4811" t="s">
        <v>2094</v>
      </c>
      <c r="D4811" t="s">
        <v>2415</v>
      </c>
      <c r="E4811" t="s">
        <v>2170</v>
      </c>
    </row>
    <row r="4812" spans="1:5" x14ac:dyDescent="0.25">
      <c r="A4812" t="s">
        <v>1947</v>
      </c>
      <c r="B4812" t="s">
        <v>11645</v>
      </c>
      <c r="C4812" t="s">
        <v>2098</v>
      </c>
      <c r="D4812" t="s">
        <v>2415</v>
      </c>
      <c r="E4812" t="s">
        <v>2170</v>
      </c>
    </row>
    <row r="4813" spans="1:5" x14ac:dyDescent="0.25">
      <c r="A4813" t="s">
        <v>1947</v>
      </c>
      <c r="B4813" t="s">
        <v>11646</v>
      </c>
      <c r="C4813" t="s">
        <v>2102</v>
      </c>
      <c r="D4813" t="s">
        <v>2415</v>
      </c>
      <c r="E4813" t="s">
        <v>2170</v>
      </c>
    </row>
    <row r="4814" spans="1:5" x14ac:dyDescent="0.25">
      <c r="A4814" t="s">
        <v>1947</v>
      </c>
      <c r="B4814" t="s">
        <v>11647</v>
      </c>
      <c r="C4814" t="s">
        <v>2106</v>
      </c>
      <c r="D4814" t="s">
        <v>2415</v>
      </c>
      <c r="E4814" t="s">
        <v>2170</v>
      </c>
    </row>
    <row r="4815" spans="1:5" x14ac:dyDescent="0.25">
      <c r="A4815" t="s">
        <v>1947</v>
      </c>
      <c r="B4815" t="s">
        <v>11648</v>
      </c>
      <c r="C4815" t="s">
        <v>2110</v>
      </c>
      <c r="D4815" t="s">
        <v>2415</v>
      </c>
      <c r="E4815" t="s">
        <v>2170</v>
      </c>
    </row>
    <row r="4816" spans="1:5" x14ac:dyDescent="0.25">
      <c r="A4816" t="s">
        <v>1947</v>
      </c>
      <c r="B4816" t="s">
        <v>11649</v>
      </c>
      <c r="C4816" t="s">
        <v>2114</v>
      </c>
      <c r="D4816" t="s">
        <v>2415</v>
      </c>
      <c r="E4816" t="s">
        <v>2170</v>
      </c>
    </row>
    <row r="4817" spans="1:5" x14ac:dyDescent="0.25">
      <c r="A4817" t="s">
        <v>1947</v>
      </c>
      <c r="B4817" t="s">
        <v>11650</v>
      </c>
      <c r="C4817" t="s">
        <v>2118</v>
      </c>
      <c r="D4817" t="s">
        <v>2415</v>
      </c>
      <c r="E4817" t="s">
        <v>2170</v>
      </c>
    </row>
    <row r="4818" spans="1:5" x14ac:dyDescent="0.25">
      <c r="A4818" t="s">
        <v>1947</v>
      </c>
      <c r="B4818" t="s">
        <v>11651</v>
      </c>
      <c r="C4818" t="s">
        <v>2122</v>
      </c>
      <c r="D4818" t="s">
        <v>2415</v>
      </c>
      <c r="E4818" t="s">
        <v>2170</v>
      </c>
    </row>
    <row r="4819" spans="1:5" x14ac:dyDescent="0.25">
      <c r="A4819" t="s">
        <v>1947</v>
      </c>
      <c r="B4819" t="s">
        <v>11652</v>
      </c>
      <c r="C4819" t="s">
        <v>2029</v>
      </c>
      <c r="D4819" t="s">
        <v>2415</v>
      </c>
      <c r="E4819" t="s">
        <v>2170</v>
      </c>
    </row>
    <row r="4820" spans="1:5" x14ac:dyDescent="0.25">
      <c r="A4820" t="s">
        <v>1947</v>
      </c>
      <c r="B4820" t="s">
        <v>11653</v>
      </c>
      <c r="C4820" t="s">
        <v>2033</v>
      </c>
      <c r="D4820" t="s">
        <v>2415</v>
      </c>
      <c r="E4820" t="s">
        <v>2170</v>
      </c>
    </row>
    <row r="4821" spans="1:5" x14ac:dyDescent="0.25">
      <c r="A4821" t="s">
        <v>1947</v>
      </c>
      <c r="B4821" t="s">
        <v>11654</v>
      </c>
      <c r="C4821" t="s">
        <v>2037</v>
      </c>
      <c r="D4821" t="s">
        <v>2415</v>
      </c>
      <c r="E4821" t="s">
        <v>2170</v>
      </c>
    </row>
    <row r="4822" spans="1:5" x14ac:dyDescent="0.25">
      <c r="A4822" t="s">
        <v>1947</v>
      </c>
      <c r="B4822" t="s">
        <v>11655</v>
      </c>
      <c r="C4822" t="s">
        <v>2041</v>
      </c>
      <c r="D4822" t="s">
        <v>2415</v>
      </c>
      <c r="E4822" t="s">
        <v>2170</v>
      </c>
    </row>
    <row r="4823" spans="1:5" x14ac:dyDescent="0.25">
      <c r="A4823" t="s">
        <v>1947</v>
      </c>
      <c r="B4823" t="s">
        <v>11656</v>
      </c>
      <c r="C4823" t="s">
        <v>2045</v>
      </c>
      <c r="D4823" t="s">
        <v>2415</v>
      </c>
      <c r="E4823" t="s">
        <v>2170</v>
      </c>
    </row>
    <row r="4824" spans="1:5" x14ac:dyDescent="0.25">
      <c r="A4824" t="s">
        <v>1947</v>
      </c>
      <c r="B4824" t="s">
        <v>11657</v>
      </c>
      <c r="C4824" t="s">
        <v>2049</v>
      </c>
      <c r="D4824" t="s">
        <v>2415</v>
      </c>
      <c r="E4824" t="s">
        <v>2170</v>
      </c>
    </row>
    <row r="4825" spans="1:5" x14ac:dyDescent="0.25">
      <c r="A4825" t="s">
        <v>1947</v>
      </c>
      <c r="B4825" t="s">
        <v>11658</v>
      </c>
      <c r="C4825" t="s">
        <v>2053</v>
      </c>
      <c r="D4825" t="s">
        <v>2415</v>
      </c>
      <c r="E4825" t="s">
        <v>2170</v>
      </c>
    </row>
    <row r="4826" spans="1:5" x14ac:dyDescent="0.25">
      <c r="A4826" t="s">
        <v>1947</v>
      </c>
      <c r="B4826" t="s">
        <v>11659</v>
      </c>
      <c r="C4826" t="s">
        <v>2057</v>
      </c>
      <c r="D4826" t="s">
        <v>2415</v>
      </c>
      <c r="E4826" t="s">
        <v>2170</v>
      </c>
    </row>
    <row r="4827" spans="1:5" x14ac:dyDescent="0.25">
      <c r="A4827" t="s">
        <v>1947</v>
      </c>
      <c r="B4827" t="s">
        <v>11660</v>
      </c>
      <c r="C4827" t="s">
        <v>2061</v>
      </c>
      <c r="D4827" t="s">
        <v>2415</v>
      </c>
      <c r="E4827" t="s">
        <v>2170</v>
      </c>
    </row>
    <row r="4828" spans="1:5" x14ac:dyDescent="0.25">
      <c r="A4828" t="s">
        <v>1947</v>
      </c>
      <c r="B4828" t="s">
        <v>11661</v>
      </c>
      <c r="C4828" t="s">
        <v>2064</v>
      </c>
      <c r="D4828" t="s">
        <v>2415</v>
      </c>
      <c r="E4828" t="s">
        <v>2170</v>
      </c>
    </row>
    <row r="4829" spans="1:5" x14ac:dyDescent="0.25">
      <c r="A4829" t="s">
        <v>1947</v>
      </c>
      <c r="B4829" t="s">
        <v>11662</v>
      </c>
      <c r="C4829" t="s">
        <v>2068</v>
      </c>
      <c r="D4829" t="s">
        <v>2415</v>
      </c>
      <c r="E4829" t="s">
        <v>2170</v>
      </c>
    </row>
    <row r="4830" spans="1:5" x14ac:dyDescent="0.25">
      <c r="A4830" t="s">
        <v>1947</v>
      </c>
      <c r="B4830" t="s">
        <v>11663</v>
      </c>
      <c r="C4830" t="s">
        <v>2072</v>
      </c>
      <c r="D4830" t="s">
        <v>2415</v>
      </c>
      <c r="E4830" t="s">
        <v>2170</v>
      </c>
    </row>
    <row r="4831" spans="1:5" x14ac:dyDescent="0.25">
      <c r="A4831" t="s">
        <v>1947</v>
      </c>
      <c r="B4831" t="s">
        <v>11664</v>
      </c>
      <c r="C4831" t="s">
        <v>2076</v>
      </c>
      <c r="D4831" t="s">
        <v>2415</v>
      </c>
      <c r="E4831" t="s">
        <v>2170</v>
      </c>
    </row>
    <row r="4832" spans="1:5" x14ac:dyDescent="0.25">
      <c r="A4832" t="s">
        <v>1947</v>
      </c>
      <c r="B4832" t="s">
        <v>11665</v>
      </c>
      <c r="C4832" t="s">
        <v>2080</v>
      </c>
      <c r="D4832" t="s">
        <v>2415</v>
      </c>
      <c r="E4832" t="s">
        <v>2170</v>
      </c>
    </row>
    <row r="4833" spans="1:5" x14ac:dyDescent="0.25">
      <c r="A4833" t="s">
        <v>1947</v>
      </c>
      <c r="B4833" t="s">
        <v>11666</v>
      </c>
      <c r="C4833" t="s">
        <v>2084</v>
      </c>
      <c r="D4833" t="s">
        <v>2415</v>
      </c>
      <c r="E4833" t="s">
        <v>2170</v>
      </c>
    </row>
    <row r="4834" spans="1:5" x14ac:dyDescent="0.25">
      <c r="A4834" t="s">
        <v>1947</v>
      </c>
      <c r="B4834" t="s">
        <v>11667</v>
      </c>
      <c r="C4834" t="s">
        <v>2088</v>
      </c>
      <c r="D4834" t="s">
        <v>2415</v>
      </c>
      <c r="E4834" t="s">
        <v>2170</v>
      </c>
    </row>
    <row r="4835" spans="1:5" x14ac:dyDescent="0.25">
      <c r="A4835" t="s">
        <v>1947</v>
      </c>
      <c r="B4835" t="s">
        <v>11668</v>
      </c>
      <c r="C4835" t="s">
        <v>2092</v>
      </c>
      <c r="D4835" t="s">
        <v>2415</v>
      </c>
      <c r="E4835" t="s">
        <v>2170</v>
      </c>
    </row>
    <row r="4836" spans="1:5" x14ac:dyDescent="0.25">
      <c r="A4836" t="s">
        <v>1947</v>
      </c>
      <c r="B4836" t="s">
        <v>11669</v>
      </c>
      <c r="C4836" t="s">
        <v>2096</v>
      </c>
      <c r="D4836" t="s">
        <v>2415</v>
      </c>
      <c r="E4836" t="s">
        <v>2170</v>
      </c>
    </row>
    <row r="4837" spans="1:5" x14ac:dyDescent="0.25">
      <c r="A4837" t="s">
        <v>1947</v>
      </c>
      <c r="B4837" t="s">
        <v>11670</v>
      </c>
      <c r="C4837" t="s">
        <v>2100</v>
      </c>
      <c r="D4837" t="s">
        <v>2415</v>
      </c>
      <c r="E4837" t="s">
        <v>2170</v>
      </c>
    </row>
    <row r="4838" spans="1:5" x14ac:dyDescent="0.25">
      <c r="A4838" t="s">
        <v>1947</v>
      </c>
      <c r="B4838" t="s">
        <v>11671</v>
      </c>
      <c r="C4838" t="s">
        <v>2104</v>
      </c>
      <c r="D4838" t="s">
        <v>2415</v>
      </c>
      <c r="E4838" t="s">
        <v>2170</v>
      </c>
    </row>
    <row r="4839" spans="1:5" x14ac:dyDescent="0.25">
      <c r="A4839" t="s">
        <v>1947</v>
      </c>
      <c r="B4839" t="s">
        <v>11672</v>
      </c>
      <c r="C4839" t="s">
        <v>2108</v>
      </c>
      <c r="D4839" t="s">
        <v>2415</v>
      </c>
      <c r="E4839" t="s">
        <v>2170</v>
      </c>
    </row>
    <row r="4840" spans="1:5" x14ac:dyDescent="0.25">
      <c r="A4840" t="s">
        <v>1947</v>
      </c>
      <c r="B4840" t="s">
        <v>11673</v>
      </c>
      <c r="C4840" t="s">
        <v>2112</v>
      </c>
      <c r="D4840" t="s">
        <v>2415</v>
      </c>
      <c r="E4840" t="s">
        <v>2170</v>
      </c>
    </row>
    <row r="4841" spans="1:5" x14ac:dyDescent="0.25">
      <c r="A4841" t="s">
        <v>1947</v>
      </c>
      <c r="B4841" t="s">
        <v>11674</v>
      </c>
      <c r="C4841" t="s">
        <v>2116</v>
      </c>
      <c r="D4841" t="s">
        <v>2415</v>
      </c>
      <c r="E4841" t="s">
        <v>2170</v>
      </c>
    </row>
    <row r="4842" spans="1:5" x14ac:dyDescent="0.25">
      <c r="A4842" t="s">
        <v>1947</v>
      </c>
      <c r="B4842" t="s">
        <v>11675</v>
      </c>
      <c r="C4842" t="s">
        <v>2120</v>
      </c>
      <c r="D4842" t="s">
        <v>2415</v>
      </c>
      <c r="E4842" t="s">
        <v>2170</v>
      </c>
    </row>
    <row r="4843" spans="1:5" x14ac:dyDescent="0.25">
      <c r="A4843" t="s">
        <v>1947</v>
      </c>
      <c r="B4843" t="s">
        <v>11676</v>
      </c>
      <c r="C4843" t="s">
        <v>2124</v>
      </c>
      <c r="D4843" t="s">
        <v>2415</v>
      </c>
      <c r="E4843" t="s">
        <v>2170</v>
      </c>
    </row>
    <row r="4844" spans="1:5" x14ac:dyDescent="0.25">
      <c r="A4844" t="s">
        <v>1947</v>
      </c>
      <c r="B4844" t="s">
        <v>11677</v>
      </c>
      <c r="C4844" t="s">
        <v>11678</v>
      </c>
      <c r="D4844" t="s">
        <v>2646</v>
      </c>
      <c r="E4844" t="s">
        <v>2170</v>
      </c>
    </row>
    <row r="4845" spans="1:5" x14ac:dyDescent="0.25">
      <c r="A4845" t="s">
        <v>1947</v>
      </c>
      <c r="B4845" t="s">
        <v>11679</v>
      </c>
      <c r="C4845" t="s">
        <v>1197</v>
      </c>
      <c r="D4845" t="s">
        <v>11680</v>
      </c>
      <c r="E4845" t="s">
        <v>2170</v>
      </c>
    </row>
    <row r="4846" spans="1:5" x14ac:dyDescent="0.25">
      <c r="A4846" t="s">
        <v>1947</v>
      </c>
      <c r="B4846" t="s">
        <v>11681</v>
      </c>
      <c r="C4846" t="s">
        <v>1214</v>
      </c>
      <c r="D4846" t="s">
        <v>11680</v>
      </c>
      <c r="E4846" t="s">
        <v>2170</v>
      </c>
    </row>
    <row r="4847" spans="1:5" x14ac:dyDescent="0.25">
      <c r="A4847" t="s">
        <v>1947</v>
      </c>
      <c r="B4847" t="s">
        <v>11682</v>
      </c>
      <c r="C4847" t="s">
        <v>1227</v>
      </c>
      <c r="D4847" t="s">
        <v>11680</v>
      </c>
      <c r="E4847" t="s">
        <v>2170</v>
      </c>
    </row>
    <row r="4848" spans="1:5" x14ac:dyDescent="0.25">
      <c r="A4848" t="s">
        <v>1947</v>
      </c>
      <c r="B4848" t="s">
        <v>11683</v>
      </c>
      <c r="C4848" t="s">
        <v>1229</v>
      </c>
      <c r="D4848" t="s">
        <v>11680</v>
      </c>
      <c r="E4848" t="s">
        <v>2170</v>
      </c>
    </row>
    <row r="4849" spans="1:5" x14ac:dyDescent="0.25">
      <c r="A4849" t="s">
        <v>1947</v>
      </c>
      <c r="B4849" t="s">
        <v>11684</v>
      </c>
      <c r="C4849" t="s">
        <v>1236</v>
      </c>
      <c r="D4849" t="s">
        <v>11680</v>
      </c>
      <c r="E4849" t="s">
        <v>2170</v>
      </c>
    </row>
    <row r="4850" spans="1:5" x14ac:dyDescent="0.25">
      <c r="A4850" t="s">
        <v>1947</v>
      </c>
      <c r="B4850" t="s">
        <v>11685</v>
      </c>
      <c r="C4850" t="s">
        <v>11686</v>
      </c>
      <c r="D4850" t="s">
        <v>11680</v>
      </c>
      <c r="E4850" t="s">
        <v>2170</v>
      </c>
    </row>
    <row r="4851" spans="1:5" x14ac:dyDescent="0.25">
      <c r="A4851" t="s">
        <v>1951</v>
      </c>
      <c r="B4851" t="s">
        <v>11687</v>
      </c>
      <c r="C4851" t="s">
        <v>11688</v>
      </c>
      <c r="D4851" t="s">
        <v>3008</v>
      </c>
      <c r="E4851" t="s">
        <v>2170</v>
      </c>
    </row>
    <row r="4852" spans="1:5" x14ac:dyDescent="0.25">
      <c r="A4852" t="s">
        <v>1951</v>
      </c>
      <c r="B4852" t="s">
        <v>11689</v>
      </c>
      <c r="C4852" t="s">
        <v>11690</v>
      </c>
      <c r="D4852" t="s">
        <v>3008</v>
      </c>
      <c r="E4852" t="s">
        <v>2170</v>
      </c>
    </row>
    <row r="4853" spans="1:5" x14ac:dyDescent="0.25">
      <c r="A4853" t="s">
        <v>1951</v>
      </c>
      <c r="B4853" t="s">
        <v>11691</v>
      </c>
      <c r="C4853" t="s">
        <v>11692</v>
      </c>
      <c r="D4853" t="s">
        <v>3008</v>
      </c>
      <c r="E4853" t="s">
        <v>2170</v>
      </c>
    </row>
    <row r="4854" spans="1:5" x14ac:dyDescent="0.25">
      <c r="A4854" t="s">
        <v>1951</v>
      </c>
      <c r="B4854" t="s">
        <v>11693</v>
      </c>
      <c r="C4854" t="s">
        <v>11694</v>
      </c>
      <c r="D4854" t="s">
        <v>3008</v>
      </c>
      <c r="E4854" t="s">
        <v>2170</v>
      </c>
    </row>
    <row r="4855" spans="1:5" x14ac:dyDescent="0.25">
      <c r="A4855" t="s">
        <v>1951</v>
      </c>
      <c r="B4855" t="s">
        <v>11695</v>
      </c>
      <c r="C4855" t="s">
        <v>11696</v>
      </c>
      <c r="D4855" t="s">
        <v>3008</v>
      </c>
      <c r="E4855" t="s">
        <v>2170</v>
      </c>
    </row>
    <row r="4856" spans="1:5" x14ac:dyDescent="0.25">
      <c r="A4856" t="s">
        <v>1951</v>
      </c>
      <c r="B4856" t="s">
        <v>11697</v>
      </c>
      <c r="C4856" t="s">
        <v>11698</v>
      </c>
      <c r="D4856" t="s">
        <v>3008</v>
      </c>
      <c r="E4856" t="s">
        <v>2170</v>
      </c>
    </row>
    <row r="4857" spans="1:5" x14ac:dyDescent="0.25">
      <c r="A4857" t="s">
        <v>1951</v>
      </c>
      <c r="B4857" t="s">
        <v>11699</v>
      </c>
      <c r="C4857" t="s">
        <v>2059</v>
      </c>
      <c r="D4857" t="s">
        <v>3008</v>
      </c>
      <c r="E4857" t="s">
        <v>2170</v>
      </c>
    </row>
    <row r="4858" spans="1:5" x14ac:dyDescent="0.25">
      <c r="A4858" t="s">
        <v>1951</v>
      </c>
      <c r="B4858" t="s">
        <v>11700</v>
      </c>
      <c r="C4858" t="s">
        <v>11701</v>
      </c>
      <c r="D4858" t="s">
        <v>3008</v>
      </c>
      <c r="E4858" t="s">
        <v>2170</v>
      </c>
    </row>
    <row r="4859" spans="1:5" x14ac:dyDescent="0.25">
      <c r="A4859" t="s">
        <v>1951</v>
      </c>
      <c r="B4859" t="s">
        <v>11702</v>
      </c>
      <c r="C4859" t="s">
        <v>11703</v>
      </c>
      <c r="D4859" t="s">
        <v>3008</v>
      </c>
      <c r="E4859" t="s">
        <v>2170</v>
      </c>
    </row>
    <row r="4860" spans="1:5" x14ac:dyDescent="0.25">
      <c r="A4860" t="s">
        <v>1951</v>
      </c>
      <c r="B4860" t="s">
        <v>11704</v>
      </c>
      <c r="C4860" t="s">
        <v>1950</v>
      </c>
      <c r="D4860" t="s">
        <v>3008</v>
      </c>
      <c r="E4860" t="s">
        <v>2170</v>
      </c>
    </row>
    <row r="4861" spans="1:5" x14ac:dyDescent="0.25">
      <c r="A4861" t="s">
        <v>1951</v>
      </c>
      <c r="B4861" t="s">
        <v>11705</v>
      </c>
      <c r="C4861" t="s">
        <v>11706</v>
      </c>
      <c r="D4861" t="s">
        <v>3008</v>
      </c>
      <c r="E4861" t="s">
        <v>2170</v>
      </c>
    </row>
    <row r="4862" spans="1:5" x14ac:dyDescent="0.25">
      <c r="A4862" t="s">
        <v>1951</v>
      </c>
      <c r="B4862" t="s">
        <v>11707</v>
      </c>
      <c r="C4862" t="s">
        <v>2398</v>
      </c>
      <c r="D4862" t="s">
        <v>3008</v>
      </c>
      <c r="E4862" t="s">
        <v>2170</v>
      </c>
    </row>
    <row r="4863" spans="1:5" x14ac:dyDescent="0.25">
      <c r="A4863" t="s">
        <v>1951</v>
      </c>
      <c r="B4863" t="s">
        <v>11708</v>
      </c>
      <c r="C4863" t="s">
        <v>11709</v>
      </c>
      <c r="D4863" t="s">
        <v>3008</v>
      </c>
      <c r="E4863" t="s">
        <v>2170</v>
      </c>
    </row>
    <row r="4864" spans="1:5" x14ac:dyDescent="0.25">
      <c r="A4864" t="s">
        <v>1951</v>
      </c>
      <c r="B4864" t="s">
        <v>11710</v>
      </c>
      <c r="C4864" t="s">
        <v>11711</v>
      </c>
      <c r="D4864" t="s">
        <v>3008</v>
      </c>
      <c r="E4864" t="s">
        <v>2170</v>
      </c>
    </row>
    <row r="4865" spans="1:5" x14ac:dyDescent="0.25">
      <c r="A4865" t="s">
        <v>1951</v>
      </c>
      <c r="B4865" t="s">
        <v>11712</v>
      </c>
      <c r="C4865" t="s">
        <v>11713</v>
      </c>
      <c r="D4865" t="s">
        <v>3008</v>
      </c>
      <c r="E4865" t="s">
        <v>2170</v>
      </c>
    </row>
    <row r="4866" spans="1:5" x14ac:dyDescent="0.25">
      <c r="A4866" t="s">
        <v>1951</v>
      </c>
      <c r="B4866" t="s">
        <v>11714</v>
      </c>
      <c r="C4866" t="s">
        <v>1392</v>
      </c>
      <c r="D4866" t="s">
        <v>3008</v>
      </c>
      <c r="E4866" t="s">
        <v>2170</v>
      </c>
    </row>
    <row r="4867" spans="1:5" x14ac:dyDescent="0.25">
      <c r="A4867" t="s">
        <v>1951</v>
      </c>
      <c r="B4867" t="s">
        <v>11715</v>
      </c>
      <c r="C4867" t="s">
        <v>11716</v>
      </c>
      <c r="D4867" t="s">
        <v>3008</v>
      </c>
      <c r="E4867" t="s">
        <v>2170</v>
      </c>
    </row>
    <row r="4868" spans="1:5" x14ac:dyDescent="0.25">
      <c r="A4868" t="s">
        <v>1951</v>
      </c>
      <c r="B4868" t="s">
        <v>11717</v>
      </c>
      <c r="C4868" t="s">
        <v>11718</v>
      </c>
      <c r="D4868" t="s">
        <v>3008</v>
      </c>
      <c r="E4868" t="s">
        <v>2170</v>
      </c>
    </row>
    <row r="4869" spans="1:5" x14ac:dyDescent="0.25">
      <c r="A4869" t="s">
        <v>1951</v>
      </c>
      <c r="B4869" t="s">
        <v>11719</v>
      </c>
      <c r="C4869" t="s">
        <v>11720</v>
      </c>
      <c r="D4869" t="s">
        <v>3008</v>
      </c>
      <c r="E4869" t="s">
        <v>2170</v>
      </c>
    </row>
    <row r="4870" spans="1:5" x14ac:dyDescent="0.25">
      <c r="A4870" t="s">
        <v>1954</v>
      </c>
      <c r="B4870" t="s">
        <v>11721</v>
      </c>
      <c r="C4870" t="s">
        <v>11722</v>
      </c>
      <c r="D4870" t="s">
        <v>2311</v>
      </c>
      <c r="E4870" t="s">
        <v>2170</v>
      </c>
    </row>
    <row r="4871" spans="1:5" x14ac:dyDescent="0.25">
      <c r="A4871" t="s">
        <v>1954</v>
      </c>
      <c r="B4871" t="s">
        <v>11723</v>
      </c>
      <c r="C4871" t="s">
        <v>11724</v>
      </c>
      <c r="D4871" t="s">
        <v>2311</v>
      </c>
      <c r="E4871" t="s">
        <v>2170</v>
      </c>
    </row>
    <row r="4872" spans="1:5" x14ac:dyDescent="0.25">
      <c r="A4872" t="s">
        <v>1954</v>
      </c>
      <c r="B4872" t="s">
        <v>11725</v>
      </c>
      <c r="C4872" t="s">
        <v>11726</v>
      </c>
      <c r="D4872" t="s">
        <v>2311</v>
      </c>
      <c r="E4872" t="s">
        <v>2170</v>
      </c>
    </row>
    <row r="4873" spans="1:5" x14ac:dyDescent="0.25">
      <c r="A4873" t="s">
        <v>1954</v>
      </c>
      <c r="B4873" t="s">
        <v>11727</v>
      </c>
      <c r="C4873" t="s">
        <v>11728</v>
      </c>
      <c r="D4873" t="s">
        <v>2311</v>
      </c>
      <c r="E4873" t="s">
        <v>2170</v>
      </c>
    </row>
    <row r="4874" spans="1:5" x14ac:dyDescent="0.25">
      <c r="A4874" t="s">
        <v>1954</v>
      </c>
      <c r="B4874" t="s">
        <v>11729</v>
      </c>
      <c r="C4874" t="s">
        <v>11730</v>
      </c>
      <c r="D4874" t="s">
        <v>2311</v>
      </c>
      <c r="E4874" t="s">
        <v>2170</v>
      </c>
    </row>
    <row r="4875" spans="1:5" x14ac:dyDescent="0.25">
      <c r="A4875" t="s">
        <v>1954</v>
      </c>
      <c r="B4875" t="s">
        <v>11731</v>
      </c>
      <c r="C4875" t="s">
        <v>11732</v>
      </c>
      <c r="D4875" t="s">
        <v>2311</v>
      </c>
      <c r="E4875" t="s">
        <v>2170</v>
      </c>
    </row>
    <row r="4876" spans="1:5" x14ac:dyDescent="0.25">
      <c r="A4876" t="s">
        <v>1954</v>
      </c>
      <c r="B4876" t="s">
        <v>11733</v>
      </c>
      <c r="C4876" t="s">
        <v>11734</v>
      </c>
      <c r="D4876" t="s">
        <v>2311</v>
      </c>
      <c r="E4876" t="s">
        <v>2170</v>
      </c>
    </row>
    <row r="4877" spans="1:5" x14ac:dyDescent="0.25">
      <c r="A4877" t="s">
        <v>1954</v>
      </c>
      <c r="B4877" t="s">
        <v>11735</v>
      </c>
      <c r="C4877" t="s">
        <v>11736</v>
      </c>
      <c r="D4877" t="s">
        <v>9659</v>
      </c>
      <c r="E4877" t="s">
        <v>2170</v>
      </c>
    </row>
    <row r="4878" spans="1:5" x14ac:dyDescent="0.25">
      <c r="A4878" t="s">
        <v>1954</v>
      </c>
      <c r="B4878" t="s">
        <v>11737</v>
      </c>
      <c r="C4878" t="s">
        <v>11738</v>
      </c>
      <c r="D4878" t="s">
        <v>2311</v>
      </c>
      <c r="E4878" t="s">
        <v>2170</v>
      </c>
    </row>
    <row r="4879" spans="1:5" x14ac:dyDescent="0.25">
      <c r="A4879" t="s">
        <v>1954</v>
      </c>
      <c r="B4879" t="s">
        <v>11739</v>
      </c>
      <c r="C4879" t="s">
        <v>11740</v>
      </c>
      <c r="D4879" t="s">
        <v>2311</v>
      </c>
      <c r="E4879" t="s">
        <v>2170</v>
      </c>
    </row>
    <row r="4880" spans="1:5" x14ac:dyDescent="0.25">
      <c r="A4880" t="s">
        <v>1954</v>
      </c>
      <c r="B4880" t="s">
        <v>11741</v>
      </c>
      <c r="C4880" t="s">
        <v>11742</v>
      </c>
      <c r="D4880" t="s">
        <v>2311</v>
      </c>
      <c r="E4880" t="s">
        <v>2170</v>
      </c>
    </row>
    <row r="4881" spans="1:5" x14ac:dyDescent="0.25">
      <c r="A4881" t="s">
        <v>1954</v>
      </c>
      <c r="B4881" t="s">
        <v>11743</v>
      </c>
      <c r="C4881" t="s">
        <v>11744</v>
      </c>
      <c r="D4881" t="s">
        <v>2318</v>
      </c>
      <c r="E4881" t="s">
        <v>2170</v>
      </c>
    </row>
    <row r="4882" spans="1:5" x14ac:dyDescent="0.25">
      <c r="A4882" t="s">
        <v>1954</v>
      </c>
      <c r="B4882" t="s">
        <v>11745</v>
      </c>
      <c r="C4882" t="s">
        <v>11744</v>
      </c>
      <c r="D4882" t="s">
        <v>2311</v>
      </c>
      <c r="E4882" t="s">
        <v>2170</v>
      </c>
    </row>
    <row r="4883" spans="1:5" x14ac:dyDescent="0.25">
      <c r="A4883" t="s">
        <v>1954</v>
      </c>
      <c r="B4883" t="s">
        <v>11746</v>
      </c>
      <c r="C4883" t="s">
        <v>11747</v>
      </c>
      <c r="D4883" t="s">
        <v>2311</v>
      </c>
      <c r="E4883" t="s">
        <v>2170</v>
      </c>
    </row>
    <row r="4884" spans="1:5" x14ac:dyDescent="0.25">
      <c r="A4884" t="s">
        <v>1960</v>
      </c>
      <c r="B4884" t="s">
        <v>11748</v>
      </c>
      <c r="C4884" t="s">
        <v>11749</v>
      </c>
      <c r="D4884" t="s">
        <v>2169</v>
      </c>
      <c r="E4884" t="s">
        <v>2170</v>
      </c>
    </row>
    <row r="4885" spans="1:5" x14ac:dyDescent="0.25">
      <c r="A4885" t="s">
        <v>1960</v>
      </c>
      <c r="B4885" t="s">
        <v>11750</v>
      </c>
      <c r="C4885" t="s">
        <v>11751</v>
      </c>
      <c r="D4885" t="s">
        <v>2169</v>
      </c>
      <c r="E4885" t="s">
        <v>2170</v>
      </c>
    </row>
    <row r="4886" spans="1:5" x14ac:dyDescent="0.25">
      <c r="A4886" t="s">
        <v>1960</v>
      </c>
      <c r="B4886" t="s">
        <v>11752</v>
      </c>
      <c r="C4886" t="s">
        <v>2613</v>
      </c>
      <c r="D4886" t="s">
        <v>2169</v>
      </c>
      <c r="E4886" t="s">
        <v>2170</v>
      </c>
    </row>
    <row r="4887" spans="1:5" x14ac:dyDescent="0.25">
      <c r="A4887" t="s">
        <v>1960</v>
      </c>
      <c r="B4887" t="s">
        <v>11753</v>
      </c>
      <c r="C4887" t="s">
        <v>4014</v>
      </c>
      <c r="D4887" t="s">
        <v>2169</v>
      </c>
      <c r="E4887" t="s">
        <v>2170</v>
      </c>
    </row>
    <row r="4888" spans="1:5" x14ac:dyDescent="0.25">
      <c r="A4888" t="s">
        <v>1960</v>
      </c>
      <c r="B4888" t="s">
        <v>11754</v>
      </c>
      <c r="C4888" t="s">
        <v>2268</v>
      </c>
      <c r="D4888" t="s">
        <v>2169</v>
      </c>
      <c r="E4888" t="s">
        <v>2170</v>
      </c>
    </row>
    <row r="4889" spans="1:5" x14ac:dyDescent="0.25">
      <c r="A4889" t="s">
        <v>1960</v>
      </c>
      <c r="B4889" t="s">
        <v>11755</v>
      </c>
      <c r="C4889" t="s">
        <v>4023</v>
      </c>
      <c r="D4889" t="s">
        <v>2169</v>
      </c>
      <c r="E4889" t="s">
        <v>2170</v>
      </c>
    </row>
    <row r="4890" spans="1:5" x14ac:dyDescent="0.25">
      <c r="A4890" t="s">
        <v>1963</v>
      </c>
      <c r="B4890" t="s">
        <v>11756</v>
      </c>
      <c r="C4890" t="s">
        <v>3069</v>
      </c>
      <c r="D4890" t="s">
        <v>2415</v>
      </c>
      <c r="E4890" t="s">
        <v>2170</v>
      </c>
    </row>
    <row r="4891" spans="1:5" x14ac:dyDescent="0.25">
      <c r="A4891" t="s">
        <v>1963</v>
      </c>
      <c r="B4891" t="s">
        <v>11757</v>
      </c>
      <c r="C4891" t="s">
        <v>11758</v>
      </c>
      <c r="D4891" t="s">
        <v>2415</v>
      </c>
      <c r="E4891" t="s">
        <v>2170</v>
      </c>
    </row>
    <row r="4892" spans="1:5" x14ac:dyDescent="0.25">
      <c r="A4892" t="s">
        <v>1963</v>
      </c>
      <c r="B4892" t="s">
        <v>11759</v>
      </c>
      <c r="C4892" t="s">
        <v>11760</v>
      </c>
      <c r="D4892" t="s">
        <v>2415</v>
      </c>
      <c r="E4892" t="s">
        <v>2170</v>
      </c>
    </row>
    <row r="4893" spans="1:5" x14ac:dyDescent="0.25">
      <c r="A4893" t="s">
        <v>1963</v>
      </c>
      <c r="B4893" t="s">
        <v>11761</v>
      </c>
      <c r="C4893" t="s">
        <v>11762</v>
      </c>
      <c r="D4893" t="s">
        <v>2415</v>
      </c>
      <c r="E4893" t="s">
        <v>2170</v>
      </c>
    </row>
    <row r="4894" spans="1:5" x14ac:dyDescent="0.25">
      <c r="A4894" t="s">
        <v>1963</v>
      </c>
      <c r="B4894" t="s">
        <v>11763</v>
      </c>
      <c r="C4894" t="s">
        <v>11764</v>
      </c>
      <c r="D4894" t="s">
        <v>2415</v>
      </c>
      <c r="E4894" t="s">
        <v>2170</v>
      </c>
    </row>
    <row r="4895" spans="1:5" x14ac:dyDescent="0.25">
      <c r="A4895" t="s">
        <v>1963</v>
      </c>
      <c r="B4895" t="s">
        <v>11765</v>
      </c>
      <c r="C4895" t="s">
        <v>3619</v>
      </c>
      <c r="D4895" t="s">
        <v>2415</v>
      </c>
      <c r="E4895" t="s">
        <v>2170</v>
      </c>
    </row>
    <row r="4896" spans="1:5" x14ac:dyDescent="0.25">
      <c r="A4896" t="s">
        <v>1963</v>
      </c>
      <c r="B4896" t="s">
        <v>11766</v>
      </c>
      <c r="C4896" t="s">
        <v>11767</v>
      </c>
      <c r="D4896" t="s">
        <v>2415</v>
      </c>
      <c r="E4896" t="s">
        <v>2170</v>
      </c>
    </row>
    <row r="4897" spans="1:5" x14ac:dyDescent="0.25">
      <c r="A4897" t="s">
        <v>1963</v>
      </c>
      <c r="B4897" t="s">
        <v>11768</v>
      </c>
      <c r="C4897" t="s">
        <v>11769</v>
      </c>
      <c r="D4897" t="s">
        <v>2415</v>
      </c>
      <c r="E4897" t="s">
        <v>2170</v>
      </c>
    </row>
    <row r="4898" spans="1:5" x14ac:dyDescent="0.25">
      <c r="A4898" t="s">
        <v>1963</v>
      </c>
      <c r="B4898" t="s">
        <v>11770</v>
      </c>
      <c r="C4898" t="s">
        <v>11771</v>
      </c>
      <c r="D4898" t="s">
        <v>2415</v>
      </c>
      <c r="E4898" t="s">
        <v>2170</v>
      </c>
    </row>
    <row r="4899" spans="1:5" x14ac:dyDescent="0.25">
      <c r="A4899" t="s">
        <v>1963</v>
      </c>
      <c r="B4899" t="s">
        <v>11772</v>
      </c>
      <c r="C4899" t="s">
        <v>11773</v>
      </c>
      <c r="D4899" t="s">
        <v>11774</v>
      </c>
      <c r="E4899" t="s">
        <v>2170</v>
      </c>
    </row>
    <row r="4900" spans="1:5" x14ac:dyDescent="0.25">
      <c r="A4900" t="s">
        <v>1963</v>
      </c>
      <c r="B4900" t="s">
        <v>11775</v>
      </c>
      <c r="C4900" t="s">
        <v>11776</v>
      </c>
      <c r="D4900" t="s">
        <v>3639</v>
      </c>
      <c r="E4900" t="s">
        <v>2170</v>
      </c>
    </row>
    <row r="4901" spans="1:5" x14ac:dyDescent="0.25">
      <c r="A4901" t="s">
        <v>1963</v>
      </c>
      <c r="B4901" t="s">
        <v>11777</v>
      </c>
      <c r="C4901" t="s">
        <v>11778</v>
      </c>
      <c r="D4901" t="s">
        <v>2415</v>
      </c>
      <c r="E4901" t="s">
        <v>2170</v>
      </c>
    </row>
    <row r="4902" spans="1:5" x14ac:dyDescent="0.25">
      <c r="A4902" t="s">
        <v>1963</v>
      </c>
      <c r="B4902" t="s">
        <v>11779</v>
      </c>
      <c r="C4902" t="s">
        <v>11780</v>
      </c>
      <c r="D4902" t="s">
        <v>2415</v>
      </c>
      <c r="E4902" t="s">
        <v>2170</v>
      </c>
    </row>
    <row r="4903" spans="1:5" x14ac:dyDescent="0.25">
      <c r="A4903" t="s">
        <v>1963</v>
      </c>
      <c r="B4903" t="s">
        <v>11781</v>
      </c>
      <c r="C4903" t="s">
        <v>11782</v>
      </c>
      <c r="D4903" t="s">
        <v>2415</v>
      </c>
      <c r="E4903" t="s">
        <v>2170</v>
      </c>
    </row>
    <row r="4904" spans="1:5" x14ac:dyDescent="0.25">
      <c r="A4904" t="s">
        <v>1963</v>
      </c>
      <c r="B4904" t="s">
        <v>11783</v>
      </c>
      <c r="C4904" t="s">
        <v>11784</v>
      </c>
      <c r="D4904" t="s">
        <v>2415</v>
      </c>
      <c r="E4904" t="s">
        <v>2170</v>
      </c>
    </row>
    <row r="4905" spans="1:5" x14ac:dyDescent="0.25">
      <c r="A4905" t="s">
        <v>1963</v>
      </c>
      <c r="B4905" t="s">
        <v>11785</v>
      </c>
      <c r="C4905" t="s">
        <v>11786</v>
      </c>
      <c r="D4905" t="s">
        <v>2415</v>
      </c>
      <c r="E4905" t="s">
        <v>2170</v>
      </c>
    </row>
    <row r="4906" spans="1:5" x14ac:dyDescent="0.25">
      <c r="A4906" t="s">
        <v>1963</v>
      </c>
      <c r="B4906" t="s">
        <v>11787</v>
      </c>
      <c r="C4906" t="s">
        <v>11788</v>
      </c>
      <c r="D4906" t="s">
        <v>2415</v>
      </c>
      <c r="E4906" t="s">
        <v>2170</v>
      </c>
    </row>
    <row r="4907" spans="1:5" x14ac:dyDescent="0.25">
      <c r="A4907" t="s">
        <v>1963</v>
      </c>
      <c r="B4907" t="s">
        <v>11789</v>
      </c>
      <c r="C4907" t="s">
        <v>11790</v>
      </c>
      <c r="D4907" t="s">
        <v>2415</v>
      </c>
      <c r="E4907" t="s">
        <v>2170</v>
      </c>
    </row>
    <row r="4908" spans="1:5" x14ac:dyDescent="0.25">
      <c r="A4908" t="s">
        <v>1963</v>
      </c>
      <c r="B4908" t="s">
        <v>11791</v>
      </c>
      <c r="C4908" t="s">
        <v>11792</v>
      </c>
      <c r="D4908" t="s">
        <v>2415</v>
      </c>
      <c r="E4908" t="s">
        <v>2170</v>
      </c>
    </row>
    <row r="4909" spans="1:5" x14ac:dyDescent="0.25">
      <c r="A4909" t="s">
        <v>1963</v>
      </c>
      <c r="B4909" t="s">
        <v>11793</v>
      </c>
      <c r="C4909" t="s">
        <v>11794</v>
      </c>
      <c r="D4909" t="s">
        <v>2415</v>
      </c>
      <c r="E4909" t="s">
        <v>2170</v>
      </c>
    </row>
    <row r="4910" spans="1:5" x14ac:dyDescent="0.25">
      <c r="A4910" t="s">
        <v>1963</v>
      </c>
      <c r="B4910" t="s">
        <v>11795</v>
      </c>
      <c r="C4910" t="s">
        <v>3667</v>
      </c>
      <c r="D4910" t="s">
        <v>2415</v>
      </c>
      <c r="E4910" t="s">
        <v>2170</v>
      </c>
    </row>
    <row r="4911" spans="1:5" x14ac:dyDescent="0.25">
      <c r="A4911" t="s">
        <v>1963</v>
      </c>
      <c r="B4911" t="s">
        <v>11796</v>
      </c>
      <c r="C4911" t="s">
        <v>11797</v>
      </c>
      <c r="D4911" t="s">
        <v>2415</v>
      </c>
      <c r="E4911" t="s">
        <v>2170</v>
      </c>
    </row>
    <row r="4912" spans="1:5" x14ac:dyDescent="0.25">
      <c r="A4912" t="s">
        <v>1963</v>
      </c>
      <c r="B4912" t="s">
        <v>11798</v>
      </c>
      <c r="C4912" t="s">
        <v>11799</v>
      </c>
      <c r="D4912" t="s">
        <v>2415</v>
      </c>
      <c r="E4912" t="s">
        <v>2170</v>
      </c>
    </row>
    <row r="4913" spans="1:5" x14ac:dyDescent="0.25">
      <c r="A4913" t="s">
        <v>1963</v>
      </c>
      <c r="B4913" t="s">
        <v>11800</v>
      </c>
      <c r="C4913" t="s">
        <v>11801</v>
      </c>
      <c r="D4913" t="s">
        <v>2415</v>
      </c>
      <c r="E4913" t="s">
        <v>2170</v>
      </c>
    </row>
    <row r="4914" spans="1:5" x14ac:dyDescent="0.25">
      <c r="A4914" t="s">
        <v>1963</v>
      </c>
      <c r="B4914" t="s">
        <v>11802</v>
      </c>
      <c r="C4914" t="s">
        <v>11803</v>
      </c>
      <c r="D4914" t="s">
        <v>2415</v>
      </c>
      <c r="E4914" t="s">
        <v>2170</v>
      </c>
    </row>
    <row r="4915" spans="1:5" x14ac:dyDescent="0.25">
      <c r="A4915" t="s">
        <v>1972</v>
      </c>
      <c r="B4915" t="s">
        <v>11804</v>
      </c>
      <c r="C4915" t="s">
        <v>11805</v>
      </c>
      <c r="D4915" t="s">
        <v>2200</v>
      </c>
      <c r="E4915" t="s">
        <v>2170</v>
      </c>
    </row>
    <row r="4916" spans="1:5" x14ac:dyDescent="0.25">
      <c r="A4916" t="s">
        <v>1972</v>
      </c>
      <c r="B4916" t="s">
        <v>11806</v>
      </c>
      <c r="C4916" t="s">
        <v>11807</v>
      </c>
      <c r="D4916" t="s">
        <v>2200</v>
      </c>
      <c r="E4916" t="s">
        <v>2170</v>
      </c>
    </row>
    <row r="4917" spans="1:5" x14ac:dyDescent="0.25">
      <c r="A4917" t="s">
        <v>1972</v>
      </c>
      <c r="B4917" t="s">
        <v>11808</v>
      </c>
      <c r="C4917" t="s">
        <v>11809</v>
      </c>
      <c r="D4917" t="s">
        <v>2200</v>
      </c>
      <c r="E4917" t="s">
        <v>2170</v>
      </c>
    </row>
    <row r="4918" spans="1:5" x14ac:dyDescent="0.25">
      <c r="A4918" t="s">
        <v>1972</v>
      </c>
      <c r="B4918" t="s">
        <v>11810</v>
      </c>
      <c r="C4918" t="s">
        <v>11811</v>
      </c>
      <c r="D4918" t="s">
        <v>2200</v>
      </c>
      <c r="E4918" t="s">
        <v>2170</v>
      </c>
    </row>
    <row r="4919" spans="1:5" x14ac:dyDescent="0.25">
      <c r="A4919" t="s">
        <v>1972</v>
      </c>
      <c r="B4919" t="s">
        <v>11812</v>
      </c>
      <c r="C4919" t="s">
        <v>11813</v>
      </c>
      <c r="D4919" t="s">
        <v>2200</v>
      </c>
      <c r="E4919" t="s">
        <v>2170</v>
      </c>
    </row>
    <row r="4920" spans="1:5" x14ac:dyDescent="0.25">
      <c r="A4920" t="s">
        <v>1972</v>
      </c>
      <c r="B4920" t="s">
        <v>11814</v>
      </c>
      <c r="C4920" t="s">
        <v>11815</v>
      </c>
      <c r="D4920" t="s">
        <v>2200</v>
      </c>
      <c r="E4920" t="s">
        <v>2170</v>
      </c>
    </row>
    <row r="4921" spans="1:5" x14ac:dyDescent="0.25">
      <c r="A4921" t="s">
        <v>1972</v>
      </c>
      <c r="B4921" t="s">
        <v>11816</v>
      </c>
      <c r="C4921" t="s">
        <v>11817</v>
      </c>
      <c r="D4921" t="s">
        <v>2200</v>
      </c>
      <c r="E4921" t="s">
        <v>2170</v>
      </c>
    </row>
    <row r="4922" spans="1:5" x14ac:dyDescent="0.25">
      <c r="A4922" t="s">
        <v>1972</v>
      </c>
      <c r="B4922" t="s">
        <v>11818</v>
      </c>
      <c r="C4922" t="s">
        <v>11819</v>
      </c>
      <c r="D4922" t="s">
        <v>2200</v>
      </c>
      <c r="E4922" t="s">
        <v>2170</v>
      </c>
    </row>
    <row r="4923" spans="1:5" x14ac:dyDescent="0.25">
      <c r="A4923" t="s">
        <v>1972</v>
      </c>
      <c r="B4923" t="s">
        <v>11820</v>
      </c>
      <c r="C4923" t="s">
        <v>11821</v>
      </c>
      <c r="D4923" t="s">
        <v>2200</v>
      </c>
      <c r="E4923" t="s">
        <v>2170</v>
      </c>
    </row>
    <row r="4924" spans="1:5" x14ac:dyDescent="0.25">
      <c r="A4924" t="s">
        <v>1972</v>
      </c>
      <c r="B4924" t="s">
        <v>11822</v>
      </c>
      <c r="C4924" t="s">
        <v>11823</v>
      </c>
      <c r="D4924" t="s">
        <v>2200</v>
      </c>
      <c r="E4924" t="s">
        <v>2170</v>
      </c>
    </row>
    <row r="4925" spans="1:5" x14ac:dyDescent="0.25">
      <c r="A4925" t="s">
        <v>1972</v>
      </c>
      <c r="B4925" t="s">
        <v>11824</v>
      </c>
      <c r="C4925" t="s">
        <v>11825</v>
      </c>
      <c r="D4925" t="s">
        <v>2200</v>
      </c>
      <c r="E4925" t="s">
        <v>2170</v>
      </c>
    </row>
    <row r="4926" spans="1:5" x14ac:dyDescent="0.25">
      <c r="A4926" t="s">
        <v>1972</v>
      </c>
      <c r="B4926" t="s">
        <v>11826</v>
      </c>
      <c r="C4926" t="s">
        <v>11827</v>
      </c>
      <c r="D4926" t="s">
        <v>2200</v>
      </c>
      <c r="E4926" t="s">
        <v>2170</v>
      </c>
    </row>
    <row r="4927" spans="1:5" x14ac:dyDescent="0.25">
      <c r="A4927" t="s">
        <v>1972</v>
      </c>
      <c r="B4927" t="s">
        <v>11828</v>
      </c>
      <c r="C4927" t="s">
        <v>11829</v>
      </c>
      <c r="D4927" t="s">
        <v>2469</v>
      </c>
      <c r="E4927" t="s">
        <v>2170</v>
      </c>
    </row>
    <row r="4928" spans="1:5" x14ac:dyDescent="0.25">
      <c r="A4928" t="s">
        <v>1972</v>
      </c>
      <c r="B4928" t="s">
        <v>11830</v>
      </c>
      <c r="C4928" t="s">
        <v>11831</v>
      </c>
      <c r="D4928" t="s">
        <v>2200</v>
      </c>
      <c r="E4928" t="s">
        <v>2170</v>
      </c>
    </row>
    <row r="4929" spans="1:5" x14ac:dyDescent="0.25">
      <c r="A4929" t="s">
        <v>1972</v>
      </c>
      <c r="B4929" t="s">
        <v>11832</v>
      </c>
      <c r="C4929" t="s">
        <v>11833</v>
      </c>
      <c r="D4929" t="s">
        <v>2469</v>
      </c>
      <c r="E4929" t="s">
        <v>2170</v>
      </c>
    </row>
    <row r="4930" spans="1:5" x14ac:dyDescent="0.25">
      <c r="A4930" t="s">
        <v>1972</v>
      </c>
      <c r="B4930" t="s">
        <v>11834</v>
      </c>
      <c r="C4930" t="s">
        <v>11835</v>
      </c>
      <c r="D4930" t="s">
        <v>2200</v>
      </c>
      <c r="E4930" t="s">
        <v>2170</v>
      </c>
    </row>
    <row r="4931" spans="1:5" x14ac:dyDescent="0.25">
      <c r="A4931" t="s">
        <v>1972</v>
      </c>
      <c r="B4931" t="s">
        <v>11836</v>
      </c>
      <c r="C4931" t="s">
        <v>11837</v>
      </c>
      <c r="D4931" t="s">
        <v>2200</v>
      </c>
      <c r="E4931" t="s">
        <v>2170</v>
      </c>
    </row>
    <row r="4932" spans="1:5" x14ac:dyDescent="0.25">
      <c r="A4932" t="s">
        <v>1972</v>
      </c>
      <c r="B4932" t="s">
        <v>11838</v>
      </c>
      <c r="C4932" t="s">
        <v>11839</v>
      </c>
      <c r="D4932" t="s">
        <v>2200</v>
      </c>
      <c r="E4932" t="s">
        <v>2170</v>
      </c>
    </row>
    <row r="4933" spans="1:5" x14ac:dyDescent="0.25">
      <c r="A4933" t="s">
        <v>1972</v>
      </c>
      <c r="B4933" t="s">
        <v>11840</v>
      </c>
      <c r="C4933" t="s">
        <v>11841</v>
      </c>
      <c r="D4933" t="s">
        <v>2200</v>
      </c>
      <c r="E4933" t="s">
        <v>2170</v>
      </c>
    </row>
    <row r="4934" spans="1:5" x14ac:dyDescent="0.25">
      <c r="A4934" t="s">
        <v>1972</v>
      </c>
      <c r="B4934" t="s">
        <v>11842</v>
      </c>
      <c r="C4934" t="s">
        <v>11843</v>
      </c>
      <c r="D4934" t="s">
        <v>2200</v>
      </c>
      <c r="E4934" t="s">
        <v>2170</v>
      </c>
    </row>
    <row r="4935" spans="1:5" x14ac:dyDescent="0.25">
      <c r="A4935" t="s">
        <v>1972</v>
      </c>
      <c r="B4935" t="s">
        <v>11844</v>
      </c>
      <c r="C4935" t="s">
        <v>11845</v>
      </c>
      <c r="D4935" t="s">
        <v>2200</v>
      </c>
      <c r="E4935" t="s">
        <v>2170</v>
      </c>
    </row>
    <row r="4936" spans="1:5" x14ac:dyDescent="0.25">
      <c r="A4936" t="s">
        <v>1972</v>
      </c>
      <c r="B4936" t="s">
        <v>11846</v>
      </c>
      <c r="C4936" t="s">
        <v>11847</v>
      </c>
      <c r="D4936" t="s">
        <v>2200</v>
      </c>
      <c r="E4936" t="s">
        <v>2170</v>
      </c>
    </row>
    <row r="4937" spans="1:5" x14ac:dyDescent="0.25">
      <c r="A4937" t="s">
        <v>1972</v>
      </c>
      <c r="B4937" t="s">
        <v>11848</v>
      </c>
      <c r="C4937" t="s">
        <v>11849</v>
      </c>
      <c r="D4937" t="s">
        <v>2200</v>
      </c>
      <c r="E4937" t="s">
        <v>2170</v>
      </c>
    </row>
    <row r="4938" spans="1:5" x14ac:dyDescent="0.25">
      <c r="A4938" t="s">
        <v>1972</v>
      </c>
      <c r="B4938" t="s">
        <v>11850</v>
      </c>
      <c r="C4938" t="s">
        <v>11851</v>
      </c>
      <c r="D4938" t="s">
        <v>2469</v>
      </c>
      <c r="E4938" t="s">
        <v>2170</v>
      </c>
    </row>
    <row r="4939" spans="1:5" x14ac:dyDescent="0.25">
      <c r="A4939" t="s">
        <v>1972</v>
      </c>
      <c r="B4939" t="s">
        <v>11852</v>
      </c>
      <c r="C4939" t="s">
        <v>11853</v>
      </c>
      <c r="D4939" t="s">
        <v>2200</v>
      </c>
      <c r="E4939" t="s">
        <v>2170</v>
      </c>
    </row>
    <row r="4940" spans="1:5" x14ac:dyDescent="0.25">
      <c r="A4940" t="s">
        <v>1972</v>
      </c>
      <c r="B4940" t="s">
        <v>11854</v>
      </c>
      <c r="C4940" t="s">
        <v>11855</v>
      </c>
      <c r="D4940" t="s">
        <v>2200</v>
      </c>
      <c r="E4940" t="s">
        <v>2170</v>
      </c>
    </row>
    <row r="4941" spans="1:5" x14ac:dyDescent="0.25">
      <c r="A4941" t="s">
        <v>1972</v>
      </c>
      <c r="B4941" t="s">
        <v>11856</v>
      </c>
      <c r="C4941" t="s">
        <v>11857</v>
      </c>
      <c r="D4941" t="s">
        <v>2469</v>
      </c>
      <c r="E4941" t="s">
        <v>2170</v>
      </c>
    </row>
    <row r="4942" spans="1:5" x14ac:dyDescent="0.25">
      <c r="A4942" t="s">
        <v>1972</v>
      </c>
      <c r="B4942" t="s">
        <v>11858</v>
      </c>
      <c r="C4942" t="s">
        <v>11859</v>
      </c>
      <c r="D4942" t="s">
        <v>2200</v>
      </c>
      <c r="E4942" t="s">
        <v>2170</v>
      </c>
    </row>
    <row r="4943" spans="1:5" x14ac:dyDescent="0.25">
      <c r="A4943" t="s">
        <v>1972</v>
      </c>
      <c r="B4943" t="s">
        <v>11860</v>
      </c>
      <c r="C4943" t="s">
        <v>11861</v>
      </c>
      <c r="D4943" t="s">
        <v>2469</v>
      </c>
      <c r="E4943" t="s">
        <v>2170</v>
      </c>
    </row>
    <row r="4944" spans="1:5" x14ac:dyDescent="0.25">
      <c r="A4944" t="s">
        <v>1972</v>
      </c>
      <c r="B4944" t="s">
        <v>11862</v>
      </c>
      <c r="C4944" t="s">
        <v>11863</v>
      </c>
      <c r="D4944" t="s">
        <v>2200</v>
      </c>
      <c r="E4944" t="s">
        <v>2170</v>
      </c>
    </row>
    <row r="4945" spans="1:5" x14ac:dyDescent="0.25">
      <c r="A4945" t="s">
        <v>1972</v>
      </c>
      <c r="B4945" t="s">
        <v>11864</v>
      </c>
      <c r="C4945" t="s">
        <v>11865</v>
      </c>
      <c r="D4945" t="s">
        <v>2200</v>
      </c>
      <c r="E4945" t="s">
        <v>2170</v>
      </c>
    </row>
    <row r="4946" spans="1:5" x14ac:dyDescent="0.25">
      <c r="A4946" t="s">
        <v>1972</v>
      </c>
      <c r="B4946" t="s">
        <v>11866</v>
      </c>
      <c r="C4946" t="s">
        <v>11867</v>
      </c>
      <c r="D4946" t="s">
        <v>2200</v>
      </c>
      <c r="E4946" t="s">
        <v>2170</v>
      </c>
    </row>
    <row r="4947" spans="1:5" x14ac:dyDescent="0.25">
      <c r="A4947" t="s">
        <v>1972</v>
      </c>
      <c r="B4947" t="s">
        <v>11868</v>
      </c>
      <c r="C4947" t="s">
        <v>11869</v>
      </c>
      <c r="D4947" t="s">
        <v>2200</v>
      </c>
      <c r="E4947" t="s">
        <v>2170</v>
      </c>
    </row>
    <row r="4948" spans="1:5" x14ac:dyDescent="0.25">
      <c r="A4948" t="s">
        <v>1972</v>
      </c>
      <c r="B4948" t="s">
        <v>11870</v>
      </c>
      <c r="C4948" t="s">
        <v>11871</v>
      </c>
      <c r="D4948" t="s">
        <v>2200</v>
      </c>
      <c r="E4948" t="s">
        <v>2170</v>
      </c>
    </row>
    <row r="4949" spans="1:5" x14ac:dyDescent="0.25">
      <c r="A4949" t="s">
        <v>1972</v>
      </c>
      <c r="B4949" t="s">
        <v>11872</v>
      </c>
      <c r="C4949" t="s">
        <v>11873</v>
      </c>
      <c r="D4949" t="s">
        <v>2200</v>
      </c>
      <c r="E4949" t="s">
        <v>2170</v>
      </c>
    </row>
    <row r="4950" spans="1:5" x14ac:dyDescent="0.25">
      <c r="A4950" t="s">
        <v>1972</v>
      </c>
      <c r="B4950" t="s">
        <v>11874</v>
      </c>
      <c r="C4950" t="s">
        <v>11875</v>
      </c>
      <c r="D4950" t="s">
        <v>2200</v>
      </c>
      <c r="E4950" t="s">
        <v>2170</v>
      </c>
    </row>
    <row r="4951" spans="1:5" x14ac:dyDescent="0.25">
      <c r="A4951" t="s">
        <v>1972</v>
      </c>
      <c r="B4951" t="s">
        <v>11876</v>
      </c>
      <c r="C4951" t="s">
        <v>11877</v>
      </c>
      <c r="D4951" t="s">
        <v>2200</v>
      </c>
      <c r="E4951" t="s">
        <v>2170</v>
      </c>
    </row>
    <row r="4952" spans="1:5" x14ac:dyDescent="0.25">
      <c r="A4952" t="s">
        <v>1972</v>
      </c>
      <c r="B4952" t="s">
        <v>11878</v>
      </c>
      <c r="C4952" t="s">
        <v>11879</v>
      </c>
      <c r="D4952" t="s">
        <v>2200</v>
      </c>
      <c r="E4952" t="s">
        <v>2170</v>
      </c>
    </row>
    <row r="4953" spans="1:5" x14ac:dyDescent="0.25">
      <c r="A4953" t="s">
        <v>1972</v>
      </c>
      <c r="B4953" t="s">
        <v>11880</v>
      </c>
      <c r="C4953" t="s">
        <v>11881</v>
      </c>
      <c r="D4953" t="s">
        <v>2200</v>
      </c>
      <c r="E4953" t="s">
        <v>2170</v>
      </c>
    </row>
    <row r="4954" spans="1:5" x14ac:dyDescent="0.25">
      <c r="A4954" t="s">
        <v>1972</v>
      </c>
      <c r="B4954" t="s">
        <v>11882</v>
      </c>
      <c r="C4954" t="s">
        <v>11883</v>
      </c>
      <c r="D4954" t="s">
        <v>2200</v>
      </c>
      <c r="E4954" t="s">
        <v>2170</v>
      </c>
    </row>
    <row r="4955" spans="1:5" x14ac:dyDescent="0.25">
      <c r="A4955" t="s">
        <v>1972</v>
      </c>
      <c r="B4955" t="s">
        <v>11884</v>
      </c>
      <c r="C4955" t="s">
        <v>11885</v>
      </c>
      <c r="D4955" t="s">
        <v>2200</v>
      </c>
      <c r="E4955" t="s">
        <v>2170</v>
      </c>
    </row>
    <row r="4956" spans="1:5" x14ac:dyDescent="0.25">
      <c r="A4956" t="s">
        <v>1972</v>
      </c>
      <c r="B4956" t="s">
        <v>11886</v>
      </c>
      <c r="C4956" t="s">
        <v>11887</v>
      </c>
      <c r="D4956" t="s">
        <v>2200</v>
      </c>
      <c r="E4956" t="s">
        <v>2170</v>
      </c>
    </row>
    <row r="4957" spans="1:5" x14ac:dyDescent="0.25">
      <c r="A4957" t="s">
        <v>1972</v>
      </c>
      <c r="B4957" t="s">
        <v>11888</v>
      </c>
      <c r="C4957" t="s">
        <v>11889</v>
      </c>
      <c r="D4957" t="s">
        <v>2200</v>
      </c>
      <c r="E4957" t="s">
        <v>2170</v>
      </c>
    </row>
    <row r="4958" spans="1:5" x14ac:dyDescent="0.25">
      <c r="A4958" t="s">
        <v>1972</v>
      </c>
      <c r="B4958" t="s">
        <v>11890</v>
      </c>
      <c r="C4958" t="s">
        <v>11891</v>
      </c>
      <c r="D4958" t="s">
        <v>2200</v>
      </c>
      <c r="E4958" t="s">
        <v>2170</v>
      </c>
    </row>
    <row r="4959" spans="1:5" x14ac:dyDescent="0.25">
      <c r="A4959" t="s">
        <v>1972</v>
      </c>
      <c r="B4959" t="s">
        <v>11892</v>
      </c>
      <c r="C4959" t="s">
        <v>11893</v>
      </c>
      <c r="D4959" t="s">
        <v>2200</v>
      </c>
      <c r="E4959" t="s">
        <v>2170</v>
      </c>
    </row>
    <row r="4960" spans="1:5" x14ac:dyDescent="0.25">
      <c r="A4960" t="s">
        <v>1972</v>
      </c>
      <c r="B4960" t="s">
        <v>11894</v>
      </c>
      <c r="C4960" t="s">
        <v>11895</v>
      </c>
      <c r="D4960" t="s">
        <v>2200</v>
      </c>
      <c r="E4960" t="s">
        <v>2170</v>
      </c>
    </row>
    <row r="4961" spans="1:5" x14ac:dyDescent="0.25">
      <c r="A4961" t="s">
        <v>1972</v>
      </c>
      <c r="B4961" t="s">
        <v>11896</v>
      </c>
      <c r="C4961" t="s">
        <v>11897</v>
      </c>
      <c r="D4961" t="s">
        <v>2200</v>
      </c>
      <c r="E4961" t="s">
        <v>2170</v>
      </c>
    </row>
    <row r="4962" spans="1:5" x14ac:dyDescent="0.25">
      <c r="A4962" t="s">
        <v>1972</v>
      </c>
      <c r="B4962" t="s">
        <v>11898</v>
      </c>
      <c r="C4962" t="s">
        <v>11899</v>
      </c>
      <c r="D4962" t="s">
        <v>2200</v>
      </c>
      <c r="E4962" t="s">
        <v>2170</v>
      </c>
    </row>
    <row r="4963" spans="1:5" x14ac:dyDescent="0.25">
      <c r="A4963" t="s">
        <v>1972</v>
      </c>
      <c r="B4963" t="s">
        <v>11900</v>
      </c>
      <c r="C4963" t="s">
        <v>11901</v>
      </c>
      <c r="D4963" t="s">
        <v>2200</v>
      </c>
      <c r="E4963" t="s">
        <v>2170</v>
      </c>
    </row>
    <row r="4964" spans="1:5" x14ac:dyDescent="0.25">
      <c r="A4964" t="s">
        <v>1972</v>
      </c>
      <c r="B4964" t="s">
        <v>11902</v>
      </c>
      <c r="C4964" t="s">
        <v>11903</v>
      </c>
      <c r="D4964" t="s">
        <v>2200</v>
      </c>
      <c r="E4964" t="s">
        <v>2170</v>
      </c>
    </row>
    <row r="4965" spans="1:5" x14ac:dyDescent="0.25">
      <c r="A4965" t="s">
        <v>1972</v>
      </c>
      <c r="B4965" t="s">
        <v>11904</v>
      </c>
      <c r="C4965" t="s">
        <v>11905</v>
      </c>
      <c r="D4965" t="s">
        <v>2200</v>
      </c>
      <c r="E4965" t="s">
        <v>2170</v>
      </c>
    </row>
    <row r="4966" spans="1:5" x14ac:dyDescent="0.25">
      <c r="A4966" t="s">
        <v>1972</v>
      </c>
      <c r="B4966" t="s">
        <v>11906</v>
      </c>
      <c r="C4966" t="s">
        <v>11907</v>
      </c>
      <c r="D4966" t="s">
        <v>2200</v>
      </c>
      <c r="E4966" t="s">
        <v>2170</v>
      </c>
    </row>
    <row r="4967" spans="1:5" x14ac:dyDescent="0.25">
      <c r="A4967" t="s">
        <v>1972</v>
      </c>
      <c r="B4967" t="s">
        <v>11908</v>
      </c>
      <c r="C4967" t="s">
        <v>11909</v>
      </c>
      <c r="D4967" t="s">
        <v>2200</v>
      </c>
      <c r="E4967" t="s">
        <v>2170</v>
      </c>
    </row>
    <row r="4968" spans="1:5" x14ac:dyDescent="0.25">
      <c r="A4968" t="s">
        <v>1972</v>
      </c>
      <c r="B4968" t="s">
        <v>11910</v>
      </c>
      <c r="C4968" t="s">
        <v>11911</v>
      </c>
      <c r="D4968" t="s">
        <v>2200</v>
      </c>
      <c r="E4968" t="s">
        <v>2170</v>
      </c>
    </row>
    <row r="4969" spans="1:5" x14ac:dyDescent="0.25">
      <c r="A4969" t="s">
        <v>1972</v>
      </c>
      <c r="B4969" t="s">
        <v>11912</v>
      </c>
      <c r="C4969" t="s">
        <v>11913</v>
      </c>
      <c r="D4969" t="s">
        <v>2200</v>
      </c>
      <c r="E4969" t="s">
        <v>2170</v>
      </c>
    </row>
    <row r="4970" spans="1:5" x14ac:dyDescent="0.25">
      <c r="A4970" t="s">
        <v>1972</v>
      </c>
      <c r="B4970" t="s">
        <v>11914</v>
      </c>
      <c r="C4970" t="s">
        <v>11915</v>
      </c>
      <c r="D4970" t="s">
        <v>2200</v>
      </c>
      <c r="E4970" t="s">
        <v>2170</v>
      </c>
    </row>
    <row r="4971" spans="1:5" x14ac:dyDescent="0.25">
      <c r="A4971" t="s">
        <v>1972</v>
      </c>
      <c r="B4971" t="s">
        <v>11916</v>
      </c>
      <c r="C4971" t="s">
        <v>11917</v>
      </c>
      <c r="D4971" t="s">
        <v>2200</v>
      </c>
      <c r="E4971" t="s">
        <v>2170</v>
      </c>
    </row>
    <row r="4972" spans="1:5" x14ac:dyDescent="0.25">
      <c r="A4972" t="s">
        <v>1972</v>
      </c>
      <c r="B4972" t="s">
        <v>11918</v>
      </c>
      <c r="C4972" t="s">
        <v>11919</v>
      </c>
      <c r="D4972" t="s">
        <v>2200</v>
      </c>
      <c r="E4972" t="s">
        <v>2170</v>
      </c>
    </row>
    <row r="4973" spans="1:5" x14ac:dyDescent="0.25">
      <c r="A4973" t="s">
        <v>1972</v>
      </c>
      <c r="B4973" t="s">
        <v>11920</v>
      </c>
      <c r="C4973" t="s">
        <v>11921</v>
      </c>
      <c r="D4973" t="s">
        <v>2200</v>
      </c>
      <c r="E4973" t="s">
        <v>2170</v>
      </c>
    </row>
    <row r="4974" spans="1:5" x14ac:dyDescent="0.25">
      <c r="A4974" t="s">
        <v>1972</v>
      </c>
      <c r="B4974" t="s">
        <v>11922</v>
      </c>
      <c r="C4974" t="s">
        <v>11923</v>
      </c>
      <c r="D4974" t="s">
        <v>2200</v>
      </c>
      <c r="E4974" t="s">
        <v>2170</v>
      </c>
    </row>
    <row r="4975" spans="1:5" x14ac:dyDescent="0.25">
      <c r="A4975" t="s">
        <v>1972</v>
      </c>
      <c r="B4975" t="s">
        <v>11924</v>
      </c>
      <c r="C4975" t="s">
        <v>11925</v>
      </c>
      <c r="D4975" t="s">
        <v>2200</v>
      </c>
      <c r="E4975" t="s">
        <v>2170</v>
      </c>
    </row>
    <row r="4976" spans="1:5" x14ac:dyDescent="0.25">
      <c r="A4976" t="s">
        <v>1972</v>
      </c>
      <c r="B4976" t="s">
        <v>11926</v>
      </c>
      <c r="C4976" t="s">
        <v>11927</v>
      </c>
      <c r="D4976" t="s">
        <v>2200</v>
      </c>
      <c r="E4976" t="s">
        <v>2170</v>
      </c>
    </row>
    <row r="4977" spans="1:5" x14ac:dyDescent="0.25">
      <c r="A4977" t="s">
        <v>1972</v>
      </c>
      <c r="B4977" t="s">
        <v>11928</v>
      </c>
      <c r="C4977" t="s">
        <v>11929</v>
      </c>
      <c r="D4977" t="s">
        <v>2200</v>
      </c>
      <c r="E4977" t="s">
        <v>2170</v>
      </c>
    </row>
    <row r="4978" spans="1:5" x14ac:dyDescent="0.25">
      <c r="A4978" t="s">
        <v>1975</v>
      </c>
      <c r="B4978" t="s">
        <v>11930</v>
      </c>
      <c r="C4978" t="s">
        <v>11931</v>
      </c>
      <c r="D4978" t="s">
        <v>2200</v>
      </c>
      <c r="E4978" t="s">
        <v>2170</v>
      </c>
    </row>
    <row r="4979" spans="1:5" x14ac:dyDescent="0.25">
      <c r="A4979" t="s">
        <v>1975</v>
      </c>
      <c r="B4979" t="s">
        <v>11932</v>
      </c>
      <c r="C4979" t="s">
        <v>11933</v>
      </c>
      <c r="D4979" t="s">
        <v>2200</v>
      </c>
      <c r="E4979" t="s">
        <v>2170</v>
      </c>
    </row>
    <row r="4980" spans="1:5" x14ac:dyDescent="0.25">
      <c r="A4980" t="s">
        <v>1975</v>
      </c>
      <c r="B4980" t="s">
        <v>11934</v>
      </c>
      <c r="C4980" t="s">
        <v>11935</v>
      </c>
      <c r="D4980" t="s">
        <v>2200</v>
      </c>
      <c r="E4980" t="s">
        <v>2170</v>
      </c>
    </row>
    <row r="4981" spans="1:5" x14ac:dyDescent="0.25">
      <c r="A4981" t="s">
        <v>1975</v>
      </c>
      <c r="B4981" t="s">
        <v>11936</v>
      </c>
      <c r="C4981" t="s">
        <v>11937</v>
      </c>
      <c r="D4981" t="s">
        <v>2200</v>
      </c>
      <c r="E4981" t="s">
        <v>2170</v>
      </c>
    </row>
    <row r="4982" spans="1:5" x14ac:dyDescent="0.25">
      <c r="A4982" t="s">
        <v>1975</v>
      </c>
      <c r="B4982" t="s">
        <v>11938</v>
      </c>
      <c r="C4982" t="s">
        <v>11939</v>
      </c>
      <c r="D4982" t="s">
        <v>2200</v>
      </c>
      <c r="E4982" t="s">
        <v>2170</v>
      </c>
    </row>
    <row r="4983" spans="1:5" x14ac:dyDescent="0.25">
      <c r="A4983" t="s">
        <v>1975</v>
      </c>
      <c r="B4983" t="s">
        <v>11940</v>
      </c>
      <c r="C4983" t="s">
        <v>11941</v>
      </c>
      <c r="D4983" t="s">
        <v>2200</v>
      </c>
      <c r="E4983" t="s">
        <v>2170</v>
      </c>
    </row>
    <row r="4984" spans="1:5" x14ac:dyDescent="0.25">
      <c r="A4984" t="s">
        <v>1978</v>
      </c>
      <c r="B4984" t="s">
        <v>11942</v>
      </c>
      <c r="C4984" t="s">
        <v>11943</v>
      </c>
      <c r="D4984" t="s">
        <v>11944</v>
      </c>
      <c r="E4984" t="s">
        <v>2170</v>
      </c>
    </row>
    <row r="4985" spans="1:5" x14ac:dyDescent="0.25">
      <c r="A4985" t="s">
        <v>1978</v>
      </c>
      <c r="B4985" t="s">
        <v>11945</v>
      </c>
      <c r="C4985" t="s">
        <v>11946</v>
      </c>
      <c r="D4985" t="s">
        <v>11944</v>
      </c>
      <c r="E4985" t="s">
        <v>2170</v>
      </c>
    </row>
    <row r="4986" spans="1:5" x14ac:dyDescent="0.25">
      <c r="A4986" t="s">
        <v>1978</v>
      </c>
      <c r="B4986" t="s">
        <v>11947</v>
      </c>
      <c r="C4986" t="s">
        <v>11948</v>
      </c>
      <c r="D4986" t="s">
        <v>11944</v>
      </c>
      <c r="E4986" t="s">
        <v>2170</v>
      </c>
    </row>
    <row r="4987" spans="1:5" x14ac:dyDescent="0.25">
      <c r="A4987" t="s">
        <v>1981</v>
      </c>
      <c r="B4987" t="s">
        <v>11949</v>
      </c>
      <c r="C4987" t="s">
        <v>11950</v>
      </c>
      <c r="D4987" t="s">
        <v>2646</v>
      </c>
      <c r="E4987" t="s">
        <v>2170</v>
      </c>
    </row>
    <row r="4988" spans="1:5" x14ac:dyDescent="0.25">
      <c r="A4988" t="s">
        <v>1981</v>
      </c>
      <c r="B4988" t="s">
        <v>11951</v>
      </c>
      <c r="C4988" t="s">
        <v>11952</v>
      </c>
      <c r="D4988" t="s">
        <v>2646</v>
      </c>
      <c r="E4988" t="s">
        <v>2170</v>
      </c>
    </row>
    <row r="4989" spans="1:5" x14ac:dyDescent="0.25">
      <c r="A4989" t="s">
        <v>1981</v>
      </c>
      <c r="B4989" t="s">
        <v>11953</v>
      </c>
      <c r="C4989" t="s">
        <v>11954</v>
      </c>
      <c r="D4989" t="s">
        <v>2646</v>
      </c>
      <c r="E4989" t="s">
        <v>2170</v>
      </c>
    </row>
    <row r="4990" spans="1:5" x14ac:dyDescent="0.25">
      <c r="A4990" t="s">
        <v>1981</v>
      </c>
      <c r="B4990" t="s">
        <v>11955</v>
      </c>
      <c r="C4990" t="s">
        <v>11956</v>
      </c>
      <c r="D4990" t="s">
        <v>2646</v>
      </c>
      <c r="E4990" t="s">
        <v>2170</v>
      </c>
    </row>
    <row r="4991" spans="1:5" x14ac:dyDescent="0.25">
      <c r="A4991" t="s">
        <v>1981</v>
      </c>
      <c r="B4991" t="s">
        <v>11957</v>
      </c>
      <c r="C4991" t="s">
        <v>11958</v>
      </c>
      <c r="D4991" t="s">
        <v>2646</v>
      </c>
      <c r="E4991" t="s">
        <v>2170</v>
      </c>
    </row>
    <row r="4992" spans="1:5" x14ac:dyDescent="0.25">
      <c r="A4992" t="s">
        <v>1981</v>
      </c>
      <c r="B4992" t="s">
        <v>11959</v>
      </c>
      <c r="C4992" t="s">
        <v>11960</v>
      </c>
      <c r="D4992" t="s">
        <v>2646</v>
      </c>
      <c r="E4992" t="s">
        <v>2170</v>
      </c>
    </row>
    <row r="4993" spans="1:5" x14ac:dyDescent="0.25">
      <c r="A4993" t="s">
        <v>1981</v>
      </c>
      <c r="B4993" t="s">
        <v>11961</v>
      </c>
      <c r="C4993" t="s">
        <v>11962</v>
      </c>
      <c r="D4993" t="s">
        <v>2646</v>
      </c>
      <c r="E4993" t="s">
        <v>2170</v>
      </c>
    </row>
    <row r="4994" spans="1:5" x14ac:dyDescent="0.25">
      <c r="A4994" t="s">
        <v>1981</v>
      </c>
      <c r="B4994" t="s">
        <v>11963</v>
      </c>
      <c r="C4994" t="s">
        <v>11964</v>
      </c>
      <c r="D4994" t="s">
        <v>2646</v>
      </c>
      <c r="E4994" t="s">
        <v>2170</v>
      </c>
    </row>
    <row r="4995" spans="1:5" x14ac:dyDescent="0.25">
      <c r="A4995" t="s">
        <v>1981</v>
      </c>
      <c r="B4995" t="s">
        <v>11965</v>
      </c>
      <c r="C4995" t="s">
        <v>11966</v>
      </c>
      <c r="D4995" t="s">
        <v>2646</v>
      </c>
      <c r="E4995" t="s">
        <v>2170</v>
      </c>
    </row>
    <row r="4996" spans="1:5" x14ac:dyDescent="0.25">
      <c r="A4996" t="s">
        <v>1981</v>
      </c>
      <c r="B4996" t="s">
        <v>11967</v>
      </c>
      <c r="C4996" t="s">
        <v>11968</v>
      </c>
      <c r="D4996" t="s">
        <v>2646</v>
      </c>
      <c r="E4996" t="s">
        <v>2170</v>
      </c>
    </row>
    <row r="4997" spans="1:5" x14ac:dyDescent="0.25">
      <c r="A4997" t="s">
        <v>1981</v>
      </c>
      <c r="B4997" t="s">
        <v>11969</v>
      </c>
      <c r="C4997" t="s">
        <v>11970</v>
      </c>
      <c r="D4997" t="s">
        <v>2646</v>
      </c>
      <c r="E4997" t="s">
        <v>2170</v>
      </c>
    </row>
    <row r="4998" spans="1:5" x14ac:dyDescent="0.25">
      <c r="A4998" t="s">
        <v>1985</v>
      </c>
      <c r="B4998" t="s">
        <v>11971</v>
      </c>
      <c r="C4998" t="s">
        <v>11972</v>
      </c>
      <c r="D4998" t="s">
        <v>2963</v>
      </c>
      <c r="E4998" t="s">
        <v>2170</v>
      </c>
    </row>
    <row r="4999" spans="1:5" x14ac:dyDescent="0.25">
      <c r="A4999" t="s">
        <v>1985</v>
      </c>
      <c r="B4999" t="s">
        <v>11973</v>
      </c>
      <c r="C4999" t="s">
        <v>11974</v>
      </c>
      <c r="D4999" t="s">
        <v>2963</v>
      </c>
      <c r="E4999" t="s">
        <v>2170</v>
      </c>
    </row>
    <row r="5000" spans="1:5" x14ac:dyDescent="0.25">
      <c r="A5000" t="s">
        <v>1985</v>
      </c>
      <c r="B5000" t="s">
        <v>11975</v>
      </c>
      <c r="C5000" t="s">
        <v>11976</v>
      </c>
      <c r="D5000" t="s">
        <v>2963</v>
      </c>
      <c r="E5000" t="s">
        <v>2170</v>
      </c>
    </row>
    <row r="5001" spans="1:5" x14ac:dyDescent="0.25">
      <c r="A5001" t="s">
        <v>1985</v>
      </c>
      <c r="B5001" t="s">
        <v>11977</v>
      </c>
      <c r="C5001" t="s">
        <v>11978</v>
      </c>
      <c r="D5001" t="s">
        <v>2963</v>
      </c>
      <c r="E5001" t="s">
        <v>2170</v>
      </c>
    </row>
    <row r="5002" spans="1:5" x14ac:dyDescent="0.25">
      <c r="A5002" t="s">
        <v>1985</v>
      </c>
      <c r="B5002" t="s">
        <v>11979</v>
      </c>
      <c r="C5002" t="s">
        <v>11980</v>
      </c>
      <c r="D5002" t="s">
        <v>2963</v>
      </c>
      <c r="E5002" t="s">
        <v>2170</v>
      </c>
    </row>
    <row r="5003" spans="1:5" x14ac:dyDescent="0.25">
      <c r="A5003" t="s">
        <v>1985</v>
      </c>
      <c r="B5003" t="s">
        <v>11981</v>
      </c>
      <c r="C5003" t="s">
        <v>11982</v>
      </c>
      <c r="D5003" t="s">
        <v>2963</v>
      </c>
      <c r="E5003" t="s">
        <v>2170</v>
      </c>
    </row>
    <row r="5004" spans="1:5" x14ac:dyDescent="0.25">
      <c r="A5004" t="s">
        <v>1985</v>
      </c>
      <c r="B5004" t="s">
        <v>11983</v>
      </c>
      <c r="C5004" t="s">
        <v>9839</v>
      </c>
      <c r="D5004" t="s">
        <v>2963</v>
      </c>
      <c r="E5004" t="s">
        <v>2170</v>
      </c>
    </row>
    <row r="5005" spans="1:5" x14ac:dyDescent="0.25">
      <c r="A5005" t="s">
        <v>1985</v>
      </c>
      <c r="B5005" t="s">
        <v>11984</v>
      </c>
      <c r="C5005" t="s">
        <v>11985</v>
      </c>
      <c r="D5005" t="s">
        <v>2963</v>
      </c>
      <c r="E5005" t="s">
        <v>2170</v>
      </c>
    </row>
    <row r="5006" spans="1:5" x14ac:dyDescent="0.25">
      <c r="A5006" t="s">
        <v>1985</v>
      </c>
      <c r="B5006" t="s">
        <v>11986</v>
      </c>
      <c r="C5006" t="s">
        <v>11987</v>
      </c>
      <c r="D5006" t="s">
        <v>2963</v>
      </c>
      <c r="E5006" t="s">
        <v>2170</v>
      </c>
    </row>
    <row r="5007" spans="1:5" x14ac:dyDescent="0.25">
      <c r="A5007" t="s">
        <v>1985</v>
      </c>
      <c r="B5007" t="s">
        <v>11988</v>
      </c>
      <c r="C5007" t="s">
        <v>11989</v>
      </c>
      <c r="D5007" t="s">
        <v>2469</v>
      </c>
      <c r="E5007" t="s">
        <v>2170</v>
      </c>
    </row>
    <row r="5008" spans="1:5" x14ac:dyDescent="0.25">
      <c r="A5008" t="s">
        <v>1985</v>
      </c>
      <c r="B5008" t="s">
        <v>11990</v>
      </c>
      <c r="C5008" t="s">
        <v>11991</v>
      </c>
      <c r="D5008" t="s">
        <v>2963</v>
      </c>
      <c r="E5008" t="s">
        <v>2170</v>
      </c>
    </row>
    <row r="5009" spans="1:5" x14ac:dyDescent="0.25">
      <c r="A5009" t="s">
        <v>1985</v>
      </c>
      <c r="B5009" t="s">
        <v>11992</v>
      </c>
      <c r="C5009" t="s">
        <v>11993</v>
      </c>
      <c r="D5009" t="s">
        <v>2963</v>
      </c>
      <c r="E5009" t="s">
        <v>2170</v>
      </c>
    </row>
    <row r="5010" spans="1:5" x14ac:dyDescent="0.25">
      <c r="A5010" t="s">
        <v>1985</v>
      </c>
      <c r="B5010" t="s">
        <v>11994</v>
      </c>
      <c r="C5010" t="s">
        <v>11995</v>
      </c>
      <c r="D5010" t="s">
        <v>2963</v>
      </c>
      <c r="E5010" t="s">
        <v>2170</v>
      </c>
    </row>
    <row r="5011" spans="1:5" x14ac:dyDescent="0.25">
      <c r="A5011" t="s">
        <v>1985</v>
      </c>
      <c r="B5011" t="s">
        <v>11996</v>
      </c>
      <c r="C5011" t="s">
        <v>11997</v>
      </c>
      <c r="D5011" t="s">
        <v>2963</v>
      </c>
      <c r="E5011" t="s">
        <v>2170</v>
      </c>
    </row>
    <row r="5012" spans="1:5" x14ac:dyDescent="0.25">
      <c r="A5012" t="s">
        <v>1985</v>
      </c>
      <c r="B5012" t="s">
        <v>11998</v>
      </c>
      <c r="C5012" t="s">
        <v>11999</v>
      </c>
      <c r="D5012" t="s">
        <v>2963</v>
      </c>
      <c r="E5012" t="s">
        <v>2170</v>
      </c>
    </row>
    <row r="5013" spans="1:5" x14ac:dyDescent="0.25">
      <c r="A5013" t="s">
        <v>1985</v>
      </c>
      <c r="B5013" t="s">
        <v>12000</v>
      </c>
      <c r="C5013" t="s">
        <v>12001</v>
      </c>
      <c r="D5013" t="s">
        <v>2963</v>
      </c>
      <c r="E5013" t="s">
        <v>2170</v>
      </c>
    </row>
    <row r="5014" spans="1:5" x14ac:dyDescent="0.25">
      <c r="A5014" t="s">
        <v>1985</v>
      </c>
      <c r="B5014" t="s">
        <v>12002</v>
      </c>
      <c r="C5014" t="s">
        <v>12003</v>
      </c>
      <c r="D5014" t="s">
        <v>2963</v>
      </c>
      <c r="E5014" t="s">
        <v>2170</v>
      </c>
    </row>
    <row r="5015" spans="1:5" x14ac:dyDescent="0.25">
      <c r="A5015" t="s">
        <v>1985</v>
      </c>
      <c r="B5015" t="s">
        <v>12004</v>
      </c>
      <c r="C5015" t="s">
        <v>12005</v>
      </c>
      <c r="D5015" t="s">
        <v>2963</v>
      </c>
      <c r="E5015" t="s">
        <v>2170</v>
      </c>
    </row>
    <row r="5016" spans="1:5" x14ac:dyDescent="0.25">
      <c r="A5016" t="s">
        <v>1985</v>
      </c>
      <c r="B5016" t="s">
        <v>12006</v>
      </c>
      <c r="C5016" t="s">
        <v>12007</v>
      </c>
      <c r="D5016" t="s">
        <v>2963</v>
      </c>
      <c r="E5016" t="s">
        <v>2170</v>
      </c>
    </row>
    <row r="5017" spans="1:5" x14ac:dyDescent="0.25">
      <c r="A5017" t="s">
        <v>1985</v>
      </c>
      <c r="B5017" t="s">
        <v>12008</v>
      </c>
      <c r="C5017" t="s">
        <v>12009</v>
      </c>
      <c r="D5017" t="s">
        <v>2963</v>
      </c>
      <c r="E5017" t="s">
        <v>2170</v>
      </c>
    </row>
    <row r="5018" spans="1:5" x14ac:dyDescent="0.25">
      <c r="A5018" t="s">
        <v>1985</v>
      </c>
      <c r="B5018" t="s">
        <v>12010</v>
      </c>
      <c r="C5018" t="s">
        <v>12011</v>
      </c>
      <c r="D5018" t="s">
        <v>2963</v>
      </c>
      <c r="E5018" t="s">
        <v>2170</v>
      </c>
    </row>
    <row r="5019" spans="1:5" x14ac:dyDescent="0.25">
      <c r="A5019" t="s">
        <v>1985</v>
      </c>
      <c r="B5019" t="s">
        <v>12012</v>
      </c>
      <c r="C5019" t="s">
        <v>12013</v>
      </c>
      <c r="D5019" t="s">
        <v>2963</v>
      </c>
      <c r="E5019" t="s">
        <v>2170</v>
      </c>
    </row>
    <row r="5020" spans="1:5" x14ac:dyDescent="0.25">
      <c r="A5020" t="s">
        <v>1991</v>
      </c>
      <c r="B5020" t="s">
        <v>12014</v>
      </c>
      <c r="C5020" t="s">
        <v>12015</v>
      </c>
      <c r="D5020" t="s">
        <v>2200</v>
      </c>
      <c r="E5020" t="s">
        <v>2170</v>
      </c>
    </row>
    <row r="5021" spans="1:5" x14ac:dyDescent="0.25">
      <c r="A5021" t="s">
        <v>1991</v>
      </c>
      <c r="B5021" t="s">
        <v>12016</v>
      </c>
      <c r="C5021" t="s">
        <v>12017</v>
      </c>
      <c r="D5021" t="s">
        <v>2200</v>
      </c>
      <c r="E5021" t="s">
        <v>2170</v>
      </c>
    </row>
    <row r="5022" spans="1:5" x14ac:dyDescent="0.25">
      <c r="A5022" t="s">
        <v>1991</v>
      </c>
      <c r="B5022" t="s">
        <v>12018</v>
      </c>
      <c r="C5022" t="s">
        <v>12019</v>
      </c>
      <c r="D5022" t="s">
        <v>2200</v>
      </c>
      <c r="E5022" t="s">
        <v>2170</v>
      </c>
    </row>
    <row r="5023" spans="1:5" x14ac:dyDescent="0.25">
      <c r="A5023" t="s">
        <v>1991</v>
      </c>
      <c r="B5023" t="s">
        <v>12020</v>
      </c>
      <c r="C5023" t="s">
        <v>12021</v>
      </c>
      <c r="D5023" t="s">
        <v>2200</v>
      </c>
      <c r="E5023" t="s">
        <v>2170</v>
      </c>
    </row>
    <row r="5024" spans="1:5" x14ac:dyDescent="0.25">
      <c r="A5024" t="s">
        <v>1991</v>
      </c>
      <c r="B5024" t="s">
        <v>12022</v>
      </c>
      <c r="C5024" t="s">
        <v>12023</v>
      </c>
      <c r="D5024" t="s">
        <v>2200</v>
      </c>
      <c r="E5024" t="s">
        <v>2170</v>
      </c>
    </row>
    <row r="5025" spans="1:5" x14ac:dyDescent="0.25">
      <c r="A5025" t="s">
        <v>1991</v>
      </c>
      <c r="B5025" t="s">
        <v>12024</v>
      </c>
      <c r="C5025" t="s">
        <v>12025</v>
      </c>
      <c r="D5025" t="s">
        <v>2200</v>
      </c>
      <c r="E5025" t="s">
        <v>2170</v>
      </c>
    </row>
    <row r="5026" spans="1:5" x14ac:dyDescent="0.25">
      <c r="A5026" t="s">
        <v>1991</v>
      </c>
      <c r="B5026" t="s">
        <v>12026</v>
      </c>
      <c r="C5026" t="s">
        <v>3534</v>
      </c>
      <c r="D5026" t="s">
        <v>2200</v>
      </c>
      <c r="E5026" t="s">
        <v>2170</v>
      </c>
    </row>
    <row r="5027" spans="1:5" x14ac:dyDescent="0.25">
      <c r="A5027" t="s">
        <v>1991</v>
      </c>
      <c r="B5027" t="s">
        <v>12027</v>
      </c>
      <c r="C5027" t="s">
        <v>12028</v>
      </c>
      <c r="D5027" t="s">
        <v>2200</v>
      </c>
      <c r="E5027" t="s">
        <v>2170</v>
      </c>
    </row>
    <row r="5028" spans="1:5" x14ac:dyDescent="0.25">
      <c r="A5028" t="s">
        <v>1991</v>
      </c>
      <c r="B5028" t="s">
        <v>12029</v>
      </c>
      <c r="C5028" t="s">
        <v>12030</v>
      </c>
      <c r="D5028" t="s">
        <v>2200</v>
      </c>
      <c r="E5028" t="s">
        <v>2170</v>
      </c>
    </row>
    <row r="5029" spans="1:5" x14ac:dyDescent="0.25">
      <c r="A5029" t="s">
        <v>1995</v>
      </c>
      <c r="B5029" t="s">
        <v>12031</v>
      </c>
      <c r="C5029" t="s">
        <v>3220</v>
      </c>
      <c r="D5029" t="s">
        <v>2200</v>
      </c>
      <c r="E5029" t="s">
        <v>2170</v>
      </c>
    </row>
    <row r="5030" spans="1:5" x14ac:dyDescent="0.25">
      <c r="A5030" t="s">
        <v>1995</v>
      </c>
      <c r="B5030" t="s">
        <v>12032</v>
      </c>
      <c r="C5030" t="s">
        <v>12033</v>
      </c>
      <c r="D5030" t="s">
        <v>2200</v>
      </c>
      <c r="E5030" t="s">
        <v>2170</v>
      </c>
    </row>
    <row r="5031" spans="1:5" x14ac:dyDescent="0.25">
      <c r="A5031" t="s">
        <v>1995</v>
      </c>
      <c r="B5031" t="s">
        <v>12034</v>
      </c>
      <c r="C5031" t="s">
        <v>4718</v>
      </c>
      <c r="D5031" t="s">
        <v>2200</v>
      </c>
      <c r="E5031" t="s">
        <v>2170</v>
      </c>
    </row>
    <row r="5032" spans="1:5" x14ac:dyDescent="0.25">
      <c r="A5032" t="s">
        <v>1995</v>
      </c>
      <c r="B5032" t="s">
        <v>12035</v>
      </c>
      <c r="C5032" t="s">
        <v>12036</v>
      </c>
      <c r="D5032" t="s">
        <v>2200</v>
      </c>
      <c r="E5032" t="s">
        <v>2170</v>
      </c>
    </row>
    <row r="5033" spans="1:5" x14ac:dyDescent="0.25">
      <c r="A5033" t="s">
        <v>1995</v>
      </c>
      <c r="B5033" t="s">
        <v>12037</v>
      </c>
      <c r="C5033" t="s">
        <v>1994</v>
      </c>
      <c r="D5033" t="s">
        <v>2200</v>
      </c>
      <c r="E5033" t="s">
        <v>2170</v>
      </c>
    </row>
    <row r="5034" spans="1:5" x14ac:dyDescent="0.25">
      <c r="A5034" t="s">
        <v>1995</v>
      </c>
      <c r="B5034" t="s">
        <v>12038</v>
      </c>
      <c r="C5034" t="s">
        <v>12039</v>
      </c>
      <c r="D5034" t="s">
        <v>2200</v>
      </c>
      <c r="E5034" t="s">
        <v>2170</v>
      </c>
    </row>
    <row r="5035" spans="1:5" x14ac:dyDescent="0.25">
      <c r="A5035" t="s">
        <v>1995</v>
      </c>
      <c r="B5035" t="s">
        <v>12040</v>
      </c>
      <c r="C5035" t="s">
        <v>12041</v>
      </c>
      <c r="D5035" t="s">
        <v>2200</v>
      </c>
      <c r="E5035" t="s">
        <v>2170</v>
      </c>
    </row>
    <row r="5036" spans="1:5" x14ac:dyDescent="0.25">
      <c r="A5036" t="s">
        <v>1995</v>
      </c>
      <c r="B5036" t="s">
        <v>12042</v>
      </c>
      <c r="C5036" t="s">
        <v>4720</v>
      </c>
      <c r="D5036" t="s">
        <v>2200</v>
      </c>
      <c r="E5036" t="s">
        <v>2170</v>
      </c>
    </row>
    <row r="5037" spans="1:5" x14ac:dyDescent="0.25">
      <c r="A5037" t="s">
        <v>1995</v>
      </c>
      <c r="B5037" t="s">
        <v>12043</v>
      </c>
      <c r="C5037" t="s">
        <v>3248</v>
      </c>
      <c r="D5037" t="s">
        <v>2200</v>
      </c>
      <c r="E5037" t="s">
        <v>2170</v>
      </c>
    </row>
    <row r="5038" spans="1:5" x14ac:dyDescent="0.25">
      <c r="A5038" t="s">
        <v>1995</v>
      </c>
      <c r="B5038" t="s">
        <v>12044</v>
      </c>
      <c r="C5038" t="s">
        <v>4722</v>
      </c>
      <c r="D5038" t="s">
        <v>2200</v>
      </c>
      <c r="E5038" t="s">
        <v>2170</v>
      </c>
    </row>
    <row r="5039" spans="1:5" x14ac:dyDescent="0.25">
      <c r="A5039" t="s">
        <v>1998</v>
      </c>
      <c r="B5039" t="s">
        <v>12045</v>
      </c>
      <c r="C5039" t="s">
        <v>12046</v>
      </c>
      <c r="D5039" t="s">
        <v>2200</v>
      </c>
      <c r="E5039" t="s">
        <v>2170</v>
      </c>
    </row>
    <row r="5040" spans="1:5" x14ac:dyDescent="0.25">
      <c r="A5040" t="s">
        <v>1998</v>
      </c>
      <c r="B5040" t="s">
        <v>12047</v>
      </c>
      <c r="C5040" t="s">
        <v>1997</v>
      </c>
      <c r="D5040" t="s">
        <v>2200</v>
      </c>
      <c r="E5040" t="s">
        <v>2170</v>
      </c>
    </row>
    <row r="5041" spans="1:5" x14ac:dyDescent="0.25">
      <c r="A5041" t="s">
        <v>1998</v>
      </c>
      <c r="B5041" t="s">
        <v>12048</v>
      </c>
      <c r="C5041" t="s">
        <v>12049</v>
      </c>
      <c r="D5041" t="s">
        <v>2200</v>
      </c>
      <c r="E5041" t="s">
        <v>2170</v>
      </c>
    </row>
    <row r="5042" spans="1:5" x14ac:dyDescent="0.25">
      <c r="A5042" t="s">
        <v>1998</v>
      </c>
      <c r="B5042" t="s">
        <v>12050</v>
      </c>
      <c r="C5042" t="s">
        <v>12051</v>
      </c>
      <c r="D5042" t="s">
        <v>2200</v>
      </c>
      <c r="E5042" t="s">
        <v>2170</v>
      </c>
    </row>
    <row r="5043" spans="1:5" x14ac:dyDescent="0.25">
      <c r="A5043" t="s">
        <v>1998</v>
      </c>
      <c r="B5043" t="s">
        <v>12052</v>
      </c>
      <c r="C5043" t="s">
        <v>12053</v>
      </c>
      <c r="D5043" t="s">
        <v>2200</v>
      </c>
      <c r="E5043" t="s">
        <v>2170</v>
      </c>
    </row>
    <row r="5044" spans="1:5" x14ac:dyDescent="0.25">
      <c r="A5044" t="s">
        <v>1998</v>
      </c>
      <c r="B5044" t="s">
        <v>12054</v>
      </c>
      <c r="C5044" t="s">
        <v>12055</v>
      </c>
      <c r="D5044" t="s">
        <v>2200</v>
      </c>
      <c r="E5044" t="s">
        <v>2170</v>
      </c>
    </row>
    <row r="5045" spans="1:5" x14ac:dyDescent="0.25">
      <c r="A5045" t="s">
        <v>1998</v>
      </c>
      <c r="B5045" t="s">
        <v>12056</v>
      </c>
      <c r="C5045" t="s">
        <v>12057</v>
      </c>
      <c r="D5045" t="s">
        <v>2200</v>
      </c>
      <c r="E5045" t="s">
        <v>2170</v>
      </c>
    </row>
    <row r="5046" spans="1:5" x14ac:dyDescent="0.25">
      <c r="A5046" t="s">
        <v>1998</v>
      </c>
      <c r="B5046" t="s">
        <v>12058</v>
      </c>
      <c r="C5046" t="s">
        <v>12059</v>
      </c>
      <c r="D5046" t="s">
        <v>2200</v>
      </c>
      <c r="E5046" t="s">
        <v>2170</v>
      </c>
    </row>
    <row r="5047" spans="1:5" x14ac:dyDescent="0.25">
      <c r="A5047" t="s">
        <v>1998</v>
      </c>
      <c r="B5047" t="s">
        <v>12060</v>
      </c>
      <c r="C5047" t="s">
        <v>12061</v>
      </c>
      <c r="D5047" t="s">
        <v>2200</v>
      </c>
      <c r="E5047" t="s">
        <v>2170</v>
      </c>
    </row>
    <row r="5048" spans="1:5" x14ac:dyDescent="0.25">
      <c r="A5048" t="s">
        <v>1998</v>
      </c>
      <c r="B5048" t="s">
        <v>12062</v>
      </c>
      <c r="C5048" t="s">
        <v>12063</v>
      </c>
      <c r="D5048" t="s">
        <v>2200</v>
      </c>
      <c r="E5048" t="s">
        <v>2170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46"/>
  <sheetViews>
    <sheetView workbookViewId="0"/>
  </sheetViews>
  <sheetFormatPr defaultRowHeight="15" x14ac:dyDescent="0.25"/>
  <cols>
    <col min="1" max="1" width="4.5703125" bestFit="1" customWidth="1"/>
    <col min="2" max="2" width="9" bestFit="1" customWidth="1"/>
    <col min="3" max="3" width="47.7109375" bestFit="1" customWidth="1"/>
    <col min="4" max="4" width="9.7109375" bestFit="1" customWidth="1"/>
    <col min="5" max="5" width="10.7109375" bestFit="1" customWidth="1"/>
    <col min="6" max="6" width="2.28515625" bestFit="1" customWidth="1"/>
    <col min="7" max="7" width="6.42578125" bestFit="1" customWidth="1"/>
    <col min="8" max="8" width="5.28515625" bestFit="1" customWidth="1"/>
    <col min="9" max="9" width="9" bestFit="1" customWidth="1"/>
    <col min="10" max="10" width="30.42578125" bestFit="1" customWidth="1"/>
    <col min="11" max="11" width="11.5703125" bestFit="1" customWidth="1"/>
    <col min="12" max="13" width="9" bestFit="1" customWidth="1"/>
    <col min="14" max="14" width="5" bestFit="1" customWidth="1"/>
    <col min="15" max="15" width="5.7109375" bestFit="1" customWidth="1"/>
    <col min="16" max="16" width="33.7109375" bestFit="1" customWidth="1"/>
    <col min="17" max="17" width="10.7109375" bestFit="1" customWidth="1"/>
  </cols>
  <sheetData>
    <row r="1" spans="1:17" x14ac:dyDescent="0.25">
      <c r="A1" t="s">
        <v>2004</v>
      </c>
      <c r="B1" t="s">
        <v>2006</v>
      </c>
      <c r="C1" t="s">
        <v>2007</v>
      </c>
      <c r="D1" t="s">
        <v>2002</v>
      </c>
      <c r="E1" t="s">
        <v>2003</v>
      </c>
      <c r="H1" t="s">
        <v>2005</v>
      </c>
      <c r="Q1" t="s">
        <v>2001</v>
      </c>
    </row>
    <row r="2" spans="1:17" x14ac:dyDescent="0.25">
      <c r="A2" t="s">
        <v>1245</v>
      </c>
      <c r="B2">
        <v>3041563</v>
      </c>
      <c r="C2" t="s">
        <v>1242</v>
      </c>
      <c r="D2">
        <v>42.50779</v>
      </c>
      <c r="E2">
        <v>1.5210900000000001</v>
      </c>
      <c r="F2" t="s">
        <v>1243</v>
      </c>
      <c r="G2" t="s">
        <v>1244</v>
      </c>
      <c r="I2">
        <v>7</v>
      </c>
      <c r="M2">
        <v>20430</v>
      </c>
      <c r="O2">
        <v>1037</v>
      </c>
      <c r="P2" t="s">
        <v>1246</v>
      </c>
      <c r="Q2" s="13">
        <v>40328</v>
      </c>
    </row>
    <row r="3" spans="1:17" x14ac:dyDescent="0.25">
      <c r="A3" t="s">
        <v>1249</v>
      </c>
      <c r="B3">
        <v>292223</v>
      </c>
      <c r="C3" t="s">
        <v>1247</v>
      </c>
      <c r="D3">
        <v>25.0657</v>
      </c>
      <c r="E3">
        <v>55.171280000000003</v>
      </c>
      <c r="F3" t="s">
        <v>1243</v>
      </c>
      <c r="G3" t="s">
        <v>1248</v>
      </c>
      <c r="I3">
        <v>3</v>
      </c>
      <c r="M3">
        <v>1137347</v>
      </c>
      <c r="O3">
        <v>3</v>
      </c>
      <c r="P3" t="s">
        <v>1250</v>
      </c>
      <c r="Q3" s="13">
        <v>41975</v>
      </c>
    </row>
    <row r="4" spans="1:17" x14ac:dyDescent="0.25">
      <c r="A4" t="s">
        <v>1252</v>
      </c>
      <c r="B4">
        <v>1138958</v>
      </c>
      <c r="C4" t="s">
        <v>1251</v>
      </c>
      <c r="D4">
        <v>34.528129999999997</v>
      </c>
      <c r="E4">
        <v>69.172330000000002</v>
      </c>
      <c r="F4" t="s">
        <v>1243</v>
      </c>
      <c r="G4" t="s">
        <v>1244</v>
      </c>
      <c r="I4">
        <v>13</v>
      </c>
      <c r="M4">
        <v>3043532</v>
      </c>
      <c r="O4">
        <v>1798</v>
      </c>
      <c r="P4" t="s">
        <v>1253</v>
      </c>
      <c r="Q4" s="13">
        <v>41698</v>
      </c>
    </row>
    <row r="5" spans="1:17" x14ac:dyDescent="0.25">
      <c r="A5" t="s">
        <v>1255</v>
      </c>
      <c r="B5">
        <v>3576022</v>
      </c>
      <c r="C5" t="s">
        <v>1254</v>
      </c>
      <c r="D5">
        <v>17.117170000000002</v>
      </c>
      <c r="E5">
        <v>-61.845730000000003</v>
      </c>
      <c r="F5" t="s">
        <v>1243</v>
      </c>
      <c r="G5" t="s">
        <v>1244</v>
      </c>
      <c r="I5">
        <v>4</v>
      </c>
      <c r="M5">
        <v>24226</v>
      </c>
      <c r="O5">
        <v>4</v>
      </c>
      <c r="P5" t="s">
        <v>1256</v>
      </c>
      <c r="Q5" s="13">
        <v>41580</v>
      </c>
    </row>
    <row r="6" spans="1:17" x14ac:dyDescent="0.25">
      <c r="A6" t="s">
        <v>1258</v>
      </c>
      <c r="B6">
        <v>3573374</v>
      </c>
      <c r="C6" t="s">
        <v>1257</v>
      </c>
      <c r="D6">
        <v>18.217040000000001</v>
      </c>
      <c r="E6">
        <v>-63.057830000000003</v>
      </c>
      <c r="F6" t="s">
        <v>1243</v>
      </c>
      <c r="G6" t="s">
        <v>1244</v>
      </c>
      <c r="I6">
        <v>0</v>
      </c>
      <c r="M6">
        <v>2035</v>
      </c>
      <c r="N6">
        <v>7</v>
      </c>
      <c r="O6">
        <v>19</v>
      </c>
      <c r="P6" t="s">
        <v>1259</v>
      </c>
      <c r="Q6" s="13">
        <v>41307</v>
      </c>
    </row>
    <row r="7" spans="1:17" x14ac:dyDescent="0.25">
      <c r="A7" t="s">
        <v>1261</v>
      </c>
      <c r="B7">
        <v>3183875</v>
      </c>
      <c r="C7" t="s">
        <v>1260</v>
      </c>
      <c r="D7">
        <v>41.327500000000001</v>
      </c>
      <c r="E7">
        <v>19.81889</v>
      </c>
      <c r="F7" t="s">
        <v>1243</v>
      </c>
      <c r="G7" t="s">
        <v>1244</v>
      </c>
      <c r="I7">
        <v>50</v>
      </c>
      <c r="M7">
        <v>374801</v>
      </c>
      <c r="O7">
        <v>113</v>
      </c>
      <c r="P7" t="s">
        <v>1262</v>
      </c>
      <c r="Q7" s="13">
        <v>41899</v>
      </c>
    </row>
    <row r="8" spans="1:17" x14ac:dyDescent="0.25">
      <c r="A8" t="s">
        <v>1264</v>
      </c>
      <c r="B8">
        <v>616052</v>
      </c>
      <c r="C8" t="s">
        <v>1263</v>
      </c>
      <c r="D8">
        <v>40.181109999999997</v>
      </c>
      <c r="E8">
        <v>44.51361</v>
      </c>
      <c r="F8" t="s">
        <v>1243</v>
      </c>
      <c r="G8" t="s">
        <v>1244</v>
      </c>
      <c r="I8">
        <v>11</v>
      </c>
      <c r="M8">
        <v>1093485</v>
      </c>
      <c r="O8">
        <v>994</v>
      </c>
      <c r="P8" t="s">
        <v>1265</v>
      </c>
      <c r="Q8" s="13">
        <v>42439</v>
      </c>
    </row>
    <row r="9" spans="1:17" x14ac:dyDescent="0.25">
      <c r="A9" t="s">
        <v>1267</v>
      </c>
      <c r="B9">
        <v>2240449</v>
      </c>
      <c r="C9" t="s">
        <v>1266</v>
      </c>
      <c r="D9">
        <v>-8.8368199999999995</v>
      </c>
      <c r="E9">
        <v>13.23432</v>
      </c>
      <c r="F9" t="s">
        <v>1243</v>
      </c>
      <c r="G9" t="s">
        <v>1244</v>
      </c>
      <c r="I9">
        <v>20</v>
      </c>
      <c r="M9">
        <v>2776168</v>
      </c>
      <c r="O9">
        <v>73</v>
      </c>
      <c r="P9" t="s">
        <v>1268</v>
      </c>
      <c r="Q9" s="13">
        <v>41920</v>
      </c>
    </row>
    <row r="10" spans="1:17" x14ac:dyDescent="0.25">
      <c r="A10" t="s">
        <v>1270</v>
      </c>
      <c r="B10">
        <v>3435910</v>
      </c>
      <c r="C10" t="s">
        <v>1269</v>
      </c>
      <c r="D10">
        <v>-34.613149999999997</v>
      </c>
      <c r="E10">
        <v>-58.377229999999997</v>
      </c>
      <c r="F10" t="s">
        <v>1243</v>
      </c>
      <c r="G10" t="s">
        <v>1244</v>
      </c>
      <c r="I10">
        <v>7</v>
      </c>
      <c r="M10">
        <v>13076300</v>
      </c>
      <c r="O10">
        <v>31</v>
      </c>
      <c r="P10" t="s">
        <v>1271</v>
      </c>
      <c r="Q10" s="13">
        <v>42158</v>
      </c>
    </row>
    <row r="11" spans="1:17" x14ac:dyDescent="0.25">
      <c r="A11" t="s">
        <v>1273</v>
      </c>
      <c r="B11">
        <v>5881576</v>
      </c>
      <c r="C11" t="s">
        <v>1272</v>
      </c>
      <c r="D11">
        <v>-14.27806</v>
      </c>
      <c r="E11">
        <v>-170.70249999999999</v>
      </c>
      <c r="F11" t="s">
        <v>1243</v>
      </c>
      <c r="G11" t="s">
        <v>1244</v>
      </c>
      <c r="I11">
        <v>10</v>
      </c>
      <c r="M11">
        <v>11500</v>
      </c>
      <c r="N11">
        <v>2</v>
      </c>
      <c r="O11">
        <v>144</v>
      </c>
      <c r="P11" t="s">
        <v>1274</v>
      </c>
      <c r="Q11" s="13">
        <v>40784</v>
      </c>
    </row>
    <row r="12" spans="1:17" x14ac:dyDescent="0.25">
      <c r="A12" t="s">
        <v>1276</v>
      </c>
      <c r="B12">
        <v>2761369</v>
      </c>
      <c r="C12" t="s">
        <v>1275</v>
      </c>
      <c r="D12">
        <v>48.208489999999998</v>
      </c>
      <c r="E12">
        <v>16.37208</v>
      </c>
      <c r="F12" t="s">
        <v>1243</v>
      </c>
      <c r="G12" t="s">
        <v>1244</v>
      </c>
      <c r="I12">
        <v>9</v>
      </c>
      <c r="J12">
        <v>900</v>
      </c>
      <c r="K12">
        <v>901</v>
      </c>
      <c r="M12">
        <v>1691468</v>
      </c>
      <c r="N12">
        <v>171</v>
      </c>
      <c r="O12">
        <v>193</v>
      </c>
      <c r="P12" t="s">
        <v>1277</v>
      </c>
      <c r="Q12" s="13">
        <v>42214</v>
      </c>
    </row>
    <row r="13" spans="1:17" x14ac:dyDescent="0.25">
      <c r="A13" t="s">
        <v>1279</v>
      </c>
      <c r="B13">
        <v>2147714</v>
      </c>
      <c r="C13" t="s">
        <v>1278</v>
      </c>
      <c r="D13">
        <v>-33.867849999999997</v>
      </c>
      <c r="E13">
        <v>151.20732000000001</v>
      </c>
      <c r="F13" t="s">
        <v>1243</v>
      </c>
      <c r="G13" t="s">
        <v>1248</v>
      </c>
      <c r="I13">
        <v>2</v>
      </c>
      <c r="J13">
        <v>17200</v>
      </c>
      <c r="M13">
        <v>4627345</v>
      </c>
      <c r="O13">
        <v>58</v>
      </c>
      <c r="P13" t="s">
        <v>1280</v>
      </c>
      <c r="Q13" s="13">
        <v>42559</v>
      </c>
    </row>
    <row r="14" spans="1:17" x14ac:dyDescent="0.25">
      <c r="A14" t="s">
        <v>1283</v>
      </c>
      <c r="B14">
        <v>3577277</v>
      </c>
      <c r="C14" t="s">
        <v>1281</v>
      </c>
      <c r="D14">
        <v>12.533329999999999</v>
      </c>
      <c r="E14">
        <v>-69.983329999999995</v>
      </c>
      <c r="F14" t="s">
        <v>1243</v>
      </c>
      <c r="G14" t="s">
        <v>1282</v>
      </c>
      <c r="I14">
        <v>0</v>
      </c>
      <c r="M14">
        <v>40627</v>
      </c>
      <c r="O14">
        <v>28</v>
      </c>
      <c r="P14" t="s">
        <v>1284</v>
      </c>
      <c r="Q14" s="13">
        <v>41368</v>
      </c>
    </row>
    <row r="15" spans="1:17" x14ac:dyDescent="0.25">
      <c r="A15" t="s">
        <v>1286</v>
      </c>
      <c r="B15">
        <v>3041732</v>
      </c>
      <c r="C15" t="s">
        <v>1285</v>
      </c>
      <c r="D15">
        <v>60.097259999999999</v>
      </c>
      <c r="E15">
        <v>19.934809999999999</v>
      </c>
      <c r="F15" t="s">
        <v>1243</v>
      </c>
      <c r="G15" t="s">
        <v>1244</v>
      </c>
      <c r="H15" t="s">
        <v>1287</v>
      </c>
      <c r="I15">
        <v>211</v>
      </c>
      <c r="J15">
        <v>478</v>
      </c>
      <c r="M15">
        <v>10682</v>
      </c>
      <c r="O15">
        <v>11</v>
      </c>
      <c r="P15" t="s">
        <v>1288</v>
      </c>
      <c r="Q15" s="13">
        <v>42126</v>
      </c>
    </row>
    <row r="16" spans="1:17" x14ac:dyDescent="0.25">
      <c r="A16" t="s">
        <v>1290</v>
      </c>
      <c r="B16">
        <v>587084</v>
      </c>
      <c r="C16" t="s">
        <v>1289</v>
      </c>
      <c r="D16">
        <v>40.377670000000002</v>
      </c>
      <c r="E16">
        <v>49.892009999999999</v>
      </c>
      <c r="F16" t="s">
        <v>1243</v>
      </c>
      <c r="G16" t="s">
        <v>1244</v>
      </c>
      <c r="I16">
        <v>9</v>
      </c>
      <c r="M16">
        <v>1116513</v>
      </c>
      <c r="O16">
        <v>-23</v>
      </c>
      <c r="P16" t="s">
        <v>1291</v>
      </c>
      <c r="Q16" s="13">
        <v>42158</v>
      </c>
    </row>
    <row r="17" spans="1:17" x14ac:dyDescent="0.25">
      <c r="A17" t="s">
        <v>1293</v>
      </c>
      <c r="B17">
        <v>3191281</v>
      </c>
      <c r="C17" t="s">
        <v>1292</v>
      </c>
      <c r="D17">
        <v>43.848640000000003</v>
      </c>
      <c r="E17">
        <v>18.356439999999999</v>
      </c>
      <c r="F17" t="s">
        <v>1243</v>
      </c>
      <c r="G17" t="s">
        <v>1244</v>
      </c>
      <c r="I17">
        <v>1</v>
      </c>
      <c r="J17">
        <v>3343737</v>
      </c>
      <c r="M17">
        <v>696731</v>
      </c>
      <c r="O17">
        <v>509</v>
      </c>
      <c r="P17" t="s">
        <v>1294</v>
      </c>
      <c r="Q17" s="13">
        <v>41228</v>
      </c>
    </row>
    <row r="18" spans="1:17" x14ac:dyDescent="0.25">
      <c r="A18" t="s">
        <v>1296</v>
      </c>
      <c r="B18">
        <v>3374036</v>
      </c>
      <c r="C18" t="s">
        <v>1295</v>
      </c>
      <c r="D18">
        <v>13.1</v>
      </c>
      <c r="E18">
        <v>-59.616669999999999</v>
      </c>
      <c r="F18" t="s">
        <v>1243</v>
      </c>
      <c r="G18" t="s">
        <v>1244</v>
      </c>
      <c r="I18">
        <v>8</v>
      </c>
      <c r="M18">
        <v>98511</v>
      </c>
      <c r="O18">
        <v>10</v>
      </c>
      <c r="P18" t="s">
        <v>1297</v>
      </c>
      <c r="Q18" s="13">
        <v>40926</v>
      </c>
    </row>
    <row r="19" spans="1:17" x14ac:dyDescent="0.25">
      <c r="A19" t="s">
        <v>1299</v>
      </c>
      <c r="B19">
        <v>1185241</v>
      </c>
      <c r="C19" t="s">
        <v>1298</v>
      </c>
      <c r="D19">
        <v>23.7104</v>
      </c>
      <c r="E19">
        <v>90.407439999999994</v>
      </c>
      <c r="F19" t="s">
        <v>1243</v>
      </c>
      <c r="G19" t="s">
        <v>1244</v>
      </c>
      <c r="I19">
        <v>81</v>
      </c>
      <c r="J19">
        <v>3026</v>
      </c>
      <c r="M19">
        <v>10356500</v>
      </c>
      <c r="O19">
        <v>23</v>
      </c>
      <c r="P19" t="s">
        <v>1300</v>
      </c>
      <c r="Q19" s="13">
        <v>41941</v>
      </c>
    </row>
    <row r="20" spans="1:17" x14ac:dyDescent="0.25">
      <c r="A20" t="s">
        <v>1302</v>
      </c>
      <c r="B20">
        <v>2800866</v>
      </c>
      <c r="C20" t="s">
        <v>1301</v>
      </c>
      <c r="D20">
        <v>50.850450000000002</v>
      </c>
      <c r="E20">
        <v>4.3487799999999996</v>
      </c>
      <c r="F20" t="s">
        <v>1243</v>
      </c>
      <c r="G20" t="s">
        <v>1244</v>
      </c>
      <c r="I20" t="s">
        <v>1303</v>
      </c>
      <c r="J20" t="s">
        <v>1303</v>
      </c>
      <c r="K20">
        <v>21</v>
      </c>
      <c r="L20">
        <v>21004</v>
      </c>
      <c r="M20">
        <v>1019022</v>
      </c>
      <c r="O20">
        <v>28</v>
      </c>
      <c r="P20" t="s">
        <v>1304</v>
      </c>
      <c r="Q20" s="13">
        <v>42414</v>
      </c>
    </row>
    <row r="21" spans="1:17" x14ac:dyDescent="0.25">
      <c r="A21" t="s">
        <v>1306</v>
      </c>
      <c r="B21">
        <v>2357048</v>
      </c>
      <c r="C21" t="s">
        <v>1305</v>
      </c>
      <c r="D21">
        <v>12.36566</v>
      </c>
      <c r="E21">
        <v>-1.5338799999999999</v>
      </c>
      <c r="F21" t="s">
        <v>1243</v>
      </c>
      <c r="G21" t="s">
        <v>1244</v>
      </c>
      <c r="I21">
        <v>3</v>
      </c>
      <c r="J21">
        <v>53</v>
      </c>
      <c r="M21">
        <v>1086505</v>
      </c>
      <c r="O21">
        <v>299</v>
      </c>
      <c r="P21" t="s">
        <v>1307</v>
      </c>
      <c r="Q21" s="13">
        <v>42158</v>
      </c>
    </row>
    <row r="22" spans="1:17" x14ac:dyDescent="0.25">
      <c r="A22" t="s">
        <v>1309</v>
      </c>
      <c r="B22">
        <v>727011</v>
      </c>
      <c r="C22" t="s">
        <v>1308</v>
      </c>
      <c r="D22">
        <v>42.697510000000001</v>
      </c>
      <c r="E22">
        <v>23.324149999999999</v>
      </c>
      <c r="F22" t="s">
        <v>1243</v>
      </c>
      <c r="G22" t="s">
        <v>1244</v>
      </c>
      <c r="I22">
        <v>42</v>
      </c>
      <c r="J22" t="s">
        <v>1310</v>
      </c>
      <c r="M22">
        <v>1152556</v>
      </c>
      <c r="O22">
        <v>562</v>
      </c>
      <c r="P22" t="s">
        <v>1311</v>
      </c>
      <c r="Q22" s="13">
        <v>40710</v>
      </c>
    </row>
    <row r="23" spans="1:17" x14ac:dyDescent="0.25">
      <c r="A23" t="s">
        <v>1313</v>
      </c>
      <c r="B23">
        <v>290340</v>
      </c>
      <c r="C23" t="s">
        <v>1312</v>
      </c>
      <c r="D23">
        <v>26.227869999999999</v>
      </c>
      <c r="E23">
        <v>50.585650000000001</v>
      </c>
      <c r="F23" t="s">
        <v>1243</v>
      </c>
      <c r="G23" t="s">
        <v>1244</v>
      </c>
      <c r="I23">
        <v>16</v>
      </c>
      <c r="M23">
        <v>147074</v>
      </c>
      <c r="O23">
        <v>7</v>
      </c>
      <c r="P23" t="s">
        <v>1314</v>
      </c>
      <c r="Q23" s="13">
        <v>42428</v>
      </c>
    </row>
    <row r="24" spans="1:17" x14ac:dyDescent="0.25">
      <c r="A24" t="s">
        <v>1316</v>
      </c>
      <c r="B24">
        <v>425378</v>
      </c>
      <c r="C24" t="s">
        <v>1315</v>
      </c>
      <c r="D24">
        <v>-3.3822000000000001</v>
      </c>
      <c r="E24">
        <v>29.3644</v>
      </c>
      <c r="F24" t="s">
        <v>1243</v>
      </c>
      <c r="G24" t="s">
        <v>1244</v>
      </c>
      <c r="I24">
        <v>24</v>
      </c>
      <c r="M24">
        <v>331700</v>
      </c>
      <c r="O24">
        <v>805</v>
      </c>
      <c r="P24" t="s">
        <v>1317</v>
      </c>
      <c r="Q24" s="13">
        <v>40927</v>
      </c>
    </row>
    <row r="25" spans="1:17" x14ac:dyDescent="0.25">
      <c r="A25" t="s">
        <v>1320</v>
      </c>
      <c r="B25">
        <v>2394819</v>
      </c>
      <c r="C25" t="s">
        <v>1318</v>
      </c>
      <c r="D25">
        <v>6.3653599999999999</v>
      </c>
      <c r="E25">
        <v>2.4183300000000001</v>
      </c>
      <c r="F25" t="s">
        <v>1243</v>
      </c>
      <c r="G25" t="s">
        <v>1319</v>
      </c>
      <c r="I25">
        <v>14</v>
      </c>
      <c r="M25">
        <v>780000</v>
      </c>
      <c r="O25">
        <v>7</v>
      </c>
      <c r="P25" t="s">
        <v>1321</v>
      </c>
      <c r="Q25" s="13">
        <v>42183</v>
      </c>
    </row>
    <row r="26" spans="1:17" x14ac:dyDescent="0.25">
      <c r="A26" t="s">
        <v>1323</v>
      </c>
      <c r="B26">
        <v>3579132</v>
      </c>
      <c r="C26" t="s">
        <v>1322</v>
      </c>
      <c r="D26">
        <v>17.896180000000001</v>
      </c>
      <c r="E26">
        <v>-62.849780000000003</v>
      </c>
      <c r="F26" t="s">
        <v>1243</v>
      </c>
      <c r="G26" t="s">
        <v>1244</v>
      </c>
      <c r="I26">
        <v>0</v>
      </c>
      <c r="M26">
        <v>5988</v>
      </c>
      <c r="O26">
        <v>6</v>
      </c>
      <c r="P26" t="s">
        <v>1324</v>
      </c>
      <c r="Q26" s="13">
        <v>39903</v>
      </c>
    </row>
    <row r="27" spans="1:17" x14ac:dyDescent="0.25">
      <c r="A27" t="s">
        <v>1326</v>
      </c>
      <c r="B27">
        <v>3573197</v>
      </c>
      <c r="C27" t="s">
        <v>1325</v>
      </c>
      <c r="D27">
        <v>32.294899999999998</v>
      </c>
      <c r="E27">
        <v>-64.783029999999997</v>
      </c>
      <c r="F27" t="s">
        <v>1243</v>
      </c>
      <c r="G27" t="s">
        <v>1244</v>
      </c>
      <c r="I27">
        <v>3</v>
      </c>
      <c r="M27">
        <v>902</v>
      </c>
      <c r="O27">
        <v>22</v>
      </c>
      <c r="P27" t="s">
        <v>1327</v>
      </c>
      <c r="Q27" s="13">
        <v>41903</v>
      </c>
    </row>
    <row r="28" spans="1:17" x14ac:dyDescent="0.25">
      <c r="A28" t="s">
        <v>1329</v>
      </c>
      <c r="B28">
        <v>1820906</v>
      </c>
      <c r="C28" t="s">
        <v>1328</v>
      </c>
      <c r="D28">
        <v>4.9402900000000001</v>
      </c>
      <c r="E28">
        <v>114.94806</v>
      </c>
      <c r="F28" t="s">
        <v>1243</v>
      </c>
      <c r="G28" t="s">
        <v>1244</v>
      </c>
      <c r="I28">
        <v>2</v>
      </c>
      <c r="M28">
        <v>64409</v>
      </c>
      <c r="O28">
        <v>16</v>
      </c>
      <c r="P28" t="s">
        <v>1330</v>
      </c>
      <c r="Q28" s="13">
        <v>40326</v>
      </c>
    </row>
    <row r="29" spans="1:17" x14ac:dyDescent="0.25">
      <c r="A29" t="s">
        <v>1332</v>
      </c>
      <c r="B29">
        <v>3904906</v>
      </c>
      <c r="C29" t="s">
        <v>1331</v>
      </c>
      <c r="D29">
        <v>-17.786290000000001</v>
      </c>
      <c r="E29">
        <v>-63.181170000000002</v>
      </c>
      <c r="F29" t="s">
        <v>1243</v>
      </c>
      <c r="G29" t="s">
        <v>1248</v>
      </c>
      <c r="I29">
        <v>8</v>
      </c>
      <c r="M29">
        <v>1364389</v>
      </c>
      <c r="O29">
        <v>433</v>
      </c>
      <c r="P29" t="s">
        <v>1333</v>
      </c>
      <c r="Q29" s="13">
        <v>42394</v>
      </c>
    </row>
    <row r="30" spans="1:17" x14ac:dyDescent="0.25">
      <c r="A30" t="s">
        <v>1335</v>
      </c>
      <c r="B30">
        <v>3513563</v>
      </c>
      <c r="C30" t="s">
        <v>1334</v>
      </c>
      <c r="D30">
        <v>12.15</v>
      </c>
      <c r="E30">
        <v>-68.266670000000005</v>
      </c>
      <c r="F30" t="s">
        <v>1243</v>
      </c>
      <c r="G30" t="s">
        <v>1244</v>
      </c>
      <c r="I30" t="s">
        <v>1332</v>
      </c>
      <c r="M30">
        <v>3081</v>
      </c>
      <c r="O30">
        <v>4</v>
      </c>
      <c r="P30" t="s">
        <v>1336</v>
      </c>
      <c r="Q30" s="13">
        <v>41870</v>
      </c>
    </row>
    <row r="31" spans="1:17" x14ac:dyDescent="0.25">
      <c r="A31" t="s">
        <v>1338</v>
      </c>
      <c r="B31">
        <v>3448439</v>
      </c>
      <c r="C31" t="s">
        <v>1337</v>
      </c>
      <c r="D31">
        <v>-23.547499999999999</v>
      </c>
      <c r="E31">
        <v>-46.636110000000002</v>
      </c>
      <c r="F31" t="s">
        <v>1243</v>
      </c>
      <c r="G31" t="s">
        <v>1248</v>
      </c>
      <c r="I31">
        <v>27</v>
      </c>
      <c r="J31">
        <v>3550308</v>
      </c>
      <c r="M31">
        <v>10021295</v>
      </c>
      <c r="O31">
        <v>769</v>
      </c>
      <c r="P31" t="s">
        <v>1339</v>
      </c>
      <c r="Q31" s="13">
        <v>42163</v>
      </c>
    </row>
    <row r="32" spans="1:17" x14ac:dyDescent="0.25">
      <c r="A32" t="s">
        <v>1341</v>
      </c>
      <c r="B32">
        <v>3571824</v>
      </c>
      <c r="C32" t="s">
        <v>1340</v>
      </c>
      <c r="D32">
        <v>25.058229999999998</v>
      </c>
      <c r="E32">
        <v>-77.343059999999994</v>
      </c>
      <c r="F32" t="s">
        <v>1243</v>
      </c>
      <c r="G32" t="s">
        <v>1244</v>
      </c>
      <c r="I32">
        <v>23</v>
      </c>
      <c r="M32">
        <v>227940</v>
      </c>
      <c r="O32">
        <v>5</v>
      </c>
      <c r="P32" t="s">
        <v>1342</v>
      </c>
      <c r="Q32" s="13">
        <v>40328</v>
      </c>
    </row>
    <row r="33" spans="1:17" x14ac:dyDescent="0.25">
      <c r="A33" t="s">
        <v>1344</v>
      </c>
      <c r="B33">
        <v>1252416</v>
      </c>
      <c r="C33" t="s">
        <v>1343</v>
      </c>
      <c r="D33">
        <v>27.466090000000001</v>
      </c>
      <c r="E33">
        <v>89.641909999999996</v>
      </c>
      <c r="F33" t="s">
        <v>1243</v>
      </c>
      <c r="G33" t="s">
        <v>1244</v>
      </c>
      <c r="H33" t="s">
        <v>1344</v>
      </c>
      <c r="I33">
        <v>20</v>
      </c>
      <c r="M33">
        <v>98676</v>
      </c>
      <c r="N33">
        <v>2320</v>
      </c>
      <c r="O33">
        <v>2307</v>
      </c>
      <c r="P33" t="s">
        <v>1345</v>
      </c>
      <c r="Q33" s="13">
        <v>40328</v>
      </c>
    </row>
    <row r="34" spans="1:17" x14ac:dyDescent="0.25">
      <c r="A34" t="s">
        <v>1347</v>
      </c>
      <c r="B34">
        <v>933773</v>
      </c>
      <c r="C34" t="s">
        <v>1346</v>
      </c>
      <c r="D34">
        <v>-24.654509999999998</v>
      </c>
      <c r="E34">
        <v>25.90859</v>
      </c>
      <c r="F34" t="s">
        <v>1243</v>
      </c>
      <c r="G34" t="s">
        <v>1244</v>
      </c>
      <c r="I34">
        <v>9</v>
      </c>
      <c r="M34">
        <v>208411</v>
      </c>
      <c r="O34">
        <v>1011</v>
      </c>
      <c r="P34" t="s">
        <v>1348</v>
      </c>
      <c r="Q34" s="13">
        <v>40328</v>
      </c>
    </row>
    <row r="35" spans="1:17" x14ac:dyDescent="0.25">
      <c r="A35" t="s">
        <v>1350</v>
      </c>
      <c r="B35">
        <v>625144</v>
      </c>
      <c r="C35" t="s">
        <v>1349</v>
      </c>
      <c r="D35">
        <v>53.9</v>
      </c>
      <c r="E35">
        <v>27.566669999999998</v>
      </c>
      <c r="F35" t="s">
        <v>1243</v>
      </c>
      <c r="G35" t="s">
        <v>1244</v>
      </c>
      <c r="I35">
        <v>4</v>
      </c>
      <c r="M35">
        <v>1742124</v>
      </c>
      <c r="O35">
        <v>222</v>
      </c>
      <c r="P35" t="s">
        <v>1351</v>
      </c>
      <c r="Q35" s="13">
        <v>41586</v>
      </c>
    </row>
    <row r="36" spans="1:17" x14ac:dyDescent="0.25">
      <c r="A36" t="s">
        <v>1353</v>
      </c>
      <c r="B36">
        <v>3582677</v>
      </c>
      <c r="C36" t="s">
        <v>1352</v>
      </c>
      <c r="D36">
        <v>17.49952</v>
      </c>
      <c r="E36">
        <v>-88.197559999999996</v>
      </c>
      <c r="F36" t="s">
        <v>1243</v>
      </c>
      <c r="G36" t="s">
        <v>1248</v>
      </c>
      <c r="I36">
        <v>1</v>
      </c>
      <c r="M36">
        <v>61461</v>
      </c>
      <c r="O36">
        <v>6</v>
      </c>
      <c r="P36" t="s">
        <v>1354</v>
      </c>
      <c r="Q36" s="13">
        <v>41544</v>
      </c>
    </row>
    <row r="37" spans="1:17" x14ac:dyDescent="0.25">
      <c r="A37" t="s">
        <v>1356</v>
      </c>
      <c r="B37">
        <v>6167865</v>
      </c>
      <c r="C37" t="s">
        <v>1355</v>
      </c>
      <c r="D37">
        <v>43.700110000000002</v>
      </c>
      <c r="E37">
        <v>-79.416300000000007</v>
      </c>
      <c r="F37" t="s">
        <v>1243</v>
      </c>
      <c r="G37" t="s">
        <v>1248</v>
      </c>
      <c r="I37">
        <v>8</v>
      </c>
      <c r="M37">
        <v>2600000</v>
      </c>
      <c r="O37">
        <v>175</v>
      </c>
      <c r="P37" t="s">
        <v>1357</v>
      </c>
      <c r="Q37" s="13">
        <v>42118</v>
      </c>
    </row>
    <row r="38" spans="1:17" x14ac:dyDescent="0.25">
      <c r="A38" t="s">
        <v>1359</v>
      </c>
      <c r="B38">
        <v>7304591</v>
      </c>
      <c r="C38" t="s">
        <v>1358</v>
      </c>
      <c r="D38">
        <v>-12.15681</v>
      </c>
      <c r="E38">
        <v>96.822509999999994</v>
      </c>
      <c r="F38" t="s">
        <v>1243</v>
      </c>
      <c r="G38" t="s">
        <v>1244</v>
      </c>
      <c r="M38">
        <v>120</v>
      </c>
      <c r="O38">
        <v>12</v>
      </c>
      <c r="P38" t="s">
        <v>1360</v>
      </c>
      <c r="Q38" s="13">
        <v>40406</v>
      </c>
    </row>
    <row r="39" spans="1:17" x14ac:dyDescent="0.25">
      <c r="A39" t="s">
        <v>1362</v>
      </c>
      <c r="B39">
        <v>2314302</v>
      </c>
      <c r="C39" t="s">
        <v>1361</v>
      </c>
      <c r="D39">
        <v>-4.3275800000000002</v>
      </c>
      <c r="E39">
        <v>15.31357</v>
      </c>
      <c r="F39" t="s">
        <v>1243</v>
      </c>
      <c r="G39" t="s">
        <v>1244</v>
      </c>
      <c r="I39">
        <v>6</v>
      </c>
      <c r="M39">
        <v>7785965</v>
      </c>
      <c r="O39">
        <v>281</v>
      </c>
      <c r="P39" t="s">
        <v>1363</v>
      </c>
      <c r="Q39" s="13">
        <v>41680</v>
      </c>
    </row>
    <row r="40" spans="1:17" x14ac:dyDescent="0.25">
      <c r="A40" t="s">
        <v>1365</v>
      </c>
      <c r="B40">
        <v>2389853</v>
      </c>
      <c r="C40" t="s">
        <v>1364</v>
      </c>
      <c r="D40">
        <v>4.3612200000000003</v>
      </c>
      <c r="E40">
        <v>18.554960000000001</v>
      </c>
      <c r="F40" t="s">
        <v>1243</v>
      </c>
      <c r="G40" t="s">
        <v>1244</v>
      </c>
      <c r="I40">
        <v>18</v>
      </c>
      <c r="J40">
        <v>7731897</v>
      </c>
      <c r="M40">
        <v>542393</v>
      </c>
      <c r="O40">
        <v>351</v>
      </c>
      <c r="P40" t="s">
        <v>1366</v>
      </c>
      <c r="Q40" s="13">
        <v>42543</v>
      </c>
    </row>
    <row r="41" spans="1:17" x14ac:dyDescent="0.25">
      <c r="A41" t="s">
        <v>1368</v>
      </c>
      <c r="B41">
        <v>2260535</v>
      </c>
      <c r="C41" t="s">
        <v>1367</v>
      </c>
      <c r="D41">
        <v>-4.2661300000000004</v>
      </c>
      <c r="E41">
        <v>15.28318</v>
      </c>
      <c r="F41" t="s">
        <v>1243</v>
      </c>
      <c r="G41" t="s">
        <v>1244</v>
      </c>
      <c r="I41">
        <v>12</v>
      </c>
      <c r="M41">
        <v>1284609</v>
      </c>
      <c r="O41">
        <v>284</v>
      </c>
      <c r="P41" t="s">
        <v>1369</v>
      </c>
      <c r="Q41" s="13">
        <v>41024</v>
      </c>
    </row>
    <row r="42" spans="1:17" x14ac:dyDescent="0.25">
      <c r="A42" t="s">
        <v>1371</v>
      </c>
      <c r="B42">
        <v>2657896</v>
      </c>
      <c r="C42" t="s">
        <v>1370</v>
      </c>
      <c r="D42">
        <v>47.366669999999999</v>
      </c>
      <c r="E42">
        <v>8.5500000000000007</v>
      </c>
      <c r="F42" t="s">
        <v>1243</v>
      </c>
      <c r="G42" t="s">
        <v>1248</v>
      </c>
      <c r="I42" t="s">
        <v>1372</v>
      </c>
      <c r="J42">
        <v>112</v>
      </c>
      <c r="K42">
        <v>261</v>
      </c>
      <c r="M42">
        <v>341730</v>
      </c>
      <c r="O42">
        <v>429</v>
      </c>
      <c r="P42" t="s">
        <v>1373</v>
      </c>
      <c r="Q42" s="13">
        <v>42214</v>
      </c>
    </row>
    <row r="43" spans="1:17" x14ac:dyDescent="0.25">
      <c r="A43" t="s">
        <v>1375</v>
      </c>
      <c r="B43">
        <v>2293538</v>
      </c>
      <c r="C43" t="s">
        <v>1374</v>
      </c>
      <c r="D43">
        <v>5.30966</v>
      </c>
      <c r="E43">
        <v>-4.0126600000000003</v>
      </c>
      <c r="F43" t="s">
        <v>1243</v>
      </c>
      <c r="G43" t="s">
        <v>1248</v>
      </c>
      <c r="I43">
        <v>93</v>
      </c>
      <c r="M43">
        <v>3677115</v>
      </c>
      <c r="O43">
        <v>10</v>
      </c>
      <c r="P43" t="s">
        <v>1376</v>
      </c>
      <c r="Q43" s="13">
        <v>42525</v>
      </c>
    </row>
    <row r="44" spans="1:17" x14ac:dyDescent="0.25">
      <c r="A44" t="s">
        <v>1378</v>
      </c>
      <c r="B44">
        <v>4035715</v>
      </c>
      <c r="C44" t="s">
        <v>1377</v>
      </c>
      <c r="D44">
        <v>-21.20778</v>
      </c>
      <c r="E44">
        <v>-159.77500000000001</v>
      </c>
      <c r="F44" t="s">
        <v>1243</v>
      </c>
      <c r="G44" t="s">
        <v>1244</v>
      </c>
      <c r="I44">
        <v>0</v>
      </c>
      <c r="M44">
        <v>13373</v>
      </c>
      <c r="O44">
        <v>6</v>
      </c>
      <c r="P44" t="s">
        <v>1379</v>
      </c>
      <c r="Q44" s="13">
        <v>40926</v>
      </c>
    </row>
    <row r="45" spans="1:17" x14ac:dyDescent="0.25">
      <c r="A45" t="s">
        <v>1381</v>
      </c>
      <c r="B45">
        <v>3871336</v>
      </c>
      <c r="C45" t="s">
        <v>1380</v>
      </c>
      <c r="D45">
        <v>-33.456940000000003</v>
      </c>
      <c r="E45">
        <v>-70.648269999999997</v>
      </c>
      <c r="F45" t="s">
        <v>1243</v>
      </c>
      <c r="G45" t="s">
        <v>1244</v>
      </c>
      <c r="I45">
        <v>12</v>
      </c>
      <c r="J45">
        <v>131</v>
      </c>
      <c r="K45">
        <v>13101</v>
      </c>
      <c r="M45">
        <v>4837295</v>
      </c>
      <c r="O45">
        <v>556</v>
      </c>
      <c r="P45" t="s">
        <v>1382</v>
      </c>
      <c r="Q45" s="13">
        <v>42556</v>
      </c>
    </row>
    <row r="46" spans="1:17" x14ac:dyDescent="0.25">
      <c r="A46" t="s">
        <v>1384</v>
      </c>
      <c r="B46">
        <v>2232593</v>
      </c>
      <c r="C46" t="s">
        <v>1383</v>
      </c>
      <c r="D46">
        <v>4.0482699999999996</v>
      </c>
      <c r="E46">
        <v>9.7042800000000007</v>
      </c>
      <c r="F46" t="s">
        <v>1243</v>
      </c>
      <c r="G46" t="s">
        <v>1248</v>
      </c>
      <c r="I46">
        <v>5</v>
      </c>
      <c r="M46">
        <v>1338082</v>
      </c>
      <c r="O46">
        <v>19</v>
      </c>
      <c r="P46" t="s">
        <v>1385</v>
      </c>
      <c r="Q46" s="13">
        <v>40848</v>
      </c>
    </row>
    <row r="47" spans="1:17" x14ac:dyDescent="0.25">
      <c r="A47" t="s">
        <v>1387</v>
      </c>
      <c r="B47">
        <v>1796236</v>
      </c>
      <c r="C47" t="s">
        <v>1386</v>
      </c>
      <c r="D47">
        <v>31.22222</v>
      </c>
      <c r="E47">
        <v>121.45806</v>
      </c>
      <c r="F47" t="s">
        <v>1243</v>
      </c>
      <c r="G47" t="s">
        <v>1248</v>
      </c>
      <c r="I47">
        <v>23</v>
      </c>
      <c r="M47">
        <v>22315474</v>
      </c>
      <c r="O47">
        <v>12</v>
      </c>
      <c r="P47" t="s">
        <v>1388</v>
      </c>
      <c r="Q47" s="13">
        <v>42159</v>
      </c>
    </row>
    <row r="48" spans="1:17" x14ac:dyDescent="0.25">
      <c r="A48" t="s">
        <v>1390</v>
      </c>
      <c r="B48">
        <v>3688689</v>
      </c>
      <c r="C48" t="s">
        <v>1389</v>
      </c>
      <c r="D48">
        <v>4.6097099999999998</v>
      </c>
      <c r="E48">
        <v>-74.08175</v>
      </c>
      <c r="F48" t="s">
        <v>1243</v>
      </c>
      <c r="G48" t="s">
        <v>1244</v>
      </c>
      <c r="I48">
        <v>34</v>
      </c>
      <c r="J48">
        <v>11001</v>
      </c>
      <c r="M48">
        <v>7674366</v>
      </c>
      <c r="O48">
        <v>2582</v>
      </c>
      <c r="P48" t="s">
        <v>1391</v>
      </c>
      <c r="Q48" s="13">
        <v>42397</v>
      </c>
    </row>
    <row r="49" spans="1:17" x14ac:dyDescent="0.25">
      <c r="A49" t="s">
        <v>1393</v>
      </c>
      <c r="B49">
        <v>3621849</v>
      </c>
      <c r="C49" t="s">
        <v>1392</v>
      </c>
      <c r="D49">
        <v>9.9333299999999998</v>
      </c>
      <c r="E49">
        <v>-84.083330000000004</v>
      </c>
      <c r="F49" t="s">
        <v>1243</v>
      </c>
      <c r="G49" t="s">
        <v>1244</v>
      </c>
      <c r="I49">
        <v>8</v>
      </c>
      <c r="M49">
        <v>335007</v>
      </c>
      <c r="O49">
        <v>1161</v>
      </c>
      <c r="P49" t="s">
        <v>1394</v>
      </c>
      <c r="Q49" s="13">
        <v>40926</v>
      </c>
    </row>
    <row r="50" spans="1:17" x14ac:dyDescent="0.25">
      <c r="A50" t="s">
        <v>1396</v>
      </c>
      <c r="B50">
        <v>3553478</v>
      </c>
      <c r="C50" t="s">
        <v>1395</v>
      </c>
      <c r="D50">
        <v>23.133019999999998</v>
      </c>
      <c r="E50">
        <v>-82.383039999999994</v>
      </c>
      <c r="F50" t="s">
        <v>1243</v>
      </c>
      <c r="G50" t="s">
        <v>1244</v>
      </c>
      <c r="I50">
        <v>2</v>
      </c>
      <c r="M50">
        <v>2163824</v>
      </c>
      <c r="O50">
        <v>41</v>
      </c>
      <c r="P50" t="s">
        <v>1397</v>
      </c>
      <c r="Q50" s="13">
        <v>41733</v>
      </c>
    </row>
    <row r="51" spans="1:17" x14ac:dyDescent="0.25">
      <c r="A51" t="s">
        <v>1399</v>
      </c>
      <c r="B51">
        <v>3374333</v>
      </c>
      <c r="C51" t="s">
        <v>1398</v>
      </c>
      <c r="D51">
        <v>14.931520000000001</v>
      </c>
      <c r="E51">
        <v>-23.512540000000001</v>
      </c>
      <c r="F51" t="s">
        <v>1243</v>
      </c>
      <c r="G51" t="s">
        <v>1244</v>
      </c>
      <c r="I51">
        <v>14</v>
      </c>
      <c r="M51">
        <v>113364</v>
      </c>
      <c r="N51">
        <v>0</v>
      </c>
      <c r="O51">
        <v>18</v>
      </c>
      <c r="P51" t="s">
        <v>1400</v>
      </c>
      <c r="Q51" s="13">
        <v>41065</v>
      </c>
    </row>
    <row r="52" spans="1:17" x14ac:dyDescent="0.25">
      <c r="A52" t="s">
        <v>1402</v>
      </c>
      <c r="B52">
        <v>3513090</v>
      </c>
      <c r="C52" t="s">
        <v>1401</v>
      </c>
      <c r="D52">
        <v>12.1084</v>
      </c>
      <c r="E52">
        <v>-68.933539999999994</v>
      </c>
      <c r="F52" t="s">
        <v>1243</v>
      </c>
      <c r="G52" t="s">
        <v>1244</v>
      </c>
      <c r="M52">
        <v>125000</v>
      </c>
      <c r="O52">
        <v>1</v>
      </c>
      <c r="P52" t="s">
        <v>1403</v>
      </c>
      <c r="Q52" s="13">
        <v>40530</v>
      </c>
    </row>
    <row r="53" spans="1:17" x14ac:dyDescent="0.25">
      <c r="A53" t="s">
        <v>1405</v>
      </c>
      <c r="B53">
        <v>2078127</v>
      </c>
      <c r="C53" t="s">
        <v>1404</v>
      </c>
      <c r="D53">
        <v>-10.421720000000001</v>
      </c>
      <c r="E53">
        <v>105.67912</v>
      </c>
      <c r="F53" t="s">
        <v>1243</v>
      </c>
      <c r="G53" t="s">
        <v>1244</v>
      </c>
      <c r="I53">
        <v>0</v>
      </c>
      <c r="M53">
        <v>500</v>
      </c>
      <c r="O53">
        <v>135</v>
      </c>
      <c r="P53" t="s">
        <v>1406</v>
      </c>
      <c r="Q53" s="13">
        <v>42295</v>
      </c>
    </row>
    <row r="54" spans="1:17" x14ac:dyDescent="0.25">
      <c r="A54" t="s">
        <v>1408</v>
      </c>
      <c r="B54">
        <v>146268</v>
      </c>
      <c r="C54" t="s">
        <v>1407</v>
      </c>
      <c r="D54">
        <v>35.175310000000003</v>
      </c>
      <c r="E54">
        <v>33.364199999999997</v>
      </c>
      <c r="F54" t="s">
        <v>1243</v>
      </c>
      <c r="G54" t="s">
        <v>1244</v>
      </c>
      <c r="I54">
        <v>4</v>
      </c>
      <c r="M54">
        <v>200452</v>
      </c>
      <c r="O54">
        <v>147</v>
      </c>
      <c r="P54" t="s">
        <v>1409</v>
      </c>
      <c r="Q54" s="13">
        <v>42102</v>
      </c>
    </row>
    <row r="55" spans="1:17" x14ac:dyDescent="0.25">
      <c r="A55" t="s">
        <v>1411</v>
      </c>
      <c r="B55">
        <v>3067696</v>
      </c>
      <c r="C55" t="s">
        <v>1410</v>
      </c>
      <c r="D55">
        <v>50.088039999999999</v>
      </c>
      <c r="E55">
        <v>14.42076</v>
      </c>
      <c r="F55" t="s">
        <v>1243</v>
      </c>
      <c r="G55" t="s">
        <v>1244</v>
      </c>
      <c r="I55">
        <v>52</v>
      </c>
      <c r="M55">
        <v>1165581</v>
      </c>
      <c r="O55">
        <v>202</v>
      </c>
      <c r="P55" t="s">
        <v>1412</v>
      </c>
      <c r="Q55" s="13">
        <v>41603</v>
      </c>
    </row>
    <row r="56" spans="1:17" x14ac:dyDescent="0.25">
      <c r="A56" t="s">
        <v>1414</v>
      </c>
      <c r="B56">
        <v>2950159</v>
      </c>
      <c r="C56" t="s">
        <v>1413</v>
      </c>
      <c r="D56">
        <v>52.524369999999998</v>
      </c>
      <c r="E56">
        <v>13.41053</v>
      </c>
      <c r="F56" t="s">
        <v>1243</v>
      </c>
      <c r="G56" t="s">
        <v>1244</v>
      </c>
      <c r="I56">
        <v>16</v>
      </c>
      <c r="J56">
        <v>0</v>
      </c>
      <c r="K56">
        <v>11000</v>
      </c>
      <c r="L56">
        <v>11000000</v>
      </c>
      <c r="M56">
        <v>3426354</v>
      </c>
      <c r="N56">
        <v>74</v>
      </c>
      <c r="O56">
        <v>43</v>
      </c>
      <c r="P56" t="s">
        <v>1415</v>
      </c>
      <c r="Q56" s="13">
        <v>41171</v>
      </c>
    </row>
    <row r="57" spans="1:17" x14ac:dyDescent="0.25">
      <c r="A57" t="s">
        <v>1416</v>
      </c>
      <c r="B57">
        <v>223817</v>
      </c>
      <c r="C57" t="s">
        <v>46</v>
      </c>
      <c r="D57">
        <v>11.58901</v>
      </c>
      <c r="E57">
        <v>43.145029999999998</v>
      </c>
      <c r="F57" t="s">
        <v>1243</v>
      </c>
      <c r="G57" t="s">
        <v>1244</v>
      </c>
      <c r="I57">
        <v>7</v>
      </c>
      <c r="M57">
        <v>623891</v>
      </c>
      <c r="O57">
        <v>6</v>
      </c>
      <c r="P57" t="s">
        <v>1417</v>
      </c>
      <c r="Q57" s="13">
        <v>41043</v>
      </c>
    </row>
    <row r="58" spans="1:17" x14ac:dyDescent="0.25">
      <c r="A58" t="s">
        <v>1419</v>
      </c>
      <c r="B58">
        <v>2618425</v>
      </c>
      <c r="C58" t="s">
        <v>1418</v>
      </c>
      <c r="D58">
        <v>55.675939999999997</v>
      </c>
      <c r="E58">
        <v>12.565530000000001</v>
      </c>
      <c r="F58" t="s">
        <v>1243</v>
      </c>
      <c r="G58" t="s">
        <v>1244</v>
      </c>
      <c r="I58">
        <v>17</v>
      </c>
      <c r="J58">
        <v>101</v>
      </c>
      <c r="M58">
        <v>1153615</v>
      </c>
      <c r="O58">
        <v>14</v>
      </c>
      <c r="P58" t="s">
        <v>1420</v>
      </c>
      <c r="Q58" s="13">
        <v>41239</v>
      </c>
    </row>
    <row r="59" spans="1:17" x14ac:dyDescent="0.25">
      <c r="A59" t="s">
        <v>1422</v>
      </c>
      <c r="B59">
        <v>3575635</v>
      </c>
      <c r="C59" t="s">
        <v>1421</v>
      </c>
      <c r="D59">
        <v>15.301740000000001</v>
      </c>
      <c r="E59">
        <v>-61.388080000000002</v>
      </c>
      <c r="F59" t="s">
        <v>1243</v>
      </c>
      <c r="G59" t="s">
        <v>1244</v>
      </c>
      <c r="I59">
        <v>4</v>
      </c>
      <c r="M59">
        <v>16571</v>
      </c>
      <c r="O59">
        <v>11</v>
      </c>
      <c r="P59" t="s">
        <v>1423</v>
      </c>
      <c r="Q59" s="13">
        <v>40406</v>
      </c>
    </row>
    <row r="60" spans="1:17" x14ac:dyDescent="0.25">
      <c r="A60" t="s">
        <v>1425</v>
      </c>
      <c r="B60">
        <v>3492908</v>
      </c>
      <c r="C60" t="s">
        <v>1424</v>
      </c>
      <c r="D60">
        <v>18.500119999999999</v>
      </c>
      <c r="E60">
        <v>-69.988569999999996</v>
      </c>
      <c r="F60" t="s">
        <v>1243</v>
      </c>
      <c r="G60" t="s">
        <v>1244</v>
      </c>
      <c r="I60">
        <v>34</v>
      </c>
      <c r="J60">
        <v>101</v>
      </c>
      <c r="K60">
        <v>10101</v>
      </c>
      <c r="L60">
        <v>1010101</v>
      </c>
      <c r="M60">
        <v>2201941</v>
      </c>
      <c r="O60">
        <v>55</v>
      </c>
      <c r="P60" t="s">
        <v>1426</v>
      </c>
      <c r="Q60" s="13">
        <v>42526</v>
      </c>
    </row>
    <row r="61" spans="1:17" x14ac:dyDescent="0.25">
      <c r="A61" t="s">
        <v>1428</v>
      </c>
      <c r="B61">
        <v>2507480</v>
      </c>
      <c r="C61" t="s">
        <v>1427</v>
      </c>
      <c r="D61">
        <v>36.752499999999998</v>
      </c>
      <c r="E61">
        <v>3.0419700000000001</v>
      </c>
      <c r="F61" t="s">
        <v>1243</v>
      </c>
      <c r="G61" t="s">
        <v>1244</v>
      </c>
      <c r="I61">
        <v>1</v>
      </c>
      <c r="M61">
        <v>1977663</v>
      </c>
      <c r="O61">
        <v>186</v>
      </c>
      <c r="P61" t="s">
        <v>1429</v>
      </c>
      <c r="Q61" s="13">
        <v>42158</v>
      </c>
    </row>
    <row r="62" spans="1:17" x14ac:dyDescent="0.25">
      <c r="A62" t="s">
        <v>1431</v>
      </c>
      <c r="B62">
        <v>3657509</v>
      </c>
      <c r="C62" t="s">
        <v>1430</v>
      </c>
      <c r="D62">
        <v>-2.2058399999999998</v>
      </c>
      <c r="E62">
        <v>-79.90795</v>
      </c>
      <c r="F62" t="s">
        <v>1243</v>
      </c>
      <c r="G62" t="s">
        <v>1248</v>
      </c>
      <c r="I62">
        <v>10</v>
      </c>
      <c r="M62">
        <v>1952029</v>
      </c>
      <c r="O62">
        <v>6</v>
      </c>
      <c r="P62" t="s">
        <v>1432</v>
      </c>
      <c r="Q62" s="13">
        <v>41492</v>
      </c>
    </row>
    <row r="63" spans="1:17" x14ac:dyDescent="0.25">
      <c r="A63" t="s">
        <v>1434</v>
      </c>
      <c r="B63">
        <v>588409</v>
      </c>
      <c r="C63" t="s">
        <v>1433</v>
      </c>
      <c r="D63">
        <v>59.436959999999999</v>
      </c>
      <c r="E63">
        <v>24.753530000000001</v>
      </c>
      <c r="F63" t="s">
        <v>1243</v>
      </c>
      <c r="G63" t="s">
        <v>1244</v>
      </c>
      <c r="I63">
        <v>1</v>
      </c>
      <c r="J63">
        <v>784</v>
      </c>
      <c r="K63">
        <v>7840298</v>
      </c>
      <c r="M63">
        <v>394024</v>
      </c>
      <c r="O63">
        <v>12</v>
      </c>
      <c r="P63" t="s">
        <v>1435</v>
      </c>
      <c r="Q63" s="13">
        <v>42404</v>
      </c>
    </row>
    <row r="64" spans="1:17" x14ac:dyDescent="0.25">
      <c r="A64" t="s">
        <v>1437</v>
      </c>
      <c r="B64">
        <v>360630</v>
      </c>
      <c r="C64" t="s">
        <v>1436</v>
      </c>
      <c r="D64">
        <v>30.062629999999999</v>
      </c>
      <c r="E64">
        <v>31.249669999999998</v>
      </c>
      <c r="F64" t="s">
        <v>1243</v>
      </c>
      <c r="G64" t="s">
        <v>1244</v>
      </c>
      <c r="I64">
        <v>11</v>
      </c>
      <c r="M64">
        <v>7734614</v>
      </c>
      <c r="O64">
        <v>23</v>
      </c>
      <c r="P64" t="s">
        <v>1438</v>
      </c>
      <c r="Q64" s="13">
        <v>42158</v>
      </c>
    </row>
    <row r="65" spans="1:17" x14ac:dyDescent="0.25">
      <c r="A65" t="s">
        <v>1440</v>
      </c>
      <c r="B65">
        <v>2462881</v>
      </c>
      <c r="C65" t="s">
        <v>1439</v>
      </c>
      <c r="D65">
        <v>27.1418</v>
      </c>
      <c r="E65">
        <v>-13.18797</v>
      </c>
      <c r="F65" t="s">
        <v>1243</v>
      </c>
      <c r="G65" t="s">
        <v>1244</v>
      </c>
      <c r="H65" t="s">
        <v>1441</v>
      </c>
      <c r="I65" t="s">
        <v>1442</v>
      </c>
      <c r="M65">
        <v>196331</v>
      </c>
      <c r="O65">
        <v>68</v>
      </c>
      <c r="P65" t="s">
        <v>1443</v>
      </c>
      <c r="Q65" s="13">
        <v>42126</v>
      </c>
    </row>
    <row r="66" spans="1:17" x14ac:dyDescent="0.25">
      <c r="A66" t="s">
        <v>1445</v>
      </c>
      <c r="B66">
        <v>343300</v>
      </c>
      <c r="C66" t="s">
        <v>1444</v>
      </c>
      <c r="D66">
        <v>15.338050000000001</v>
      </c>
      <c r="E66">
        <v>38.931840000000001</v>
      </c>
      <c r="F66" t="s">
        <v>1243</v>
      </c>
      <c r="G66" t="s">
        <v>1244</v>
      </c>
      <c r="I66">
        <v>5</v>
      </c>
      <c r="M66">
        <v>563930</v>
      </c>
      <c r="O66">
        <v>2334</v>
      </c>
      <c r="P66" t="s">
        <v>1446</v>
      </c>
      <c r="Q66" s="13">
        <v>41285</v>
      </c>
    </row>
    <row r="67" spans="1:17" x14ac:dyDescent="0.25">
      <c r="A67" t="s">
        <v>1448</v>
      </c>
      <c r="B67">
        <v>3117735</v>
      </c>
      <c r="C67" t="s">
        <v>1447</v>
      </c>
      <c r="D67">
        <v>40.416499999999999</v>
      </c>
      <c r="E67">
        <v>-3.7025600000000001</v>
      </c>
      <c r="F67" t="s">
        <v>1243</v>
      </c>
      <c r="G67" t="s">
        <v>1244</v>
      </c>
      <c r="I67">
        <v>29</v>
      </c>
      <c r="J67" t="s">
        <v>1449</v>
      </c>
      <c r="K67">
        <v>28079</v>
      </c>
      <c r="M67">
        <v>3255944</v>
      </c>
      <c r="O67">
        <v>665</v>
      </c>
      <c r="P67" t="s">
        <v>1450</v>
      </c>
      <c r="Q67" s="13">
        <v>42158</v>
      </c>
    </row>
    <row r="68" spans="1:17" x14ac:dyDescent="0.25">
      <c r="A68" t="s">
        <v>1452</v>
      </c>
      <c r="B68">
        <v>344979</v>
      </c>
      <c r="C68" t="s">
        <v>1451</v>
      </c>
      <c r="D68">
        <v>9.0249699999999997</v>
      </c>
      <c r="E68">
        <v>38.74689</v>
      </c>
      <c r="F68" t="s">
        <v>1243</v>
      </c>
      <c r="G68" t="s">
        <v>1244</v>
      </c>
      <c r="I68">
        <v>44</v>
      </c>
      <c r="M68">
        <v>2757729</v>
      </c>
      <c r="O68">
        <v>2405</v>
      </c>
      <c r="P68" t="s">
        <v>1453</v>
      </c>
      <c r="Q68" s="13">
        <v>42137</v>
      </c>
    </row>
    <row r="69" spans="1:17" x14ac:dyDescent="0.25">
      <c r="A69" t="s">
        <v>1287</v>
      </c>
      <c r="B69">
        <v>658225</v>
      </c>
      <c r="C69" t="s">
        <v>1454</v>
      </c>
      <c r="D69">
        <v>60.169519999999999</v>
      </c>
      <c r="E69">
        <v>24.935449999999999</v>
      </c>
      <c r="F69" t="s">
        <v>1243</v>
      </c>
      <c r="G69" t="s">
        <v>1244</v>
      </c>
      <c r="I69">
        <v>1</v>
      </c>
      <c r="J69">
        <v>11</v>
      </c>
      <c r="K69">
        <v>91</v>
      </c>
      <c r="M69">
        <v>558457</v>
      </c>
      <c r="O69">
        <v>26</v>
      </c>
      <c r="P69" t="s">
        <v>1455</v>
      </c>
      <c r="Q69" s="13">
        <v>42517</v>
      </c>
    </row>
    <row r="70" spans="1:17" x14ac:dyDescent="0.25">
      <c r="A70" t="s">
        <v>1457</v>
      </c>
      <c r="B70">
        <v>2198148</v>
      </c>
      <c r="C70" t="s">
        <v>1456</v>
      </c>
      <c r="D70">
        <v>-18.14161</v>
      </c>
      <c r="E70">
        <v>178.44148999999999</v>
      </c>
      <c r="F70" t="s">
        <v>1243</v>
      </c>
      <c r="G70" t="s">
        <v>1244</v>
      </c>
      <c r="H70" t="s">
        <v>1457</v>
      </c>
      <c r="I70">
        <v>1</v>
      </c>
      <c r="M70">
        <v>77366</v>
      </c>
      <c r="O70">
        <v>57</v>
      </c>
      <c r="P70" t="s">
        <v>1458</v>
      </c>
      <c r="Q70" s="13">
        <v>40328</v>
      </c>
    </row>
    <row r="71" spans="1:17" x14ac:dyDescent="0.25">
      <c r="A71" t="s">
        <v>1460</v>
      </c>
      <c r="B71">
        <v>3426691</v>
      </c>
      <c r="C71" t="s">
        <v>1459</v>
      </c>
      <c r="D71">
        <v>-51.7</v>
      </c>
      <c r="E71">
        <v>-57.85</v>
      </c>
      <c r="F71" t="s">
        <v>1243</v>
      </c>
      <c r="G71" t="s">
        <v>1244</v>
      </c>
      <c r="I71">
        <v>0</v>
      </c>
      <c r="M71">
        <v>2213</v>
      </c>
      <c r="O71">
        <v>43</v>
      </c>
      <c r="P71" t="s">
        <v>1461</v>
      </c>
      <c r="Q71" s="13">
        <v>42118</v>
      </c>
    </row>
    <row r="72" spans="1:17" x14ac:dyDescent="0.25">
      <c r="A72" t="s">
        <v>1463</v>
      </c>
      <c r="B72">
        <v>2081986</v>
      </c>
      <c r="C72" t="s">
        <v>1462</v>
      </c>
      <c r="D72">
        <v>6.9247699999999996</v>
      </c>
      <c r="E72">
        <v>158.16109</v>
      </c>
      <c r="F72" t="s">
        <v>1243</v>
      </c>
      <c r="G72" t="s">
        <v>1244</v>
      </c>
      <c r="I72">
        <v>2</v>
      </c>
      <c r="J72" t="s">
        <v>1464</v>
      </c>
      <c r="M72">
        <v>0</v>
      </c>
      <c r="N72">
        <v>90</v>
      </c>
      <c r="O72">
        <v>92</v>
      </c>
      <c r="P72" t="s">
        <v>1465</v>
      </c>
      <c r="Q72" s="13">
        <v>42158</v>
      </c>
    </row>
    <row r="73" spans="1:17" x14ac:dyDescent="0.25">
      <c r="A73" t="s">
        <v>1467</v>
      </c>
      <c r="B73">
        <v>2611396</v>
      </c>
      <c r="C73" t="s">
        <v>1466</v>
      </c>
      <c r="D73">
        <v>62.009729999999998</v>
      </c>
      <c r="E73">
        <v>-6.7716399999999997</v>
      </c>
      <c r="F73" t="s">
        <v>1243</v>
      </c>
      <c r="G73" t="s">
        <v>1244</v>
      </c>
      <c r="I73" t="s">
        <v>1468</v>
      </c>
      <c r="J73">
        <v>2611397</v>
      </c>
      <c r="M73">
        <v>13200</v>
      </c>
      <c r="O73">
        <v>1</v>
      </c>
      <c r="P73" t="s">
        <v>1469</v>
      </c>
      <c r="Q73" s="13">
        <v>41240</v>
      </c>
    </row>
    <row r="74" spans="1:17" x14ac:dyDescent="0.25">
      <c r="A74" t="s">
        <v>1471</v>
      </c>
      <c r="B74">
        <v>2988507</v>
      </c>
      <c r="C74" t="s">
        <v>1470</v>
      </c>
      <c r="D74">
        <v>48.853409999999997</v>
      </c>
      <c r="E74">
        <v>2.3488000000000002</v>
      </c>
      <c r="F74" t="s">
        <v>1243</v>
      </c>
      <c r="G74" t="s">
        <v>1244</v>
      </c>
      <c r="I74">
        <v>11</v>
      </c>
      <c r="J74">
        <v>75</v>
      </c>
      <c r="K74">
        <v>751</v>
      </c>
      <c r="L74">
        <v>75056</v>
      </c>
      <c r="M74">
        <v>2138551</v>
      </c>
      <c r="O74">
        <v>42</v>
      </c>
      <c r="P74" t="s">
        <v>1472</v>
      </c>
      <c r="Q74" s="13">
        <v>42418</v>
      </c>
    </row>
    <row r="75" spans="1:17" x14ac:dyDescent="0.25">
      <c r="A75" t="s">
        <v>1474</v>
      </c>
      <c r="B75">
        <v>2399697</v>
      </c>
      <c r="C75" t="s">
        <v>1473</v>
      </c>
      <c r="D75">
        <v>0.39240999999999998</v>
      </c>
      <c r="E75">
        <v>9.4535599999999995</v>
      </c>
      <c r="F75" t="s">
        <v>1243</v>
      </c>
      <c r="G75" t="s">
        <v>1244</v>
      </c>
      <c r="I75">
        <v>1</v>
      </c>
      <c r="M75">
        <v>578156</v>
      </c>
      <c r="O75">
        <v>8</v>
      </c>
      <c r="P75" t="s">
        <v>1475</v>
      </c>
      <c r="Q75" s="13">
        <v>41024</v>
      </c>
    </row>
    <row r="76" spans="1:17" x14ac:dyDescent="0.25">
      <c r="A76" t="s">
        <v>1478</v>
      </c>
      <c r="B76">
        <v>2643741</v>
      </c>
      <c r="C76" t="s">
        <v>1476</v>
      </c>
      <c r="D76">
        <v>51.512790000000003</v>
      </c>
      <c r="E76">
        <v>-9.1840000000000005E-2</v>
      </c>
      <c r="F76" t="s">
        <v>1243</v>
      </c>
      <c r="G76" t="s">
        <v>1477</v>
      </c>
      <c r="I76" t="s">
        <v>1479</v>
      </c>
      <c r="J76" t="s">
        <v>1480</v>
      </c>
      <c r="K76" t="s">
        <v>1481</v>
      </c>
      <c r="M76">
        <v>7556900</v>
      </c>
      <c r="O76">
        <v>27</v>
      </c>
      <c r="P76" t="s">
        <v>1482</v>
      </c>
      <c r="Q76" s="13">
        <v>41140</v>
      </c>
    </row>
    <row r="77" spans="1:17" x14ac:dyDescent="0.25">
      <c r="A77" t="s">
        <v>1484</v>
      </c>
      <c r="B77">
        <v>3579925</v>
      </c>
      <c r="C77" t="s">
        <v>1483</v>
      </c>
      <c r="D77">
        <v>12.05644</v>
      </c>
      <c r="E77">
        <v>-61.748489999999997</v>
      </c>
      <c r="F77" t="s">
        <v>1243</v>
      </c>
      <c r="G77" t="s">
        <v>1244</v>
      </c>
      <c r="H77" t="s">
        <v>1484</v>
      </c>
      <c r="I77">
        <v>3</v>
      </c>
      <c r="M77">
        <v>7500</v>
      </c>
      <c r="N77">
        <v>6</v>
      </c>
      <c r="O77">
        <v>33</v>
      </c>
      <c r="P77" t="s">
        <v>1485</v>
      </c>
      <c r="Q77" s="13">
        <v>40519</v>
      </c>
    </row>
    <row r="78" spans="1:17" x14ac:dyDescent="0.25">
      <c r="A78" t="s">
        <v>1487</v>
      </c>
      <c r="B78">
        <v>611717</v>
      </c>
      <c r="C78" t="s">
        <v>1486</v>
      </c>
      <c r="D78">
        <v>41.694110000000002</v>
      </c>
      <c r="E78">
        <v>44.833680000000001</v>
      </c>
      <c r="F78" t="s">
        <v>1243</v>
      </c>
      <c r="G78" t="s">
        <v>1244</v>
      </c>
      <c r="I78">
        <v>51</v>
      </c>
      <c r="M78">
        <v>1049498</v>
      </c>
      <c r="O78">
        <v>491</v>
      </c>
      <c r="P78" t="s">
        <v>1488</v>
      </c>
      <c r="Q78" s="13">
        <v>42389</v>
      </c>
    </row>
    <row r="79" spans="1:17" x14ac:dyDescent="0.25">
      <c r="A79" t="s">
        <v>1490</v>
      </c>
      <c r="B79">
        <v>3382160</v>
      </c>
      <c r="C79" t="s">
        <v>1489</v>
      </c>
      <c r="D79">
        <v>4.9333299999999998</v>
      </c>
      <c r="E79">
        <v>-52.333329999999997</v>
      </c>
      <c r="F79" t="s">
        <v>1243</v>
      </c>
      <c r="G79" t="s">
        <v>1244</v>
      </c>
      <c r="I79" t="s">
        <v>1490</v>
      </c>
      <c r="J79">
        <v>973</v>
      </c>
      <c r="K79">
        <v>9731</v>
      </c>
      <c r="L79">
        <v>97302</v>
      </c>
      <c r="M79">
        <v>61550</v>
      </c>
      <c r="O79">
        <v>7</v>
      </c>
      <c r="P79" t="s">
        <v>1491</v>
      </c>
      <c r="Q79" s="13">
        <v>40942</v>
      </c>
    </row>
    <row r="80" spans="1:17" x14ac:dyDescent="0.25">
      <c r="A80" t="s">
        <v>1493</v>
      </c>
      <c r="B80">
        <v>3042287</v>
      </c>
      <c r="C80" t="s">
        <v>1492</v>
      </c>
      <c r="D80">
        <v>49.459809999999997</v>
      </c>
      <c r="E80">
        <v>-2.5352700000000001</v>
      </c>
      <c r="F80" t="s">
        <v>1243</v>
      </c>
      <c r="G80" t="s">
        <v>1244</v>
      </c>
      <c r="I80">
        <v>6417228</v>
      </c>
      <c r="M80">
        <v>16488</v>
      </c>
      <c r="O80">
        <v>10</v>
      </c>
      <c r="P80" t="s">
        <v>1494</v>
      </c>
      <c r="Q80" s="13">
        <v>41579</v>
      </c>
    </row>
    <row r="81" spans="1:17" x14ac:dyDescent="0.25">
      <c r="A81" t="s">
        <v>1496</v>
      </c>
      <c r="B81">
        <v>2306104</v>
      </c>
      <c r="C81" t="s">
        <v>1495</v>
      </c>
      <c r="D81">
        <v>5.5560200000000002</v>
      </c>
      <c r="E81">
        <v>-0.19689999999999999</v>
      </c>
      <c r="F81" t="s">
        <v>1243</v>
      </c>
      <c r="G81" t="s">
        <v>1244</v>
      </c>
      <c r="I81">
        <v>1</v>
      </c>
      <c r="M81">
        <v>1963264</v>
      </c>
      <c r="O81">
        <v>33</v>
      </c>
      <c r="P81" t="s">
        <v>1497</v>
      </c>
      <c r="Q81" s="13">
        <v>42137</v>
      </c>
    </row>
    <row r="82" spans="1:17" x14ac:dyDescent="0.25">
      <c r="A82" t="s">
        <v>1498</v>
      </c>
      <c r="B82">
        <v>2411585</v>
      </c>
      <c r="C82" t="s">
        <v>1211</v>
      </c>
      <c r="D82">
        <v>36.144739999999999</v>
      </c>
      <c r="E82">
        <v>-5.3525700000000001</v>
      </c>
      <c r="F82" t="s">
        <v>1243</v>
      </c>
      <c r="G82" t="s">
        <v>1244</v>
      </c>
      <c r="I82">
        <v>0</v>
      </c>
      <c r="M82">
        <v>26544</v>
      </c>
      <c r="O82">
        <v>11</v>
      </c>
      <c r="P82" t="s">
        <v>1499</v>
      </c>
      <c r="Q82" s="13">
        <v>40406</v>
      </c>
    </row>
    <row r="83" spans="1:17" x14ac:dyDescent="0.25">
      <c r="A83" t="s">
        <v>1501</v>
      </c>
      <c r="B83">
        <v>3421319</v>
      </c>
      <c r="C83" t="s">
        <v>1500</v>
      </c>
      <c r="D83">
        <v>64.18347</v>
      </c>
      <c r="E83">
        <v>-51.72157</v>
      </c>
      <c r="F83" t="s">
        <v>1243</v>
      </c>
      <c r="G83" t="s">
        <v>1244</v>
      </c>
      <c r="I83">
        <v>7</v>
      </c>
      <c r="M83">
        <v>14798</v>
      </c>
      <c r="N83">
        <v>5</v>
      </c>
      <c r="O83">
        <v>1</v>
      </c>
      <c r="P83" t="s">
        <v>1502</v>
      </c>
      <c r="Q83" s="13">
        <v>41770</v>
      </c>
    </row>
    <row r="84" spans="1:17" x14ac:dyDescent="0.25">
      <c r="A84" t="s">
        <v>1504</v>
      </c>
      <c r="B84">
        <v>2413753</v>
      </c>
      <c r="C84" t="s">
        <v>1503</v>
      </c>
      <c r="D84">
        <v>13.27136</v>
      </c>
      <c r="E84">
        <v>-16.649439999999998</v>
      </c>
      <c r="F84" t="s">
        <v>1243</v>
      </c>
      <c r="G84" t="s">
        <v>1248</v>
      </c>
      <c r="I84">
        <v>5</v>
      </c>
      <c r="M84">
        <v>77700</v>
      </c>
      <c r="O84">
        <v>24</v>
      </c>
      <c r="P84" t="s">
        <v>1505</v>
      </c>
      <c r="Q84" s="13">
        <v>40576</v>
      </c>
    </row>
    <row r="85" spans="1:17" x14ac:dyDescent="0.25">
      <c r="A85" t="s">
        <v>1508</v>
      </c>
      <c r="B85">
        <v>2422488</v>
      </c>
      <c r="C85" t="s">
        <v>1506</v>
      </c>
      <c r="D85">
        <v>9.5350000000000001</v>
      </c>
      <c r="E85">
        <v>-13.68778</v>
      </c>
      <c r="F85" t="s">
        <v>1243</v>
      </c>
      <c r="G85" t="s">
        <v>1507</v>
      </c>
      <c r="I85">
        <v>4</v>
      </c>
      <c r="M85">
        <v>1871242</v>
      </c>
      <c r="O85">
        <v>6</v>
      </c>
      <c r="P85" t="s">
        <v>1509</v>
      </c>
      <c r="Q85" s="13">
        <v>40926</v>
      </c>
    </row>
    <row r="86" spans="1:17" x14ac:dyDescent="0.25">
      <c r="A86" t="s">
        <v>1511</v>
      </c>
      <c r="B86">
        <v>3578959</v>
      </c>
      <c r="C86" t="s">
        <v>1510</v>
      </c>
      <c r="D86">
        <v>16.270949999999999</v>
      </c>
      <c r="E86">
        <v>-61.504510000000003</v>
      </c>
      <c r="F86" t="s">
        <v>1243</v>
      </c>
      <c r="G86" t="s">
        <v>1507</v>
      </c>
      <c r="I86" t="s">
        <v>1511</v>
      </c>
      <c r="J86">
        <v>971</v>
      </c>
      <c r="K86">
        <v>9712</v>
      </c>
      <c r="L86">
        <v>97101</v>
      </c>
      <c r="M86">
        <v>63058</v>
      </c>
      <c r="O86">
        <v>28</v>
      </c>
      <c r="P86" t="s">
        <v>1512</v>
      </c>
      <c r="Q86" s="13">
        <v>40926</v>
      </c>
    </row>
    <row r="87" spans="1:17" x14ac:dyDescent="0.25">
      <c r="A87" t="s">
        <v>1514</v>
      </c>
      <c r="B87">
        <v>2310046</v>
      </c>
      <c r="C87" t="s">
        <v>1513</v>
      </c>
      <c r="D87">
        <v>1.86391</v>
      </c>
      <c r="E87">
        <v>9.7658199999999997</v>
      </c>
      <c r="F87" t="s">
        <v>1243</v>
      </c>
      <c r="G87" t="s">
        <v>1248</v>
      </c>
      <c r="I87">
        <v>8</v>
      </c>
      <c r="M87">
        <v>173046</v>
      </c>
      <c r="O87">
        <v>13</v>
      </c>
      <c r="P87" t="s">
        <v>1515</v>
      </c>
      <c r="Q87" s="13">
        <v>40843</v>
      </c>
    </row>
    <row r="88" spans="1:17" x14ac:dyDescent="0.25">
      <c r="A88" t="s">
        <v>1517</v>
      </c>
      <c r="B88">
        <v>264371</v>
      </c>
      <c r="C88" t="s">
        <v>1516</v>
      </c>
      <c r="D88">
        <v>37.97945</v>
      </c>
      <c r="E88">
        <v>23.71622</v>
      </c>
      <c r="F88" t="s">
        <v>1243</v>
      </c>
      <c r="G88" t="s">
        <v>1244</v>
      </c>
      <c r="I88" t="s">
        <v>1518</v>
      </c>
      <c r="J88">
        <v>445408</v>
      </c>
      <c r="K88">
        <v>9186</v>
      </c>
      <c r="M88">
        <v>664046</v>
      </c>
      <c r="N88">
        <v>70</v>
      </c>
      <c r="O88">
        <v>42</v>
      </c>
      <c r="P88" t="s">
        <v>1519</v>
      </c>
      <c r="Q88" s="13">
        <v>42347</v>
      </c>
    </row>
    <row r="89" spans="1:17" x14ac:dyDescent="0.25">
      <c r="A89" t="s">
        <v>1521</v>
      </c>
      <c r="B89">
        <v>3426466</v>
      </c>
      <c r="C89" t="s">
        <v>1520</v>
      </c>
      <c r="D89">
        <v>-54.281109999999998</v>
      </c>
      <c r="E89">
        <v>-36.5092</v>
      </c>
      <c r="F89" t="s">
        <v>1243</v>
      </c>
      <c r="G89" t="s">
        <v>1244</v>
      </c>
      <c r="I89">
        <v>0</v>
      </c>
      <c r="M89">
        <v>2</v>
      </c>
      <c r="O89">
        <v>4</v>
      </c>
      <c r="P89" t="s">
        <v>1522</v>
      </c>
      <c r="Q89" s="13">
        <v>40523</v>
      </c>
    </row>
    <row r="90" spans="1:17" x14ac:dyDescent="0.25">
      <c r="A90" t="s">
        <v>1524</v>
      </c>
      <c r="B90">
        <v>3598132</v>
      </c>
      <c r="C90" t="s">
        <v>1523</v>
      </c>
      <c r="D90">
        <v>14.64072</v>
      </c>
      <c r="E90">
        <v>-90.513270000000006</v>
      </c>
      <c r="F90" t="s">
        <v>1243</v>
      </c>
      <c r="G90" t="s">
        <v>1244</v>
      </c>
      <c r="I90">
        <v>7</v>
      </c>
      <c r="M90">
        <v>994938</v>
      </c>
      <c r="O90">
        <v>1508</v>
      </c>
      <c r="P90" t="s">
        <v>1525</v>
      </c>
      <c r="Q90" s="13">
        <v>42158</v>
      </c>
    </row>
    <row r="91" spans="1:17" x14ac:dyDescent="0.25">
      <c r="A91" t="s">
        <v>1527</v>
      </c>
      <c r="B91">
        <v>4043909</v>
      </c>
      <c r="C91" t="s">
        <v>1526</v>
      </c>
      <c r="D91">
        <v>13.517770000000001</v>
      </c>
      <c r="E91">
        <v>144.8391</v>
      </c>
      <c r="F91" t="s">
        <v>1243</v>
      </c>
      <c r="G91" t="s">
        <v>1248</v>
      </c>
      <c r="I91" t="s">
        <v>1528</v>
      </c>
      <c r="M91">
        <v>44943</v>
      </c>
      <c r="N91">
        <v>98</v>
      </c>
      <c r="O91">
        <v>100</v>
      </c>
      <c r="P91" t="s">
        <v>1529</v>
      </c>
      <c r="Q91" s="13">
        <v>41462</v>
      </c>
    </row>
    <row r="92" spans="1:17" x14ac:dyDescent="0.25">
      <c r="A92" t="s">
        <v>1531</v>
      </c>
      <c r="B92">
        <v>2374775</v>
      </c>
      <c r="C92" t="s">
        <v>1530</v>
      </c>
      <c r="D92">
        <v>11.863569999999999</v>
      </c>
      <c r="E92">
        <v>-15.597670000000001</v>
      </c>
      <c r="F92" t="s">
        <v>1243</v>
      </c>
      <c r="G92" t="s">
        <v>1244</v>
      </c>
      <c r="I92">
        <v>11</v>
      </c>
      <c r="M92">
        <v>388028</v>
      </c>
      <c r="O92">
        <v>13</v>
      </c>
      <c r="P92" t="s">
        <v>1532</v>
      </c>
      <c r="Q92" s="13">
        <v>40632</v>
      </c>
    </row>
    <row r="93" spans="1:17" x14ac:dyDescent="0.25">
      <c r="A93" t="s">
        <v>1534</v>
      </c>
      <c r="B93">
        <v>3378644</v>
      </c>
      <c r="C93" t="s">
        <v>1533</v>
      </c>
      <c r="D93">
        <v>6.8044799999999999</v>
      </c>
      <c r="E93">
        <v>-58.155270000000002</v>
      </c>
      <c r="F93" t="s">
        <v>1243</v>
      </c>
      <c r="G93" t="s">
        <v>1244</v>
      </c>
      <c r="I93">
        <v>12</v>
      </c>
      <c r="M93">
        <v>235017</v>
      </c>
      <c r="O93">
        <v>3</v>
      </c>
      <c r="P93" t="s">
        <v>1535</v>
      </c>
      <c r="Q93" s="13">
        <v>40328</v>
      </c>
    </row>
    <row r="94" spans="1:17" x14ac:dyDescent="0.25">
      <c r="A94" t="s">
        <v>1536</v>
      </c>
      <c r="B94">
        <v>1819729</v>
      </c>
      <c r="C94" t="s">
        <v>1216</v>
      </c>
      <c r="D94">
        <v>22.285520000000002</v>
      </c>
      <c r="E94">
        <v>114.15769</v>
      </c>
      <c r="F94" t="s">
        <v>1243</v>
      </c>
      <c r="G94" t="s">
        <v>1244</v>
      </c>
      <c r="I94" t="s">
        <v>1537</v>
      </c>
      <c r="M94">
        <v>7012738</v>
      </c>
      <c r="O94">
        <v>3</v>
      </c>
      <c r="P94" t="s">
        <v>1538</v>
      </c>
      <c r="Q94" s="13">
        <v>42502</v>
      </c>
    </row>
    <row r="95" spans="1:17" x14ac:dyDescent="0.25">
      <c r="A95" t="s">
        <v>1540</v>
      </c>
      <c r="B95">
        <v>3600949</v>
      </c>
      <c r="C95" t="s">
        <v>1539</v>
      </c>
      <c r="D95">
        <v>14.081799999999999</v>
      </c>
      <c r="E95">
        <v>-87.206810000000004</v>
      </c>
      <c r="F95" t="s">
        <v>1243</v>
      </c>
      <c r="G95" t="s">
        <v>1244</v>
      </c>
      <c r="I95">
        <v>8</v>
      </c>
      <c r="M95">
        <v>850848</v>
      </c>
      <c r="O95">
        <v>944</v>
      </c>
      <c r="P95" t="s">
        <v>1541</v>
      </c>
      <c r="Q95" s="13">
        <v>40326</v>
      </c>
    </row>
    <row r="96" spans="1:17" x14ac:dyDescent="0.25">
      <c r="A96" t="s">
        <v>1544</v>
      </c>
      <c r="B96">
        <v>6618983</v>
      </c>
      <c r="C96" t="s">
        <v>1542</v>
      </c>
      <c r="D96">
        <v>45.813130000000001</v>
      </c>
      <c r="E96">
        <v>15.97753</v>
      </c>
      <c r="F96" t="s">
        <v>1243</v>
      </c>
      <c r="G96" t="s">
        <v>1543</v>
      </c>
      <c r="I96">
        <v>21</v>
      </c>
      <c r="J96">
        <v>3186885</v>
      </c>
      <c r="M96">
        <v>800000</v>
      </c>
      <c r="O96">
        <v>134</v>
      </c>
      <c r="P96" t="s">
        <v>1545</v>
      </c>
      <c r="Q96" s="13">
        <v>41253</v>
      </c>
    </row>
    <row r="97" spans="1:17" x14ac:dyDescent="0.25">
      <c r="A97" t="s">
        <v>1547</v>
      </c>
      <c r="B97">
        <v>3718426</v>
      </c>
      <c r="C97" t="s">
        <v>1546</v>
      </c>
      <c r="D97">
        <v>18.539169999999999</v>
      </c>
      <c r="E97">
        <v>-72.334999999999994</v>
      </c>
      <c r="F97" t="s">
        <v>1243</v>
      </c>
      <c r="G97" t="s">
        <v>1244</v>
      </c>
      <c r="I97">
        <v>11</v>
      </c>
      <c r="J97">
        <v>3718425</v>
      </c>
      <c r="M97">
        <v>1234742</v>
      </c>
      <c r="O97">
        <v>44</v>
      </c>
      <c r="P97" t="s">
        <v>1548</v>
      </c>
      <c r="Q97" s="13">
        <v>42399</v>
      </c>
    </row>
    <row r="98" spans="1:17" x14ac:dyDescent="0.25">
      <c r="A98" t="s">
        <v>1550</v>
      </c>
      <c r="B98">
        <v>3054643</v>
      </c>
      <c r="C98" t="s">
        <v>1549</v>
      </c>
      <c r="D98">
        <v>47.498010000000001</v>
      </c>
      <c r="E98">
        <v>19.039909999999999</v>
      </c>
      <c r="F98" t="s">
        <v>1243</v>
      </c>
      <c r="G98" t="s">
        <v>1244</v>
      </c>
      <c r="I98">
        <v>5</v>
      </c>
      <c r="M98">
        <v>1741041</v>
      </c>
      <c r="O98">
        <v>111</v>
      </c>
      <c r="P98" t="s">
        <v>1551</v>
      </c>
      <c r="Q98" s="13">
        <v>42172</v>
      </c>
    </row>
    <row r="99" spans="1:17" x14ac:dyDescent="0.25">
      <c r="A99" t="s">
        <v>1553</v>
      </c>
      <c r="B99">
        <v>1642911</v>
      </c>
      <c r="C99" t="s">
        <v>1552</v>
      </c>
      <c r="D99">
        <v>-6.21462</v>
      </c>
      <c r="E99">
        <v>106.84513</v>
      </c>
      <c r="F99" t="s">
        <v>1243</v>
      </c>
      <c r="G99" t="s">
        <v>1244</v>
      </c>
      <c r="I99">
        <v>4</v>
      </c>
      <c r="M99">
        <v>8540121</v>
      </c>
      <c r="O99">
        <v>16</v>
      </c>
      <c r="P99" t="s">
        <v>1554</v>
      </c>
      <c r="Q99" s="13">
        <v>41129</v>
      </c>
    </row>
    <row r="100" spans="1:17" x14ac:dyDescent="0.25">
      <c r="A100" t="s">
        <v>1556</v>
      </c>
      <c r="B100">
        <v>2964574</v>
      </c>
      <c r="C100" t="s">
        <v>1555</v>
      </c>
      <c r="D100">
        <v>53.333060000000003</v>
      </c>
      <c r="E100">
        <v>-6.2488900000000003</v>
      </c>
      <c r="F100" t="s">
        <v>1243</v>
      </c>
      <c r="G100" t="s">
        <v>1244</v>
      </c>
      <c r="I100" t="s">
        <v>1557</v>
      </c>
      <c r="J100">
        <v>33</v>
      </c>
      <c r="M100">
        <v>1024027</v>
      </c>
      <c r="O100">
        <v>17</v>
      </c>
      <c r="P100" t="s">
        <v>1558</v>
      </c>
      <c r="Q100" s="13">
        <v>41424</v>
      </c>
    </row>
    <row r="101" spans="1:17" x14ac:dyDescent="0.25">
      <c r="A101" t="s">
        <v>1560</v>
      </c>
      <c r="B101">
        <v>281184</v>
      </c>
      <c r="C101" t="s">
        <v>1559</v>
      </c>
      <c r="D101">
        <v>31.76904</v>
      </c>
      <c r="E101">
        <v>35.216329999999999</v>
      </c>
      <c r="F101" t="s">
        <v>1243</v>
      </c>
      <c r="G101" t="s">
        <v>1248</v>
      </c>
      <c r="I101">
        <v>6</v>
      </c>
      <c r="M101">
        <v>801000</v>
      </c>
      <c r="O101">
        <v>786</v>
      </c>
      <c r="P101" t="s">
        <v>1561</v>
      </c>
      <c r="Q101" s="13">
        <v>41897</v>
      </c>
    </row>
    <row r="102" spans="1:17" x14ac:dyDescent="0.25">
      <c r="A102" t="s">
        <v>1563</v>
      </c>
      <c r="B102">
        <v>3042237</v>
      </c>
      <c r="C102" t="s">
        <v>1562</v>
      </c>
      <c r="D102">
        <v>54.15</v>
      </c>
      <c r="E102">
        <v>-4.4833299999999996</v>
      </c>
      <c r="F102" t="s">
        <v>1243</v>
      </c>
      <c r="G102" t="s">
        <v>1244</v>
      </c>
      <c r="I102">
        <v>9782170</v>
      </c>
      <c r="M102">
        <v>26218</v>
      </c>
      <c r="O102">
        <v>31</v>
      </c>
      <c r="P102" t="s">
        <v>1564</v>
      </c>
      <c r="Q102" s="13">
        <v>41942</v>
      </c>
    </row>
    <row r="103" spans="1:17" x14ac:dyDescent="0.25">
      <c r="A103" t="s">
        <v>1566</v>
      </c>
      <c r="B103">
        <v>1275339</v>
      </c>
      <c r="C103" t="s">
        <v>1565</v>
      </c>
      <c r="D103">
        <v>19.07283</v>
      </c>
      <c r="E103">
        <v>72.88261</v>
      </c>
      <c r="F103" t="s">
        <v>1243</v>
      </c>
      <c r="G103" t="s">
        <v>1248</v>
      </c>
      <c r="I103">
        <v>16</v>
      </c>
      <c r="J103">
        <v>518</v>
      </c>
      <c r="M103">
        <v>12691836</v>
      </c>
      <c r="O103">
        <v>8</v>
      </c>
      <c r="P103" t="s">
        <v>1567</v>
      </c>
      <c r="Q103" s="13">
        <v>41926</v>
      </c>
    </row>
    <row r="104" spans="1:17" x14ac:dyDescent="0.25">
      <c r="A104" t="s">
        <v>1569</v>
      </c>
      <c r="B104">
        <v>98182</v>
      </c>
      <c r="C104" t="s">
        <v>1568</v>
      </c>
      <c r="D104">
        <v>33.340580000000003</v>
      </c>
      <c r="E104">
        <v>44.400880000000001</v>
      </c>
      <c r="F104" t="s">
        <v>1243</v>
      </c>
      <c r="G104" t="s">
        <v>1244</v>
      </c>
      <c r="I104">
        <v>7</v>
      </c>
      <c r="J104">
        <v>9166668</v>
      </c>
      <c r="M104">
        <v>7216000</v>
      </c>
      <c r="O104">
        <v>41</v>
      </c>
      <c r="P104" t="s">
        <v>1570</v>
      </c>
      <c r="Q104" s="13">
        <v>42543</v>
      </c>
    </row>
    <row r="105" spans="1:17" x14ac:dyDescent="0.25">
      <c r="A105" t="s">
        <v>1572</v>
      </c>
      <c r="B105">
        <v>112931</v>
      </c>
      <c r="C105" t="s">
        <v>1571</v>
      </c>
      <c r="D105">
        <v>35.694389999999999</v>
      </c>
      <c r="E105">
        <v>51.421509999999998</v>
      </c>
      <c r="F105" t="s">
        <v>1243</v>
      </c>
      <c r="G105" t="s">
        <v>1244</v>
      </c>
      <c r="I105">
        <v>26</v>
      </c>
      <c r="M105">
        <v>7153309</v>
      </c>
      <c r="O105">
        <v>1178</v>
      </c>
      <c r="P105" t="s">
        <v>1573</v>
      </c>
      <c r="Q105" s="13">
        <v>42280</v>
      </c>
    </row>
    <row r="106" spans="1:17" x14ac:dyDescent="0.25">
      <c r="A106" t="s">
        <v>1575</v>
      </c>
      <c r="B106">
        <v>3413829</v>
      </c>
      <c r="C106" t="s">
        <v>1574</v>
      </c>
      <c r="D106">
        <v>64.135480000000001</v>
      </c>
      <c r="E106">
        <v>-21.895409999999998</v>
      </c>
      <c r="F106" t="s">
        <v>1243</v>
      </c>
      <c r="G106" t="s">
        <v>1244</v>
      </c>
      <c r="I106">
        <v>39</v>
      </c>
      <c r="M106">
        <v>118918</v>
      </c>
      <c r="O106">
        <v>37</v>
      </c>
      <c r="P106" t="s">
        <v>1576</v>
      </c>
      <c r="Q106" s="13">
        <v>41816</v>
      </c>
    </row>
    <row r="107" spans="1:17" x14ac:dyDescent="0.25">
      <c r="A107" t="s">
        <v>1578</v>
      </c>
      <c r="B107">
        <v>3169070</v>
      </c>
      <c r="C107" t="s">
        <v>1577</v>
      </c>
      <c r="D107">
        <v>41.891930000000002</v>
      </c>
      <c r="E107">
        <v>12.511329999999999</v>
      </c>
      <c r="F107" t="s">
        <v>1243</v>
      </c>
      <c r="G107" t="s">
        <v>1244</v>
      </c>
      <c r="I107">
        <v>7</v>
      </c>
      <c r="J107" t="s">
        <v>1579</v>
      </c>
      <c r="K107">
        <v>58091</v>
      </c>
      <c r="M107">
        <v>2318895</v>
      </c>
      <c r="N107">
        <v>20</v>
      </c>
      <c r="O107">
        <v>52</v>
      </c>
      <c r="P107" t="s">
        <v>1580</v>
      </c>
      <c r="Q107" s="13">
        <v>42256</v>
      </c>
    </row>
    <row r="108" spans="1:17" x14ac:dyDescent="0.25">
      <c r="A108" t="s">
        <v>1582</v>
      </c>
      <c r="B108">
        <v>3042091</v>
      </c>
      <c r="C108" t="s">
        <v>1581</v>
      </c>
      <c r="D108">
        <v>49.188040000000001</v>
      </c>
      <c r="E108">
        <v>-2.1049099999999998</v>
      </c>
      <c r="F108" t="s">
        <v>1243</v>
      </c>
      <c r="G108" t="s">
        <v>1244</v>
      </c>
      <c r="H108" t="s">
        <v>1478</v>
      </c>
      <c r="I108">
        <v>3237864</v>
      </c>
      <c r="M108">
        <v>28000</v>
      </c>
      <c r="O108">
        <v>11</v>
      </c>
      <c r="P108" t="s">
        <v>1583</v>
      </c>
      <c r="Q108" s="13">
        <v>42077</v>
      </c>
    </row>
    <row r="109" spans="1:17" x14ac:dyDescent="0.25">
      <c r="A109" t="s">
        <v>1585</v>
      </c>
      <c r="B109">
        <v>3489854</v>
      </c>
      <c r="C109" t="s">
        <v>1584</v>
      </c>
      <c r="D109">
        <v>17.997019999999999</v>
      </c>
      <c r="E109">
        <v>-76.793580000000006</v>
      </c>
      <c r="F109" t="s">
        <v>1243</v>
      </c>
      <c r="G109" t="s">
        <v>1244</v>
      </c>
      <c r="I109">
        <v>17</v>
      </c>
      <c r="M109">
        <v>937700</v>
      </c>
      <c r="O109">
        <v>65</v>
      </c>
      <c r="P109" t="s">
        <v>1586</v>
      </c>
      <c r="Q109" s="13">
        <v>42158</v>
      </c>
    </row>
    <row r="110" spans="1:17" x14ac:dyDescent="0.25">
      <c r="A110" t="s">
        <v>1588</v>
      </c>
      <c r="B110">
        <v>250441</v>
      </c>
      <c r="C110" t="s">
        <v>1587</v>
      </c>
      <c r="D110">
        <v>31.955220000000001</v>
      </c>
      <c r="E110">
        <v>35.945030000000003</v>
      </c>
      <c r="F110" t="s">
        <v>1243</v>
      </c>
      <c r="G110" t="s">
        <v>1244</v>
      </c>
      <c r="I110">
        <v>16</v>
      </c>
      <c r="M110">
        <v>1275857</v>
      </c>
      <c r="O110">
        <v>757</v>
      </c>
      <c r="P110" t="s">
        <v>1589</v>
      </c>
      <c r="Q110" s="13">
        <v>42390</v>
      </c>
    </row>
    <row r="111" spans="1:17" x14ac:dyDescent="0.25">
      <c r="A111" t="s">
        <v>1591</v>
      </c>
      <c r="B111">
        <v>1850147</v>
      </c>
      <c r="C111" t="s">
        <v>1590</v>
      </c>
      <c r="D111">
        <v>35.689500000000002</v>
      </c>
      <c r="E111">
        <v>139.69171</v>
      </c>
      <c r="F111" t="s">
        <v>1243</v>
      </c>
      <c r="G111" t="s">
        <v>1244</v>
      </c>
      <c r="I111">
        <v>40</v>
      </c>
      <c r="J111">
        <v>1852083</v>
      </c>
      <c r="M111">
        <v>8336599</v>
      </c>
      <c r="O111">
        <v>44</v>
      </c>
      <c r="P111" t="s">
        <v>1592</v>
      </c>
      <c r="Q111" s="13">
        <v>42543</v>
      </c>
    </row>
    <row r="112" spans="1:17" x14ac:dyDescent="0.25">
      <c r="A112" t="s">
        <v>1594</v>
      </c>
      <c r="B112">
        <v>184745</v>
      </c>
      <c r="C112" t="s">
        <v>1593</v>
      </c>
      <c r="D112">
        <v>-1.2833300000000001</v>
      </c>
      <c r="E112">
        <v>36.816670000000002</v>
      </c>
      <c r="F112" t="s">
        <v>1243</v>
      </c>
      <c r="G112" t="s">
        <v>1244</v>
      </c>
      <c r="I112">
        <v>5</v>
      </c>
      <c r="M112">
        <v>2750547</v>
      </c>
      <c r="O112">
        <v>1684</v>
      </c>
      <c r="P112" t="s">
        <v>1595</v>
      </c>
      <c r="Q112" s="13">
        <v>41941</v>
      </c>
    </row>
    <row r="113" spans="1:17" x14ac:dyDescent="0.25">
      <c r="A113" t="s">
        <v>1597</v>
      </c>
      <c r="B113">
        <v>1528675</v>
      </c>
      <c r="C113" t="s">
        <v>1596</v>
      </c>
      <c r="D113">
        <v>42.87</v>
      </c>
      <c r="E113">
        <v>74.59</v>
      </c>
      <c r="F113" t="s">
        <v>1243</v>
      </c>
      <c r="G113" t="s">
        <v>1244</v>
      </c>
      <c r="H113" t="s">
        <v>1597</v>
      </c>
      <c r="I113">
        <v>1</v>
      </c>
      <c r="M113">
        <v>900000</v>
      </c>
      <c r="O113">
        <v>767</v>
      </c>
      <c r="P113" t="s">
        <v>1598</v>
      </c>
      <c r="Q113" s="13">
        <v>42151</v>
      </c>
    </row>
    <row r="114" spans="1:17" x14ac:dyDescent="0.25">
      <c r="A114" t="s">
        <v>1600</v>
      </c>
      <c r="B114">
        <v>1821306</v>
      </c>
      <c r="C114" t="s">
        <v>1599</v>
      </c>
      <c r="D114">
        <v>11.56245</v>
      </c>
      <c r="E114">
        <v>104.91601</v>
      </c>
      <c r="F114" t="s">
        <v>1243</v>
      </c>
      <c r="G114" t="s">
        <v>1244</v>
      </c>
      <c r="I114">
        <v>22</v>
      </c>
      <c r="M114">
        <v>1573544</v>
      </c>
      <c r="O114">
        <v>20</v>
      </c>
      <c r="P114" t="s">
        <v>1601</v>
      </c>
      <c r="Q114" s="13">
        <v>42394</v>
      </c>
    </row>
    <row r="115" spans="1:17" x14ac:dyDescent="0.25">
      <c r="A115" t="s">
        <v>1603</v>
      </c>
      <c r="B115">
        <v>2110257</v>
      </c>
      <c r="C115" t="s">
        <v>1602</v>
      </c>
      <c r="D115">
        <v>1.3278000000000001</v>
      </c>
      <c r="E115">
        <v>172.97695999999999</v>
      </c>
      <c r="F115" t="s">
        <v>1243</v>
      </c>
      <c r="G115" t="s">
        <v>1244</v>
      </c>
      <c r="I115">
        <v>1</v>
      </c>
      <c r="J115" t="s">
        <v>1604</v>
      </c>
      <c r="M115">
        <v>40311</v>
      </c>
      <c r="O115">
        <v>6</v>
      </c>
      <c r="P115" t="s">
        <v>1605</v>
      </c>
      <c r="Q115" s="13">
        <v>41870</v>
      </c>
    </row>
    <row r="116" spans="1:17" x14ac:dyDescent="0.25">
      <c r="A116" t="s">
        <v>1607</v>
      </c>
      <c r="B116">
        <v>921772</v>
      </c>
      <c r="C116" t="s">
        <v>1606</v>
      </c>
      <c r="D116">
        <v>-11.702159999999999</v>
      </c>
      <c r="E116">
        <v>43.25506</v>
      </c>
      <c r="F116" t="s">
        <v>1243</v>
      </c>
      <c r="G116" t="s">
        <v>1244</v>
      </c>
      <c r="I116">
        <v>2</v>
      </c>
      <c r="M116">
        <v>42872</v>
      </c>
      <c r="O116">
        <v>27</v>
      </c>
      <c r="P116" t="s">
        <v>1608</v>
      </c>
      <c r="Q116" s="13">
        <v>40326</v>
      </c>
    </row>
    <row r="117" spans="1:17" x14ac:dyDescent="0.25">
      <c r="A117" t="s">
        <v>1610</v>
      </c>
      <c r="B117">
        <v>3575551</v>
      </c>
      <c r="C117" t="s">
        <v>1609</v>
      </c>
      <c r="D117">
        <v>17.294840000000001</v>
      </c>
      <c r="E117">
        <v>-62.726100000000002</v>
      </c>
      <c r="F117" t="s">
        <v>1243</v>
      </c>
      <c r="G117" t="s">
        <v>1244</v>
      </c>
      <c r="I117">
        <v>3</v>
      </c>
      <c r="M117">
        <v>12920</v>
      </c>
      <c r="N117">
        <v>-22</v>
      </c>
      <c r="O117">
        <v>10</v>
      </c>
      <c r="P117" t="s">
        <v>1611</v>
      </c>
      <c r="Q117" s="13">
        <v>40519</v>
      </c>
    </row>
    <row r="118" spans="1:17" x14ac:dyDescent="0.25">
      <c r="A118" t="s">
        <v>1613</v>
      </c>
      <c r="B118">
        <v>1871859</v>
      </c>
      <c r="C118" t="s">
        <v>1612</v>
      </c>
      <c r="D118">
        <v>39.033850000000001</v>
      </c>
      <c r="E118">
        <v>125.75432000000001</v>
      </c>
      <c r="F118" t="s">
        <v>1243</v>
      </c>
      <c r="G118" t="s">
        <v>1244</v>
      </c>
      <c r="I118">
        <v>12</v>
      </c>
      <c r="M118">
        <v>3222000</v>
      </c>
      <c r="O118">
        <v>43</v>
      </c>
      <c r="P118" t="s">
        <v>1614</v>
      </c>
      <c r="Q118" s="13">
        <v>42469</v>
      </c>
    </row>
    <row r="119" spans="1:17" x14ac:dyDescent="0.25">
      <c r="A119" t="s">
        <v>1616</v>
      </c>
      <c r="B119">
        <v>1835848</v>
      </c>
      <c r="C119" t="s">
        <v>1615</v>
      </c>
      <c r="D119">
        <v>37.566000000000003</v>
      </c>
      <c r="E119">
        <v>126.97839999999999</v>
      </c>
      <c r="F119" t="s">
        <v>1243</v>
      </c>
      <c r="G119" t="s">
        <v>1244</v>
      </c>
      <c r="I119">
        <v>11</v>
      </c>
      <c r="M119">
        <v>10349312</v>
      </c>
      <c r="O119">
        <v>38</v>
      </c>
      <c r="P119" t="s">
        <v>1617</v>
      </c>
      <c r="Q119" s="13">
        <v>42159</v>
      </c>
    </row>
    <row r="120" spans="1:17" x14ac:dyDescent="0.25">
      <c r="A120" t="s">
        <v>1619</v>
      </c>
      <c r="B120">
        <v>285839</v>
      </c>
      <c r="C120" t="s">
        <v>1618</v>
      </c>
      <c r="D120">
        <v>29.07694</v>
      </c>
      <c r="E120">
        <v>48.083889999999997</v>
      </c>
      <c r="F120" t="s">
        <v>1243</v>
      </c>
      <c r="G120" t="s">
        <v>1248</v>
      </c>
      <c r="I120">
        <v>4</v>
      </c>
      <c r="M120">
        <v>637411</v>
      </c>
      <c r="O120">
        <v>70</v>
      </c>
      <c r="P120" t="s">
        <v>1620</v>
      </c>
      <c r="Q120" s="13">
        <v>41643</v>
      </c>
    </row>
    <row r="121" spans="1:17" x14ac:dyDescent="0.25">
      <c r="A121" t="s">
        <v>1622</v>
      </c>
      <c r="B121">
        <v>3580661</v>
      </c>
      <c r="C121" t="s">
        <v>1621</v>
      </c>
      <c r="D121">
        <v>19.2866</v>
      </c>
      <c r="E121">
        <v>-81.374359999999996</v>
      </c>
      <c r="F121" t="s">
        <v>1243</v>
      </c>
      <c r="G121" t="s">
        <v>1244</v>
      </c>
      <c r="I121">
        <v>10346796</v>
      </c>
      <c r="M121">
        <v>29370</v>
      </c>
      <c r="O121">
        <v>3</v>
      </c>
      <c r="P121" t="s">
        <v>1623</v>
      </c>
      <c r="Q121" s="13">
        <v>42198</v>
      </c>
    </row>
    <row r="122" spans="1:17" x14ac:dyDescent="0.25">
      <c r="A122" t="s">
        <v>1625</v>
      </c>
      <c r="B122">
        <v>1526384</v>
      </c>
      <c r="C122" t="s">
        <v>1624</v>
      </c>
      <c r="D122">
        <v>43.25667</v>
      </c>
      <c r="E122">
        <v>76.928610000000006</v>
      </c>
      <c r="F122" t="s">
        <v>1243</v>
      </c>
      <c r="G122" t="s">
        <v>1248</v>
      </c>
      <c r="I122">
        <v>2</v>
      </c>
      <c r="M122">
        <v>2000900</v>
      </c>
      <c r="O122">
        <v>787</v>
      </c>
      <c r="P122" t="s">
        <v>1626</v>
      </c>
      <c r="Q122" s="13">
        <v>42522</v>
      </c>
    </row>
    <row r="123" spans="1:17" x14ac:dyDescent="0.25">
      <c r="A123" t="s">
        <v>1628</v>
      </c>
      <c r="B123">
        <v>1651944</v>
      </c>
      <c r="C123" t="s">
        <v>1627</v>
      </c>
      <c r="D123">
        <v>17.966670000000001</v>
      </c>
      <c r="E123">
        <v>102.6</v>
      </c>
      <c r="F123" t="s">
        <v>1243</v>
      </c>
      <c r="G123" t="s">
        <v>1244</v>
      </c>
      <c r="I123">
        <v>24</v>
      </c>
      <c r="M123">
        <v>196731</v>
      </c>
      <c r="O123">
        <v>174</v>
      </c>
      <c r="P123" t="s">
        <v>1629</v>
      </c>
      <c r="Q123" s="13">
        <v>40925</v>
      </c>
    </row>
    <row r="124" spans="1:17" x14ac:dyDescent="0.25">
      <c r="A124" t="s">
        <v>1631</v>
      </c>
      <c r="B124">
        <v>276781</v>
      </c>
      <c r="C124" t="s">
        <v>1630</v>
      </c>
      <c r="D124">
        <v>33.888939999999998</v>
      </c>
      <c r="E124">
        <v>35.494419999999998</v>
      </c>
      <c r="F124" t="s">
        <v>1243</v>
      </c>
      <c r="G124" t="s">
        <v>1244</v>
      </c>
      <c r="I124">
        <v>4</v>
      </c>
      <c r="M124">
        <v>1916100</v>
      </c>
      <c r="O124">
        <v>102</v>
      </c>
      <c r="P124" t="s">
        <v>1632</v>
      </c>
      <c r="Q124" s="13">
        <v>40401</v>
      </c>
    </row>
    <row r="125" spans="1:17" x14ac:dyDescent="0.25">
      <c r="A125" t="s">
        <v>1634</v>
      </c>
      <c r="B125">
        <v>3576812</v>
      </c>
      <c r="C125" t="s">
        <v>1633</v>
      </c>
      <c r="D125">
        <v>13.995699999999999</v>
      </c>
      <c r="E125">
        <v>-61.006140000000002</v>
      </c>
      <c r="F125" t="s">
        <v>1243</v>
      </c>
      <c r="G125" t="s">
        <v>1244</v>
      </c>
      <c r="I125">
        <v>3</v>
      </c>
      <c r="M125">
        <v>20000</v>
      </c>
      <c r="O125">
        <v>119</v>
      </c>
      <c r="P125" t="s">
        <v>1635</v>
      </c>
      <c r="Q125" s="13">
        <v>41663</v>
      </c>
    </row>
    <row r="126" spans="1:17" x14ac:dyDescent="0.25">
      <c r="A126" t="s">
        <v>1637</v>
      </c>
      <c r="B126">
        <v>3042030</v>
      </c>
      <c r="C126" t="s">
        <v>1636</v>
      </c>
      <c r="D126">
        <v>47.141509999999997</v>
      </c>
      <c r="E126">
        <v>9.5215399999999999</v>
      </c>
      <c r="F126" t="s">
        <v>1243</v>
      </c>
      <c r="G126" t="s">
        <v>1244</v>
      </c>
      <c r="I126">
        <v>11</v>
      </c>
      <c r="M126">
        <v>5197</v>
      </c>
      <c r="O126">
        <v>465</v>
      </c>
      <c r="P126" t="s">
        <v>1638</v>
      </c>
      <c r="Q126" s="13">
        <v>41366</v>
      </c>
    </row>
    <row r="127" spans="1:17" x14ac:dyDescent="0.25">
      <c r="A127" t="s">
        <v>1640</v>
      </c>
      <c r="B127">
        <v>1248991</v>
      </c>
      <c r="C127" t="s">
        <v>1639</v>
      </c>
      <c r="D127">
        <v>6.93194</v>
      </c>
      <c r="E127">
        <v>79.84778</v>
      </c>
      <c r="F127" t="s">
        <v>1243</v>
      </c>
      <c r="G127" t="s">
        <v>1244</v>
      </c>
      <c r="I127">
        <v>36</v>
      </c>
      <c r="M127">
        <v>648034</v>
      </c>
      <c r="O127">
        <v>9</v>
      </c>
      <c r="P127" t="s">
        <v>1641</v>
      </c>
      <c r="Q127" s="13">
        <v>39130</v>
      </c>
    </row>
    <row r="128" spans="1:17" x14ac:dyDescent="0.25">
      <c r="A128" t="s">
        <v>1643</v>
      </c>
      <c r="B128">
        <v>2274895</v>
      </c>
      <c r="C128" t="s">
        <v>1642</v>
      </c>
      <c r="D128">
        <v>6.3005399999999998</v>
      </c>
      <c r="E128">
        <v>-10.796900000000001</v>
      </c>
      <c r="F128" t="s">
        <v>1243</v>
      </c>
      <c r="G128" t="s">
        <v>1244</v>
      </c>
      <c r="I128">
        <v>14</v>
      </c>
      <c r="M128">
        <v>939524</v>
      </c>
      <c r="O128">
        <v>32</v>
      </c>
      <c r="P128" t="s">
        <v>1644</v>
      </c>
      <c r="Q128" s="13">
        <v>40328</v>
      </c>
    </row>
    <row r="129" spans="1:17" x14ac:dyDescent="0.25">
      <c r="A129" t="s">
        <v>1646</v>
      </c>
      <c r="B129">
        <v>932505</v>
      </c>
      <c r="C129" t="s">
        <v>1645</v>
      </c>
      <c r="D129">
        <v>-29.316669999999998</v>
      </c>
      <c r="E129">
        <v>27.483329999999999</v>
      </c>
      <c r="F129" t="s">
        <v>1243</v>
      </c>
      <c r="G129" t="s">
        <v>1244</v>
      </c>
      <c r="I129">
        <v>14</v>
      </c>
      <c r="M129">
        <v>118355</v>
      </c>
      <c r="O129">
        <v>1552</v>
      </c>
      <c r="P129" t="s">
        <v>1647</v>
      </c>
      <c r="Q129" s="13">
        <v>40926</v>
      </c>
    </row>
    <row r="130" spans="1:17" x14ac:dyDescent="0.25">
      <c r="A130" t="s">
        <v>1649</v>
      </c>
      <c r="B130">
        <v>593116</v>
      </c>
      <c r="C130" t="s">
        <v>1648</v>
      </c>
      <c r="D130">
        <v>54.689160000000001</v>
      </c>
      <c r="E130">
        <v>25.279800000000002</v>
      </c>
      <c r="F130" t="s">
        <v>1243</v>
      </c>
      <c r="G130" t="s">
        <v>1244</v>
      </c>
      <c r="I130">
        <v>65</v>
      </c>
      <c r="J130">
        <v>41</v>
      </c>
      <c r="M130">
        <v>542366</v>
      </c>
      <c r="O130">
        <v>98</v>
      </c>
      <c r="P130" t="s">
        <v>1650</v>
      </c>
      <c r="Q130" s="13">
        <v>41917</v>
      </c>
    </row>
    <row r="131" spans="1:17" x14ac:dyDescent="0.25">
      <c r="A131" t="s">
        <v>1651</v>
      </c>
      <c r="B131">
        <v>2960316</v>
      </c>
      <c r="C131" t="s">
        <v>101</v>
      </c>
      <c r="D131">
        <v>49.611669999999997</v>
      </c>
      <c r="E131">
        <v>6.13</v>
      </c>
      <c r="F131" t="s">
        <v>1243</v>
      </c>
      <c r="G131" t="s">
        <v>1244</v>
      </c>
      <c r="I131">
        <v>3</v>
      </c>
      <c r="J131">
        <v>4</v>
      </c>
      <c r="M131">
        <v>76684</v>
      </c>
      <c r="O131">
        <v>316</v>
      </c>
      <c r="P131" t="s">
        <v>1652</v>
      </c>
      <c r="Q131" s="13">
        <v>41768</v>
      </c>
    </row>
    <row r="132" spans="1:17" x14ac:dyDescent="0.25">
      <c r="A132" t="s">
        <v>1654</v>
      </c>
      <c r="B132">
        <v>456172</v>
      </c>
      <c r="C132" t="s">
        <v>1653</v>
      </c>
      <c r="D132">
        <v>56.945999999999998</v>
      </c>
      <c r="E132">
        <v>24.105889999999999</v>
      </c>
      <c r="F132" t="s">
        <v>1243</v>
      </c>
      <c r="G132" t="s">
        <v>1244</v>
      </c>
      <c r="I132">
        <v>25</v>
      </c>
      <c r="M132">
        <v>742572</v>
      </c>
      <c r="O132">
        <v>6</v>
      </c>
      <c r="P132" t="s">
        <v>1655</v>
      </c>
      <c r="Q132" s="13">
        <v>40810</v>
      </c>
    </row>
    <row r="133" spans="1:17" x14ac:dyDescent="0.25">
      <c r="A133" t="s">
        <v>1657</v>
      </c>
      <c r="B133">
        <v>2210247</v>
      </c>
      <c r="C133" t="s">
        <v>1656</v>
      </c>
      <c r="D133">
        <v>32.875190000000003</v>
      </c>
      <c r="E133">
        <v>13.18746</v>
      </c>
      <c r="F133" t="s">
        <v>1243</v>
      </c>
      <c r="G133" t="s">
        <v>1244</v>
      </c>
      <c r="I133">
        <v>77</v>
      </c>
      <c r="M133">
        <v>1150989</v>
      </c>
      <c r="O133">
        <v>21</v>
      </c>
      <c r="P133" t="s">
        <v>1658</v>
      </c>
      <c r="Q133" s="13">
        <v>40874</v>
      </c>
    </row>
    <row r="134" spans="1:17" x14ac:dyDescent="0.25">
      <c r="A134" t="s">
        <v>1441</v>
      </c>
      <c r="B134">
        <v>2553604</v>
      </c>
      <c r="C134" t="s">
        <v>1659</v>
      </c>
      <c r="D134">
        <v>33.58831</v>
      </c>
      <c r="E134">
        <v>-7.6113799999999996</v>
      </c>
      <c r="F134" t="s">
        <v>1243</v>
      </c>
      <c r="G134" t="s">
        <v>1248</v>
      </c>
      <c r="I134">
        <v>45</v>
      </c>
      <c r="J134">
        <v>141</v>
      </c>
      <c r="M134">
        <v>3144909</v>
      </c>
      <c r="O134">
        <v>27</v>
      </c>
      <c r="P134" t="s">
        <v>1443</v>
      </c>
      <c r="Q134" s="13">
        <v>42158</v>
      </c>
    </row>
    <row r="135" spans="1:17" x14ac:dyDescent="0.25">
      <c r="A135" t="s">
        <v>1660</v>
      </c>
      <c r="B135">
        <v>2993458</v>
      </c>
      <c r="C135" t="s">
        <v>115</v>
      </c>
      <c r="D135">
        <v>43.733330000000002</v>
      </c>
      <c r="E135">
        <v>7.4166699999999999</v>
      </c>
      <c r="F135" t="s">
        <v>1243</v>
      </c>
      <c r="G135" t="s">
        <v>1244</v>
      </c>
      <c r="I135">
        <v>0</v>
      </c>
      <c r="M135">
        <v>32965</v>
      </c>
      <c r="O135">
        <v>62</v>
      </c>
      <c r="P135" t="s">
        <v>1661</v>
      </c>
      <c r="Q135" s="13">
        <v>41665</v>
      </c>
    </row>
    <row r="136" spans="1:17" x14ac:dyDescent="0.25">
      <c r="A136" t="s">
        <v>1663</v>
      </c>
      <c r="B136">
        <v>618426</v>
      </c>
      <c r="C136" t="s">
        <v>1662</v>
      </c>
      <c r="D136">
        <v>47.005560000000003</v>
      </c>
      <c r="E136">
        <v>28.857500000000002</v>
      </c>
      <c r="F136" t="s">
        <v>1243</v>
      </c>
      <c r="G136" t="s">
        <v>1244</v>
      </c>
      <c r="I136">
        <v>57</v>
      </c>
      <c r="M136">
        <v>635994</v>
      </c>
      <c r="O136">
        <v>55</v>
      </c>
      <c r="P136" t="s">
        <v>1664</v>
      </c>
      <c r="Q136" s="13">
        <v>42041</v>
      </c>
    </row>
    <row r="137" spans="1:17" x14ac:dyDescent="0.25">
      <c r="A137" t="s">
        <v>1666</v>
      </c>
      <c r="B137">
        <v>3193044</v>
      </c>
      <c r="C137" t="s">
        <v>1665</v>
      </c>
      <c r="D137">
        <v>42.441110000000002</v>
      </c>
      <c r="E137">
        <v>19.26361</v>
      </c>
      <c r="F137" t="s">
        <v>1243</v>
      </c>
      <c r="G137" t="s">
        <v>1244</v>
      </c>
      <c r="I137">
        <v>16</v>
      </c>
      <c r="M137">
        <v>136473</v>
      </c>
      <c r="O137">
        <v>49</v>
      </c>
      <c r="P137" t="s">
        <v>1667</v>
      </c>
      <c r="Q137" s="13">
        <v>42498</v>
      </c>
    </row>
    <row r="138" spans="1:17" x14ac:dyDescent="0.25">
      <c r="A138" t="s">
        <v>1669</v>
      </c>
      <c r="B138">
        <v>3578851</v>
      </c>
      <c r="C138" t="s">
        <v>1668</v>
      </c>
      <c r="D138">
        <v>18.068190000000001</v>
      </c>
      <c r="E138">
        <v>-63.083019999999998</v>
      </c>
      <c r="F138" t="s">
        <v>1243</v>
      </c>
      <c r="G138" t="s">
        <v>1244</v>
      </c>
      <c r="I138">
        <v>0</v>
      </c>
      <c r="M138">
        <v>5700</v>
      </c>
      <c r="O138">
        <v>1</v>
      </c>
      <c r="P138" t="s">
        <v>1670</v>
      </c>
      <c r="Q138" s="13">
        <v>42469</v>
      </c>
    </row>
    <row r="139" spans="1:17" x14ac:dyDescent="0.25">
      <c r="A139" t="s">
        <v>1672</v>
      </c>
      <c r="B139">
        <v>1070940</v>
      </c>
      <c r="C139" t="s">
        <v>1671</v>
      </c>
      <c r="D139">
        <v>-18.913679999999999</v>
      </c>
      <c r="E139">
        <v>47.53613</v>
      </c>
      <c r="F139" t="s">
        <v>1243</v>
      </c>
      <c r="G139" t="s">
        <v>1244</v>
      </c>
      <c r="I139">
        <v>7670856</v>
      </c>
      <c r="M139">
        <v>1391433</v>
      </c>
      <c r="O139">
        <v>1274</v>
      </c>
      <c r="P139" t="s">
        <v>1673</v>
      </c>
      <c r="Q139" s="13">
        <v>41720</v>
      </c>
    </row>
    <row r="140" spans="1:17" x14ac:dyDescent="0.25">
      <c r="A140" t="s">
        <v>1675</v>
      </c>
      <c r="B140">
        <v>2113779</v>
      </c>
      <c r="C140" t="s">
        <v>1674</v>
      </c>
      <c r="D140">
        <v>7.0897100000000002</v>
      </c>
      <c r="E140">
        <v>171.38027</v>
      </c>
      <c r="F140" t="s">
        <v>1243</v>
      </c>
      <c r="G140" t="s">
        <v>1244</v>
      </c>
      <c r="I140">
        <v>190</v>
      </c>
      <c r="M140">
        <v>25400</v>
      </c>
      <c r="O140">
        <v>6</v>
      </c>
      <c r="P140" t="s">
        <v>1676</v>
      </c>
      <c r="Q140" s="13">
        <v>41869</v>
      </c>
    </row>
    <row r="141" spans="1:17" x14ac:dyDescent="0.25">
      <c r="A141" t="s">
        <v>1678</v>
      </c>
      <c r="B141">
        <v>785842</v>
      </c>
      <c r="C141" t="s">
        <v>1677</v>
      </c>
      <c r="D141">
        <v>41.996459999999999</v>
      </c>
      <c r="E141">
        <v>21.43141</v>
      </c>
      <c r="F141" t="s">
        <v>1243</v>
      </c>
      <c r="G141" t="s">
        <v>1244</v>
      </c>
      <c r="I141">
        <v>41</v>
      </c>
      <c r="M141">
        <v>474889</v>
      </c>
      <c r="O141">
        <v>247</v>
      </c>
      <c r="P141" t="s">
        <v>1679</v>
      </c>
      <c r="Q141" s="13">
        <v>42500</v>
      </c>
    </row>
    <row r="142" spans="1:17" x14ac:dyDescent="0.25">
      <c r="A142" t="s">
        <v>1681</v>
      </c>
      <c r="B142">
        <v>2460596</v>
      </c>
      <c r="C142" t="s">
        <v>1680</v>
      </c>
      <c r="D142">
        <v>12.65</v>
      </c>
      <c r="E142">
        <v>-8</v>
      </c>
      <c r="F142" t="s">
        <v>1243</v>
      </c>
      <c r="G142" t="s">
        <v>1244</v>
      </c>
      <c r="I142">
        <v>1</v>
      </c>
      <c r="M142">
        <v>1297281</v>
      </c>
      <c r="O142">
        <v>338</v>
      </c>
      <c r="P142" t="s">
        <v>1682</v>
      </c>
      <c r="Q142" s="13">
        <v>42158</v>
      </c>
    </row>
    <row r="143" spans="1:17" x14ac:dyDescent="0.25">
      <c r="A143" t="s">
        <v>1684</v>
      </c>
      <c r="B143">
        <v>1298824</v>
      </c>
      <c r="C143" t="s">
        <v>1683</v>
      </c>
      <c r="D143">
        <v>16.80528</v>
      </c>
      <c r="E143">
        <v>96.156109999999998</v>
      </c>
      <c r="F143" t="s">
        <v>1243</v>
      </c>
      <c r="G143" t="s">
        <v>1248</v>
      </c>
      <c r="I143">
        <v>17</v>
      </c>
      <c r="J143" t="s">
        <v>1685</v>
      </c>
      <c r="K143" t="s">
        <v>1686</v>
      </c>
      <c r="M143">
        <v>4477638</v>
      </c>
      <c r="O143">
        <v>30</v>
      </c>
      <c r="P143" t="s">
        <v>1687</v>
      </c>
      <c r="Q143" s="13">
        <v>42522</v>
      </c>
    </row>
    <row r="144" spans="1:17" x14ac:dyDescent="0.25">
      <c r="A144" t="s">
        <v>1689</v>
      </c>
      <c r="B144">
        <v>2028462</v>
      </c>
      <c r="C144" t="s">
        <v>1688</v>
      </c>
      <c r="D144">
        <v>47.907710000000002</v>
      </c>
      <c r="E144">
        <v>106.88324</v>
      </c>
      <c r="F144" t="s">
        <v>1243</v>
      </c>
      <c r="G144" t="s">
        <v>1244</v>
      </c>
      <c r="I144">
        <v>20</v>
      </c>
      <c r="M144">
        <v>844818</v>
      </c>
      <c r="O144">
        <v>1284</v>
      </c>
      <c r="P144" t="s">
        <v>1690</v>
      </c>
      <c r="Q144" s="13">
        <v>42407</v>
      </c>
    </row>
    <row r="145" spans="1:17" x14ac:dyDescent="0.25">
      <c r="A145" t="s">
        <v>1692</v>
      </c>
      <c r="B145">
        <v>1821274</v>
      </c>
      <c r="C145" t="s">
        <v>1691</v>
      </c>
      <c r="D145">
        <v>22.200559999999999</v>
      </c>
      <c r="E145">
        <v>113.54611</v>
      </c>
      <c r="F145" t="s">
        <v>1243</v>
      </c>
      <c r="G145" t="s">
        <v>1244</v>
      </c>
      <c r="I145">
        <v>2</v>
      </c>
      <c r="M145">
        <v>520400</v>
      </c>
      <c r="O145">
        <v>22</v>
      </c>
      <c r="P145" t="s">
        <v>1693</v>
      </c>
      <c r="Q145" s="13">
        <v>40843</v>
      </c>
    </row>
    <row r="146" spans="1:17" x14ac:dyDescent="0.25">
      <c r="A146" t="s">
        <v>1695</v>
      </c>
      <c r="B146">
        <v>7828758</v>
      </c>
      <c r="C146" t="s">
        <v>1694</v>
      </c>
      <c r="D146">
        <v>15.21233</v>
      </c>
      <c r="E146">
        <v>145.75450000000001</v>
      </c>
      <c r="F146" t="s">
        <v>1243</v>
      </c>
      <c r="G146" t="s">
        <v>1244</v>
      </c>
      <c r="I146">
        <v>110</v>
      </c>
      <c r="M146">
        <v>48220</v>
      </c>
      <c r="N146">
        <v>5</v>
      </c>
      <c r="O146">
        <v>211</v>
      </c>
      <c r="P146" t="s">
        <v>1696</v>
      </c>
      <c r="Q146" s="13">
        <v>41870</v>
      </c>
    </row>
    <row r="147" spans="1:17" x14ac:dyDescent="0.25">
      <c r="A147" t="s">
        <v>1698</v>
      </c>
      <c r="B147">
        <v>3570675</v>
      </c>
      <c r="C147" t="s">
        <v>1697</v>
      </c>
      <c r="D147">
        <v>14.608919999999999</v>
      </c>
      <c r="E147">
        <v>-61.073340000000002</v>
      </c>
      <c r="F147" t="s">
        <v>1243</v>
      </c>
      <c r="G147" t="s">
        <v>1244</v>
      </c>
      <c r="I147" t="s">
        <v>1698</v>
      </c>
      <c r="J147">
        <v>972</v>
      </c>
      <c r="K147">
        <v>9721</v>
      </c>
      <c r="L147">
        <v>97209</v>
      </c>
      <c r="M147">
        <v>89995</v>
      </c>
      <c r="O147">
        <v>6</v>
      </c>
      <c r="P147" t="s">
        <v>1699</v>
      </c>
      <c r="Q147" s="13">
        <v>42529</v>
      </c>
    </row>
    <row r="148" spans="1:17" x14ac:dyDescent="0.25">
      <c r="A148" t="s">
        <v>1701</v>
      </c>
      <c r="B148">
        <v>2377450</v>
      </c>
      <c r="C148" t="s">
        <v>1700</v>
      </c>
      <c r="D148">
        <v>18.085809999999999</v>
      </c>
      <c r="E148">
        <v>-15.9785</v>
      </c>
      <c r="F148" t="s">
        <v>1243</v>
      </c>
      <c r="G148" t="s">
        <v>1244</v>
      </c>
      <c r="I148" t="s">
        <v>1702</v>
      </c>
      <c r="M148">
        <v>661400</v>
      </c>
      <c r="O148">
        <v>10</v>
      </c>
      <c r="P148" t="s">
        <v>1703</v>
      </c>
      <c r="Q148" s="13">
        <v>40849</v>
      </c>
    </row>
    <row r="149" spans="1:17" x14ac:dyDescent="0.25">
      <c r="A149" t="s">
        <v>1705</v>
      </c>
      <c r="B149">
        <v>7266440</v>
      </c>
      <c r="C149" t="s">
        <v>1704</v>
      </c>
      <c r="D149">
        <v>16.791830000000001</v>
      </c>
      <c r="E149">
        <v>-62.21058</v>
      </c>
      <c r="F149" t="s">
        <v>1243</v>
      </c>
      <c r="G149" t="s">
        <v>1319</v>
      </c>
      <c r="I149">
        <v>3</v>
      </c>
      <c r="M149">
        <v>1000</v>
      </c>
      <c r="O149">
        <v>52</v>
      </c>
      <c r="P149" t="s">
        <v>1706</v>
      </c>
      <c r="Q149" s="13">
        <v>41503</v>
      </c>
    </row>
    <row r="150" spans="1:17" x14ac:dyDescent="0.25">
      <c r="A150" t="s">
        <v>1708</v>
      </c>
      <c r="B150">
        <v>2563191</v>
      </c>
      <c r="C150" t="s">
        <v>1707</v>
      </c>
      <c r="D150">
        <v>35.897219999999997</v>
      </c>
      <c r="E150">
        <v>14.46111</v>
      </c>
      <c r="F150" t="s">
        <v>1243</v>
      </c>
      <c r="G150" t="s">
        <v>1248</v>
      </c>
      <c r="I150">
        <v>4</v>
      </c>
      <c r="M150">
        <v>21676</v>
      </c>
      <c r="O150">
        <v>41</v>
      </c>
      <c r="P150" t="s">
        <v>1709</v>
      </c>
      <c r="Q150" s="13">
        <v>41094</v>
      </c>
    </row>
    <row r="151" spans="1:17" x14ac:dyDescent="0.25">
      <c r="A151" t="s">
        <v>1711</v>
      </c>
      <c r="B151">
        <v>934154</v>
      </c>
      <c r="C151" t="s">
        <v>1710</v>
      </c>
      <c r="D151">
        <v>-20.161940000000001</v>
      </c>
      <c r="E151">
        <v>57.498890000000003</v>
      </c>
      <c r="F151" t="s">
        <v>1243</v>
      </c>
      <c r="G151" t="s">
        <v>1244</v>
      </c>
      <c r="I151">
        <v>18</v>
      </c>
      <c r="M151">
        <v>155226</v>
      </c>
      <c r="O151">
        <v>3</v>
      </c>
      <c r="P151" t="s">
        <v>1712</v>
      </c>
      <c r="Q151" s="13">
        <v>40926</v>
      </c>
    </row>
    <row r="152" spans="1:17" x14ac:dyDescent="0.25">
      <c r="A152" t="s">
        <v>1714</v>
      </c>
      <c r="B152">
        <v>1282027</v>
      </c>
      <c r="C152" t="s">
        <v>1713</v>
      </c>
      <c r="D152">
        <v>4.1748000000000003</v>
      </c>
      <c r="E152">
        <v>73.508880000000005</v>
      </c>
      <c r="F152" t="s">
        <v>1243</v>
      </c>
      <c r="G152" t="s">
        <v>1244</v>
      </c>
      <c r="I152">
        <v>38</v>
      </c>
      <c r="M152">
        <v>103693</v>
      </c>
      <c r="O152">
        <v>8</v>
      </c>
      <c r="P152" t="s">
        <v>1715</v>
      </c>
      <c r="Q152" s="13">
        <v>42220</v>
      </c>
    </row>
    <row r="153" spans="1:17" x14ac:dyDescent="0.25">
      <c r="A153" t="s">
        <v>1717</v>
      </c>
      <c r="B153">
        <v>927967</v>
      </c>
      <c r="C153" t="s">
        <v>1716</v>
      </c>
      <c r="D153">
        <v>-13.96692</v>
      </c>
      <c r="E153">
        <v>33.78725</v>
      </c>
      <c r="F153" t="s">
        <v>1243</v>
      </c>
      <c r="G153" t="s">
        <v>1244</v>
      </c>
      <c r="I153" t="s">
        <v>1718</v>
      </c>
      <c r="J153">
        <v>11</v>
      </c>
      <c r="M153">
        <v>646750</v>
      </c>
      <c r="O153">
        <v>1056</v>
      </c>
      <c r="P153" t="s">
        <v>1719</v>
      </c>
      <c r="Q153" s="13">
        <v>40926</v>
      </c>
    </row>
    <row r="154" spans="1:17" x14ac:dyDescent="0.25">
      <c r="A154" t="s">
        <v>1721</v>
      </c>
      <c r="B154">
        <v>3530597</v>
      </c>
      <c r="C154" t="s">
        <v>1720</v>
      </c>
      <c r="D154">
        <v>19.428470000000001</v>
      </c>
      <c r="E154">
        <v>-99.127660000000006</v>
      </c>
      <c r="F154" t="s">
        <v>1243</v>
      </c>
      <c r="G154" t="s">
        <v>1244</v>
      </c>
      <c r="I154">
        <v>9</v>
      </c>
      <c r="J154">
        <v>15</v>
      </c>
      <c r="M154">
        <v>12294193</v>
      </c>
      <c r="O154">
        <v>2240</v>
      </c>
      <c r="P154" t="s">
        <v>1722</v>
      </c>
      <c r="Q154" s="13">
        <v>42177</v>
      </c>
    </row>
    <row r="155" spans="1:17" x14ac:dyDescent="0.25">
      <c r="A155" t="s">
        <v>1724</v>
      </c>
      <c r="B155">
        <v>1736376</v>
      </c>
      <c r="C155" t="s">
        <v>1723</v>
      </c>
      <c r="D155">
        <v>6.1332800000000001</v>
      </c>
      <c r="E155">
        <v>102.23860000000001</v>
      </c>
      <c r="F155" t="s">
        <v>1243</v>
      </c>
      <c r="G155" t="s">
        <v>1248</v>
      </c>
      <c r="I155">
        <v>3</v>
      </c>
      <c r="M155">
        <v>1459994</v>
      </c>
      <c r="O155">
        <v>10</v>
      </c>
      <c r="P155" t="s">
        <v>1725</v>
      </c>
      <c r="Q155" s="13">
        <v>41453</v>
      </c>
    </row>
    <row r="156" spans="1:17" x14ac:dyDescent="0.25">
      <c r="A156" t="s">
        <v>1727</v>
      </c>
      <c r="B156">
        <v>1040652</v>
      </c>
      <c r="C156" t="s">
        <v>1726</v>
      </c>
      <c r="D156">
        <v>-25.965530000000001</v>
      </c>
      <c r="E156">
        <v>32.583219999999997</v>
      </c>
      <c r="F156" t="s">
        <v>1243</v>
      </c>
      <c r="G156" t="s">
        <v>1244</v>
      </c>
      <c r="I156">
        <v>11</v>
      </c>
      <c r="M156">
        <v>1191613</v>
      </c>
      <c r="O156">
        <v>70</v>
      </c>
      <c r="P156" t="s">
        <v>1728</v>
      </c>
      <c r="Q156" s="13">
        <v>42425</v>
      </c>
    </row>
    <row r="157" spans="1:17" x14ac:dyDescent="0.25">
      <c r="A157" t="s">
        <v>1730</v>
      </c>
      <c r="B157">
        <v>3352136</v>
      </c>
      <c r="C157" t="s">
        <v>1729</v>
      </c>
      <c r="D157">
        <v>-22.55941</v>
      </c>
      <c r="E157">
        <v>17.08323</v>
      </c>
      <c r="F157" t="s">
        <v>1243</v>
      </c>
      <c r="G157" t="s">
        <v>1244</v>
      </c>
      <c r="I157">
        <v>21</v>
      </c>
      <c r="M157">
        <v>268132</v>
      </c>
      <c r="O157">
        <v>1656</v>
      </c>
      <c r="P157" t="s">
        <v>1731</v>
      </c>
      <c r="Q157" s="13">
        <v>40328</v>
      </c>
    </row>
    <row r="158" spans="1:17" x14ac:dyDescent="0.25">
      <c r="A158" t="s">
        <v>1733</v>
      </c>
      <c r="B158">
        <v>2139521</v>
      </c>
      <c r="C158" t="s">
        <v>1732</v>
      </c>
      <c r="D158">
        <v>-22.276309999999999</v>
      </c>
      <c r="E158">
        <v>166.4572</v>
      </c>
      <c r="F158" t="s">
        <v>1243</v>
      </c>
      <c r="G158" t="s">
        <v>1244</v>
      </c>
      <c r="I158">
        <v>2</v>
      </c>
      <c r="J158">
        <v>98818</v>
      </c>
      <c r="M158">
        <v>93060</v>
      </c>
      <c r="O158">
        <v>11</v>
      </c>
      <c r="P158" t="s">
        <v>1734</v>
      </c>
      <c r="Q158" s="13">
        <v>41755</v>
      </c>
    </row>
    <row r="159" spans="1:17" x14ac:dyDescent="0.25">
      <c r="A159" t="s">
        <v>1736</v>
      </c>
      <c r="B159">
        <v>2440485</v>
      </c>
      <c r="C159" t="s">
        <v>1735</v>
      </c>
      <c r="D159">
        <v>13.51366</v>
      </c>
      <c r="E159">
        <v>2.1097999999999999</v>
      </c>
      <c r="F159" t="s">
        <v>1243</v>
      </c>
      <c r="G159" t="s">
        <v>1244</v>
      </c>
      <c r="I159">
        <v>8</v>
      </c>
      <c r="M159">
        <v>774235</v>
      </c>
      <c r="O159">
        <v>206</v>
      </c>
      <c r="P159" t="s">
        <v>1737</v>
      </c>
      <c r="Q159" s="13">
        <v>40843</v>
      </c>
    </row>
    <row r="160" spans="1:17" x14ac:dyDescent="0.25">
      <c r="A160" t="s">
        <v>1738</v>
      </c>
      <c r="B160">
        <v>2161314</v>
      </c>
      <c r="C160" t="s">
        <v>1584</v>
      </c>
      <c r="D160">
        <v>-29.054590000000001</v>
      </c>
      <c r="E160">
        <v>167.96628000000001</v>
      </c>
      <c r="F160" t="s">
        <v>1243</v>
      </c>
      <c r="G160" t="s">
        <v>1244</v>
      </c>
      <c r="H160" t="s">
        <v>1279</v>
      </c>
      <c r="I160">
        <v>0</v>
      </c>
      <c r="M160">
        <v>880</v>
      </c>
      <c r="O160">
        <v>71</v>
      </c>
      <c r="P160" t="s">
        <v>1739</v>
      </c>
      <c r="Q160" s="13">
        <v>41869</v>
      </c>
    </row>
    <row r="161" spans="1:17" x14ac:dyDescent="0.25">
      <c r="A161" t="s">
        <v>1742</v>
      </c>
      <c r="B161">
        <v>2332459</v>
      </c>
      <c r="C161" t="s">
        <v>1740</v>
      </c>
      <c r="D161">
        <v>6.4540699999999998</v>
      </c>
      <c r="E161">
        <v>3.3946700000000001</v>
      </c>
      <c r="F161" t="s">
        <v>1243</v>
      </c>
      <c r="G161" t="s">
        <v>1741</v>
      </c>
      <c r="I161">
        <v>5</v>
      </c>
      <c r="M161">
        <v>9000000</v>
      </c>
      <c r="O161">
        <v>11</v>
      </c>
      <c r="P161" t="s">
        <v>1743</v>
      </c>
      <c r="Q161" s="13">
        <v>42041</v>
      </c>
    </row>
    <row r="162" spans="1:17" x14ac:dyDescent="0.25">
      <c r="A162" t="s">
        <v>1745</v>
      </c>
      <c r="B162">
        <v>3617763</v>
      </c>
      <c r="C162" t="s">
        <v>1744</v>
      </c>
      <c r="D162">
        <v>12.132820000000001</v>
      </c>
      <c r="E162">
        <v>-86.250399999999999</v>
      </c>
      <c r="F162" t="s">
        <v>1243</v>
      </c>
      <c r="G162" t="s">
        <v>1244</v>
      </c>
      <c r="I162">
        <v>10</v>
      </c>
      <c r="M162">
        <v>973087</v>
      </c>
      <c r="O162">
        <v>108</v>
      </c>
      <c r="P162" t="s">
        <v>1746</v>
      </c>
      <c r="Q162" s="13">
        <v>40328</v>
      </c>
    </row>
    <row r="163" spans="1:17" x14ac:dyDescent="0.25">
      <c r="A163" t="s">
        <v>1748</v>
      </c>
      <c r="B163">
        <v>2759794</v>
      </c>
      <c r="C163" t="s">
        <v>1747</v>
      </c>
      <c r="D163">
        <v>52.374029999999998</v>
      </c>
      <c r="E163">
        <v>4.8896899999999999</v>
      </c>
      <c r="F163" t="s">
        <v>1243</v>
      </c>
      <c r="G163" t="s">
        <v>1244</v>
      </c>
      <c r="I163">
        <v>7</v>
      </c>
      <c r="J163">
        <v>363</v>
      </c>
      <c r="M163">
        <v>741636</v>
      </c>
      <c r="O163">
        <v>13</v>
      </c>
      <c r="P163" t="s">
        <v>1749</v>
      </c>
      <c r="Q163" s="13">
        <v>40710</v>
      </c>
    </row>
    <row r="164" spans="1:17" x14ac:dyDescent="0.25">
      <c r="A164" t="s">
        <v>1751</v>
      </c>
      <c r="B164">
        <v>3143244</v>
      </c>
      <c r="C164" t="s">
        <v>1750</v>
      </c>
      <c r="D164">
        <v>59.912730000000003</v>
      </c>
      <c r="E164">
        <v>10.746090000000001</v>
      </c>
      <c r="F164" t="s">
        <v>1243</v>
      </c>
      <c r="G164" t="s">
        <v>1244</v>
      </c>
      <c r="I164">
        <v>12</v>
      </c>
      <c r="J164">
        <v>301</v>
      </c>
      <c r="M164">
        <v>580000</v>
      </c>
      <c r="O164">
        <v>26</v>
      </c>
      <c r="P164" t="s">
        <v>1752</v>
      </c>
      <c r="Q164" s="13">
        <v>41918</v>
      </c>
    </row>
    <row r="165" spans="1:17" x14ac:dyDescent="0.25">
      <c r="A165" t="s">
        <v>1754</v>
      </c>
      <c r="B165">
        <v>1283240</v>
      </c>
      <c r="C165" t="s">
        <v>1753</v>
      </c>
      <c r="D165">
        <v>27.701689999999999</v>
      </c>
      <c r="E165">
        <v>85.320599999999999</v>
      </c>
      <c r="F165" t="s">
        <v>1243</v>
      </c>
      <c r="G165" t="s">
        <v>1244</v>
      </c>
      <c r="I165" t="s">
        <v>1393</v>
      </c>
      <c r="J165">
        <v>1</v>
      </c>
      <c r="M165">
        <v>1442271</v>
      </c>
      <c r="N165">
        <v>1317</v>
      </c>
      <c r="O165">
        <v>1296</v>
      </c>
      <c r="P165" t="s">
        <v>1755</v>
      </c>
      <c r="Q165" s="13">
        <v>42083</v>
      </c>
    </row>
    <row r="166" spans="1:17" x14ac:dyDescent="0.25">
      <c r="A166" t="s">
        <v>1757</v>
      </c>
      <c r="B166">
        <v>7626461</v>
      </c>
      <c r="C166" t="s">
        <v>1756</v>
      </c>
      <c r="D166">
        <v>-0.55084999999999995</v>
      </c>
      <c r="E166">
        <v>166.92519999999999</v>
      </c>
      <c r="F166" t="s">
        <v>1243</v>
      </c>
      <c r="G166" t="s">
        <v>1244</v>
      </c>
      <c r="I166">
        <v>14</v>
      </c>
      <c r="M166">
        <v>1100</v>
      </c>
      <c r="N166">
        <v>5</v>
      </c>
      <c r="O166">
        <v>6</v>
      </c>
      <c r="P166" t="s">
        <v>1758</v>
      </c>
      <c r="Q166" s="13">
        <v>42295</v>
      </c>
    </row>
    <row r="167" spans="1:17" x14ac:dyDescent="0.25">
      <c r="A167" t="s">
        <v>1760</v>
      </c>
      <c r="B167">
        <v>4036284</v>
      </c>
      <c r="C167" t="s">
        <v>1759</v>
      </c>
      <c r="D167">
        <v>-19.054510000000001</v>
      </c>
      <c r="E167">
        <v>-169.91767999999999</v>
      </c>
      <c r="F167" t="s">
        <v>1243</v>
      </c>
      <c r="G167" t="s">
        <v>1244</v>
      </c>
      <c r="I167">
        <v>0</v>
      </c>
      <c r="M167">
        <v>624</v>
      </c>
      <c r="O167">
        <v>51</v>
      </c>
      <c r="P167" t="s">
        <v>1761</v>
      </c>
      <c r="Q167" s="13">
        <v>42549</v>
      </c>
    </row>
    <row r="168" spans="1:17" x14ac:dyDescent="0.25">
      <c r="A168" t="s">
        <v>1763</v>
      </c>
      <c r="B168">
        <v>2193733</v>
      </c>
      <c r="C168" t="s">
        <v>1762</v>
      </c>
      <c r="D168">
        <v>-36.866669999999999</v>
      </c>
      <c r="E168">
        <v>174.76667</v>
      </c>
      <c r="F168" t="s">
        <v>1243</v>
      </c>
      <c r="G168" t="s">
        <v>1248</v>
      </c>
      <c r="I168" t="s">
        <v>1764</v>
      </c>
      <c r="J168">
        <v>76</v>
      </c>
      <c r="M168">
        <v>417910</v>
      </c>
      <c r="O168">
        <v>79</v>
      </c>
      <c r="P168" t="s">
        <v>1765</v>
      </c>
      <c r="Q168" s="13">
        <v>42147</v>
      </c>
    </row>
    <row r="169" spans="1:17" x14ac:dyDescent="0.25">
      <c r="A169" t="s">
        <v>1767</v>
      </c>
      <c r="B169">
        <v>287286</v>
      </c>
      <c r="C169" t="s">
        <v>1766</v>
      </c>
      <c r="D169">
        <v>23.584129999999998</v>
      </c>
      <c r="E169">
        <v>58.407780000000002</v>
      </c>
      <c r="F169" t="s">
        <v>1243</v>
      </c>
      <c r="G169" t="s">
        <v>1244</v>
      </c>
      <c r="I169">
        <v>6</v>
      </c>
      <c r="M169">
        <v>797000</v>
      </c>
      <c r="O169">
        <v>14</v>
      </c>
      <c r="P169" t="s">
        <v>1768</v>
      </c>
      <c r="Q169" s="13">
        <v>42390</v>
      </c>
    </row>
    <row r="170" spans="1:17" x14ac:dyDescent="0.25">
      <c r="A170" t="s">
        <v>1770</v>
      </c>
      <c r="B170">
        <v>3703443</v>
      </c>
      <c r="C170" t="s">
        <v>1769</v>
      </c>
      <c r="D170">
        <v>8.9936000000000007</v>
      </c>
      <c r="E170">
        <v>-79.519729999999996</v>
      </c>
      <c r="F170" t="s">
        <v>1243</v>
      </c>
      <c r="G170" t="s">
        <v>1244</v>
      </c>
      <c r="I170">
        <v>8</v>
      </c>
      <c r="M170">
        <v>408168</v>
      </c>
      <c r="O170">
        <v>17</v>
      </c>
      <c r="P170" t="s">
        <v>1771</v>
      </c>
      <c r="Q170" s="13">
        <v>42382</v>
      </c>
    </row>
    <row r="171" spans="1:17" x14ac:dyDescent="0.25">
      <c r="A171" t="s">
        <v>1773</v>
      </c>
      <c r="B171">
        <v>3936456</v>
      </c>
      <c r="C171" t="s">
        <v>1772</v>
      </c>
      <c r="D171">
        <v>-12.04318</v>
      </c>
      <c r="E171">
        <v>-77.028239999999997</v>
      </c>
      <c r="F171" t="s">
        <v>1243</v>
      </c>
      <c r="G171" t="s">
        <v>1244</v>
      </c>
      <c r="I171" t="s">
        <v>1774</v>
      </c>
      <c r="M171">
        <v>7737002</v>
      </c>
      <c r="O171">
        <v>152</v>
      </c>
      <c r="P171" t="s">
        <v>1775</v>
      </c>
      <c r="Q171" s="13">
        <v>40514</v>
      </c>
    </row>
    <row r="172" spans="1:17" x14ac:dyDescent="0.25">
      <c r="A172" t="s">
        <v>1777</v>
      </c>
      <c r="B172">
        <v>4034561</v>
      </c>
      <c r="C172" t="s">
        <v>1776</v>
      </c>
      <c r="D172">
        <v>-17.55</v>
      </c>
      <c r="E172">
        <v>-149.6</v>
      </c>
      <c r="F172" t="s">
        <v>1243</v>
      </c>
      <c r="G172" t="s">
        <v>1507</v>
      </c>
      <c r="I172">
        <v>1</v>
      </c>
      <c r="M172">
        <v>29851</v>
      </c>
      <c r="O172">
        <v>5</v>
      </c>
      <c r="P172" t="s">
        <v>1778</v>
      </c>
      <c r="Q172" s="13">
        <v>41870</v>
      </c>
    </row>
    <row r="173" spans="1:17" x14ac:dyDescent="0.25">
      <c r="A173" t="s">
        <v>1780</v>
      </c>
      <c r="B173">
        <v>2088122</v>
      </c>
      <c r="C173" t="s">
        <v>1779</v>
      </c>
      <c r="D173">
        <v>-9.4431399999999996</v>
      </c>
      <c r="E173">
        <v>147.17972</v>
      </c>
      <c r="F173" t="s">
        <v>1243</v>
      </c>
      <c r="G173" t="s">
        <v>1244</v>
      </c>
      <c r="I173">
        <v>20</v>
      </c>
      <c r="M173">
        <v>283733</v>
      </c>
      <c r="O173">
        <v>79</v>
      </c>
      <c r="P173" t="s">
        <v>1781</v>
      </c>
      <c r="Q173" s="13">
        <v>40328</v>
      </c>
    </row>
    <row r="174" spans="1:17" x14ac:dyDescent="0.25">
      <c r="A174" t="s">
        <v>1783</v>
      </c>
      <c r="B174">
        <v>1692192</v>
      </c>
      <c r="C174" t="s">
        <v>1782</v>
      </c>
      <c r="D174">
        <v>14.6488</v>
      </c>
      <c r="E174">
        <v>121.0509</v>
      </c>
      <c r="F174" t="s">
        <v>1243</v>
      </c>
      <c r="G174" t="s">
        <v>1741</v>
      </c>
      <c r="I174" t="s">
        <v>1784</v>
      </c>
      <c r="J174" t="s">
        <v>1785</v>
      </c>
      <c r="M174">
        <v>2761720</v>
      </c>
      <c r="O174">
        <v>49</v>
      </c>
      <c r="P174" t="s">
        <v>1786</v>
      </c>
      <c r="Q174" s="13">
        <v>41046</v>
      </c>
    </row>
    <row r="175" spans="1:17" x14ac:dyDescent="0.25">
      <c r="A175" t="s">
        <v>1788</v>
      </c>
      <c r="B175">
        <v>1174872</v>
      </c>
      <c r="C175" t="s">
        <v>1787</v>
      </c>
      <c r="D175">
        <v>24.9056</v>
      </c>
      <c r="E175">
        <v>67.0822</v>
      </c>
      <c r="F175" t="s">
        <v>1243</v>
      </c>
      <c r="G175" t="s">
        <v>1248</v>
      </c>
      <c r="I175">
        <v>5</v>
      </c>
      <c r="J175">
        <v>1174870</v>
      </c>
      <c r="M175">
        <v>11624219</v>
      </c>
      <c r="O175">
        <v>38</v>
      </c>
      <c r="P175" t="s">
        <v>1789</v>
      </c>
      <c r="Q175" s="13">
        <v>41735</v>
      </c>
    </row>
    <row r="176" spans="1:17" x14ac:dyDescent="0.25">
      <c r="A176" t="s">
        <v>1791</v>
      </c>
      <c r="B176">
        <v>756135</v>
      </c>
      <c r="C176" t="s">
        <v>1790</v>
      </c>
      <c r="D176">
        <v>52.229770000000002</v>
      </c>
      <c r="E176">
        <v>21.011780000000002</v>
      </c>
      <c r="F176" t="s">
        <v>1243</v>
      </c>
      <c r="G176" t="s">
        <v>1244</v>
      </c>
      <c r="I176">
        <v>78</v>
      </c>
      <c r="J176">
        <v>1465</v>
      </c>
      <c r="K176">
        <v>146501</v>
      </c>
      <c r="M176">
        <v>1702139</v>
      </c>
      <c r="O176">
        <v>113</v>
      </c>
      <c r="P176" t="s">
        <v>1792</v>
      </c>
      <c r="Q176" s="13">
        <v>42252</v>
      </c>
    </row>
    <row r="177" spans="1:17" x14ac:dyDescent="0.25">
      <c r="A177" t="s">
        <v>1794</v>
      </c>
      <c r="B177">
        <v>3424934</v>
      </c>
      <c r="C177" t="s">
        <v>1793</v>
      </c>
      <c r="D177">
        <v>46.779139999999998</v>
      </c>
      <c r="E177">
        <v>-56.177300000000002</v>
      </c>
      <c r="F177" t="s">
        <v>1243</v>
      </c>
      <c r="G177" t="s">
        <v>1244</v>
      </c>
      <c r="I177">
        <v>97502</v>
      </c>
      <c r="M177">
        <v>6200</v>
      </c>
      <c r="O177">
        <v>30</v>
      </c>
      <c r="P177" t="s">
        <v>1795</v>
      </c>
      <c r="Q177" s="13">
        <v>41630</v>
      </c>
    </row>
    <row r="178" spans="1:17" x14ac:dyDescent="0.25">
      <c r="A178" t="s">
        <v>1797</v>
      </c>
      <c r="B178">
        <v>4030723</v>
      </c>
      <c r="C178" t="s">
        <v>1796</v>
      </c>
      <c r="D178">
        <v>-25.06597</v>
      </c>
      <c r="E178">
        <v>-130.10147000000001</v>
      </c>
      <c r="F178" t="s">
        <v>1243</v>
      </c>
      <c r="G178" t="s">
        <v>1244</v>
      </c>
      <c r="M178">
        <v>46</v>
      </c>
      <c r="O178">
        <v>67</v>
      </c>
      <c r="P178" t="s">
        <v>1798</v>
      </c>
      <c r="Q178" s="13">
        <v>40380</v>
      </c>
    </row>
    <row r="179" spans="1:17" x14ac:dyDescent="0.25">
      <c r="A179" t="s">
        <v>1800</v>
      </c>
      <c r="B179">
        <v>4568127</v>
      </c>
      <c r="C179" t="s">
        <v>1799</v>
      </c>
      <c r="D179">
        <v>18.466329999999999</v>
      </c>
      <c r="E179">
        <v>-66.105720000000005</v>
      </c>
      <c r="F179" t="s">
        <v>1243</v>
      </c>
      <c r="G179" t="s">
        <v>1244</v>
      </c>
      <c r="I179">
        <v>127</v>
      </c>
      <c r="J179">
        <v>7268975</v>
      </c>
      <c r="M179">
        <v>418140</v>
      </c>
      <c r="N179">
        <v>7</v>
      </c>
      <c r="O179">
        <v>11</v>
      </c>
      <c r="P179" t="s">
        <v>1801</v>
      </c>
      <c r="Q179" s="13">
        <v>42219</v>
      </c>
    </row>
    <row r="180" spans="1:17" x14ac:dyDescent="0.25">
      <c r="A180" t="s">
        <v>1803</v>
      </c>
      <c r="B180">
        <v>7303419</v>
      </c>
      <c r="C180" t="s">
        <v>1802</v>
      </c>
      <c r="D180">
        <v>31.783359999999998</v>
      </c>
      <c r="E180">
        <v>35.233879999999999</v>
      </c>
      <c r="F180" t="s">
        <v>1243</v>
      </c>
      <c r="G180" t="s">
        <v>1543</v>
      </c>
      <c r="I180" t="s">
        <v>1804</v>
      </c>
      <c r="M180">
        <v>428304</v>
      </c>
      <c r="O180">
        <v>759</v>
      </c>
      <c r="P180" t="s">
        <v>1805</v>
      </c>
      <c r="Q180" s="13">
        <v>42422</v>
      </c>
    </row>
    <row r="181" spans="1:17" x14ac:dyDescent="0.25">
      <c r="A181" t="s">
        <v>1807</v>
      </c>
      <c r="B181">
        <v>2267057</v>
      </c>
      <c r="C181" t="s">
        <v>1806</v>
      </c>
      <c r="D181">
        <v>38.716670000000001</v>
      </c>
      <c r="E181">
        <v>-9.1333300000000008</v>
      </c>
      <c r="F181" t="s">
        <v>1243</v>
      </c>
      <c r="G181" t="s">
        <v>1244</v>
      </c>
      <c r="I181">
        <v>14</v>
      </c>
      <c r="J181">
        <v>1106</v>
      </c>
      <c r="K181">
        <v>110653</v>
      </c>
      <c r="M181">
        <v>517802</v>
      </c>
      <c r="O181">
        <v>45</v>
      </c>
      <c r="P181" t="s">
        <v>1808</v>
      </c>
      <c r="Q181" s="13">
        <v>42071</v>
      </c>
    </row>
    <row r="182" spans="1:17" x14ac:dyDescent="0.25">
      <c r="A182" t="s">
        <v>1810</v>
      </c>
      <c r="B182">
        <v>7303944</v>
      </c>
      <c r="C182" t="s">
        <v>1809</v>
      </c>
      <c r="D182">
        <v>7.5004299999999997</v>
      </c>
      <c r="E182">
        <v>134.62354999999999</v>
      </c>
      <c r="F182" t="s">
        <v>1243</v>
      </c>
      <c r="G182" t="s">
        <v>1244</v>
      </c>
      <c r="I182">
        <v>7</v>
      </c>
      <c r="M182">
        <v>0</v>
      </c>
      <c r="N182">
        <v>70</v>
      </c>
      <c r="O182">
        <v>68</v>
      </c>
      <c r="P182" t="s">
        <v>1811</v>
      </c>
      <c r="Q182" s="13">
        <v>42060</v>
      </c>
    </row>
    <row r="183" spans="1:17" x14ac:dyDescent="0.25">
      <c r="A183" t="s">
        <v>1813</v>
      </c>
      <c r="B183">
        <v>3439389</v>
      </c>
      <c r="C183" t="s">
        <v>1812</v>
      </c>
      <c r="D183">
        <v>-25.300660000000001</v>
      </c>
      <c r="E183">
        <v>-57.635910000000003</v>
      </c>
      <c r="F183" t="s">
        <v>1243</v>
      </c>
      <c r="G183" t="s">
        <v>1244</v>
      </c>
      <c r="I183">
        <v>22</v>
      </c>
      <c r="M183">
        <v>1482200</v>
      </c>
      <c r="O183">
        <v>133</v>
      </c>
      <c r="P183" t="s">
        <v>1814</v>
      </c>
      <c r="Q183" s="13">
        <v>40365</v>
      </c>
    </row>
    <row r="184" spans="1:17" x14ac:dyDescent="0.25">
      <c r="A184" t="s">
        <v>1816</v>
      </c>
      <c r="B184">
        <v>290030</v>
      </c>
      <c r="C184" t="s">
        <v>1815</v>
      </c>
      <c r="D184">
        <v>25.279319999999998</v>
      </c>
      <c r="E184">
        <v>51.522449999999999</v>
      </c>
      <c r="F184" t="s">
        <v>1243</v>
      </c>
      <c r="G184" t="s">
        <v>1244</v>
      </c>
      <c r="I184">
        <v>1</v>
      </c>
      <c r="M184">
        <v>344939</v>
      </c>
      <c r="O184">
        <v>13</v>
      </c>
      <c r="P184" t="s">
        <v>1817</v>
      </c>
      <c r="Q184" s="13">
        <v>40328</v>
      </c>
    </row>
    <row r="185" spans="1:17" x14ac:dyDescent="0.25">
      <c r="A185" t="s">
        <v>1819</v>
      </c>
      <c r="B185">
        <v>935264</v>
      </c>
      <c r="C185" t="s">
        <v>1818</v>
      </c>
      <c r="D185">
        <v>-20.88231</v>
      </c>
      <c r="E185">
        <v>55.450400000000002</v>
      </c>
      <c r="F185" t="s">
        <v>1243</v>
      </c>
      <c r="G185" t="s">
        <v>1244</v>
      </c>
      <c r="I185" t="s">
        <v>1819</v>
      </c>
      <c r="J185">
        <v>974</v>
      </c>
      <c r="K185">
        <v>9741</v>
      </c>
      <c r="L185">
        <v>97411</v>
      </c>
      <c r="M185">
        <v>137195</v>
      </c>
      <c r="O185">
        <v>44</v>
      </c>
      <c r="P185" t="s">
        <v>1820</v>
      </c>
      <c r="Q185" s="13">
        <v>42355</v>
      </c>
    </row>
    <row r="186" spans="1:17" x14ac:dyDescent="0.25">
      <c r="A186" t="s">
        <v>1822</v>
      </c>
      <c r="B186">
        <v>683506</v>
      </c>
      <c r="C186" t="s">
        <v>1821</v>
      </c>
      <c r="D186">
        <v>44.432250000000003</v>
      </c>
      <c r="E186">
        <v>26.106259999999999</v>
      </c>
      <c r="F186" t="s">
        <v>1243</v>
      </c>
      <c r="G186" t="s">
        <v>1244</v>
      </c>
      <c r="I186">
        <v>10</v>
      </c>
      <c r="J186">
        <v>179132</v>
      </c>
      <c r="K186">
        <v>11055044</v>
      </c>
      <c r="M186">
        <v>1877155</v>
      </c>
      <c r="O186">
        <v>83</v>
      </c>
      <c r="P186" t="s">
        <v>1823</v>
      </c>
      <c r="Q186" s="13">
        <v>42407</v>
      </c>
    </row>
    <row r="187" spans="1:17" x14ac:dyDescent="0.25">
      <c r="A187" t="s">
        <v>1825</v>
      </c>
      <c r="B187">
        <v>792680</v>
      </c>
      <c r="C187" t="s">
        <v>1824</v>
      </c>
      <c r="D187">
        <v>44.804009999999998</v>
      </c>
      <c r="E187">
        <v>20.465129999999998</v>
      </c>
      <c r="F187" t="s">
        <v>1243</v>
      </c>
      <c r="G187" t="s">
        <v>1244</v>
      </c>
      <c r="I187" t="s">
        <v>1826</v>
      </c>
      <c r="M187">
        <v>1273651</v>
      </c>
      <c r="O187">
        <v>120</v>
      </c>
      <c r="P187" t="s">
        <v>1827</v>
      </c>
      <c r="Q187" s="13">
        <v>42508</v>
      </c>
    </row>
    <row r="188" spans="1:17" x14ac:dyDescent="0.25">
      <c r="A188" t="s">
        <v>1829</v>
      </c>
      <c r="B188">
        <v>524901</v>
      </c>
      <c r="C188" t="s">
        <v>1828</v>
      </c>
      <c r="D188">
        <v>55.752220000000001</v>
      </c>
      <c r="E188">
        <v>37.615560000000002</v>
      </c>
      <c r="F188" t="s">
        <v>1243</v>
      </c>
      <c r="G188" t="s">
        <v>1244</v>
      </c>
      <c r="I188">
        <v>48</v>
      </c>
      <c r="M188">
        <v>10381222</v>
      </c>
      <c r="O188">
        <v>144</v>
      </c>
      <c r="P188" t="s">
        <v>1830</v>
      </c>
      <c r="Q188" s="13">
        <v>42473</v>
      </c>
    </row>
    <row r="189" spans="1:17" x14ac:dyDescent="0.25">
      <c r="A189" t="s">
        <v>1832</v>
      </c>
      <c r="B189">
        <v>202061</v>
      </c>
      <c r="C189" t="s">
        <v>1831</v>
      </c>
      <c r="D189">
        <v>-1.9499500000000001</v>
      </c>
      <c r="E189">
        <v>30.05885</v>
      </c>
      <c r="F189" t="s">
        <v>1243</v>
      </c>
      <c r="G189" t="s">
        <v>1244</v>
      </c>
      <c r="I189">
        <v>12</v>
      </c>
      <c r="J189">
        <v>11</v>
      </c>
      <c r="K189">
        <v>1109</v>
      </c>
      <c r="L189">
        <v>110903</v>
      </c>
      <c r="M189">
        <v>745261</v>
      </c>
      <c r="O189">
        <v>1542</v>
      </c>
      <c r="P189" t="s">
        <v>1833</v>
      </c>
      <c r="Q189" s="13">
        <v>42557</v>
      </c>
    </row>
    <row r="190" spans="1:17" x14ac:dyDescent="0.25">
      <c r="A190" t="s">
        <v>1835</v>
      </c>
      <c r="B190">
        <v>108410</v>
      </c>
      <c r="C190" t="s">
        <v>1834</v>
      </c>
      <c r="D190">
        <v>24.687729999999998</v>
      </c>
      <c r="E190">
        <v>46.721850000000003</v>
      </c>
      <c r="F190" t="s">
        <v>1243</v>
      </c>
      <c r="G190" t="s">
        <v>1244</v>
      </c>
      <c r="I190">
        <v>10</v>
      </c>
      <c r="M190">
        <v>4205961</v>
      </c>
      <c r="O190">
        <v>612</v>
      </c>
      <c r="P190" t="s">
        <v>1836</v>
      </c>
      <c r="Q190" s="13">
        <v>42390</v>
      </c>
    </row>
    <row r="191" spans="1:17" x14ac:dyDescent="0.25">
      <c r="A191" t="s">
        <v>1838</v>
      </c>
      <c r="B191">
        <v>2108502</v>
      </c>
      <c r="C191" t="s">
        <v>1837</v>
      </c>
      <c r="D191">
        <v>-9.4333299999999998</v>
      </c>
      <c r="E191">
        <v>159.94999999999999</v>
      </c>
      <c r="F191" t="s">
        <v>1243</v>
      </c>
      <c r="G191" t="s">
        <v>1244</v>
      </c>
      <c r="I191">
        <v>6</v>
      </c>
      <c r="M191">
        <v>56298</v>
      </c>
      <c r="O191">
        <v>49</v>
      </c>
      <c r="P191" t="s">
        <v>1839</v>
      </c>
      <c r="Q191" s="13">
        <v>40926</v>
      </c>
    </row>
    <row r="192" spans="1:17" x14ac:dyDescent="0.25">
      <c r="A192" t="s">
        <v>1841</v>
      </c>
      <c r="B192">
        <v>241131</v>
      </c>
      <c r="C192" t="s">
        <v>1840</v>
      </c>
      <c r="D192">
        <v>-4.6166700000000001</v>
      </c>
      <c r="E192">
        <v>55.45</v>
      </c>
      <c r="F192" t="s">
        <v>1243</v>
      </c>
      <c r="G192" t="s">
        <v>1244</v>
      </c>
      <c r="I192">
        <v>26</v>
      </c>
      <c r="M192">
        <v>22881</v>
      </c>
      <c r="O192">
        <v>60</v>
      </c>
      <c r="P192" t="s">
        <v>1842</v>
      </c>
      <c r="Q192" s="13">
        <v>41678</v>
      </c>
    </row>
    <row r="193" spans="1:17" x14ac:dyDescent="0.25">
      <c r="A193" t="s">
        <v>1844</v>
      </c>
      <c r="B193">
        <v>379252</v>
      </c>
      <c r="C193" t="s">
        <v>1843</v>
      </c>
      <c r="D193">
        <v>15.551769999999999</v>
      </c>
      <c r="E193">
        <v>32.532409999999999</v>
      </c>
      <c r="F193" t="s">
        <v>1243</v>
      </c>
      <c r="G193" t="s">
        <v>1244</v>
      </c>
      <c r="I193">
        <v>29</v>
      </c>
      <c r="M193">
        <v>1974647</v>
      </c>
      <c r="O193">
        <v>381</v>
      </c>
      <c r="P193" t="s">
        <v>1845</v>
      </c>
      <c r="Q193" s="13">
        <v>40842</v>
      </c>
    </row>
    <row r="194" spans="1:17" x14ac:dyDescent="0.25">
      <c r="A194" t="s">
        <v>1826</v>
      </c>
      <c r="B194">
        <v>2673730</v>
      </c>
      <c r="C194" t="s">
        <v>1846</v>
      </c>
      <c r="D194">
        <v>59.33258</v>
      </c>
      <c r="E194">
        <v>18.064900000000002</v>
      </c>
      <c r="F194" t="s">
        <v>1243</v>
      </c>
      <c r="G194" t="s">
        <v>1244</v>
      </c>
      <c r="I194">
        <v>26</v>
      </c>
      <c r="J194">
        <v>180</v>
      </c>
      <c r="M194">
        <v>1253309</v>
      </c>
      <c r="O194">
        <v>28</v>
      </c>
      <c r="P194" t="s">
        <v>1847</v>
      </c>
      <c r="Q194" s="13">
        <v>40265</v>
      </c>
    </row>
    <row r="195" spans="1:17" x14ac:dyDescent="0.25">
      <c r="A195" t="s">
        <v>1848</v>
      </c>
      <c r="B195">
        <v>1880252</v>
      </c>
      <c r="C195" t="s">
        <v>154</v>
      </c>
      <c r="D195">
        <v>1.2896700000000001</v>
      </c>
      <c r="E195">
        <v>103.85007</v>
      </c>
      <c r="F195" t="s">
        <v>1243</v>
      </c>
      <c r="G195" t="s">
        <v>1244</v>
      </c>
      <c r="I195">
        <v>1</v>
      </c>
      <c r="M195">
        <v>3547809</v>
      </c>
      <c r="O195">
        <v>23</v>
      </c>
      <c r="P195" t="s">
        <v>1849</v>
      </c>
      <c r="Q195" s="13">
        <v>42413</v>
      </c>
    </row>
    <row r="196" spans="1:17" x14ac:dyDescent="0.25">
      <c r="A196" t="s">
        <v>1851</v>
      </c>
      <c r="B196">
        <v>3370903</v>
      </c>
      <c r="C196" t="s">
        <v>1850</v>
      </c>
      <c r="D196">
        <v>-15.93872</v>
      </c>
      <c r="E196">
        <v>-5.7167500000000002</v>
      </c>
      <c r="F196" t="s">
        <v>1243</v>
      </c>
      <c r="G196" t="s">
        <v>1244</v>
      </c>
      <c r="I196">
        <v>2</v>
      </c>
      <c r="M196">
        <v>637</v>
      </c>
      <c r="N196">
        <v>10</v>
      </c>
      <c r="O196">
        <v>426</v>
      </c>
      <c r="P196" t="s">
        <v>1852</v>
      </c>
      <c r="Q196" s="13">
        <v>42482</v>
      </c>
    </row>
    <row r="197" spans="1:17" x14ac:dyDescent="0.25">
      <c r="A197" t="s">
        <v>1854</v>
      </c>
      <c r="B197">
        <v>3196359</v>
      </c>
      <c r="C197" t="s">
        <v>1853</v>
      </c>
      <c r="D197">
        <v>46.051079999999999</v>
      </c>
      <c r="E197">
        <v>14.505129999999999</v>
      </c>
      <c r="F197" t="s">
        <v>1243</v>
      </c>
      <c r="G197" t="s">
        <v>1244</v>
      </c>
      <c r="I197">
        <v>61</v>
      </c>
      <c r="M197">
        <v>272220</v>
      </c>
      <c r="O197">
        <v>295</v>
      </c>
      <c r="P197" t="s">
        <v>1855</v>
      </c>
      <c r="Q197" s="13">
        <v>41756</v>
      </c>
    </row>
    <row r="198" spans="1:17" x14ac:dyDescent="0.25">
      <c r="A198" t="s">
        <v>1857</v>
      </c>
      <c r="B198">
        <v>2729907</v>
      </c>
      <c r="C198" t="s">
        <v>1856</v>
      </c>
      <c r="D198">
        <v>78.223339999999993</v>
      </c>
      <c r="E198">
        <v>15.646890000000001</v>
      </c>
      <c r="F198" t="s">
        <v>1243</v>
      </c>
      <c r="G198" t="s">
        <v>1244</v>
      </c>
      <c r="H198" t="s">
        <v>1751</v>
      </c>
      <c r="I198">
        <v>21</v>
      </c>
      <c r="J198">
        <v>2111</v>
      </c>
      <c r="M198">
        <v>2060</v>
      </c>
      <c r="O198">
        <v>1</v>
      </c>
      <c r="P198" t="s">
        <v>1858</v>
      </c>
      <c r="Q198" s="13">
        <v>42077</v>
      </c>
    </row>
    <row r="199" spans="1:17" x14ac:dyDescent="0.25">
      <c r="A199" t="s">
        <v>1860</v>
      </c>
      <c r="B199">
        <v>3060972</v>
      </c>
      <c r="C199" t="s">
        <v>1859</v>
      </c>
      <c r="D199">
        <v>48.148159999999997</v>
      </c>
      <c r="E199">
        <v>17.106739999999999</v>
      </c>
      <c r="F199" t="s">
        <v>1243</v>
      </c>
      <c r="G199" t="s">
        <v>1244</v>
      </c>
      <c r="I199">
        <v>2</v>
      </c>
      <c r="M199">
        <v>423737</v>
      </c>
      <c r="O199">
        <v>157</v>
      </c>
      <c r="P199" t="s">
        <v>1861</v>
      </c>
      <c r="Q199" s="13">
        <v>40633</v>
      </c>
    </row>
    <row r="200" spans="1:17" x14ac:dyDescent="0.25">
      <c r="A200" t="s">
        <v>1863</v>
      </c>
      <c r="B200">
        <v>2409306</v>
      </c>
      <c r="C200" t="s">
        <v>1862</v>
      </c>
      <c r="D200">
        <v>8.484</v>
      </c>
      <c r="E200">
        <v>-13.229939999999999</v>
      </c>
      <c r="F200" t="s">
        <v>1243</v>
      </c>
      <c r="G200" t="s">
        <v>1244</v>
      </c>
      <c r="I200">
        <v>4</v>
      </c>
      <c r="M200">
        <v>802639</v>
      </c>
      <c r="O200">
        <v>49</v>
      </c>
      <c r="P200" t="s">
        <v>1864</v>
      </c>
      <c r="Q200" s="13">
        <v>40328</v>
      </c>
    </row>
    <row r="201" spans="1:17" x14ac:dyDescent="0.25">
      <c r="A201" t="s">
        <v>1865</v>
      </c>
      <c r="B201">
        <v>3168070</v>
      </c>
      <c r="C201" t="s">
        <v>147</v>
      </c>
      <c r="D201">
        <v>43.936669999999999</v>
      </c>
      <c r="E201">
        <v>12.446389999999999</v>
      </c>
      <c r="F201" t="s">
        <v>1243</v>
      </c>
      <c r="G201" t="s">
        <v>1244</v>
      </c>
      <c r="I201">
        <v>7</v>
      </c>
      <c r="M201">
        <v>4500</v>
      </c>
      <c r="O201">
        <v>683</v>
      </c>
      <c r="P201" t="s">
        <v>1866</v>
      </c>
      <c r="Q201" s="13">
        <v>41725</v>
      </c>
    </row>
    <row r="202" spans="1:17" x14ac:dyDescent="0.25">
      <c r="A202" t="s">
        <v>1868</v>
      </c>
      <c r="B202">
        <v>2253354</v>
      </c>
      <c r="C202" t="s">
        <v>1867</v>
      </c>
      <c r="D202">
        <v>14.6937</v>
      </c>
      <c r="E202">
        <v>-17.44406</v>
      </c>
      <c r="F202" t="s">
        <v>1243</v>
      </c>
      <c r="G202" t="s">
        <v>1244</v>
      </c>
      <c r="I202">
        <v>1</v>
      </c>
      <c r="M202">
        <v>2476400</v>
      </c>
      <c r="O202">
        <v>12</v>
      </c>
      <c r="P202" t="s">
        <v>1869</v>
      </c>
      <c r="Q202" s="13">
        <v>40606</v>
      </c>
    </row>
    <row r="203" spans="1:17" x14ac:dyDescent="0.25">
      <c r="A203" t="s">
        <v>1464</v>
      </c>
      <c r="B203">
        <v>53654</v>
      </c>
      <c r="C203" t="s">
        <v>1870</v>
      </c>
      <c r="D203">
        <v>2.0371100000000002</v>
      </c>
      <c r="E203">
        <v>45.34375</v>
      </c>
      <c r="F203" t="s">
        <v>1243</v>
      </c>
      <c r="G203" t="s">
        <v>1244</v>
      </c>
      <c r="I203">
        <v>2</v>
      </c>
      <c r="M203">
        <v>2587183</v>
      </c>
      <c r="O203">
        <v>12</v>
      </c>
      <c r="P203" t="s">
        <v>1871</v>
      </c>
      <c r="Q203" s="13">
        <v>41032</v>
      </c>
    </row>
    <row r="204" spans="1:17" x14ac:dyDescent="0.25">
      <c r="A204" t="s">
        <v>1873</v>
      </c>
      <c r="B204">
        <v>3383330</v>
      </c>
      <c r="C204" t="s">
        <v>1872</v>
      </c>
      <c r="D204">
        <v>5.8663800000000004</v>
      </c>
      <c r="E204">
        <v>-55.166820000000001</v>
      </c>
      <c r="F204" t="s">
        <v>1243</v>
      </c>
      <c r="G204" t="s">
        <v>1244</v>
      </c>
      <c r="I204">
        <v>16</v>
      </c>
      <c r="M204">
        <v>223757</v>
      </c>
      <c r="O204">
        <v>5</v>
      </c>
      <c r="P204" t="s">
        <v>1874</v>
      </c>
      <c r="Q204" s="13">
        <v>40328</v>
      </c>
    </row>
    <row r="205" spans="1:17" x14ac:dyDescent="0.25">
      <c r="A205" t="s">
        <v>1876</v>
      </c>
      <c r="B205">
        <v>373303</v>
      </c>
      <c r="C205" t="s">
        <v>1875</v>
      </c>
      <c r="D205">
        <v>4.8516500000000002</v>
      </c>
      <c r="E205">
        <v>31.582470000000001</v>
      </c>
      <c r="F205" t="s">
        <v>1243</v>
      </c>
      <c r="G205" t="s">
        <v>1244</v>
      </c>
      <c r="I205">
        <v>1</v>
      </c>
      <c r="M205">
        <v>300000</v>
      </c>
      <c r="O205">
        <v>518</v>
      </c>
      <c r="P205" t="s">
        <v>1877</v>
      </c>
      <c r="Q205" s="13">
        <v>41871</v>
      </c>
    </row>
    <row r="206" spans="1:17" x14ac:dyDescent="0.25">
      <c r="A206" t="s">
        <v>1468</v>
      </c>
      <c r="B206">
        <v>2410763</v>
      </c>
      <c r="C206" t="s">
        <v>1878</v>
      </c>
      <c r="D206">
        <v>0.33654000000000001</v>
      </c>
      <c r="E206">
        <v>6.7273199999999997</v>
      </c>
      <c r="F206" t="s">
        <v>1243</v>
      </c>
      <c r="G206" t="s">
        <v>1244</v>
      </c>
      <c r="I206">
        <v>2</v>
      </c>
      <c r="M206">
        <v>53300</v>
      </c>
      <c r="O206">
        <v>8</v>
      </c>
      <c r="P206" t="s">
        <v>1879</v>
      </c>
      <c r="Q206" s="13">
        <v>40328</v>
      </c>
    </row>
    <row r="207" spans="1:17" x14ac:dyDescent="0.25">
      <c r="A207" t="s">
        <v>1881</v>
      </c>
      <c r="B207">
        <v>3583361</v>
      </c>
      <c r="C207" t="s">
        <v>1880</v>
      </c>
      <c r="D207">
        <v>13.689349999999999</v>
      </c>
      <c r="E207">
        <v>-89.187179999999998</v>
      </c>
      <c r="F207" t="s">
        <v>1243</v>
      </c>
      <c r="G207" t="s">
        <v>1244</v>
      </c>
      <c r="I207">
        <v>10</v>
      </c>
      <c r="M207">
        <v>525990</v>
      </c>
      <c r="O207">
        <v>653</v>
      </c>
      <c r="P207" t="s">
        <v>1882</v>
      </c>
      <c r="Q207" s="13">
        <v>42159</v>
      </c>
    </row>
    <row r="208" spans="1:17" x14ac:dyDescent="0.25">
      <c r="A208" t="s">
        <v>1884</v>
      </c>
      <c r="B208">
        <v>3513392</v>
      </c>
      <c r="C208" t="s">
        <v>1883</v>
      </c>
      <c r="D208">
        <v>18.026</v>
      </c>
      <c r="E208">
        <v>-63.045819999999999</v>
      </c>
      <c r="F208" t="s">
        <v>1243</v>
      </c>
      <c r="G208" t="s">
        <v>1244</v>
      </c>
      <c r="M208">
        <v>1400</v>
      </c>
      <c r="O208">
        <v>0</v>
      </c>
      <c r="P208" t="s">
        <v>1885</v>
      </c>
      <c r="Q208" s="13">
        <v>40580</v>
      </c>
    </row>
    <row r="209" spans="1:17" x14ac:dyDescent="0.25">
      <c r="A209" t="s">
        <v>1887</v>
      </c>
      <c r="B209">
        <v>170063</v>
      </c>
      <c r="C209" t="s">
        <v>1886</v>
      </c>
      <c r="D209">
        <v>36.201239999999999</v>
      </c>
      <c r="E209">
        <v>37.161169999999998</v>
      </c>
      <c r="F209" t="s">
        <v>1243</v>
      </c>
      <c r="G209" t="s">
        <v>1248</v>
      </c>
      <c r="I209">
        <v>9</v>
      </c>
      <c r="M209">
        <v>1602264</v>
      </c>
      <c r="O209">
        <v>401</v>
      </c>
      <c r="P209" t="s">
        <v>1888</v>
      </c>
      <c r="Q209" s="13">
        <v>40925</v>
      </c>
    </row>
    <row r="210" spans="1:17" x14ac:dyDescent="0.25">
      <c r="A210" t="s">
        <v>1890</v>
      </c>
      <c r="B210">
        <v>934995</v>
      </c>
      <c r="C210" t="s">
        <v>1889</v>
      </c>
      <c r="D210">
        <v>-26.498840000000001</v>
      </c>
      <c r="E210">
        <v>31.380040000000001</v>
      </c>
      <c r="F210" t="s">
        <v>1243</v>
      </c>
      <c r="G210" t="s">
        <v>1248</v>
      </c>
      <c r="I210">
        <v>3</v>
      </c>
      <c r="M210">
        <v>110537</v>
      </c>
      <c r="O210">
        <v>601</v>
      </c>
      <c r="P210" t="s">
        <v>1891</v>
      </c>
      <c r="Q210" s="13">
        <v>41377</v>
      </c>
    </row>
    <row r="211" spans="1:17" x14ac:dyDescent="0.25">
      <c r="A211" t="s">
        <v>1893</v>
      </c>
      <c r="B211">
        <v>3576994</v>
      </c>
      <c r="C211" t="s">
        <v>1892</v>
      </c>
      <c r="D211">
        <v>21.461220000000001</v>
      </c>
      <c r="E211">
        <v>-71.14188</v>
      </c>
      <c r="F211" t="s">
        <v>1243</v>
      </c>
      <c r="G211" t="s">
        <v>1244</v>
      </c>
      <c r="I211">
        <v>0</v>
      </c>
      <c r="M211">
        <v>3720</v>
      </c>
      <c r="O211">
        <v>7</v>
      </c>
      <c r="P211" t="s">
        <v>1894</v>
      </c>
      <c r="Q211" s="13">
        <v>40457</v>
      </c>
    </row>
    <row r="212" spans="1:17" x14ac:dyDescent="0.25">
      <c r="A212" t="s">
        <v>1896</v>
      </c>
      <c r="B212">
        <v>2427123</v>
      </c>
      <c r="C212" t="s">
        <v>1895</v>
      </c>
      <c r="D212">
        <v>12.106719999999999</v>
      </c>
      <c r="E212">
        <v>15.0444</v>
      </c>
      <c r="F212" t="s">
        <v>1243</v>
      </c>
      <c r="G212" t="s">
        <v>1244</v>
      </c>
      <c r="I212">
        <v>15</v>
      </c>
      <c r="M212">
        <v>721081</v>
      </c>
      <c r="O212">
        <v>299</v>
      </c>
      <c r="P212" t="s">
        <v>1897</v>
      </c>
      <c r="Q212" s="13">
        <v>41012</v>
      </c>
    </row>
    <row r="213" spans="1:17" x14ac:dyDescent="0.25">
      <c r="A213" t="s">
        <v>1899</v>
      </c>
      <c r="B213">
        <v>1546102</v>
      </c>
      <c r="C213" t="s">
        <v>1898</v>
      </c>
      <c r="D213">
        <v>-49.35</v>
      </c>
      <c r="E213">
        <v>70.216669999999993</v>
      </c>
      <c r="F213" t="s">
        <v>1243</v>
      </c>
      <c r="G213" t="s">
        <v>1244</v>
      </c>
      <c r="I213">
        <v>3</v>
      </c>
      <c r="M213">
        <v>45</v>
      </c>
      <c r="O213">
        <v>7</v>
      </c>
      <c r="P213" t="s">
        <v>1900</v>
      </c>
      <c r="Q213" s="13">
        <v>40396</v>
      </c>
    </row>
    <row r="214" spans="1:17" x14ac:dyDescent="0.25">
      <c r="A214" t="s">
        <v>1902</v>
      </c>
      <c r="B214">
        <v>2365267</v>
      </c>
      <c r="C214" t="s">
        <v>1901</v>
      </c>
      <c r="D214">
        <v>6.13748</v>
      </c>
      <c r="E214">
        <v>1.21227</v>
      </c>
      <c r="F214" t="s">
        <v>1243</v>
      </c>
      <c r="G214" t="s">
        <v>1244</v>
      </c>
      <c r="I214">
        <v>24</v>
      </c>
      <c r="M214">
        <v>749700</v>
      </c>
      <c r="O214">
        <v>6</v>
      </c>
      <c r="P214" t="s">
        <v>1903</v>
      </c>
      <c r="Q214" s="13">
        <v>41869</v>
      </c>
    </row>
    <row r="215" spans="1:17" x14ac:dyDescent="0.25">
      <c r="A215" t="s">
        <v>1905</v>
      </c>
      <c r="B215">
        <v>1609350</v>
      </c>
      <c r="C215" t="s">
        <v>1904</v>
      </c>
      <c r="D215">
        <v>13.75398</v>
      </c>
      <c r="E215">
        <v>100.50144</v>
      </c>
      <c r="F215" t="s">
        <v>1243</v>
      </c>
      <c r="G215" t="s">
        <v>1244</v>
      </c>
      <c r="I215">
        <v>40</v>
      </c>
      <c r="M215">
        <v>5104476</v>
      </c>
      <c r="O215">
        <v>12</v>
      </c>
      <c r="P215" t="s">
        <v>1906</v>
      </c>
      <c r="Q215" s="13">
        <v>42469</v>
      </c>
    </row>
    <row r="216" spans="1:17" x14ac:dyDescent="0.25">
      <c r="A216" t="s">
        <v>1908</v>
      </c>
      <c r="B216">
        <v>1221874</v>
      </c>
      <c r="C216" t="s">
        <v>1907</v>
      </c>
      <c r="D216">
        <v>38.53575</v>
      </c>
      <c r="E216">
        <v>68.779049999999998</v>
      </c>
      <c r="F216" t="s">
        <v>1243</v>
      </c>
      <c r="G216" t="s">
        <v>1244</v>
      </c>
      <c r="I216">
        <v>7280679</v>
      </c>
      <c r="M216">
        <v>679400</v>
      </c>
      <c r="O216">
        <v>767</v>
      </c>
      <c r="P216" t="s">
        <v>1909</v>
      </c>
      <c r="Q216" s="13">
        <v>41463</v>
      </c>
    </row>
    <row r="217" spans="1:17" x14ac:dyDescent="0.25">
      <c r="A217" t="s">
        <v>1911</v>
      </c>
      <c r="B217">
        <v>1645457</v>
      </c>
      <c r="C217" t="s">
        <v>1910</v>
      </c>
      <c r="D217">
        <v>-8.5586099999999998</v>
      </c>
      <c r="E217">
        <v>125.57361</v>
      </c>
      <c r="F217" t="s">
        <v>1243</v>
      </c>
      <c r="G217" t="s">
        <v>1244</v>
      </c>
      <c r="I217" t="s">
        <v>1912</v>
      </c>
      <c r="M217">
        <v>150000</v>
      </c>
      <c r="O217">
        <v>3</v>
      </c>
      <c r="P217" t="s">
        <v>1913</v>
      </c>
      <c r="Q217" s="13">
        <v>41406</v>
      </c>
    </row>
    <row r="218" spans="1:17" x14ac:dyDescent="0.25">
      <c r="A218" t="s">
        <v>1915</v>
      </c>
      <c r="B218">
        <v>162183</v>
      </c>
      <c r="C218" t="s">
        <v>1914</v>
      </c>
      <c r="D218">
        <v>37.950000000000003</v>
      </c>
      <c r="E218">
        <v>58.383330000000001</v>
      </c>
      <c r="F218" t="s">
        <v>1243</v>
      </c>
      <c r="G218" t="s">
        <v>1244</v>
      </c>
      <c r="I218">
        <v>1</v>
      </c>
      <c r="M218">
        <v>727700</v>
      </c>
      <c r="O218">
        <v>219</v>
      </c>
      <c r="P218" t="s">
        <v>1916</v>
      </c>
      <c r="Q218" s="13">
        <v>42531</v>
      </c>
    </row>
    <row r="219" spans="1:17" x14ac:dyDescent="0.25">
      <c r="A219" t="s">
        <v>1918</v>
      </c>
      <c r="B219">
        <v>2464470</v>
      </c>
      <c r="C219" t="s">
        <v>1917</v>
      </c>
      <c r="D219">
        <v>36.81897</v>
      </c>
      <c r="E219">
        <v>10.165789999999999</v>
      </c>
      <c r="F219" t="s">
        <v>1243</v>
      </c>
      <c r="G219" t="s">
        <v>1244</v>
      </c>
      <c r="I219">
        <v>36</v>
      </c>
      <c r="M219">
        <v>693210</v>
      </c>
      <c r="O219">
        <v>23</v>
      </c>
      <c r="P219" t="s">
        <v>1919</v>
      </c>
      <c r="Q219" s="13">
        <v>40328</v>
      </c>
    </row>
    <row r="220" spans="1:17" x14ac:dyDescent="0.25">
      <c r="A220" t="s">
        <v>1921</v>
      </c>
      <c r="B220">
        <v>4032402</v>
      </c>
      <c r="C220" t="s">
        <v>1920</v>
      </c>
      <c r="D220">
        <v>-21.139379999999999</v>
      </c>
      <c r="E220">
        <v>-175.20179999999999</v>
      </c>
      <c r="F220" t="s">
        <v>1243</v>
      </c>
      <c r="G220" t="s">
        <v>1244</v>
      </c>
      <c r="I220">
        <v>2</v>
      </c>
      <c r="M220">
        <v>22400</v>
      </c>
      <c r="O220">
        <v>5</v>
      </c>
      <c r="P220" t="s">
        <v>1922</v>
      </c>
      <c r="Q220" s="13">
        <v>42357</v>
      </c>
    </row>
    <row r="221" spans="1:17" x14ac:dyDescent="0.25">
      <c r="A221" t="s">
        <v>1924</v>
      </c>
      <c r="B221">
        <v>745044</v>
      </c>
      <c r="C221" t="s">
        <v>1923</v>
      </c>
      <c r="D221">
        <v>41.013840000000002</v>
      </c>
      <c r="E221">
        <v>28.949660000000002</v>
      </c>
      <c r="F221" t="s">
        <v>1243</v>
      </c>
      <c r="G221" t="s">
        <v>1248</v>
      </c>
      <c r="I221">
        <v>34</v>
      </c>
      <c r="M221">
        <v>11174257</v>
      </c>
      <c r="O221">
        <v>39</v>
      </c>
      <c r="P221" t="s">
        <v>1925</v>
      </c>
      <c r="Q221" s="13">
        <v>42523</v>
      </c>
    </row>
    <row r="222" spans="1:17" x14ac:dyDescent="0.25">
      <c r="A222" t="s">
        <v>1927</v>
      </c>
      <c r="B222">
        <v>3574309</v>
      </c>
      <c r="C222" t="s">
        <v>1926</v>
      </c>
      <c r="D222">
        <v>10.64917</v>
      </c>
      <c r="E222">
        <v>-61.498890000000003</v>
      </c>
      <c r="F222" t="s">
        <v>1243</v>
      </c>
      <c r="G222" t="s">
        <v>1248</v>
      </c>
      <c r="I222" t="s">
        <v>1928</v>
      </c>
      <c r="M222">
        <v>157258</v>
      </c>
      <c r="O222">
        <v>28</v>
      </c>
      <c r="P222" t="s">
        <v>1929</v>
      </c>
      <c r="Q222" s="13">
        <v>42501</v>
      </c>
    </row>
    <row r="223" spans="1:17" x14ac:dyDescent="0.25">
      <c r="A223" t="s">
        <v>1931</v>
      </c>
      <c r="B223">
        <v>2110394</v>
      </c>
      <c r="C223" t="s">
        <v>1930</v>
      </c>
      <c r="D223">
        <v>-8.5242500000000003</v>
      </c>
      <c r="E223">
        <v>179.19417000000001</v>
      </c>
      <c r="F223" t="s">
        <v>1243</v>
      </c>
      <c r="G223" t="s">
        <v>1244</v>
      </c>
      <c r="I223" t="s">
        <v>1932</v>
      </c>
      <c r="M223">
        <v>4492</v>
      </c>
      <c r="O223">
        <v>7</v>
      </c>
      <c r="P223" t="s">
        <v>1933</v>
      </c>
      <c r="Q223" s="13">
        <v>41870</v>
      </c>
    </row>
    <row r="224" spans="1:17" x14ac:dyDescent="0.25">
      <c r="A224" t="s">
        <v>1604</v>
      </c>
      <c r="B224">
        <v>1668341</v>
      </c>
      <c r="C224" t="s">
        <v>1934</v>
      </c>
      <c r="D224">
        <v>25.04776</v>
      </c>
      <c r="E224">
        <v>121.53185000000001</v>
      </c>
      <c r="F224" t="s">
        <v>1243</v>
      </c>
      <c r="G224" t="s">
        <v>1244</v>
      </c>
      <c r="I224">
        <v>3</v>
      </c>
      <c r="J224" t="s">
        <v>1935</v>
      </c>
      <c r="M224">
        <v>7871900</v>
      </c>
      <c r="O224">
        <v>10</v>
      </c>
      <c r="P224" t="s">
        <v>1936</v>
      </c>
      <c r="Q224" s="13">
        <v>41643</v>
      </c>
    </row>
    <row r="225" spans="1:17" x14ac:dyDescent="0.25">
      <c r="A225" t="s">
        <v>1938</v>
      </c>
      <c r="B225">
        <v>160263</v>
      </c>
      <c r="C225" t="s">
        <v>1937</v>
      </c>
      <c r="D225">
        <v>-6.8234899999999996</v>
      </c>
      <c r="E225">
        <v>39.269509999999997</v>
      </c>
      <c r="F225" t="s">
        <v>1243</v>
      </c>
      <c r="G225" t="s">
        <v>1248</v>
      </c>
      <c r="I225">
        <v>23</v>
      </c>
      <c r="M225">
        <v>2698652</v>
      </c>
      <c r="O225">
        <v>24</v>
      </c>
      <c r="P225" t="s">
        <v>1939</v>
      </c>
      <c r="Q225" s="13">
        <v>41240</v>
      </c>
    </row>
    <row r="226" spans="1:17" x14ac:dyDescent="0.25">
      <c r="A226" t="s">
        <v>1941</v>
      </c>
      <c r="B226">
        <v>703448</v>
      </c>
      <c r="C226" t="s">
        <v>1940</v>
      </c>
      <c r="D226">
        <v>50.454659999999997</v>
      </c>
      <c r="E226">
        <v>30.523800000000001</v>
      </c>
      <c r="F226" t="s">
        <v>1243</v>
      </c>
      <c r="G226" t="s">
        <v>1244</v>
      </c>
      <c r="I226">
        <v>12</v>
      </c>
      <c r="M226">
        <v>2797553</v>
      </c>
      <c r="O226">
        <v>187</v>
      </c>
      <c r="P226" t="s">
        <v>1942</v>
      </c>
      <c r="Q226" s="13">
        <v>42285</v>
      </c>
    </row>
    <row r="227" spans="1:17" x14ac:dyDescent="0.25">
      <c r="A227" t="s">
        <v>1944</v>
      </c>
      <c r="B227">
        <v>232422</v>
      </c>
      <c r="C227" t="s">
        <v>1943</v>
      </c>
      <c r="D227">
        <v>0.31628000000000001</v>
      </c>
      <c r="E227">
        <v>32.582189999999997</v>
      </c>
      <c r="F227" t="s">
        <v>1243</v>
      </c>
      <c r="G227" t="s">
        <v>1244</v>
      </c>
      <c r="I227" t="s">
        <v>1718</v>
      </c>
      <c r="J227">
        <v>37</v>
      </c>
      <c r="K227">
        <v>8644170</v>
      </c>
      <c r="L227">
        <v>8658346</v>
      </c>
      <c r="M227">
        <v>1353189</v>
      </c>
      <c r="O227">
        <v>1223</v>
      </c>
      <c r="P227" t="s">
        <v>1945</v>
      </c>
      <c r="Q227" s="13">
        <v>42543</v>
      </c>
    </row>
    <row r="228" spans="1:17" x14ac:dyDescent="0.25">
      <c r="A228" t="s">
        <v>1947</v>
      </c>
      <c r="B228">
        <v>5128581</v>
      </c>
      <c r="C228" t="s">
        <v>1946</v>
      </c>
      <c r="D228">
        <v>40.714269999999999</v>
      </c>
      <c r="E228">
        <v>-74.005970000000005</v>
      </c>
      <c r="F228" t="s">
        <v>1243</v>
      </c>
      <c r="G228" t="s">
        <v>1507</v>
      </c>
      <c r="I228" t="s">
        <v>1948</v>
      </c>
      <c r="M228">
        <v>8175133</v>
      </c>
      <c r="N228">
        <v>10</v>
      </c>
      <c r="O228">
        <v>57</v>
      </c>
      <c r="P228" t="s">
        <v>1949</v>
      </c>
      <c r="Q228" s="13">
        <v>42037</v>
      </c>
    </row>
    <row r="229" spans="1:17" x14ac:dyDescent="0.25">
      <c r="A229" t="s">
        <v>1951</v>
      </c>
      <c r="B229">
        <v>3441575</v>
      </c>
      <c r="C229" t="s">
        <v>1950</v>
      </c>
      <c r="D229">
        <v>-34.903280000000002</v>
      </c>
      <c r="E229">
        <v>-56.188160000000003</v>
      </c>
      <c r="F229" t="s">
        <v>1243</v>
      </c>
      <c r="G229" t="s">
        <v>1244</v>
      </c>
      <c r="I229">
        <v>10</v>
      </c>
      <c r="M229">
        <v>1270737</v>
      </c>
      <c r="O229">
        <v>34</v>
      </c>
      <c r="P229" t="s">
        <v>1952</v>
      </c>
      <c r="Q229" s="13">
        <v>41533</v>
      </c>
    </row>
    <row r="230" spans="1:17" x14ac:dyDescent="0.25">
      <c r="A230" t="s">
        <v>1954</v>
      </c>
      <c r="B230">
        <v>1512569</v>
      </c>
      <c r="C230" t="s">
        <v>1953</v>
      </c>
      <c r="D230">
        <v>41.264650000000003</v>
      </c>
      <c r="E230">
        <v>69.216269999999994</v>
      </c>
      <c r="F230" t="s">
        <v>1243</v>
      </c>
      <c r="G230" t="s">
        <v>1244</v>
      </c>
      <c r="I230">
        <v>13</v>
      </c>
      <c r="M230">
        <v>1978028</v>
      </c>
      <c r="O230">
        <v>424</v>
      </c>
      <c r="P230" t="s">
        <v>1955</v>
      </c>
      <c r="Q230" s="13">
        <v>41028</v>
      </c>
    </row>
    <row r="231" spans="1:17" x14ac:dyDescent="0.25">
      <c r="A231" t="s">
        <v>1957</v>
      </c>
      <c r="B231">
        <v>6691831</v>
      </c>
      <c r="C231" t="s">
        <v>1956</v>
      </c>
      <c r="D231">
        <v>41.902360000000002</v>
      </c>
      <c r="E231">
        <v>12.45332</v>
      </c>
      <c r="F231" t="s">
        <v>1243</v>
      </c>
      <c r="G231" t="s">
        <v>1244</v>
      </c>
      <c r="M231">
        <v>829</v>
      </c>
      <c r="N231">
        <v>55</v>
      </c>
      <c r="O231">
        <v>62</v>
      </c>
      <c r="P231" t="s">
        <v>1958</v>
      </c>
      <c r="Q231" s="13">
        <v>42061</v>
      </c>
    </row>
    <row r="232" spans="1:17" x14ac:dyDescent="0.25">
      <c r="A232" t="s">
        <v>1960</v>
      </c>
      <c r="B232">
        <v>3577887</v>
      </c>
      <c r="C232" t="s">
        <v>1959</v>
      </c>
      <c r="D232">
        <v>13.158720000000001</v>
      </c>
      <c r="E232">
        <v>-61.22475</v>
      </c>
      <c r="F232" t="s">
        <v>1243</v>
      </c>
      <c r="G232" t="s">
        <v>1244</v>
      </c>
      <c r="I232">
        <v>4</v>
      </c>
      <c r="M232">
        <v>24518</v>
      </c>
      <c r="O232">
        <v>14</v>
      </c>
      <c r="P232" t="s">
        <v>1961</v>
      </c>
      <c r="Q232" s="13">
        <v>40328</v>
      </c>
    </row>
    <row r="233" spans="1:17" x14ac:dyDescent="0.25">
      <c r="A233" t="s">
        <v>1963</v>
      </c>
      <c r="B233">
        <v>3646738</v>
      </c>
      <c r="C233" t="s">
        <v>1962</v>
      </c>
      <c r="D233">
        <v>10.488009999999999</v>
      </c>
      <c r="E233">
        <v>-66.879189999999994</v>
      </c>
      <c r="F233" t="s">
        <v>1243</v>
      </c>
      <c r="G233" t="s">
        <v>1244</v>
      </c>
      <c r="I233">
        <v>25</v>
      </c>
      <c r="J233">
        <v>101</v>
      </c>
      <c r="M233">
        <v>3000000</v>
      </c>
      <c r="O233">
        <v>887</v>
      </c>
      <c r="P233" t="s">
        <v>1964</v>
      </c>
      <c r="Q233" s="13">
        <v>42158</v>
      </c>
    </row>
    <row r="234" spans="1:17" x14ac:dyDescent="0.25">
      <c r="A234" t="s">
        <v>1966</v>
      </c>
      <c r="B234">
        <v>8533874</v>
      </c>
      <c r="C234" t="s">
        <v>1965</v>
      </c>
      <c r="D234">
        <v>18.43882</v>
      </c>
      <c r="E234">
        <v>-64.603819999999999</v>
      </c>
      <c r="F234" t="s">
        <v>1243</v>
      </c>
      <c r="G234" t="s">
        <v>1282</v>
      </c>
      <c r="M234">
        <v>23908</v>
      </c>
      <c r="O234">
        <v>288</v>
      </c>
      <c r="P234" t="s">
        <v>1967</v>
      </c>
      <c r="Q234" s="13">
        <v>41430</v>
      </c>
    </row>
    <row r="235" spans="1:17" x14ac:dyDescent="0.25">
      <c r="A235" t="s">
        <v>1969</v>
      </c>
      <c r="B235">
        <v>4796512</v>
      </c>
      <c r="C235" t="s">
        <v>1968</v>
      </c>
      <c r="D235">
        <v>17.727509999999999</v>
      </c>
      <c r="E235">
        <v>-64.746979999999994</v>
      </c>
      <c r="F235" t="s">
        <v>1243</v>
      </c>
      <c r="G235" t="s">
        <v>1248</v>
      </c>
      <c r="I235">
        <v>10</v>
      </c>
      <c r="J235">
        <v>73900</v>
      </c>
      <c r="M235">
        <v>50601</v>
      </c>
      <c r="N235">
        <v>87</v>
      </c>
      <c r="O235">
        <v>42</v>
      </c>
      <c r="P235" t="s">
        <v>1970</v>
      </c>
      <c r="Q235" s="13">
        <v>42543</v>
      </c>
    </row>
    <row r="236" spans="1:17" x14ac:dyDescent="0.25">
      <c r="A236" t="s">
        <v>1972</v>
      </c>
      <c r="B236">
        <v>1566083</v>
      </c>
      <c r="C236" t="s">
        <v>1971</v>
      </c>
      <c r="D236">
        <v>10.82302</v>
      </c>
      <c r="E236">
        <v>106.62965</v>
      </c>
      <c r="F236" t="s">
        <v>1243</v>
      </c>
      <c r="G236" t="s">
        <v>1248</v>
      </c>
      <c r="I236">
        <v>20</v>
      </c>
      <c r="M236">
        <v>3467331</v>
      </c>
      <c r="O236">
        <v>7</v>
      </c>
      <c r="P236" t="s">
        <v>1973</v>
      </c>
      <c r="Q236" s="13">
        <v>42158</v>
      </c>
    </row>
    <row r="237" spans="1:17" x14ac:dyDescent="0.25">
      <c r="A237" t="s">
        <v>1975</v>
      </c>
      <c r="B237">
        <v>2135171</v>
      </c>
      <c r="C237" t="s">
        <v>1974</v>
      </c>
      <c r="D237">
        <v>-17.733809999999998</v>
      </c>
      <c r="E237">
        <v>168.32187999999999</v>
      </c>
      <c r="F237" t="s">
        <v>1243</v>
      </c>
      <c r="G237" t="s">
        <v>1244</v>
      </c>
      <c r="I237">
        <v>18</v>
      </c>
      <c r="M237">
        <v>35901</v>
      </c>
      <c r="O237">
        <v>59</v>
      </c>
      <c r="P237" t="s">
        <v>1976</v>
      </c>
      <c r="Q237" s="13">
        <v>42549</v>
      </c>
    </row>
    <row r="238" spans="1:17" x14ac:dyDescent="0.25">
      <c r="A238" t="s">
        <v>1978</v>
      </c>
      <c r="B238">
        <v>4034821</v>
      </c>
      <c r="C238" t="s">
        <v>1977</v>
      </c>
      <c r="D238">
        <v>-13.28163</v>
      </c>
      <c r="E238">
        <v>-176.17453</v>
      </c>
      <c r="F238" t="s">
        <v>1243</v>
      </c>
      <c r="G238" t="s">
        <v>1244</v>
      </c>
      <c r="H238" t="s">
        <v>1978</v>
      </c>
      <c r="I238">
        <v>98613</v>
      </c>
      <c r="M238">
        <v>1200</v>
      </c>
      <c r="O238">
        <v>15</v>
      </c>
      <c r="P238" t="s">
        <v>1979</v>
      </c>
      <c r="Q238" s="13">
        <v>41870</v>
      </c>
    </row>
    <row r="239" spans="1:17" x14ac:dyDescent="0.25">
      <c r="A239" t="s">
        <v>1981</v>
      </c>
      <c r="B239">
        <v>4035413</v>
      </c>
      <c r="C239" t="s">
        <v>1980</v>
      </c>
      <c r="D239">
        <v>-13.83333</v>
      </c>
      <c r="E239">
        <v>-171.76666</v>
      </c>
      <c r="F239" t="s">
        <v>1243</v>
      </c>
      <c r="G239" t="s">
        <v>1244</v>
      </c>
      <c r="I239">
        <v>10</v>
      </c>
      <c r="M239">
        <v>40407</v>
      </c>
      <c r="O239">
        <v>9</v>
      </c>
      <c r="P239" t="s">
        <v>1982</v>
      </c>
      <c r="Q239" s="13">
        <v>40406</v>
      </c>
    </row>
    <row r="240" spans="1:17" x14ac:dyDescent="0.25">
      <c r="A240" t="s">
        <v>1240</v>
      </c>
      <c r="B240">
        <v>786714</v>
      </c>
      <c r="C240" t="s">
        <v>1983</v>
      </c>
      <c r="D240">
        <v>42.672719999999998</v>
      </c>
      <c r="E240">
        <v>21.166879999999999</v>
      </c>
      <c r="F240" t="s">
        <v>1243</v>
      </c>
      <c r="G240" t="s">
        <v>1244</v>
      </c>
      <c r="I240">
        <v>10097360</v>
      </c>
      <c r="J240">
        <v>20</v>
      </c>
      <c r="M240">
        <v>550000</v>
      </c>
      <c r="O240">
        <v>597</v>
      </c>
      <c r="P240" t="s">
        <v>1827</v>
      </c>
      <c r="Q240" s="13">
        <v>42060</v>
      </c>
    </row>
    <row r="241" spans="1:17" x14ac:dyDescent="0.25">
      <c r="A241" t="s">
        <v>1985</v>
      </c>
      <c r="B241">
        <v>71137</v>
      </c>
      <c r="C241" t="s">
        <v>1984</v>
      </c>
      <c r="D241">
        <v>15.35472</v>
      </c>
      <c r="E241">
        <v>44.206670000000003</v>
      </c>
      <c r="F241" t="s">
        <v>1243</v>
      </c>
      <c r="G241" t="s">
        <v>1244</v>
      </c>
      <c r="I241">
        <v>16</v>
      </c>
      <c r="M241">
        <v>1937451</v>
      </c>
      <c r="O241">
        <v>2253</v>
      </c>
      <c r="P241" t="s">
        <v>1986</v>
      </c>
      <c r="Q241" s="13">
        <v>42159</v>
      </c>
    </row>
    <row r="242" spans="1:17" x14ac:dyDescent="0.25">
      <c r="A242" t="s">
        <v>1988</v>
      </c>
      <c r="B242">
        <v>921815</v>
      </c>
      <c r="C242" t="s">
        <v>1987</v>
      </c>
      <c r="D242">
        <v>-12.78234</v>
      </c>
      <c r="E242">
        <v>45.22878</v>
      </c>
      <c r="F242" t="s">
        <v>1243</v>
      </c>
      <c r="G242" t="s">
        <v>1244</v>
      </c>
      <c r="I242">
        <v>97611</v>
      </c>
      <c r="M242">
        <v>54831</v>
      </c>
      <c r="O242">
        <v>23</v>
      </c>
      <c r="P242" t="s">
        <v>1989</v>
      </c>
      <c r="Q242" s="13">
        <v>42319</v>
      </c>
    </row>
    <row r="243" spans="1:17" x14ac:dyDescent="0.25">
      <c r="A243" t="s">
        <v>1991</v>
      </c>
      <c r="B243">
        <v>3369157</v>
      </c>
      <c r="C243" t="s">
        <v>1990</v>
      </c>
      <c r="D243">
        <v>-33.925840000000001</v>
      </c>
      <c r="E243">
        <v>18.423220000000001</v>
      </c>
      <c r="F243" t="s">
        <v>1243</v>
      </c>
      <c r="G243" t="s">
        <v>1248</v>
      </c>
      <c r="I243">
        <v>11</v>
      </c>
      <c r="J243" t="s">
        <v>1992</v>
      </c>
      <c r="K243" t="s">
        <v>1992</v>
      </c>
      <c r="M243">
        <v>3433441</v>
      </c>
      <c r="O243">
        <v>25</v>
      </c>
      <c r="P243" t="s">
        <v>1993</v>
      </c>
      <c r="Q243" s="13">
        <v>41504</v>
      </c>
    </row>
    <row r="244" spans="1:17" x14ac:dyDescent="0.25">
      <c r="A244" t="s">
        <v>1995</v>
      </c>
      <c r="B244">
        <v>909137</v>
      </c>
      <c r="C244" t="s">
        <v>1994</v>
      </c>
      <c r="D244">
        <v>-15.406689999999999</v>
      </c>
      <c r="E244">
        <v>28.287130000000001</v>
      </c>
      <c r="F244" t="s">
        <v>1243</v>
      </c>
      <c r="G244" t="s">
        <v>1244</v>
      </c>
      <c r="I244">
        <v>9</v>
      </c>
      <c r="M244">
        <v>1267440</v>
      </c>
      <c r="O244">
        <v>1277</v>
      </c>
      <c r="P244" t="s">
        <v>1996</v>
      </c>
      <c r="Q244" s="13">
        <v>40843</v>
      </c>
    </row>
    <row r="245" spans="1:17" x14ac:dyDescent="0.25">
      <c r="A245" t="s">
        <v>1998</v>
      </c>
      <c r="B245">
        <v>890299</v>
      </c>
      <c r="C245" t="s">
        <v>1997</v>
      </c>
      <c r="D245">
        <v>-17.827719999999999</v>
      </c>
      <c r="E245">
        <v>31.053370000000001</v>
      </c>
      <c r="F245" t="s">
        <v>1243</v>
      </c>
      <c r="G245" t="s">
        <v>1244</v>
      </c>
      <c r="I245">
        <v>10</v>
      </c>
      <c r="M245">
        <v>1542813</v>
      </c>
      <c r="O245">
        <v>1494</v>
      </c>
      <c r="P245" t="s">
        <v>1999</v>
      </c>
      <c r="Q245" s="13">
        <v>42158</v>
      </c>
    </row>
    <row r="246" spans="1:17" x14ac:dyDescent="0.25">
      <c r="B246">
        <v>2635243</v>
      </c>
      <c r="C246" t="s">
        <v>2000</v>
      </c>
    </row>
  </sheetData>
  <sortState xmlns:xlrd2="http://schemas.microsoft.com/office/spreadsheetml/2017/richdata2" ref="A2:Q246">
    <sortCondition ref="A2:A24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E2E4-3CD0-481F-83D6-634E0FC22CF3}">
  <dimension ref="A3:B18"/>
  <sheetViews>
    <sheetView workbookViewId="0">
      <selection activeCell="A15" sqref="A15"/>
    </sheetView>
  </sheetViews>
  <sheetFormatPr defaultRowHeight="15" x14ac:dyDescent="0.25"/>
  <cols>
    <col min="1" max="1" width="52.5703125" bestFit="1" customWidth="1"/>
    <col min="2" max="2" width="21.28515625" bestFit="1" customWidth="1"/>
  </cols>
  <sheetData>
    <row r="3" spans="1:2" x14ac:dyDescent="0.25">
      <c r="A3" s="34" t="s">
        <v>2141</v>
      </c>
      <c r="B3" t="s">
        <v>2143</v>
      </c>
    </row>
    <row r="4" spans="1:2" x14ac:dyDescent="0.25">
      <c r="A4" s="35" t="s">
        <v>2024</v>
      </c>
      <c r="B4">
        <v>1</v>
      </c>
    </row>
    <row r="5" spans="1:2" x14ac:dyDescent="0.25">
      <c r="A5" s="35" t="s">
        <v>2022</v>
      </c>
      <c r="B5">
        <v>1</v>
      </c>
    </row>
    <row r="6" spans="1:2" x14ac:dyDescent="0.25">
      <c r="A6" s="35" t="s">
        <v>2139</v>
      </c>
      <c r="B6">
        <v>1</v>
      </c>
    </row>
    <row r="7" spans="1:2" x14ac:dyDescent="0.25">
      <c r="A7" s="35" t="s">
        <v>219</v>
      </c>
      <c r="B7">
        <v>1</v>
      </c>
    </row>
    <row r="8" spans="1:2" x14ac:dyDescent="0.25">
      <c r="A8" s="35" t="s">
        <v>216</v>
      </c>
      <c r="B8">
        <v>2</v>
      </c>
    </row>
    <row r="9" spans="1:2" x14ac:dyDescent="0.25">
      <c r="A9" s="35" t="s">
        <v>504</v>
      </c>
      <c r="B9">
        <v>1</v>
      </c>
    </row>
    <row r="10" spans="1:2" x14ac:dyDescent="0.25">
      <c r="A10" s="35" t="s">
        <v>2015</v>
      </c>
      <c r="B10">
        <v>1</v>
      </c>
    </row>
    <row r="11" spans="1:2" x14ac:dyDescent="0.25">
      <c r="A11" s="35" t="s">
        <v>205</v>
      </c>
      <c r="B11">
        <v>1</v>
      </c>
    </row>
    <row r="12" spans="1:2" x14ac:dyDescent="0.25">
      <c r="A12" s="35" t="s">
        <v>209</v>
      </c>
      <c r="B12">
        <v>3</v>
      </c>
    </row>
    <row r="13" spans="1:2" x14ac:dyDescent="0.25">
      <c r="A13" s="35" t="s">
        <v>211</v>
      </c>
      <c r="B13">
        <v>2</v>
      </c>
    </row>
    <row r="14" spans="1:2" x14ac:dyDescent="0.25">
      <c r="A14" s="35" t="s">
        <v>215</v>
      </c>
      <c r="B14">
        <v>2</v>
      </c>
    </row>
    <row r="15" spans="1:2" x14ac:dyDescent="0.25">
      <c r="A15" s="35" t="s">
        <v>206</v>
      </c>
      <c r="B15">
        <v>193</v>
      </c>
    </row>
    <row r="16" spans="1:2" x14ac:dyDescent="0.25">
      <c r="A16" s="35" t="s">
        <v>2011</v>
      </c>
      <c r="B16">
        <v>2</v>
      </c>
    </row>
    <row r="17" spans="1:2" x14ac:dyDescent="0.25">
      <c r="A17" s="35" t="s">
        <v>2148</v>
      </c>
      <c r="B17">
        <v>2</v>
      </c>
    </row>
    <row r="18" spans="1:2" x14ac:dyDescent="0.25">
      <c r="A18" s="35" t="s">
        <v>2142</v>
      </c>
      <c r="B18">
        <v>213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F84C-3DDB-4A9C-8C34-784300D4A5ED}">
  <dimension ref="A2:I220"/>
  <sheetViews>
    <sheetView topLeftCell="A172" workbookViewId="0">
      <selection activeCell="A17" sqref="A17:XFD17"/>
    </sheetView>
  </sheetViews>
  <sheetFormatPr defaultRowHeight="15" x14ac:dyDescent="0.25"/>
  <cols>
    <col min="1" max="1" width="7.7109375" style="3" customWidth="1"/>
    <col min="2" max="2" width="28.28515625" bestFit="1" customWidth="1"/>
    <col min="3" max="3" width="56.85546875" style="3" bestFit="1" customWidth="1"/>
    <col min="4" max="4" width="22.7109375" customWidth="1"/>
  </cols>
  <sheetData>
    <row r="2" spans="1:9" ht="23.25" x14ac:dyDescent="0.35">
      <c r="A2" s="5"/>
      <c r="B2" s="4" t="s">
        <v>198</v>
      </c>
      <c r="C2" s="5"/>
    </row>
    <row r="4" spans="1:9" s="20" customFormat="1" x14ac:dyDescent="0.25">
      <c r="A4" s="18" t="s">
        <v>1241</v>
      </c>
      <c r="B4" s="19" t="s">
        <v>201</v>
      </c>
      <c r="C4" s="18" t="s">
        <v>207</v>
      </c>
      <c r="D4" s="37" t="s">
        <v>2144</v>
      </c>
      <c r="E4" s="37" t="s">
        <v>2145</v>
      </c>
    </row>
    <row r="5" spans="1:9" x14ac:dyDescent="0.25">
      <c r="A5" s="2" t="str">
        <f>VLOOKUP(B5,'country codes'!A2:B252,2,FALSE)</f>
        <v>AF</v>
      </c>
      <c r="B5" s="1" t="s">
        <v>0</v>
      </c>
      <c r="C5" s="2" t="s">
        <v>206</v>
      </c>
      <c r="D5" s="36" t="s">
        <v>0</v>
      </c>
      <c r="E5" s="36" t="str">
        <f>IF(Table14[[#This Row],[Country or Territory]]=Table14[[#This Row],[Column1]],"","***")</f>
        <v/>
      </c>
      <c r="I5" t="str">
        <f>IF(G5=H5,"","***")</f>
        <v/>
      </c>
    </row>
    <row r="6" spans="1:9" x14ac:dyDescent="0.25">
      <c r="A6" s="2" t="str">
        <f>VLOOKUP(B6,'country codes'!A3:B253,2,FALSE)</f>
        <v>AL</v>
      </c>
      <c r="B6" s="1" t="s">
        <v>1</v>
      </c>
      <c r="C6" s="2" t="s">
        <v>206</v>
      </c>
      <c r="D6" s="36" t="s">
        <v>1</v>
      </c>
      <c r="E6" s="36" t="str">
        <f>IF(Table14[[#This Row],[Country or Territory]]=Table14[[#This Row],[Column1]],"","***")</f>
        <v/>
      </c>
    </row>
    <row r="7" spans="1:9" x14ac:dyDescent="0.25">
      <c r="A7" s="2" t="str">
        <f>VLOOKUP(B7,'country codes'!A4:B253,2,FALSE)</f>
        <v>DZ</v>
      </c>
      <c r="B7" s="1" t="s">
        <v>2</v>
      </c>
      <c r="C7" s="2" t="s">
        <v>206</v>
      </c>
      <c r="D7" s="36" t="s">
        <v>2</v>
      </c>
      <c r="E7" s="36" t="str">
        <f>IF(Table14[[#This Row],[Country or Territory]]=Table14[[#This Row],[Column1]],"","***")</f>
        <v/>
      </c>
    </row>
    <row r="8" spans="1:9" x14ac:dyDescent="0.25">
      <c r="A8" s="2" t="str">
        <f>VLOOKUP(B8,'country codes'!A5:B253,2,FALSE)</f>
        <v>AD</v>
      </c>
      <c r="B8" s="1" t="s">
        <v>3</v>
      </c>
      <c r="C8" s="2" t="s">
        <v>206</v>
      </c>
      <c r="D8" s="36" t="s">
        <v>3</v>
      </c>
      <c r="E8" s="36" t="str">
        <f>IF(Table14[[#This Row],[Country or Territory]]=Table14[[#This Row],[Column1]],"","***")</f>
        <v/>
      </c>
    </row>
    <row r="9" spans="1:9" x14ac:dyDescent="0.25">
      <c r="A9" s="2" t="str">
        <f>VLOOKUP(B9,'country codes'!A6:B253,2,FALSE)</f>
        <v>AO</v>
      </c>
      <c r="B9" s="1" t="s">
        <v>4</v>
      </c>
      <c r="C9" s="2" t="s">
        <v>206</v>
      </c>
      <c r="D9" s="36" t="s">
        <v>4</v>
      </c>
      <c r="E9" s="36" t="str">
        <f>IF(Table14[[#This Row],[Country or Territory]]=Table14[[#This Row],[Column1]],"","***")</f>
        <v/>
      </c>
    </row>
    <row r="10" spans="1:9" x14ac:dyDescent="0.25">
      <c r="A10" s="2" t="str">
        <f>VLOOKUP(B10,'country codes'!A7:B254,2,FALSE)</f>
        <v>AG</v>
      </c>
      <c r="B10" s="1" t="s">
        <v>5</v>
      </c>
      <c r="C10" s="2" t="s">
        <v>206</v>
      </c>
      <c r="D10" s="36" t="s">
        <v>5</v>
      </c>
      <c r="E10" s="36" t="str">
        <f>IF(Table14[[#This Row],[Country or Territory]]=Table14[[#This Row],[Column1]],"","***")</f>
        <v/>
      </c>
    </row>
    <row r="11" spans="1:9" x14ac:dyDescent="0.25">
      <c r="A11" s="2" t="str">
        <f>VLOOKUP(B11,'country codes'!A8:B255,2,FALSE)</f>
        <v>AR</v>
      </c>
      <c r="B11" s="1" t="s">
        <v>6</v>
      </c>
      <c r="C11" s="2" t="s">
        <v>206</v>
      </c>
      <c r="D11" s="36" t="s">
        <v>6</v>
      </c>
      <c r="E11" s="36" t="str">
        <f>IF(Table14[[#This Row],[Country or Territory]]=Table14[[#This Row],[Column1]],"","***")</f>
        <v/>
      </c>
    </row>
    <row r="12" spans="1:9" x14ac:dyDescent="0.25">
      <c r="A12" s="2" t="str">
        <f>VLOOKUP(B12,'country codes'!A9:B256,2,FALSE)</f>
        <v>AM</v>
      </c>
      <c r="B12" s="1" t="s">
        <v>7</v>
      </c>
      <c r="C12" s="2" t="s">
        <v>206</v>
      </c>
      <c r="D12" s="36" t="s">
        <v>7</v>
      </c>
      <c r="E12" s="36" t="str">
        <f>IF(Table14[[#This Row],[Country or Territory]]=Table14[[#This Row],[Column1]],"","***")</f>
        <v/>
      </c>
    </row>
    <row r="13" spans="1:9" x14ac:dyDescent="0.25">
      <c r="A13" s="15" t="s">
        <v>1283</v>
      </c>
      <c r="B13" s="16" t="s">
        <v>1200</v>
      </c>
      <c r="C13" s="21" t="s">
        <v>219</v>
      </c>
      <c r="D13" s="36"/>
      <c r="E13" s="36" t="str">
        <f>IF(Table14[[#This Row],[Country or Territory]]=Table14[[#This Row],[Column1]],"","***")</f>
        <v>***</v>
      </c>
    </row>
    <row r="14" spans="1:9" x14ac:dyDescent="0.25">
      <c r="A14" s="2" t="str">
        <f>VLOOKUP(B14,'country codes'!A10:B257,2,FALSE)</f>
        <v>AU</v>
      </c>
      <c r="B14" s="1" t="s">
        <v>8</v>
      </c>
      <c r="C14" s="2" t="s">
        <v>206</v>
      </c>
      <c r="D14" s="36" t="s">
        <v>8</v>
      </c>
      <c r="E14" s="36" t="str">
        <f>IF(Table14[[#This Row],[Country or Territory]]=Table14[[#This Row],[Column1]],"","***")</f>
        <v/>
      </c>
    </row>
    <row r="15" spans="1:9" x14ac:dyDescent="0.25">
      <c r="A15" s="2" t="str">
        <f>VLOOKUP(B15,'country codes'!A11:B258,2,FALSE)</f>
        <v>AT</v>
      </c>
      <c r="B15" s="1" t="s">
        <v>9</v>
      </c>
      <c r="C15" s="2" t="s">
        <v>206</v>
      </c>
      <c r="D15" s="36" t="s">
        <v>9</v>
      </c>
      <c r="E15" s="36" t="str">
        <f>IF(Table14[[#This Row],[Country or Territory]]=Table14[[#This Row],[Column1]],"","***")</f>
        <v/>
      </c>
    </row>
    <row r="16" spans="1:9" x14ac:dyDescent="0.25">
      <c r="A16" s="2" t="str">
        <f>VLOOKUP(B16,'country codes'!A12:B259,2,FALSE)</f>
        <v>AZ</v>
      </c>
      <c r="B16" s="1" t="s">
        <v>10</v>
      </c>
      <c r="C16" s="2" t="s">
        <v>206</v>
      </c>
      <c r="D16" s="36" t="s">
        <v>10</v>
      </c>
      <c r="E16" s="36" t="str">
        <f>IF(Table14[[#This Row],[Country or Territory]]=Table14[[#This Row],[Column1]],"","***")</f>
        <v/>
      </c>
    </row>
    <row r="17" spans="1:5" x14ac:dyDescent="0.25">
      <c r="A17" s="2" t="str">
        <f>VLOOKUP(B17,'country codes'!A14:B261,2,FALSE)</f>
        <v>BH</v>
      </c>
      <c r="B17" s="1" t="s">
        <v>12</v>
      </c>
      <c r="C17" s="2" t="s">
        <v>206</v>
      </c>
      <c r="D17" s="36" t="s">
        <v>12</v>
      </c>
      <c r="E17" s="36" t="str">
        <f>IF(Table14[[#This Row],[Country or Territory]]=Table14[[#This Row],[Column1]],"","***")</f>
        <v/>
      </c>
    </row>
    <row r="18" spans="1:5" x14ac:dyDescent="0.25">
      <c r="A18" s="2" t="str">
        <f>VLOOKUP(B18,'country codes'!A15:B262,2,FALSE)</f>
        <v>BD</v>
      </c>
      <c r="B18" s="1" t="s">
        <v>13</v>
      </c>
      <c r="C18" s="2" t="s">
        <v>206</v>
      </c>
      <c r="D18" s="36" t="s">
        <v>13</v>
      </c>
      <c r="E18" s="36" t="str">
        <f>IF(Table14[[#This Row],[Country or Territory]]=Table14[[#This Row],[Column1]],"","***")</f>
        <v/>
      </c>
    </row>
    <row r="19" spans="1:5" x14ac:dyDescent="0.25">
      <c r="A19" s="2" t="str">
        <f>VLOOKUP(B19,'country codes'!A16:B263,2,FALSE)</f>
        <v>BB</v>
      </c>
      <c r="B19" s="1" t="s">
        <v>14</v>
      </c>
      <c r="C19" s="2" t="s">
        <v>206</v>
      </c>
      <c r="D19" s="36" t="s">
        <v>14</v>
      </c>
      <c r="E19" s="36" t="str">
        <f>IF(Table14[[#This Row],[Country or Territory]]=Table14[[#This Row],[Column1]],"","***")</f>
        <v/>
      </c>
    </row>
    <row r="20" spans="1:5" x14ac:dyDescent="0.25">
      <c r="A20" s="2" t="str">
        <f>VLOOKUP(B20,'country codes'!A18:B264,2,FALSE)</f>
        <v>BY</v>
      </c>
      <c r="B20" s="1" t="s">
        <v>15</v>
      </c>
      <c r="C20" s="2" t="s">
        <v>206</v>
      </c>
      <c r="D20" s="36" t="s">
        <v>15</v>
      </c>
      <c r="E20" s="36" t="str">
        <f>IF(Table14[[#This Row],[Country or Territory]]=Table14[[#This Row],[Column1]],"","***")</f>
        <v/>
      </c>
    </row>
    <row r="21" spans="1:5" x14ac:dyDescent="0.25">
      <c r="A21" s="2" t="str">
        <f>VLOOKUP(B21,'country codes'!A19:B265,2,FALSE)</f>
        <v>BE</v>
      </c>
      <c r="B21" s="1" t="s">
        <v>16</v>
      </c>
      <c r="C21" s="2" t="s">
        <v>206</v>
      </c>
      <c r="D21" s="36" t="s">
        <v>16</v>
      </c>
      <c r="E21" s="36" t="str">
        <f>IF(Table14[[#This Row],[Country or Territory]]=Table14[[#This Row],[Column1]],"","***")</f>
        <v/>
      </c>
    </row>
    <row r="22" spans="1:5" x14ac:dyDescent="0.25">
      <c r="A22" s="2" t="str">
        <f>VLOOKUP(B22,'country codes'!A21:B266,2,FALSE)</f>
        <v>BZ</v>
      </c>
      <c r="B22" s="1" t="s">
        <v>17</v>
      </c>
      <c r="C22" s="2" t="s">
        <v>206</v>
      </c>
      <c r="D22" s="36" t="s">
        <v>17</v>
      </c>
      <c r="E22" s="36" t="str">
        <f>IF(Table14[[#This Row],[Country or Territory]]=Table14[[#This Row],[Column1]],"","***")</f>
        <v/>
      </c>
    </row>
    <row r="23" spans="1:5" x14ac:dyDescent="0.25">
      <c r="A23" s="2" t="str">
        <f>VLOOKUP(B23,'country codes'!A22:B267,2,FALSE)</f>
        <v>BJ</v>
      </c>
      <c r="B23" s="1" t="s">
        <v>18</v>
      </c>
      <c r="C23" s="2" t="s">
        <v>206</v>
      </c>
      <c r="D23" s="36" t="s">
        <v>18</v>
      </c>
      <c r="E23" s="36" t="str">
        <f>IF(Table14[[#This Row],[Country or Territory]]=Table14[[#This Row],[Column1]],"","***")</f>
        <v/>
      </c>
    </row>
    <row r="24" spans="1:5" x14ac:dyDescent="0.25">
      <c r="A24" s="2" t="s">
        <v>1326</v>
      </c>
      <c r="B24" s="1" t="s">
        <v>1201</v>
      </c>
      <c r="C24" s="2" t="s">
        <v>211</v>
      </c>
      <c r="D24" s="36"/>
      <c r="E24" s="36" t="str">
        <f>IF(Table14[[#This Row],[Country or Territory]]=Table14[[#This Row],[Column1]],"","***")</f>
        <v>***</v>
      </c>
    </row>
    <row r="25" spans="1:5" x14ac:dyDescent="0.25">
      <c r="A25" s="2" t="str">
        <f>VLOOKUP(B25,'country codes'!A23:B268,2,FALSE)</f>
        <v>BT</v>
      </c>
      <c r="B25" s="1" t="s">
        <v>19</v>
      </c>
      <c r="C25" s="2" t="s">
        <v>206</v>
      </c>
      <c r="D25" s="36" t="s">
        <v>19</v>
      </c>
      <c r="E25" s="36" t="str">
        <f>IF(Table14[[#This Row],[Country or Territory]]=Table14[[#This Row],[Column1]],"","***")</f>
        <v/>
      </c>
    </row>
    <row r="26" spans="1:5" x14ac:dyDescent="0.25">
      <c r="A26" s="2" t="str">
        <f>VLOOKUP(B26,'country codes'!A24:B269,2,FALSE)</f>
        <v>BO</v>
      </c>
      <c r="B26" s="1" t="s">
        <v>20</v>
      </c>
      <c r="C26" s="2" t="s">
        <v>206</v>
      </c>
      <c r="D26" s="36" t="s">
        <v>20</v>
      </c>
      <c r="E26" s="36" t="str">
        <f>IF(Table14[[#This Row],[Country or Territory]]=Table14[[#This Row],[Column1]],"","***")</f>
        <v/>
      </c>
    </row>
    <row r="27" spans="1:5" x14ac:dyDescent="0.25">
      <c r="A27" s="2" t="str">
        <f>VLOOKUP(B27,'country codes'!A25:B270,2,FALSE)</f>
        <v>BA</v>
      </c>
      <c r="B27" s="1" t="s">
        <v>21</v>
      </c>
      <c r="C27" s="2" t="s">
        <v>206</v>
      </c>
      <c r="D27" s="36" t="s">
        <v>21</v>
      </c>
      <c r="E27" s="36" t="str">
        <f>IF(Table14[[#This Row],[Country or Territory]]=Table14[[#This Row],[Column1]],"","***")</f>
        <v/>
      </c>
    </row>
    <row r="28" spans="1:5" x14ac:dyDescent="0.25">
      <c r="A28" s="2" t="str">
        <f>VLOOKUP(B28,'country codes'!A26:B271,2,FALSE)</f>
        <v>BW</v>
      </c>
      <c r="B28" s="1" t="s">
        <v>22</v>
      </c>
      <c r="C28" s="2" t="s">
        <v>206</v>
      </c>
      <c r="D28" s="36" t="s">
        <v>22</v>
      </c>
      <c r="E28" s="36" t="str">
        <f>IF(Table14[[#This Row],[Country or Territory]]=Table14[[#This Row],[Column1]],"","***")</f>
        <v/>
      </c>
    </row>
    <row r="29" spans="1:5" x14ac:dyDescent="0.25">
      <c r="A29" s="2" t="str">
        <f>VLOOKUP(B29,'country codes'!A27:B272,2,FALSE)</f>
        <v>BR</v>
      </c>
      <c r="B29" s="1" t="s">
        <v>23</v>
      </c>
      <c r="C29" s="2" t="s">
        <v>206</v>
      </c>
      <c r="D29" s="36" t="s">
        <v>23</v>
      </c>
      <c r="E29" s="36" t="str">
        <f>IF(Table14[[#This Row],[Country or Territory]]=Table14[[#This Row],[Column1]],"","***")</f>
        <v/>
      </c>
    </row>
    <row r="30" spans="1:5" x14ac:dyDescent="0.25">
      <c r="A30" s="2" t="str">
        <f>VLOOKUP(B30,'country codes'!A28:B273,2,FALSE)</f>
        <v>BN</v>
      </c>
      <c r="B30" s="1" t="s">
        <v>24</v>
      </c>
      <c r="C30" s="2" t="s">
        <v>206</v>
      </c>
      <c r="D30" s="36" t="s">
        <v>24</v>
      </c>
      <c r="E30" s="36" t="str">
        <f>IF(Table14[[#This Row],[Country or Territory]]=Table14[[#This Row],[Column1]],"","***")</f>
        <v/>
      </c>
    </row>
    <row r="31" spans="1:5" x14ac:dyDescent="0.25">
      <c r="A31" s="2" t="str">
        <f>VLOOKUP(B31,'country codes'!A29:B274,2,FALSE)</f>
        <v>BG</v>
      </c>
      <c r="B31" s="1" t="s">
        <v>25</v>
      </c>
      <c r="C31" s="2" t="s">
        <v>206</v>
      </c>
      <c r="D31" s="36" t="s">
        <v>25</v>
      </c>
      <c r="E31" s="36" t="str">
        <f>IF(Table14[[#This Row],[Country or Territory]]=Table14[[#This Row],[Column1]],"","***")</f>
        <v/>
      </c>
    </row>
    <row r="32" spans="1:5" x14ac:dyDescent="0.25">
      <c r="A32" s="2" t="str">
        <f>VLOOKUP(B32,'country codes'!A30:B275,2,FALSE)</f>
        <v>BF</v>
      </c>
      <c r="B32" s="1" t="s">
        <v>26</v>
      </c>
      <c r="C32" s="2" t="s">
        <v>206</v>
      </c>
      <c r="D32" s="36" t="s">
        <v>26</v>
      </c>
      <c r="E32" s="36" t="str">
        <f>IF(Table14[[#This Row],[Country or Territory]]=Table14[[#This Row],[Column1]],"","***")</f>
        <v/>
      </c>
    </row>
    <row r="33" spans="1:5" x14ac:dyDescent="0.25">
      <c r="A33" s="2" t="str">
        <f>VLOOKUP(B33,'country codes'!A32:B277,2,FALSE)</f>
        <v>BI</v>
      </c>
      <c r="B33" s="1" t="s">
        <v>27</v>
      </c>
      <c r="C33" s="2" t="s">
        <v>206</v>
      </c>
      <c r="D33" s="36" t="s">
        <v>27</v>
      </c>
      <c r="E33" s="36" t="str">
        <f>IF(Table14[[#This Row],[Country or Territory]]=Table14[[#This Row],[Column1]],"","***")</f>
        <v/>
      </c>
    </row>
    <row r="34" spans="1:5" x14ac:dyDescent="0.25">
      <c r="A34" s="2" t="str">
        <f>VLOOKUP(B34,'country codes'!A33:B278,2,FALSE)</f>
        <v>CV</v>
      </c>
      <c r="B34" s="1" t="s">
        <v>28</v>
      </c>
      <c r="C34" s="2" t="s">
        <v>206</v>
      </c>
      <c r="D34" s="36" t="s">
        <v>28</v>
      </c>
      <c r="E34" s="36" t="str">
        <f>IF(Table14[[#This Row],[Country or Territory]]=Table14[[#This Row],[Column1]],"","***")</f>
        <v/>
      </c>
    </row>
    <row r="35" spans="1:5" x14ac:dyDescent="0.25">
      <c r="A35" s="2" t="str">
        <f>VLOOKUP(B35,'country codes'!A33:B279,2,FALSE)</f>
        <v>KH</v>
      </c>
      <c r="B35" s="1" t="s">
        <v>29</v>
      </c>
      <c r="C35" s="2" t="s">
        <v>206</v>
      </c>
      <c r="D35" s="36" t="s">
        <v>29</v>
      </c>
      <c r="E35" s="36" t="str">
        <f>IF(Table14[[#This Row],[Country or Territory]]=Table14[[#This Row],[Column1]],"","***")</f>
        <v/>
      </c>
    </row>
    <row r="36" spans="1:5" x14ac:dyDescent="0.25">
      <c r="A36" s="2" t="str">
        <f>VLOOKUP(B36,'country codes'!A34:B280,2,FALSE)</f>
        <v>CM</v>
      </c>
      <c r="B36" s="1" t="s">
        <v>30</v>
      </c>
      <c r="C36" s="2" t="s">
        <v>206</v>
      </c>
      <c r="D36" s="36" t="s">
        <v>30</v>
      </c>
      <c r="E36" s="36" t="str">
        <f>IF(Table14[[#This Row],[Country or Territory]]=Table14[[#This Row],[Column1]],"","***")</f>
        <v/>
      </c>
    </row>
    <row r="37" spans="1:5" x14ac:dyDescent="0.25">
      <c r="A37" s="2" t="str">
        <f>VLOOKUP(B37,'country codes'!A34:B281,2,FALSE)</f>
        <v>CA</v>
      </c>
      <c r="B37" s="1" t="s">
        <v>31</v>
      </c>
      <c r="C37" s="2" t="s">
        <v>206</v>
      </c>
      <c r="D37" s="36" t="s">
        <v>31</v>
      </c>
      <c r="E37" s="36" t="str">
        <f>IF(Table14[[#This Row],[Country or Territory]]=Table14[[#This Row],[Column1]],"","***")</f>
        <v/>
      </c>
    </row>
    <row r="38" spans="1:5" x14ac:dyDescent="0.25">
      <c r="A38" s="26"/>
      <c r="B38" s="27" t="s">
        <v>2023</v>
      </c>
      <c r="C38" s="26" t="s">
        <v>2024</v>
      </c>
      <c r="D38" s="36"/>
      <c r="E38" s="36" t="str">
        <f>IF(Table14[[#This Row],[Country or Territory]]=Table14[[#This Row],[Column1]],"","***")</f>
        <v>***</v>
      </c>
    </row>
    <row r="39" spans="1:5" x14ac:dyDescent="0.25">
      <c r="A39" s="15" t="s">
        <v>1622</v>
      </c>
      <c r="B39" s="16" t="s">
        <v>1204</v>
      </c>
      <c r="C39" s="21" t="s">
        <v>216</v>
      </c>
      <c r="D39" s="36"/>
      <c r="E39" s="36" t="str">
        <f>IF(Table14[[#This Row],[Country or Territory]]=Table14[[#This Row],[Column1]],"","***")</f>
        <v>***</v>
      </c>
    </row>
    <row r="40" spans="1:5" x14ac:dyDescent="0.25">
      <c r="A40" s="2" t="str">
        <f>VLOOKUP(B40,'country codes'!A35:B282,2,FALSE)</f>
        <v>CF</v>
      </c>
      <c r="B40" s="1" t="s">
        <v>197</v>
      </c>
      <c r="C40" s="2" t="s">
        <v>206</v>
      </c>
      <c r="D40" s="36" t="s">
        <v>197</v>
      </c>
      <c r="E40" s="36" t="str">
        <f>IF(Table14[[#This Row],[Country or Territory]]=Table14[[#This Row],[Column1]],"","***")</f>
        <v/>
      </c>
    </row>
    <row r="41" spans="1:5" x14ac:dyDescent="0.25">
      <c r="A41" s="2" t="str">
        <f>VLOOKUP(B41,'country codes'!A36:B283,2,FALSE)</f>
        <v>TD</v>
      </c>
      <c r="B41" s="1" t="s">
        <v>32</v>
      </c>
      <c r="C41" s="2" t="s">
        <v>206</v>
      </c>
      <c r="D41" s="36" t="s">
        <v>32</v>
      </c>
      <c r="E41" s="36" t="str">
        <f>IF(Table14[[#This Row],[Country or Territory]]=Table14[[#This Row],[Column1]],"","***")</f>
        <v/>
      </c>
    </row>
    <row r="42" spans="1:5" x14ac:dyDescent="0.25">
      <c r="A42" s="2" t="str">
        <f>VLOOKUP(B42,'country codes'!A37:B284,2,FALSE)</f>
        <v>CL</v>
      </c>
      <c r="B42" s="1" t="s">
        <v>33</v>
      </c>
      <c r="C42" s="2" t="s">
        <v>206</v>
      </c>
      <c r="D42" s="36" t="s">
        <v>33</v>
      </c>
      <c r="E42" s="36" t="str">
        <f>IF(Table14[[#This Row],[Country or Territory]]=Table14[[#This Row],[Column1]],"","***")</f>
        <v/>
      </c>
    </row>
    <row r="43" spans="1:5" x14ac:dyDescent="0.25">
      <c r="A43" s="2" t="str">
        <f>VLOOKUP(B43,'country codes'!A38:B285,2,FALSE)</f>
        <v>CN</v>
      </c>
      <c r="B43" s="1" t="s">
        <v>1205</v>
      </c>
      <c r="C43" s="2" t="s">
        <v>206</v>
      </c>
      <c r="D43" s="36" t="s">
        <v>1205</v>
      </c>
      <c r="E43" s="36" t="str">
        <f>IF(Table14[[#This Row],[Country or Territory]]=Table14[[#This Row],[Column1]],"","***")</f>
        <v/>
      </c>
    </row>
    <row r="44" spans="1:5" x14ac:dyDescent="0.25">
      <c r="A44" s="2" t="str">
        <f>VLOOKUP(B44,'country codes'!A39:B286,2,FALSE)</f>
        <v>CO</v>
      </c>
      <c r="B44" s="1" t="s">
        <v>35</v>
      </c>
      <c r="C44" s="2" t="s">
        <v>206</v>
      </c>
      <c r="D44" s="36" t="s">
        <v>35</v>
      </c>
      <c r="E44" s="36" t="str">
        <f>IF(Table14[[#This Row],[Country or Territory]]=Table14[[#This Row],[Column1]],"","***")</f>
        <v/>
      </c>
    </row>
    <row r="45" spans="1:5" x14ac:dyDescent="0.25">
      <c r="A45" s="2" t="str">
        <f>VLOOKUP(B45,'country codes'!A40:B287,2,FALSE)</f>
        <v>KM</v>
      </c>
      <c r="B45" s="1" t="s">
        <v>36</v>
      </c>
      <c r="C45" s="2" t="s">
        <v>206</v>
      </c>
      <c r="D45" s="36" t="s">
        <v>36</v>
      </c>
      <c r="E45" s="36" t="str">
        <f>IF(Table14[[#This Row],[Country or Territory]]=Table14[[#This Row],[Column1]],"","***")</f>
        <v/>
      </c>
    </row>
    <row r="46" spans="1:5" x14ac:dyDescent="0.25">
      <c r="A46" s="2" t="e">
        <f>VLOOKUP(B46,'country codes'!A41:B288,2,FALSE)</f>
        <v>#N/A</v>
      </c>
      <c r="B46" s="1" t="s">
        <v>37</v>
      </c>
      <c r="C46" s="2" t="s">
        <v>206</v>
      </c>
      <c r="D46" s="36" t="s">
        <v>37</v>
      </c>
      <c r="E46" s="36" t="str">
        <f>IF(Table14[[#This Row],[Country or Territory]]=Table14[[#This Row],[Column1]],"","***")</f>
        <v/>
      </c>
    </row>
    <row r="47" spans="1:5" x14ac:dyDescent="0.25">
      <c r="A47" s="2" t="e">
        <f>VLOOKUP(B47,'country codes'!A43:B289,2,FALSE)</f>
        <v>#N/A</v>
      </c>
      <c r="B47" s="1" t="s">
        <v>38</v>
      </c>
      <c r="C47" s="2" t="s">
        <v>206</v>
      </c>
      <c r="D47" s="36" t="s">
        <v>38</v>
      </c>
      <c r="E47" s="36" t="str">
        <f>IF(Table14[[#This Row],[Country or Territory]]=Table14[[#This Row],[Column1]],"","***")</f>
        <v/>
      </c>
    </row>
    <row r="48" spans="1:5" x14ac:dyDescent="0.25">
      <c r="A48" s="2" t="str">
        <f>VLOOKUP(B48,'country codes'!A44:B290,2,FALSE)</f>
        <v>CR</v>
      </c>
      <c r="B48" s="1" t="s">
        <v>39</v>
      </c>
      <c r="C48" s="2" t="s">
        <v>206</v>
      </c>
      <c r="D48" s="36" t="s">
        <v>39</v>
      </c>
      <c r="E48" s="36" t="str">
        <f>IF(Table14[[#This Row],[Country or Territory]]=Table14[[#This Row],[Column1]],"","***")</f>
        <v/>
      </c>
    </row>
    <row r="49" spans="1:5" x14ac:dyDescent="0.25">
      <c r="A49" s="2" t="e">
        <f>VLOOKUP(B49,'country codes'!A46:B291,2,FALSE)</f>
        <v>#N/A</v>
      </c>
      <c r="B49" s="1" t="s">
        <v>40</v>
      </c>
      <c r="C49" s="2" t="s">
        <v>206</v>
      </c>
      <c r="D49" s="36" t="s">
        <v>40</v>
      </c>
      <c r="E49" s="36" t="str">
        <f>IF(Table14[[#This Row],[Country or Territory]]=Table14[[#This Row],[Column1]],"","***")</f>
        <v/>
      </c>
    </row>
    <row r="50" spans="1:5" x14ac:dyDescent="0.25">
      <c r="A50" s="2" t="str">
        <f>VLOOKUP(B50,'country codes'!A47:B292,2,FALSE)</f>
        <v>HR</v>
      </c>
      <c r="B50" s="1" t="s">
        <v>41</v>
      </c>
      <c r="C50" s="2" t="s">
        <v>206</v>
      </c>
      <c r="D50" s="36" t="s">
        <v>41</v>
      </c>
      <c r="E50" s="36" t="str">
        <f>IF(Table14[[#This Row],[Country or Territory]]=Table14[[#This Row],[Column1]],"","***")</f>
        <v/>
      </c>
    </row>
    <row r="51" spans="1:5" x14ac:dyDescent="0.25">
      <c r="A51" s="2" t="str">
        <f>VLOOKUP(B51,'country codes'!A48:B293,2,FALSE)</f>
        <v>CU</v>
      </c>
      <c r="B51" s="1" t="s">
        <v>42</v>
      </c>
      <c r="C51" s="2" t="s">
        <v>206</v>
      </c>
      <c r="D51" s="36" t="s">
        <v>42</v>
      </c>
      <c r="E51" s="36" t="str">
        <f>IF(Table14[[#This Row],[Country or Territory]]=Table14[[#This Row],[Column1]],"","***")</f>
        <v/>
      </c>
    </row>
    <row r="52" spans="1:5" x14ac:dyDescent="0.25">
      <c r="A52" s="2" t="str">
        <f>VLOOKUP(B52,'country codes'!A49:B294,2,FALSE)</f>
        <v>CY</v>
      </c>
      <c r="B52" s="1" t="s">
        <v>43</v>
      </c>
      <c r="C52" s="2" t="s">
        <v>206</v>
      </c>
      <c r="D52" s="36" t="s">
        <v>43</v>
      </c>
      <c r="E52" s="36" t="str">
        <f>IF(Table14[[#This Row],[Country or Territory]]=Table14[[#This Row],[Column1]],"","***")</f>
        <v/>
      </c>
    </row>
    <row r="53" spans="1:5" x14ac:dyDescent="0.25">
      <c r="A53" s="2" t="str">
        <f>VLOOKUP(B53,'country codes'!A50:B295,2,FALSE)</f>
        <v>CZ</v>
      </c>
      <c r="B53" s="1" t="s">
        <v>2146</v>
      </c>
      <c r="C53" s="2" t="s">
        <v>206</v>
      </c>
      <c r="D53" s="36" t="s">
        <v>2146</v>
      </c>
      <c r="E53" s="36" t="str">
        <f>IF(Table14[[#This Row],[Country or Territory]]=Table14[[#This Row],[Column1]],"","***")</f>
        <v/>
      </c>
    </row>
    <row r="54" spans="1:5" x14ac:dyDescent="0.25">
      <c r="A54" s="2" t="str">
        <f>VLOOKUP(B54,'country codes'!A50:B296,2,FALSE)</f>
        <v>DK</v>
      </c>
      <c r="B54" s="1" t="s">
        <v>45</v>
      </c>
      <c r="C54" s="2" t="s">
        <v>206</v>
      </c>
      <c r="D54" s="36" t="s">
        <v>45</v>
      </c>
      <c r="E54" s="36" t="str">
        <f>IF(Table14[[#This Row],[Country or Territory]]=Table14[[#This Row],[Column1]],"","***")</f>
        <v/>
      </c>
    </row>
    <row r="55" spans="1:5" x14ac:dyDescent="0.25">
      <c r="A55" s="2" t="str">
        <f>VLOOKUP(B55,'country codes'!A51:B297,2,FALSE)</f>
        <v>DJ</v>
      </c>
      <c r="B55" s="1" t="s">
        <v>46</v>
      </c>
      <c r="C55" s="2" t="s">
        <v>206</v>
      </c>
      <c r="D55" s="36" t="s">
        <v>46</v>
      </c>
      <c r="E55" s="36" t="str">
        <f>IF(Table14[[#This Row],[Country or Territory]]=Table14[[#This Row],[Column1]],"","***")</f>
        <v/>
      </c>
    </row>
    <row r="56" spans="1:5" x14ac:dyDescent="0.25">
      <c r="A56" s="2" t="str">
        <f>VLOOKUP(B56,'country codes'!A52:B298,2,FALSE)</f>
        <v>DM</v>
      </c>
      <c r="B56" s="1" t="s">
        <v>47</v>
      </c>
      <c r="C56" s="2" t="s">
        <v>206</v>
      </c>
      <c r="D56" s="36" t="s">
        <v>47</v>
      </c>
      <c r="E56" s="36" t="str">
        <f>IF(Table14[[#This Row],[Country or Territory]]=Table14[[#This Row],[Column1]],"","***")</f>
        <v/>
      </c>
    </row>
    <row r="57" spans="1:5" x14ac:dyDescent="0.25">
      <c r="A57" s="2" t="str">
        <f>VLOOKUP(B57,'country codes'!A53:B299,2,FALSE)</f>
        <v>DO</v>
      </c>
      <c r="B57" s="1" t="s">
        <v>48</v>
      </c>
      <c r="C57" s="2" t="s">
        <v>206</v>
      </c>
      <c r="D57" s="36" t="s">
        <v>48</v>
      </c>
      <c r="E57" s="36" t="str">
        <f>IF(Table14[[#This Row],[Country or Territory]]=Table14[[#This Row],[Column1]],"","***")</f>
        <v/>
      </c>
    </row>
    <row r="58" spans="1:5" x14ac:dyDescent="0.25">
      <c r="A58" s="2" t="str">
        <f>VLOOKUP(B58,'country codes'!A54:B300,2,FALSE)</f>
        <v>EC</v>
      </c>
      <c r="B58" s="1" t="s">
        <v>49</v>
      </c>
      <c r="C58" s="2" t="s">
        <v>206</v>
      </c>
      <c r="D58" s="36" t="s">
        <v>49</v>
      </c>
      <c r="E58" s="36" t="str">
        <f>IF(Table14[[#This Row],[Country or Territory]]=Table14[[#This Row],[Column1]],"","***")</f>
        <v/>
      </c>
    </row>
    <row r="59" spans="1:5" x14ac:dyDescent="0.25">
      <c r="A59" s="2" t="str">
        <f>VLOOKUP(B59,'country codes'!A55:B301,2,FALSE)</f>
        <v>EG</v>
      </c>
      <c r="B59" s="1" t="s">
        <v>50</v>
      </c>
      <c r="C59" s="2" t="s">
        <v>206</v>
      </c>
      <c r="D59" s="36" t="s">
        <v>50</v>
      </c>
      <c r="E59" s="36" t="str">
        <f>IF(Table14[[#This Row],[Country or Territory]]=Table14[[#This Row],[Column1]],"","***")</f>
        <v/>
      </c>
    </row>
    <row r="60" spans="1:5" x14ac:dyDescent="0.25">
      <c r="A60" s="2" t="str">
        <f>VLOOKUP(B60,'country codes'!A56:B302,2,FALSE)</f>
        <v>SV</v>
      </c>
      <c r="B60" s="1" t="s">
        <v>51</v>
      </c>
      <c r="C60" s="2" t="s">
        <v>206</v>
      </c>
      <c r="D60" s="36" t="s">
        <v>51</v>
      </c>
      <c r="E60" s="36" t="str">
        <f>IF(Table14[[#This Row],[Country or Territory]]=Table14[[#This Row],[Column1]],"","***")</f>
        <v/>
      </c>
    </row>
    <row r="61" spans="1:5" x14ac:dyDescent="0.25">
      <c r="A61" s="2" t="str">
        <f>VLOOKUP(B61,'country codes'!A57:B303,2,FALSE)</f>
        <v>GQ</v>
      </c>
      <c r="B61" s="1" t="s">
        <v>52</v>
      </c>
      <c r="C61" s="2" t="s">
        <v>206</v>
      </c>
      <c r="D61" s="36" t="s">
        <v>52</v>
      </c>
      <c r="E61" s="36" t="str">
        <f>IF(Table14[[#This Row],[Country or Territory]]=Table14[[#This Row],[Column1]],"","***")</f>
        <v/>
      </c>
    </row>
    <row r="62" spans="1:5" x14ac:dyDescent="0.25">
      <c r="A62" s="2" t="str">
        <f>VLOOKUP(B62,'country codes'!A58:B304,2,FALSE)</f>
        <v>ER</v>
      </c>
      <c r="B62" s="1" t="s">
        <v>53</v>
      </c>
      <c r="C62" s="2" t="s">
        <v>206</v>
      </c>
      <c r="D62" s="36" t="s">
        <v>53</v>
      </c>
      <c r="E62" s="36" t="str">
        <f>IF(Table14[[#This Row],[Country or Territory]]=Table14[[#This Row],[Column1]],"","***")</f>
        <v/>
      </c>
    </row>
    <row r="63" spans="1:5" x14ac:dyDescent="0.25">
      <c r="A63" s="2" t="str">
        <f>VLOOKUP(B63,'country codes'!A59:B305,2,FALSE)</f>
        <v>EE</v>
      </c>
      <c r="B63" s="1" t="s">
        <v>54</v>
      </c>
      <c r="C63" s="2" t="s">
        <v>206</v>
      </c>
      <c r="D63" s="36" t="s">
        <v>54</v>
      </c>
      <c r="E63" s="36" t="str">
        <f>IF(Table14[[#This Row],[Country or Territory]]=Table14[[#This Row],[Column1]],"","***")</f>
        <v/>
      </c>
    </row>
    <row r="64" spans="1:5" x14ac:dyDescent="0.25">
      <c r="A64" s="2" t="e">
        <f>VLOOKUP(B64,'country codes'!A172:B416,2,FALSE)</f>
        <v>#N/A</v>
      </c>
      <c r="B64" s="1" t="s">
        <v>2147</v>
      </c>
      <c r="C64" s="2" t="s">
        <v>206</v>
      </c>
      <c r="D64" s="36" t="s">
        <v>2147</v>
      </c>
      <c r="E64" s="36" t="str">
        <f>IF(Table14[[#This Row],[Country or Territory]]=Table14[[#This Row],[Column1]],"","***")</f>
        <v/>
      </c>
    </row>
    <row r="65" spans="1:5" x14ac:dyDescent="0.25">
      <c r="A65" s="2" t="str">
        <f>VLOOKUP(B65,'country codes'!A60:B306,2,FALSE)</f>
        <v>ET</v>
      </c>
      <c r="B65" s="1" t="s">
        <v>55</v>
      </c>
      <c r="C65" s="2" t="s">
        <v>206</v>
      </c>
      <c r="D65" s="36" t="s">
        <v>55</v>
      </c>
      <c r="E65" s="36" t="str">
        <f>IF(Table14[[#This Row],[Country or Territory]]=Table14[[#This Row],[Column1]],"","***")</f>
        <v/>
      </c>
    </row>
    <row r="66" spans="1:5" x14ac:dyDescent="0.25">
      <c r="A66" s="2" t="s">
        <v>1467</v>
      </c>
      <c r="B66" s="1" t="s">
        <v>476</v>
      </c>
      <c r="C66" s="2" t="s">
        <v>215</v>
      </c>
      <c r="D66" s="36"/>
      <c r="E66" s="36" t="str">
        <f>IF(Table14[[#This Row],[Country or Territory]]=Table14[[#This Row],[Column1]],"","***")</f>
        <v>***</v>
      </c>
    </row>
    <row r="67" spans="1:5" x14ac:dyDescent="0.25">
      <c r="A67" s="2" t="e">
        <f>VLOOKUP(B67,'country codes'!A118:B364,2,FALSE)</f>
        <v>#N/A</v>
      </c>
      <c r="B67" s="1" t="s">
        <v>113</v>
      </c>
      <c r="C67" s="2" t="s">
        <v>206</v>
      </c>
      <c r="D67" s="36" t="s">
        <v>113</v>
      </c>
      <c r="E67" s="36" t="str">
        <f>IF(Table14[[#This Row],[Country or Territory]]=Table14[[#This Row],[Column1]],"","***")</f>
        <v/>
      </c>
    </row>
    <row r="68" spans="1:5" x14ac:dyDescent="0.25">
      <c r="A68" s="2" t="str">
        <f>VLOOKUP(B68,'country codes'!A61:B307,2,FALSE)</f>
        <v>FJ</v>
      </c>
      <c r="B68" s="1" t="s">
        <v>56</v>
      </c>
      <c r="C68" s="2" t="s">
        <v>206</v>
      </c>
      <c r="D68" s="36" t="s">
        <v>56</v>
      </c>
      <c r="E68" s="36" t="str">
        <f>IF(Table14[[#This Row],[Country or Territory]]=Table14[[#This Row],[Column1]],"","***")</f>
        <v/>
      </c>
    </row>
    <row r="69" spans="1:5" x14ac:dyDescent="0.25">
      <c r="A69" s="2" t="str">
        <f>VLOOKUP(B69,'country codes'!A62:B308,2,FALSE)</f>
        <v>FI</v>
      </c>
      <c r="B69" s="1" t="s">
        <v>57</v>
      </c>
      <c r="C69" s="2" t="s">
        <v>206</v>
      </c>
      <c r="D69" s="36" t="s">
        <v>57</v>
      </c>
      <c r="E69" s="36" t="str">
        <f>IF(Table14[[#This Row],[Country or Territory]]=Table14[[#This Row],[Column1]],"","***")</f>
        <v/>
      </c>
    </row>
    <row r="70" spans="1:5" x14ac:dyDescent="0.25">
      <c r="A70" s="2" t="str">
        <f>VLOOKUP(B70,'country codes'!A63:B309,2,FALSE)</f>
        <v>FR</v>
      </c>
      <c r="B70" s="1" t="s">
        <v>58</v>
      </c>
      <c r="C70" s="2" t="s">
        <v>206</v>
      </c>
      <c r="D70" s="36" t="s">
        <v>58</v>
      </c>
      <c r="E70" s="36" t="str">
        <f>IF(Table14[[#This Row],[Country or Territory]]=Table14[[#This Row],[Column1]],"","***")</f>
        <v/>
      </c>
    </row>
    <row r="71" spans="1:5" x14ac:dyDescent="0.25">
      <c r="A71" s="15" t="s">
        <v>1777</v>
      </c>
      <c r="B71" s="16" t="s">
        <v>1209</v>
      </c>
      <c r="C71" s="21" t="s">
        <v>205</v>
      </c>
      <c r="D71" s="36"/>
      <c r="E71" s="36" t="str">
        <f>IF(Table14[[#This Row],[Country or Territory]]=Table14[[#This Row],[Column1]],"","***")</f>
        <v>***</v>
      </c>
    </row>
    <row r="72" spans="1:5" x14ac:dyDescent="0.25">
      <c r="A72" s="2" t="str">
        <f>VLOOKUP(B72,'country codes'!A64:B310,2,FALSE)</f>
        <v>GA</v>
      </c>
      <c r="B72" s="1" t="s">
        <v>59</v>
      </c>
      <c r="C72" s="2" t="s">
        <v>206</v>
      </c>
      <c r="D72" s="36" t="s">
        <v>59</v>
      </c>
      <c r="E72" s="36" t="str">
        <f>IF(Table14[[#This Row],[Country or Territory]]=Table14[[#This Row],[Column1]],"","***")</f>
        <v/>
      </c>
    </row>
    <row r="73" spans="1:5" x14ac:dyDescent="0.25">
      <c r="A73" s="2" t="str">
        <f>VLOOKUP(B73,'country codes'!A66:B312,2,FALSE)</f>
        <v>GE</v>
      </c>
      <c r="B73" s="1" t="s">
        <v>61</v>
      </c>
      <c r="C73" s="2" t="s">
        <v>206</v>
      </c>
      <c r="D73" s="36" t="s">
        <v>61</v>
      </c>
      <c r="E73" s="36" t="str">
        <f>IF(Table14[[#This Row],[Country or Territory]]=Table14[[#This Row],[Column1]],"","***")</f>
        <v/>
      </c>
    </row>
    <row r="74" spans="1:5" x14ac:dyDescent="0.25">
      <c r="A74" s="2" t="str">
        <f>VLOOKUP(B74,'country codes'!A67:B313,2,FALSE)</f>
        <v>DE</v>
      </c>
      <c r="B74" s="1" t="s">
        <v>62</v>
      </c>
      <c r="C74" s="2" t="s">
        <v>206</v>
      </c>
      <c r="D74" s="36" t="s">
        <v>62</v>
      </c>
      <c r="E74" s="36" t="str">
        <f>IF(Table14[[#This Row],[Country or Territory]]=Table14[[#This Row],[Column1]],"","***")</f>
        <v/>
      </c>
    </row>
    <row r="75" spans="1:5" x14ac:dyDescent="0.25">
      <c r="A75" s="2" t="str">
        <f>VLOOKUP(B75,'country codes'!A68:B314,2,FALSE)</f>
        <v>GH</v>
      </c>
      <c r="B75" s="1" t="s">
        <v>63</v>
      </c>
      <c r="C75" s="2" t="s">
        <v>206</v>
      </c>
      <c r="D75" s="36" t="s">
        <v>63</v>
      </c>
      <c r="E75" s="36" t="str">
        <f>IF(Table14[[#This Row],[Country or Territory]]=Table14[[#This Row],[Column1]],"","***")</f>
        <v/>
      </c>
    </row>
    <row r="76" spans="1:5" x14ac:dyDescent="0.25">
      <c r="A76" s="15" t="s">
        <v>1498</v>
      </c>
      <c r="B76" s="16" t="s">
        <v>1211</v>
      </c>
      <c r="C76" s="21" t="s">
        <v>211</v>
      </c>
      <c r="D76" s="36"/>
      <c r="E76" s="36" t="str">
        <f>IF(Table14[[#This Row],[Country or Territory]]=Table14[[#This Row],[Column1]],"","***")</f>
        <v>***</v>
      </c>
    </row>
    <row r="77" spans="1:5" x14ac:dyDescent="0.25">
      <c r="A77" s="2" t="str">
        <f>VLOOKUP(B77,'country codes'!A69:B315,2,FALSE)</f>
        <v>GR</v>
      </c>
      <c r="B77" s="1" t="s">
        <v>64</v>
      </c>
      <c r="C77" s="2" t="s">
        <v>206</v>
      </c>
      <c r="D77" s="36" t="s">
        <v>64</v>
      </c>
      <c r="E77" s="36" t="str">
        <f>IF(Table14[[#This Row],[Country or Territory]]=Table14[[#This Row],[Column1]],"","***")</f>
        <v/>
      </c>
    </row>
    <row r="78" spans="1:5" x14ac:dyDescent="0.25">
      <c r="A78" s="2"/>
      <c r="B78" s="1" t="s">
        <v>590</v>
      </c>
      <c r="C78" s="2" t="s">
        <v>215</v>
      </c>
      <c r="D78" s="36"/>
      <c r="E78" s="36" t="str">
        <f>IF(Table14[[#This Row],[Country or Territory]]=Table14[[#This Row],[Column1]],"","***")</f>
        <v>***</v>
      </c>
    </row>
    <row r="79" spans="1:5" x14ac:dyDescent="0.25">
      <c r="A79" s="2" t="str">
        <f>VLOOKUP(B79,'country codes'!A70:B316,2,FALSE)</f>
        <v>GD</v>
      </c>
      <c r="B79" s="1" t="s">
        <v>65</v>
      </c>
      <c r="C79" s="2" t="s">
        <v>206</v>
      </c>
      <c r="D79" s="36" t="s">
        <v>65</v>
      </c>
      <c r="E79" s="36" t="str">
        <f>IF(Table14[[#This Row],[Country or Territory]]=Table14[[#This Row],[Column1]],"","***")</f>
        <v/>
      </c>
    </row>
    <row r="80" spans="1:5" x14ac:dyDescent="0.25">
      <c r="A80" s="14" t="s">
        <v>1511</v>
      </c>
      <c r="B80" s="16" t="s">
        <v>1213</v>
      </c>
      <c r="C80" s="14" t="s">
        <v>209</v>
      </c>
      <c r="D80" s="36"/>
      <c r="E80" s="36" t="str">
        <f>IF(Table14[[#This Row],[Country or Territory]]=Table14[[#This Row],[Column1]],"","***")</f>
        <v>***</v>
      </c>
    </row>
    <row r="81" spans="1:5" x14ac:dyDescent="0.25">
      <c r="A81" s="2" t="str">
        <f>VLOOKUP(B81,'country codes'!A71:B317,2,FALSE)</f>
        <v>GT</v>
      </c>
      <c r="B81" s="1" t="s">
        <v>66</v>
      </c>
      <c r="C81" s="2" t="s">
        <v>206</v>
      </c>
      <c r="D81" s="36" t="s">
        <v>66</v>
      </c>
      <c r="E81" s="36" t="str">
        <f>IF(Table14[[#This Row],[Country or Territory]]=Table14[[#This Row],[Column1]],"","***")</f>
        <v/>
      </c>
    </row>
    <row r="82" spans="1:5" x14ac:dyDescent="0.25">
      <c r="A82" s="2" t="str">
        <f>VLOOKUP(B82,'country codes'!A72:B318,2,FALSE)</f>
        <v>GN</v>
      </c>
      <c r="B82" s="1" t="s">
        <v>67</v>
      </c>
      <c r="C82" s="2" t="s">
        <v>206</v>
      </c>
      <c r="D82" s="36" t="s">
        <v>67</v>
      </c>
      <c r="E82" s="36" t="str">
        <f>IF(Table14[[#This Row],[Country or Territory]]=Table14[[#This Row],[Column1]],"","***")</f>
        <v/>
      </c>
    </row>
    <row r="83" spans="1:5" x14ac:dyDescent="0.25">
      <c r="A83" s="2" t="str">
        <f>VLOOKUP(B83,'country codes'!A73:B319,2,FALSE)</f>
        <v>GW</v>
      </c>
      <c r="B83" s="1" t="s">
        <v>68</v>
      </c>
      <c r="C83" s="2" t="s">
        <v>206</v>
      </c>
      <c r="D83" s="36" t="s">
        <v>68</v>
      </c>
      <c r="E83" s="36" t="str">
        <f>IF(Table14[[#This Row],[Country or Territory]]=Table14[[#This Row],[Column1]],"","***")</f>
        <v/>
      </c>
    </row>
    <row r="84" spans="1:5" x14ac:dyDescent="0.25">
      <c r="A84" s="2" t="str">
        <f>VLOOKUP(B84,'country codes'!A74:B320,2,FALSE)</f>
        <v>GY</v>
      </c>
      <c r="B84" s="1" t="s">
        <v>69</v>
      </c>
      <c r="C84" s="2" t="s">
        <v>206</v>
      </c>
      <c r="D84" s="36" t="s">
        <v>69</v>
      </c>
      <c r="E84" s="36" t="str">
        <f>IF(Table14[[#This Row],[Country or Territory]]=Table14[[#This Row],[Column1]],"","***")</f>
        <v/>
      </c>
    </row>
    <row r="85" spans="1:5" x14ac:dyDescent="0.25">
      <c r="A85" s="2" t="str">
        <f>VLOOKUP(B85,'country codes'!A75:B321,2,FALSE)</f>
        <v>HT</v>
      </c>
      <c r="B85" s="1" t="s">
        <v>70</v>
      </c>
      <c r="C85" s="2" t="s">
        <v>206</v>
      </c>
      <c r="D85" s="36" t="s">
        <v>70</v>
      </c>
      <c r="E85" s="36" t="str">
        <f>IF(Table14[[#This Row],[Country or Territory]]=Table14[[#This Row],[Column1]],"","***")</f>
        <v/>
      </c>
    </row>
    <row r="86" spans="1:5" x14ac:dyDescent="0.25">
      <c r="A86" s="2" t="e">
        <f>VLOOKUP(B86,'country codes'!A76:B322,2,FALSE)</f>
        <v>#N/A</v>
      </c>
      <c r="B86" s="1" t="s">
        <v>71</v>
      </c>
      <c r="C86" s="2" t="s">
        <v>206</v>
      </c>
      <c r="D86" s="40"/>
      <c r="E86" s="36" t="str">
        <f>IF(Table14[[#This Row],[Country or Territory]]=Table14[[#This Row],[Column1]],"","***")</f>
        <v>***</v>
      </c>
    </row>
    <row r="87" spans="1:5" x14ac:dyDescent="0.25">
      <c r="A87" s="2" t="str">
        <f>VLOOKUP(B87,'country codes'!A77:B323,2,FALSE)</f>
        <v>HN</v>
      </c>
      <c r="B87" s="1" t="s">
        <v>72</v>
      </c>
      <c r="C87" s="2" t="s">
        <v>206</v>
      </c>
      <c r="D87" s="36" t="s">
        <v>72</v>
      </c>
      <c r="E87" s="36" t="str">
        <f>IF(Table14[[#This Row],[Country or Territory]]=Table14[[#This Row],[Column1]],"","***")</f>
        <v/>
      </c>
    </row>
    <row r="88" spans="1:5" x14ac:dyDescent="0.25">
      <c r="A88" s="15" t="s">
        <v>1536</v>
      </c>
      <c r="B88" s="16" t="s">
        <v>1216</v>
      </c>
      <c r="C88" s="21" t="s">
        <v>2011</v>
      </c>
      <c r="D88" s="36"/>
      <c r="E88" s="36" t="str">
        <f>IF(Table14[[#This Row],[Country or Territory]]=Table14[[#This Row],[Column1]],"","***")</f>
        <v>***</v>
      </c>
    </row>
    <row r="89" spans="1:5" x14ac:dyDescent="0.25">
      <c r="A89" s="2" t="str">
        <f>VLOOKUP(B89,'country codes'!A78:B324,2,FALSE)</f>
        <v>HU</v>
      </c>
      <c r="B89" s="1" t="s">
        <v>73</v>
      </c>
      <c r="C89" s="2" t="s">
        <v>206</v>
      </c>
      <c r="D89" s="36" t="s">
        <v>73</v>
      </c>
      <c r="E89" s="36" t="str">
        <f>IF(Table14[[#This Row],[Country or Territory]]=Table14[[#This Row],[Column1]],"","***")</f>
        <v/>
      </c>
    </row>
    <row r="90" spans="1:5" x14ac:dyDescent="0.25">
      <c r="A90" s="2" t="str">
        <f>VLOOKUP(B90,'country codes'!A79:B325,2,FALSE)</f>
        <v>IS</v>
      </c>
      <c r="B90" s="1" t="s">
        <v>74</v>
      </c>
      <c r="C90" s="2" t="s">
        <v>206</v>
      </c>
      <c r="D90" s="36" t="s">
        <v>74</v>
      </c>
      <c r="E90" s="36" t="str">
        <f>IF(Table14[[#This Row],[Country or Territory]]=Table14[[#This Row],[Column1]],"","***")</f>
        <v/>
      </c>
    </row>
    <row r="91" spans="1:5" x14ac:dyDescent="0.25">
      <c r="A91" s="2" t="str">
        <f>VLOOKUP(B91,'country codes'!A80:B326,2,FALSE)</f>
        <v>IN</v>
      </c>
      <c r="B91" s="1" t="s">
        <v>75</v>
      </c>
      <c r="C91" s="2" t="s">
        <v>206</v>
      </c>
      <c r="D91" s="36" t="s">
        <v>75</v>
      </c>
      <c r="E91" s="36" t="str">
        <f>IF(Table14[[#This Row],[Country or Territory]]=Table14[[#This Row],[Column1]],"","***")</f>
        <v/>
      </c>
    </row>
    <row r="92" spans="1:5" x14ac:dyDescent="0.25">
      <c r="A92" s="2" t="str">
        <f>VLOOKUP(B92,'country codes'!A81:B327,2,FALSE)</f>
        <v>ID</v>
      </c>
      <c r="B92" s="1" t="s">
        <v>76</v>
      </c>
      <c r="C92" s="2" t="s">
        <v>206</v>
      </c>
      <c r="D92" s="36" t="s">
        <v>76</v>
      </c>
      <c r="E92" s="36" t="str">
        <f>IF(Table14[[#This Row],[Country or Territory]]=Table14[[#This Row],[Column1]],"","***")</f>
        <v/>
      </c>
    </row>
    <row r="93" spans="1:5" x14ac:dyDescent="0.25">
      <c r="A93" s="2" t="str">
        <f>VLOOKUP(B93,'country codes'!A82:B328,2,FALSE)</f>
        <v>IR</v>
      </c>
      <c r="B93" s="1" t="s">
        <v>77</v>
      </c>
      <c r="C93" s="2" t="s">
        <v>206</v>
      </c>
      <c r="D93" s="36" t="s">
        <v>77</v>
      </c>
      <c r="E93" s="36" t="str">
        <f>IF(Table14[[#This Row],[Country or Territory]]=Table14[[#This Row],[Column1]],"","***")</f>
        <v/>
      </c>
    </row>
    <row r="94" spans="1:5" x14ac:dyDescent="0.25">
      <c r="A94" s="2" t="str">
        <f>VLOOKUP(B94,'country codes'!A83:B329,2,FALSE)</f>
        <v>IQ</v>
      </c>
      <c r="B94" s="1" t="s">
        <v>78</v>
      </c>
      <c r="C94" s="2" t="s">
        <v>206</v>
      </c>
      <c r="D94" s="36" t="s">
        <v>78</v>
      </c>
      <c r="E94" s="36" t="str">
        <f>IF(Table14[[#This Row],[Country or Territory]]=Table14[[#This Row],[Column1]],"","***")</f>
        <v/>
      </c>
    </row>
    <row r="95" spans="1:5" x14ac:dyDescent="0.25">
      <c r="A95" s="2" t="str">
        <f>VLOOKUP(B95,'country codes'!A84:B330,2,FALSE)</f>
        <v>IE</v>
      </c>
      <c r="B95" s="1" t="s">
        <v>79</v>
      </c>
      <c r="C95" s="2" t="s">
        <v>206</v>
      </c>
      <c r="D95" s="36" t="s">
        <v>79</v>
      </c>
      <c r="E95" s="36" t="str">
        <f>IF(Table14[[#This Row],[Country or Territory]]=Table14[[#This Row],[Column1]],"","***")</f>
        <v/>
      </c>
    </row>
    <row r="96" spans="1:5" x14ac:dyDescent="0.25">
      <c r="A96" s="2" t="s">
        <v>1563</v>
      </c>
      <c r="B96" s="1" t="s">
        <v>495</v>
      </c>
      <c r="C96" s="2" t="s">
        <v>216</v>
      </c>
      <c r="D96" s="36"/>
      <c r="E96" s="36" t="str">
        <f>IF(Table14[[#This Row],[Country or Territory]]=Table14[[#This Row],[Column1]],"","***")</f>
        <v>***</v>
      </c>
    </row>
    <row r="97" spans="1:5" x14ac:dyDescent="0.25">
      <c r="A97" s="2" t="str">
        <f>VLOOKUP(B97,'country codes'!A85:B331,2,FALSE)</f>
        <v>IL</v>
      </c>
      <c r="B97" s="1" t="s">
        <v>80</v>
      </c>
      <c r="C97" s="2" t="s">
        <v>206</v>
      </c>
      <c r="D97" s="36" t="s">
        <v>80</v>
      </c>
      <c r="E97" s="36" t="str">
        <f>IF(Table14[[#This Row],[Country or Territory]]=Table14[[#This Row],[Column1]],"","***")</f>
        <v/>
      </c>
    </row>
    <row r="98" spans="1:5" x14ac:dyDescent="0.25">
      <c r="A98" s="2" t="str">
        <f>VLOOKUP(B98,'country codes'!A86:B332,2,FALSE)</f>
        <v>IT</v>
      </c>
      <c r="B98" s="1" t="s">
        <v>81</v>
      </c>
      <c r="C98" s="2" t="s">
        <v>206</v>
      </c>
      <c r="D98" s="36" t="s">
        <v>81</v>
      </c>
      <c r="E98" s="36" t="str">
        <f>IF(Table14[[#This Row],[Country or Territory]]=Table14[[#This Row],[Column1]],"","***")</f>
        <v/>
      </c>
    </row>
    <row r="99" spans="1:5" x14ac:dyDescent="0.25">
      <c r="A99" s="2" t="str">
        <f>VLOOKUP(B99,'country codes'!A87:B333,2,FALSE)</f>
        <v>JM</v>
      </c>
      <c r="B99" s="1" t="s">
        <v>82</v>
      </c>
      <c r="C99" s="2" t="s">
        <v>206</v>
      </c>
      <c r="D99" s="36" t="s">
        <v>82</v>
      </c>
      <c r="E99" s="36" t="str">
        <f>IF(Table14[[#This Row],[Country or Territory]]=Table14[[#This Row],[Column1]],"","***")</f>
        <v/>
      </c>
    </row>
    <row r="100" spans="1:5" x14ac:dyDescent="0.25">
      <c r="A100" s="2" t="str">
        <f>VLOOKUP(B100,'country codes'!A88:B334,2,FALSE)</f>
        <v>JP</v>
      </c>
      <c r="B100" s="1" t="s">
        <v>83</v>
      </c>
      <c r="C100" s="2" t="s">
        <v>206</v>
      </c>
      <c r="D100" s="36" t="s">
        <v>83</v>
      </c>
      <c r="E100" s="36" t="str">
        <f>IF(Table14[[#This Row],[Country or Territory]]=Table14[[#This Row],[Column1]],"","***")</f>
        <v/>
      </c>
    </row>
    <row r="101" spans="1:5" x14ac:dyDescent="0.25">
      <c r="A101" s="2" t="str">
        <f>VLOOKUP(B101,'country codes'!A89:B335,2,FALSE)</f>
        <v>JO</v>
      </c>
      <c r="B101" s="1" t="s">
        <v>84</v>
      </c>
      <c r="C101" s="2" t="s">
        <v>206</v>
      </c>
      <c r="D101" s="36" t="s">
        <v>84</v>
      </c>
      <c r="E101" s="36" t="str">
        <f>IF(Table14[[#This Row],[Country or Territory]]=Table14[[#This Row],[Column1]],"","***")</f>
        <v/>
      </c>
    </row>
    <row r="102" spans="1:5" x14ac:dyDescent="0.25">
      <c r="A102" s="2" t="str">
        <f>VLOOKUP(B102,'country codes'!A90:B336,2,FALSE)</f>
        <v>KZ</v>
      </c>
      <c r="B102" s="1" t="s">
        <v>85</v>
      </c>
      <c r="C102" s="2" t="s">
        <v>206</v>
      </c>
      <c r="D102" s="36" t="s">
        <v>85</v>
      </c>
      <c r="E102" s="36" t="str">
        <f>IF(Table14[[#This Row],[Country or Territory]]=Table14[[#This Row],[Column1]],"","***")</f>
        <v/>
      </c>
    </row>
    <row r="103" spans="1:5" x14ac:dyDescent="0.25">
      <c r="A103" s="2" t="str">
        <f>VLOOKUP(B103,'country codes'!A91:B337,2,FALSE)</f>
        <v>KE</v>
      </c>
      <c r="B103" s="1" t="s">
        <v>86</v>
      </c>
      <c r="C103" s="2" t="s">
        <v>206</v>
      </c>
      <c r="D103" s="36" t="s">
        <v>86</v>
      </c>
      <c r="E103" s="36" t="str">
        <f>IF(Table14[[#This Row],[Country or Territory]]=Table14[[#This Row],[Column1]],"","***")</f>
        <v/>
      </c>
    </row>
    <row r="104" spans="1:5" x14ac:dyDescent="0.25">
      <c r="A104" s="2" t="str">
        <f>VLOOKUP(B104,'country codes'!A92:B338,2,FALSE)</f>
        <v>KI</v>
      </c>
      <c r="B104" s="1" t="s">
        <v>87</v>
      </c>
      <c r="C104" s="2" t="s">
        <v>206</v>
      </c>
      <c r="D104" s="36" t="s">
        <v>87</v>
      </c>
      <c r="E104" s="36" t="str">
        <f>IF(Table14[[#This Row],[Country or Territory]]=Table14[[#This Row],[Column1]],"","***")</f>
        <v/>
      </c>
    </row>
    <row r="105" spans="1:5" x14ac:dyDescent="0.25">
      <c r="A105" s="2" t="e">
        <f>VLOOKUP(B105,'country codes'!A95:B341,2,FALSE)</f>
        <v>#N/A</v>
      </c>
      <c r="B105" s="1" t="s">
        <v>90</v>
      </c>
      <c r="C105" s="2" t="s">
        <v>504</v>
      </c>
      <c r="D105" s="36"/>
      <c r="E105" s="36" t="str">
        <f>IF(Table14[[#This Row],[Country or Territory]]=Table14[[#This Row],[Column1]],"","***")</f>
        <v>***</v>
      </c>
    </row>
    <row r="106" spans="1:5" x14ac:dyDescent="0.25">
      <c r="A106" s="2" t="str">
        <f>VLOOKUP(B106,'country codes'!A96:B342,2,FALSE)</f>
        <v>KW</v>
      </c>
      <c r="B106" s="1" t="s">
        <v>91</v>
      </c>
      <c r="C106" s="2" t="s">
        <v>206</v>
      </c>
      <c r="D106" s="36" t="s">
        <v>91</v>
      </c>
      <c r="E106" s="36" t="str">
        <f>IF(Table14[[#This Row],[Country or Territory]]=Table14[[#This Row],[Column1]],"","***")</f>
        <v/>
      </c>
    </row>
    <row r="107" spans="1:5" x14ac:dyDescent="0.25">
      <c r="A107" s="2" t="str">
        <f>VLOOKUP(B107,'country codes'!A97:B343,2,FALSE)</f>
        <v>KG</v>
      </c>
      <c r="B107" s="1" t="s">
        <v>92</v>
      </c>
      <c r="C107" s="2" t="s">
        <v>206</v>
      </c>
      <c r="D107" s="36" t="s">
        <v>92</v>
      </c>
      <c r="E107" s="36" t="str">
        <f>IF(Table14[[#This Row],[Country or Territory]]=Table14[[#This Row],[Column1]],"","***")</f>
        <v/>
      </c>
    </row>
    <row r="108" spans="1:5" x14ac:dyDescent="0.25">
      <c r="A108" s="2" t="str">
        <f>VLOOKUP(B108,'country codes'!A98:B344,2,FALSE)</f>
        <v>LA</v>
      </c>
      <c r="B108" s="1" t="s">
        <v>93</v>
      </c>
      <c r="C108" s="2" t="s">
        <v>206</v>
      </c>
      <c r="D108" s="36" t="s">
        <v>93</v>
      </c>
      <c r="E108" s="36" t="str">
        <f>IF(Table14[[#This Row],[Country or Territory]]=Table14[[#This Row],[Column1]],"","***")</f>
        <v/>
      </c>
    </row>
    <row r="109" spans="1:5" x14ac:dyDescent="0.25">
      <c r="A109" s="2" t="str">
        <f>VLOOKUP(B109,'country codes'!A99:B345,2,FALSE)</f>
        <v>LV</v>
      </c>
      <c r="B109" s="1" t="s">
        <v>94</v>
      </c>
      <c r="C109" s="2" t="s">
        <v>206</v>
      </c>
      <c r="D109" s="36" t="s">
        <v>94</v>
      </c>
      <c r="E109" s="36" t="str">
        <f>IF(Table14[[#This Row],[Country or Territory]]=Table14[[#This Row],[Column1]],"","***")</f>
        <v/>
      </c>
    </row>
    <row r="110" spans="1:5" x14ac:dyDescent="0.25">
      <c r="A110" s="2" t="str">
        <f>VLOOKUP(B110,'country codes'!A100:B346,2,FALSE)</f>
        <v>LB</v>
      </c>
      <c r="B110" s="1" t="s">
        <v>95</v>
      </c>
      <c r="C110" s="2" t="s">
        <v>206</v>
      </c>
      <c r="D110" s="36" t="s">
        <v>95</v>
      </c>
      <c r="E110" s="36" t="str">
        <f>IF(Table14[[#This Row],[Country or Territory]]=Table14[[#This Row],[Column1]],"","***")</f>
        <v/>
      </c>
    </row>
    <row r="111" spans="1:5" x14ac:dyDescent="0.25">
      <c r="A111" s="2" t="str">
        <f>VLOOKUP(B111,'country codes'!A101:B347,2,FALSE)</f>
        <v>LS</v>
      </c>
      <c r="B111" s="1" t="s">
        <v>96</v>
      </c>
      <c r="C111" s="2" t="s">
        <v>206</v>
      </c>
      <c r="D111" s="36" t="s">
        <v>96</v>
      </c>
      <c r="E111" s="36" t="str">
        <f>IF(Table14[[#This Row],[Country or Territory]]=Table14[[#This Row],[Column1]],"","***")</f>
        <v/>
      </c>
    </row>
    <row r="112" spans="1:5" x14ac:dyDescent="0.25">
      <c r="A112" s="2" t="str">
        <f>VLOOKUP(B112,'country codes'!A102:B348,2,FALSE)</f>
        <v>LR</v>
      </c>
      <c r="B112" s="1" t="s">
        <v>97</v>
      </c>
      <c r="C112" s="2" t="s">
        <v>206</v>
      </c>
      <c r="D112" s="36" t="s">
        <v>97</v>
      </c>
      <c r="E112" s="36" t="str">
        <f>IF(Table14[[#This Row],[Country or Territory]]=Table14[[#This Row],[Column1]],"","***")</f>
        <v/>
      </c>
    </row>
    <row r="113" spans="1:5" x14ac:dyDescent="0.25">
      <c r="A113" s="2" t="str">
        <f>VLOOKUP(B113,'country codes'!A103:B349,2,FALSE)</f>
        <v>LY</v>
      </c>
      <c r="B113" s="1" t="s">
        <v>98</v>
      </c>
      <c r="C113" s="2" t="s">
        <v>206</v>
      </c>
      <c r="D113" s="36" t="s">
        <v>98</v>
      </c>
      <c r="E113" s="36" t="str">
        <f>IF(Table14[[#This Row],[Country or Territory]]=Table14[[#This Row],[Column1]],"","***")</f>
        <v/>
      </c>
    </row>
    <row r="114" spans="1:5" x14ac:dyDescent="0.25">
      <c r="A114" s="2" t="str">
        <f>VLOOKUP(B114,'country codes'!A104:B350,2,FALSE)</f>
        <v>LI</v>
      </c>
      <c r="B114" s="1" t="s">
        <v>99</v>
      </c>
      <c r="C114" s="2" t="s">
        <v>206</v>
      </c>
      <c r="D114" s="36" t="s">
        <v>99</v>
      </c>
      <c r="E114" s="36" t="str">
        <f>IF(Table14[[#This Row],[Country or Territory]]=Table14[[#This Row],[Column1]],"","***")</f>
        <v/>
      </c>
    </row>
    <row r="115" spans="1:5" x14ac:dyDescent="0.25">
      <c r="A115" s="2" t="str">
        <f>VLOOKUP(B115,'country codes'!A105:B351,2,FALSE)</f>
        <v>LT</v>
      </c>
      <c r="B115" s="1" t="s">
        <v>100</v>
      </c>
      <c r="C115" s="2" t="s">
        <v>206</v>
      </c>
      <c r="D115" s="36" t="s">
        <v>100</v>
      </c>
      <c r="E115" s="36" t="str">
        <f>IF(Table14[[#This Row],[Country or Territory]]=Table14[[#This Row],[Column1]],"","***")</f>
        <v/>
      </c>
    </row>
    <row r="116" spans="1:5" x14ac:dyDescent="0.25">
      <c r="A116" s="2" t="str">
        <f>VLOOKUP(B116,'country codes'!A106:B352,2,FALSE)</f>
        <v>LU</v>
      </c>
      <c r="B116" s="1" t="s">
        <v>101</v>
      </c>
      <c r="C116" s="2" t="s">
        <v>206</v>
      </c>
      <c r="D116" s="36" t="s">
        <v>101</v>
      </c>
      <c r="E116" s="36" t="str">
        <f>IF(Table14[[#This Row],[Country or Territory]]=Table14[[#This Row],[Column1]],"","***")</f>
        <v/>
      </c>
    </row>
    <row r="117" spans="1:5" x14ac:dyDescent="0.25">
      <c r="A117" s="15" t="s">
        <v>1692</v>
      </c>
      <c r="B117" s="16" t="s">
        <v>1691</v>
      </c>
      <c r="C117" s="21" t="s">
        <v>2011</v>
      </c>
      <c r="D117" s="36"/>
      <c r="E117" s="36" t="str">
        <f>IF(Table14[[#This Row],[Country or Territory]]=Table14[[#This Row],[Column1]],"","***")</f>
        <v>***</v>
      </c>
    </row>
    <row r="118" spans="1:5" x14ac:dyDescent="0.25">
      <c r="A118" s="2" t="e">
        <f>VLOOKUP(B118,'country codes'!A107:B353,2,FALSE)</f>
        <v>#N/A</v>
      </c>
      <c r="B118" s="1" t="s">
        <v>102</v>
      </c>
      <c r="C118" s="2" t="s">
        <v>206</v>
      </c>
      <c r="D118" s="40" t="s">
        <v>102</v>
      </c>
      <c r="E118" s="36" t="str">
        <f>IF(Table14[[#This Row],[Country or Territory]]=Table14[[#This Row],[Column1]],"","***")</f>
        <v/>
      </c>
    </row>
    <row r="119" spans="1:5" x14ac:dyDescent="0.25">
      <c r="A119" s="2" t="str">
        <f>VLOOKUP(B119,'country codes'!A108:B354,2,FALSE)</f>
        <v>MG</v>
      </c>
      <c r="B119" s="1" t="s">
        <v>103</v>
      </c>
      <c r="C119" s="2" t="s">
        <v>206</v>
      </c>
      <c r="D119" s="36" t="s">
        <v>103</v>
      </c>
      <c r="E119" s="36" t="str">
        <f>IF(Table14[[#This Row],[Country or Territory]]=Table14[[#This Row],[Column1]],"","***")</f>
        <v/>
      </c>
    </row>
    <row r="120" spans="1:5" x14ac:dyDescent="0.25">
      <c r="A120" s="26"/>
      <c r="B120" s="27" t="s">
        <v>2021</v>
      </c>
      <c r="C120" s="26" t="s">
        <v>2022</v>
      </c>
      <c r="D120" s="36"/>
      <c r="E120" s="36" t="str">
        <f>IF(Table14[[#This Row],[Country or Territory]]=Table14[[#This Row],[Column1]],"","***")</f>
        <v>***</v>
      </c>
    </row>
    <row r="121" spans="1:5" x14ac:dyDescent="0.25">
      <c r="A121" s="2" t="str">
        <f>VLOOKUP(B121,'country codes'!A109:B355,2,FALSE)</f>
        <v>MW</v>
      </c>
      <c r="B121" s="1" t="s">
        <v>104</v>
      </c>
      <c r="C121" s="2" t="s">
        <v>206</v>
      </c>
      <c r="D121" s="36" t="s">
        <v>104</v>
      </c>
      <c r="E121" s="36" t="str">
        <f>IF(Table14[[#This Row],[Country or Territory]]=Table14[[#This Row],[Column1]],"","***")</f>
        <v/>
      </c>
    </row>
    <row r="122" spans="1:5" x14ac:dyDescent="0.25">
      <c r="A122" s="2" t="str">
        <f>VLOOKUP(B122,'country codes'!A110:B356,2,FALSE)</f>
        <v>MY</v>
      </c>
      <c r="B122" s="1" t="s">
        <v>105</v>
      </c>
      <c r="C122" s="2" t="s">
        <v>206</v>
      </c>
      <c r="D122" s="36" t="s">
        <v>105</v>
      </c>
      <c r="E122" s="36" t="str">
        <f>IF(Table14[[#This Row],[Country or Territory]]=Table14[[#This Row],[Column1]],"","***")</f>
        <v/>
      </c>
    </row>
    <row r="123" spans="1:5" x14ac:dyDescent="0.25">
      <c r="A123" s="2" t="str">
        <f>VLOOKUP(B123,'country codes'!A111:B357,2,FALSE)</f>
        <v>MV</v>
      </c>
      <c r="B123" s="1" t="s">
        <v>106</v>
      </c>
      <c r="C123" s="2" t="s">
        <v>206</v>
      </c>
      <c r="D123" s="36" t="s">
        <v>106</v>
      </c>
      <c r="E123" s="36" t="str">
        <f>IF(Table14[[#This Row],[Country or Territory]]=Table14[[#This Row],[Column1]],"","***")</f>
        <v/>
      </c>
    </row>
    <row r="124" spans="1:5" x14ac:dyDescent="0.25">
      <c r="A124" s="2" t="str">
        <f>VLOOKUP(B124,'country codes'!A112:B358,2,FALSE)</f>
        <v>ML</v>
      </c>
      <c r="B124" s="1" t="s">
        <v>107</v>
      </c>
      <c r="C124" s="2" t="s">
        <v>206</v>
      </c>
      <c r="D124" s="36" t="s">
        <v>107</v>
      </c>
      <c r="E124" s="36" t="str">
        <f>IF(Table14[[#This Row],[Country or Territory]]=Table14[[#This Row],[Column1]],"","***")</f>
        <v/>
      </c>
    </row>
    <row r="125" spans="1:5" x14ac:dyDescent="0.25">
      <c r="A125" s="2" t="str">
        <f>VLOOKUP(B125,'country codes'!A113:B359,2,FALSE)</f>
        <v>MT</v>
      </c>
      <c r="B125" s="1" t="s">
        <v>108</v>
      </c>
      <c r="C125" s="2" t="s">
        <v>206</v>
      </c>
      <c r="D125" s="36" t="s">
        <v>108</v>
      </c>
      <c r="E125" s="36" t="str">
        <f>IF(Table14[[#This Row],[Country or Territory]]=Table14[[#This Row],[Column1]],"","***")</f>
        <v/>
      </c>
    </row>
    <row r="126" spans="1:5" x14ac:dyDescent="0.25">
      <c r="A126" s="2" t="str">
        <f>VLOOKUP(B126,'country codes'!A114:B360,2,FALSE)</f>
        <v>MH</v>
      </c>
      <c r="B126" s="1" t="s">
        <v>109</v>
      </c>
      <c r="C126" s="2" t="s">
        <v>206</v>
      </c>
      <c r="D126" s="36" t="s">
        <v>109</v>
      </c>
      <c r="E126" s="36" t="str">
        <f>IF(Table14[[#This Row],[Country or Territory]]=Table14[[#This Row],[Column1]],"","***")</f>
        <v/>
      </c>
    </row>
    <row r="127" spans="1:5" x14ac:dyDescent="0.25">
      <c r="A127" s="14" t="s">
        <v>1698</v>
      </c>
      <c r="B127" s="16" t="s">
        <v>1220</v>
      </c>
      <c r="C127" s="14" t="s">
        <v>209</v>
      </c>
      <c r="D127" s="36"/>
      <c r="E127" s="36" t="str">
        <f>IF(Table14[[#This Row],[Country or Territory]]=Table14[[#This Row],[Column1]],"","***")</f>
        <v>***</v>
      </c>
    </row>
    <row r="128" spans="1:5" x14ac:dyDescent="0.25">
      <c r="A128" s="2" t="str">
        <f>VLOOKUP(B128,'country codes'!A115:B361,2,FALSE)</f>
        <v>MR</v>
      </c>
      <c r="B128" s="1" t="s">
        <v>110</v>
      </c>
      <c r="C128" s="2" t="s">
        <v>206</v>
      </c>
      <c r="D128" s="36" t="s">
        <v>110</v>
      </c>
      <c r="E128" s="36" t="str">
        <f>IF(Table14[[#This Row],[Country or Territory]]=Table14[[#This Row],[Column1]],"","***")</f>
        <v/>
      </c>
    </row>
    <row r="129" spans="1:5" x14ac:dyDescent="0.25">
      <c r="A129" s="2" t="str">
        <f>VLOOKUP(B129,'country codes'!A116:B362,2,FALSE)</f>
        <v>MU</v>
      </c>
      <c r="B129" s="1" t="s">
        <v>111</v>
      </c>
      <c r="C129" s="2" t="s">
        <v>206</v>
      </c>
      <c r="D129" s="36" t="s">
        <v>111</v>
      </c>
      <c r="E129" s="36" t="str">
        <f>IF(Table14[[#This Row],[Country or Territory]]=Table14[[#This Row],[Column1]],"","***")</f>
        <v/>
      </c>
    </row>
    <row r="130" spans="1:5" x14ac:dyDescent="0.25">
      <c r="A130" s="2" t="str">
        <f>VLOOKUP(B130,'country codes'!A117:B363,2,FALSE)</f>
        <v>MX</v>
      </c>
      <c r="B130" s="1" t="s">
        <v>112</v>
      </c>
      <c r="C130" s="2" t="s">
        <v>206</v>
      </c>
      <c r="D130" s="36" t="s">
        <v>112</v>
      </c>
      <c r="E130" s="36" t="str">
        <f>IF(Table14[[#This Row],[Country or Territory]]=Table14[[#This Row],[Column1]],"","***")</f>
        <v/>
      </c>
    </row>
    <row r="131" spans="1:5" x14ac:dyDescent="0.25">
      <c r="A131" s="2" t="str">
        <f>VLOOKUP(B131,'country codes'!A119:B365,2,FALSE)</f>
        <v>MD</v>
      </c>
      <c r="B131" s="1" t="s">
        <v>114</v>
      </c>
      <c r="C131" s="2" t="s">
        <v>206</v>
      </c>
      <c r="D131" s="36" t="s">
        <v>114</v>
      </c>
      <c r="E131" s="36" t="str">
        <f>IF(Table14[[#This Row],[Country or Territory]]=Table14[[#This Row],[Column1]],"","***")</f>
        <v/>
      </c>
    </row>
    <row r="132" spans="1:5" x14ac:dyDescent="0.25">
      <c r="A132" s="2" t="str">
        <f>VLOOKUP(B132,'country codes'!A120:B366,2,FALSE)</f>
        <v>MC</v>
      </c>
      <c r="B132" s="1" t="s">
        <v>115</v>
      </c>
      <c r="C132" s="2" t="s">
        <v>206</v>
      </c>
      <c r="D132" s="36" t="s">
        <v>115</v>
      </c>
      <c r="E132" s="36" t="str">
        <f>IF(Table14[[#This Row],[Country or Territory]]=Table14[[#This Row],[Column1]],"","***")</f>
        <v/>
      </c>
    </row>
    <row r="133" spans="1:5" x14ac:dyDescent="0.25">
      <c r="A133" s="2" t="str">
        <f>VLOOKUP(B133,'country codes'!A121:B367,2,FALSE)</f>
        <v>MN</v>
      </c>
      <c r="B133" s="1" t="s">
        <v>116</v>
      </c>
      <c r="C133" s="2" t="s">
        <v>206</v>
      </c>
      <c r="D133" s="36" t="s">
        <v>116</v>
      </c>
      <c r="E133" s="36" t="str">
        <f>IF(Table14[[#This Row],[Country or Territory]]=Table14[[#This Row],[Column1]],"","***")</f>
        <v/>
      </c>
    </row>
    <row r="134" spans="1:5" x14ac:dyDescent="0.25">
      <c r="A134" s="2" t="str">
        <f>VLOOKUP(B134,'country codes'!A122:B368,2,FALSE)</f>
        <v>ME</v>
      </c>
      <c r="B134" s="1" t="s">
        <v>117</v>
      </c>
      <c r="C134" s="2" t="s">
        <v>206</v>
      </c>
      <c r="D134" s="36" t="s">
        <v>117</v>
      </c>
      <c r="E134" s="36" t="str">
        <f>IF(Table14[[#This Row],[Country or Territory]]=Table14[[#This Row],[Column1]],"","***")</f>
        <v/>
      </c>
    </row>
    <row r="135" spans="1:5" x14ac:dyDescent="0.25">
      <c r="A135" s="2" t="str">
        <f>VLOOKUP(B135,'country codes'!A123:B369,2,FALSE)</f>
        <v>MA</v>
      </c>
      <c r="B135" s="1" t="s">
        <v>118</v>
      </c>
      <c r="C135" s="2" t="s">
        <v>206</v>
      </c>
      <c r="D135" s="36" t="s">
        <v>118</v>
      </c>
      <c r="E135" s="36" t="str">
        <f>IF(Table14[[#This Row],[Country or Territory]]=Table14[[#This Row],[Column1]],"","***")</f>
        <v/>
      </c>
    </row>
    <row r="136" spans="1:5" x14ac:dyDescent="0.25">
      <c r="A136" s="2" t="str">
        <f>VLOOKUP(B136,'country codes'!A124:B370,2,FALSE)</f>
        <v>MZ</v>
      </c>
      <c r="B136" s="1" t="s">
        <v>119</v>
      </c>
      <c r="C136" s="2" t="s">
        <v>206</v>
      </c>
      <c r="D136" s="36" t="s">
        <v>119</v>
      </c>
      <c r="E136" s="36" t="str">
        <f>IF(Table14[[#This Row],[Country or Territory]]=Table14[[#This Row],[Column1]],"","***")</f>
        <v/>
      </c>
    </row>
    <row r="137" spans="1:5" x14ac:dyDescent="0.25">
      <c r="A137" s="2" t="str">
        <f>VLOOKUP(B137,'country codes'!A31:B276,2,FALSE)</f>
        <v>MM</v>
      </c>
      <c r="B137" s="1" t="s">
        <v>1223</v>
      </c>
      <c r="C137" s="2" t="s">
        <v>206</v>
      </c>
      <c r="D137" s="36" t="s">
        <v>1223</v>
      </c>
      <c r="E137" s="36" t="str">
        <f>IF(Table14[[#This Row],[Country or Territory]]=Table14[[#This Row],[Column1]],"","***")</f>
        <v/>
      </c>
    </row>
    <row r="138" spans="1:5" x14ac:dyDescent="0.25">
      <c r="A138" s="2" t="str">
        <f>VLOOKUP(B138,'country codes'!A125:B371,2,FALSE)</f>
        <v>NA</v>
      </c>
      <c r="B138" s="1" t="s">
        <v>120</v>
      </c>
      <c r="C138" s="2" t="s">
        <v>206</v>
      </c>
      <c r="D138" s="36" t="s">
        <v>120</v>
      </c>
      <c r="E138" s="36" t="str">
        <f>IF(Table14[[#This Row],[Country or Territory]]=Table14[[#This Row],[Column1]],"","***")</f>
        <v/>
      </c>
    </row>
    <row r="139" spans="1:5" x14ac:dyDescent="0.25">
      <c r="A139" s="2" t="str">
        <f>VLOOKUP(B139,'country codes'!A126:B372,2,FALSE)</f>
        <v>NR</v>
      </c>
      <c r="B139" s="1" t="s">
        <v>121</v>
      </c>
      <c r="C139" s="2" t="s">
        <v>206</v>
      </c>
      <c r="D139" s="36" t="s">
        <v>121</v>
      </c>
      <c r="E139" s="36" t="str">
        <f>IF(Table14[[#This Row],[Country or Territory]]=Table14[[#This Row],[Column1]],"","***")</f>
        <v/>
      </c>
    </row>
    <row r="140" spans="1:5" x14ac:dyDescent="0.25">
      <c r="A140" s="2" t="str">
        <f>VLOOKUP(B140,'country codes'!A127:B373,2,FALSE)</f>
        <v>NP</v>
      </c>
      <c r="B140" s="1" t="s">
        <v>122</v>
      </c>
      <c r="C140" s="2" t="s">
        <v>206</v>
      </c>
      <c r="D140" s="36" t="s">
        <v>122</v>
      </c>
      <c r="E140" s="36" t="str">
        <f>IF(Table14[[#This Row],[Country or Territory]]=Table14[[#This Row],[Column1]],"","***")</f>
        <v/>
      </c>
    </row>
    <row r="141" spans="1:5" x14ac:dyDescent="0.25">
      <c r="A141" s="2" t="str">
        <f>VLOOKUP(B141,'country codes'!A128:B374,2,FALSE)</f>
        <v>NL</v>
      </c>
      <c r="B141" s="1" t="s">
        <v>123</v>
      </c>
      <c r="C141" s="2" t="s">
        <v>206</v>
      </c>
      <c r="D141" s="36" t="s">
        <v>123</v>
      </c>
      <c r="E141" s="36" t="str">
        <f>IF(Table14[[#This Row],[Country or Territory]]=Table14[[#This Row],[Column1]],"","***")</f>
        <v/>
      </c>
    </row>
    <row r="142" spans="1:5" x14ac:dyDescent="0.25">
      <c r="A142" s="2" t="str">
        <f>VLOOKUP(B142,'country codes'!A129:B375,2,FALSE)</f>
        <v>NZ</v>
      </c>
      <c r="B142" s="1" t="s">
        <v>124</v>
      </c>
      <c r="C142" s="2" t="s">
        <v>206</v>
      </c>
      <c r="D142" s="36" t="s">
        <v>124</v>
      </c>
      <c r="E142" s="36" t="str">
        <f>IF(Table14[[#This Row],[Country or Territory]]=Table14[[#This Row],[Column1]],"","***")</f>
        <v/>
      </c>
    </row>
    <row r="143" spans="1:5" x14ac:dyDescent="0.25">
      <c r="A143" s="2" t="str">
        <f>VLOOKUP(B143,'country codes'!A130:B376,2,FALSE)</f>
        <v>NI</v>
      </c>
      <c r="B143" s="1" t="s">
        <v>125</v>
      </c>
      <c r="C143" s="2" t="s">
        <v>206</v>
      </c>
      <c r="D143" s="36" t="s">
        <v>125</v>
      </c>
      <c r="E143" s="36" t="str">
        <f>IF(Table14[[#This Row],[Country or Territory]]=Table14[[#This Row],[Column1]],"","***")</f>
        <v/>
      </c>
    </row>
    <row r="144" spans="1:5" x14ac:dyDescent="0.25">
      <c r="A144" s="2" t="str">
        <f>VLOOKUP(B144,'country codes'!A131:B377,2,FALSE)</f>
        <v>NE</v>
      </c>
      <c r="B144" s="1" t="s">
        <v>126</v>
      </c>
      <c r="C144" s="2" t="s">
        <v>206</v>
      </c>
      <c r="D144" s="36" t="s">
        <v>126</v>
      </c>
      <c r="E144" s="36" t="str">
        <f>IF(Table14[[#This Row],[Country or Territory]]=Table14[[#This Row],[Column1]],"","***")</f>
        <v/>
      </c>
    </row>
    <row r="145" spans="1:5" x14ac:dyDescent="0.25">
      <c r="A145" s="2" t="str">
        <f>VLOOKUP(B145,'country codes'!A132:B378,2,FALSE)</f>
        <v>NG</v>
      </c>
      <c r="B145" s="1" t="s">
        <v>127</v>
      </c>
      <c r="C145" s="2" t="s">
        <v>206</v>
      </c>
      <c r="D145" s="36" t="s">
        <v>127</v>
      </c>
      <c r="E145" s="36" t="str">
        <f>IF(Table14[[#This Row],[Country or Territory]]=Table14[[#This Row],[Column1]],"","***")</f>
        <v/>
      </c>
    </row>
    <row r="146" spans="1:5" x14ac:dyDescent="0.25">
      <c r="A146" s="2" t="str">
        <f>VLOOKUP(B146,'country codes'!A93:B339,2,FALSE)</f>
        <v>KP</v>
      </c>
      <c r="B146" s="1" t="s">
        <v>88</v>
      </c>
      <c r="C146" s="2" t="s">
        <v>206</v>
      </c>
      <c r="D146" s="36" t="s">
        <v>88</v>
      </c>
      <c r="E146" s="36" t="str">
        <f>IF(Table14[[#This Row],[Country or Territory]]=Table14[[#This Row],[Column1]],"","***")</f>
        <v/>
      </c>
    </row>
    <row r="147" spans="1:5" x14ac:dyDescent="0.25">
      <c r="A147" s="2" t="str">
        <f>VLOOKUP(B147,'country codes'!A133:B379,2,FALSE)</f>
        <v>NO</v>
      </c>
      <c r="B147" s="1" t="s">
        <v>128</v>
      </c>
      <c r="C147" s="2" t="s">
        <v>206</v>
      </c>
      <c r="D147" s="36" t="s">
        <v>128</v>
      </c>
      <c r="E147" s="36" t="str">
        <f>IF(Table14[[#This Row],[Country or Territory]]=Table14[[#This Row],[Column1]],"","***")</f>
        <v/>
      </c>
    </row>
    <row r="148" spans="1:5" x14ac:dyDescent="0.25">
      <c r="A148" s="2" t="str">
        <f>VLOOKUP(B148,'country codes'!A134:B380,2,FALSE)</f>
        <v>OM</v>
      </c>
      <c r="B148" s="1" t="s">
        <v>129</v>
      </c>
      <c r="C148" s="2" t="s">
        <v>206</v>
      </c>
      <c r="D148" s="36" t="s">
        <v>129</v>
      </c>
      <c r="E148" s="36" t="str">
        <f>IF(Table14[[#This Row],[Country or Territory]]=Table14[[#This Row],[Column1]],"","***")</f>
        <v/>
      </c>
    </row>
    <row r="149" spans="1:5" x14ac:dyDescent="0.25">
      <c r="A149" s="2" t="str">
        <f>VLOOKUP(B149,'country codes'!A136:B381,2,FALSE)</f>
        <v>PK</v>
      </c>
      <c r="B149" s="1" t="s">
        <v>130</v>
      </c>
      <c r="C149" s="2" t="s">
        <v>206</v>
      </c>
      <c r="D149" s="36" t="s">
        <v>130</v>
      </c>
      <c r="E149" s="36" t="str">
        <f>IF(Table14[[#This Row],[Country or Territory]]=Table14[[#This Row],[Column1]],"","***")</f>
        <v/>
      </c>
    </row>
    <row r="150" spans="1:5" x14ac:dyDescent="0.25">
      <c r="A150" s="2" t="str">
        <f>VLOOKUP(B150,'country codes'!A137:B382,2,FALSE)</f>
        <v>PW</v>
      </c>
      <c r="B150" s="1" t="s">
        <v>131</v>
      </c>
      <c r="C150" s="2" t="s">
        <v>206</v>
      </c>
      <c r="D150" s="36" t="s">
        <v>131</v>
      </c>
      <c r="E150" s="36" t="str">
        <f>IF(Table14[[#This Row],[Country or Territory]]=Table14[[#This Row],[Column1]],"","***")</f>
        <v/>
      </c>
    </row>
    <row r="151" spans="1:5" x14ac:dyDescent="0.25">
      <c r="A151" s="2" t="str">
        <f>VLOOKUP(B151,'country codes'!A138:B383,2,FALSE)</f>
        <v>PA</v>
      </c>
      <c r="B151" s="1" t="s">
        <v>132</v>
      </c>
      <c r="C151" s="2" t="s">
        <v>206</v>
      </c>
      <c r="D151" s="36" t="s">
        <v>132</v>
      </c>
      <c r="E151" s="36" t="str">
        <f>IF(Table14[[#This Row],[Country or Territory]]=Table14[[#This Row],[Column1]],"","***")</f>
        <v/>
      </c>
    </row>
    <row r="152" spans="1:5" x14ac:dyDescent="0.25">
      <c r="A152" s="2" t="str">
        <f>VLOOKUP(B152,'country codes'!A139:B384,2,FALSE)</f>
        <v>PG</v>
      </c>
      <c r="B152" s="1" t="s">
        <v>133</v>
      </c>
      <c r="C152" s="2" t="s">
        <v>206</v>
      </c>
      <c r="D152" s="36" t="s">
        <v>133</v>
      </c>
      <c r="E152" s="36" t="str">
        <f>IF(Table14[[#This Row],[Country or Territory]]=Table14[[#This Row],[Column1]],"","***")</f>
        <v/>
      </c>
    </row>
    <row r="153" spans="1:5" x14ac:dyDescent="0.25">
      <c r="A153" s="2" t="str">
        <f>VLOOKUP(B153,'country codes'!A140:B385,2,FALSE)</f>
        <v>PY</v>
      </c>
      <c r="B153" s="1" t="s">
        <v>134</v>
      </c>
      <c r="C153" s="2" t="s">
        <v>206</v>
      </c>
      <c r="D153" s="36" t="s">
        <v>134</v>
      </c>
      <c r="E153" s="36" t="str">
        <f>IF(Table14[[#This Row],[Country or Territory]]=Table14[[#This Row],[Column1]],"","***")</f>
        <v/>
      </c>
    </row>
    <row r="154" spans="1:5" x14ac:dyDescent="0.25">
      <c r="A154" s="2" t="str">
        <f>VLOOKUP(B154,'country codes'!A141:B386,2,FALSE)</f>
        <v>PE</v>
      </c>
      <c r="B154" s="1" t="s">
        <v>135</v>
      </c>
      <c r="C154" s="2" t="s">
        <v>206</v>
      </c>
      <c r="D154" s="36" t="s">
        <v>135</v>
      </c>
      <c r="E154" s="36" t="str">
        <f>IF(Table14[[#This Row],[Country or Territory]]=Table14[[#This Row],[Column1]],"","***")</f>
        <v/>
      </c>
    </row>
    <row r="155" spans="1:5" x14ac:dyDescent="0.25">
      <c r="A155" s="2" t="str">
        <f>VLOOKUP(B155,'country codes'!A142:B387,2,FALSE)</f>
        <v>PH</v>
      </c>
      <c r="B155" s="1" t="s">
        <v>136</v>
      </c>
      <c r="C155" s="2" t="s">
        <v>206</v>
      </c>
      <c r="D155" s="36" t="s">
        <v>136</v>
      </c>
      <c r="E155" s="36" t="str">
        <f>IF(Table14[[#This Row],[Country or Territory]]=Table14[[#This Row],[Column1]],"","***")</f>
        <v/>
      </c>
    </row>
    <row r="156" spans="1:5" x14ac:dyDescent="0.25">
      <c r="A156" s="2" t="str">
        <f>VLOOKUP(B156,'country codes'!A143:B388,2,FALSE)</f>
        <v>PL</v>
      </c>
      <c r="B156" s="1" t="s">
        <v>137</v>
      </c>
      <c r="C156" s="2" t="s">
        <v>206</v>
      </c>
      <c r="D156" s="36" t="s">
        <v>137</v>
      </c>
      <c r="E156" s="36" t="str">
        <f>IF(Table14[[#This Row],[Country or Territory]]=Table14[[#This Row],[Column1]],"","***")</f>
        <v/>
      </c>
    </row>
    <row r="157" spans="1:5" x14ac:dyDescent="0.25">
      <c r="A157" s="2" t="str">
        <f>VLOOKUP(B157,'country codes'!A144:B389,2,FALSE)</f>
        <v>PT</v>
      </c>
      <c r="B157" s="1" t="s">
        <v>138</v>
      </c>
      <c r="C157" s="2" t="s">
        <v>206</v>
      </c>
      <c r="D157" s="36" t="s">
        <v>138</v>
      </c>
      <c r="E157" s="36" t="str">
        <f>IF(Table14[[#This Row],[Country or Territory]]=Table14[[#This Row],[Column1]],"","***")</f>
        <v/>
      </c>
    </row>
    <row r="158" spans="1:5" x14ac:dyDescent="0.25">
      <c r="A158" s="15" t="s">
        <v>1800</v>
      </c>
      <c r="B158" s="16" t="s">
        <v>1229</v>
      </c>
      <c r="C158" s="14" t="s">
        <v>2139</v>
      </c>
      <c r="D158" s="36"/>
      <c r="E158" s="36" t="str">
        <f>IF(Table14[[#This Row],[Country or Territory]]=Table14[[#This Row],[Column1]],"","***")</f>
        <v>***</v>
      </c>
    </row>
    <row r="159" spans="1:5" x14ac:dyDescent="0.25">
      <c r="A159" s="2" t="str">
        <f>VLOOKUP(B159,'country codes'!A145:B390,2,FALSE)</f>
        <v>QA</v>
      </c>
      <c r="B159" s="1" t="s">
        <v>139</v>
      </c>
      <c r="C159" s="2" t="s">
        <v>206</v>
      </c>
      <c r="D159" s="36" t="s">
        <v>139</v>
      </c>
      <c r="E159" s="36" t="str">
        <f>IF(Table14[[#This Row],[Country or Territory]]=Table14[[#This Row],[Column1]],"","***")</f>
        <v/>
      </c>
    </row>
    <row r="160" spans="1:5" x14ac:dyDescent="0.25">
      <c r="A160" s="14" t="s">
        <v>1819</v>
      </c>
      <c r="B160" s="16" t="s">
        <v>2012</v>
      </c>
      <c r="C160" s="14" t="s">
        <v>209</v>
      </c>
      <c r="D160" s="36"/>
      <c r="E160" s="36" t="str">
        <f>IF(Table14[[#This Row],[Country or Territory]]=Table14[[#This Row],[Column1]],"","***")</f>
        <v>***</v>
      </c>
    </row>
    <row r="161" spans="1:5" x14ac:dyDescent="0.25">
      <c r="A161" s="2" t="str">
        <f>VLOOKUP(B161,'country codes'!A147:B391,2,FALSE)</f>
        <v>RO</v>
      </c>
      <c r="B161" s="1" t="s">
        <v>140</v>
      </c>
      <c r="C161" s="2" t="s">
        <v>206</v>
      </c>
      <c r="D161" s="36" t="s">
        <v>140</v>
      </c>
      <c r="E161" s="36" t="str">
        <f>IF(Table14[[#This Row],[Country or Territory]]=Table14[[#This Row],[Column1]],"","***")</f>
        <v/>
      </c>
    </row>
    <row r="162" spans="1:5" x14ac:dyDescent="0.25">
      <c r="A162" s="2" t="str">
        <f>VLOOKUP(B162,'country codes'!A148:B392,2,FALSE)</f>
        <v>RU</v>
      </c>
      <c r="B162" s="1" t="s">
        <v>141</v>
      </c>
      <c r="C162" s="2" t="s">
        <v>206</v>
      </c>
      <c r="D162" s="36" t="s">
        <v>141</v>
      </c>
      <c r="E162" s="36" t="str">
        <f>IF(Table14[[#This Row],[Country or Territory]]=Table14[[#This Row],[Column1]],"","***")</f>
        <v/>
      </c>
    </row>
    <row r="163" spans="1:5" x14ac:dyDescent="0.25">
      <c r="A163" s="2" t="str">
        <f>VLOOKUP(B163,'country codes'!A149:B393,2,FALSE)</f>
        <v>RW</v>
      </c>
      <c r="B163" s="1" t="s">
        <v>142</v>
      </c>
      <c r="C163" s="2" t="s">
        <v>206</v>
      </c>
      <c r="D163" s="36" t="s">
        <v>142</v>
      </c>
      <c r="E163" s="36" t="str">
        <f>IF(Table14[[#This Row],[Country or Territory]]=Table14[[#This Row],[Column1]],"","***")</f>
        <v/>
      </c>
    </row>
    <row r="164" spans="1:5" x14ac:dyDescent="0.25">
      <c r="A164" s="2" t="str">
        <f>VLOOKUP(B164,'country codes'!A150:B394,2,FALSE)</f>
        <v>KN</v>
      </c>
      <c r="B164" s="1" t="s">
        <v>143</v>
      </c>
      <c r="C164" s="2" t="s">
        <v>206</v>
      </c>
      <c r="D164" s="36" t="s">
        <v>143</v>
      </c>
      <c r="E164" s="36" t="str">
        <f>IF(Table14[[#This Row],[Country or Territory]]=Table14[[#This Row],[Column1]],"","***")</f>
        <v/>
      </c>
    </row>
    <row r="165" spans="1:5" x14ac:dyDescent="0.25">
      <c r="A165" s="2" t="str">
        <f>VLOOKUP(B165,'country codes'!A151:B395,2,FALSE)</f>
        <v>LC</v>
      </c>
      <c r="B165" s="1" t="s">
        <v>144</v>
      </c>
      <c r="C165" s="2" t="s">
        <v>206</v>
      </c>
      <c r="D165" s="36" t="s">
        <v>144</v>
      </c>
      <c r="E165" s="36" t="str">
        <f>IF(Table14[[#This Row],[Country or Territory]]=Table14[[#This Row],[Column1]],"","***")</f>
        <v/>
      </c>
    </row>
    <row r="166" spans="1:5" x14ac:dyDescent="0.25">
      <c r="A166" s="2" t="str">
        <f>VLOOKUP(B166,'country codes'!A152:B396,2,FALSE)</f>
        <v>VC</v>
      </c>
      <c r="B166" s="1" t="s">
        <v>145</v>
      </c>
      <c r="C166" s="2" t="s">
        <v>206</v>
      </c>
      <c r="D166" s="36" t="s">
        <v>145</v>
      </c>
      <c r="E166" s="36" t="str">
        <f>IF(Table14[[#This Row],[Country or Territory]]=Table14[[#This Row],[Column1]],"","***")</f>
        <v/>
      </c>
    </row>
    <row r="167" spans="1:5" x14ac:dyDescent="0.25">
      <c r="A167" s="2" t="str">
        <f>VLOOKUP(B167,'country codes'!A153:B397,2,FALSE)</f>
        <v>WS</v>
      </c>
      <c r="B167" s="1" t="s">
        <v>146</v>
      </c>
      <c r="C167" s="2" t="s">
        <v>206</v>
      </c>
      <c r="D167" s="36" t="s">
        <v>146</v>
      </c>
      <c r="E167" s="36" t="str">
        <f>IF(Table14[[#This Row],[Country or Territory]]=Table14[[#This Row],[Column1]],"","***")</f>
        <v/>
      </c>
    </row>
    <row r="168" spans="1:5" x14ac:dyDescent="0.25">
      <c r="A168" s="2" t="str">
        <f>VLOOKUP(B168,'country codes'!A154:B398,2,FALSE)</f>
        <v>SM</v>
      </c>
      <c r="B168" s="1" t="s">
        <v>147</v>
      </c>
      <c r="C168" s="2" t="s">
        <v>206</v>
      </c>
      <c r="D168" s="36" t="s">
        <v>147</v>
      </c>
      <c r="E168" s="36" t="str">
        <f>IF(Table14[[#This Row],[Country or Territory]]=Table14[[#This Row],[Column1]],"","***")</f>
        <v/>
      </c>
    </row>
    <row r="169" spans="1:5" x14ac:dyDescent="0.25">
      <c r="A169" s="2" t="e">
        <f>VLOOKUP(B169,'country codes'!A155:B399,2,FALSE)</f>
        <v>#N/A</v>
      </c>
      <c r="B169" s="1" t="s">
        <v>148</v>
      </c>
      <c r="C169" s="2" t="s">
        <v>206</v>
      </c>
      <c r="D169" s="36" t="s">
        <v>148</v>
      </c>
      <c r="E169" s="36" t="str">
        <f>IF(Table14[[#This Row],[Country or Territory]]=Table14[[#This Row],[Column1]],"","***")</f>
        <v/>
      </c>
    </row>
    <row r="170" spans="1:5" x14ac:dyDescent="0.25">
      <c r="A170" s="2" t="str">
        <f>VLOOKUP(B170,'country codes'!A156:B400,2,FALSE)</f>
        <v>SA</v>
      </c>
      <c r="B170" s="1" t="s">
        <v>149</v>
      </c>
      <c r="C170" s="2" t="s">
        <v>206</v>
      </c>
      <c r="D170" s="36" t="s">
        <v>149</v>
      </c>
      <c r="E170" s="36" t="str">
        <f>IF(Table14[[#This Row],[Country or Territory]]=Table14[[#This Row],[Column1]],"","***")</f>
        <v/>
      </c>
    </row>
    <row r="171" spans="1:5" x14ac:dyDescent="0.25">
      <c r="A171" s="2" t="str">
        <f>VLOOKUP(B171,'country codes'!A157:B401,2,FALSE)</f>
        <v>SN</v>
      </c>
      <c r="B171" s="1" t="s">
        <v>150</v>
      </c>
      <c r="C171" s="2" t="s">
        <v>206</v>
      </c>
      <c r="D171" s="36" t="s">
        <v>150</v>
      </c>
      <c r="E171" s="36" t="str">
        <f>IF(Table14[[#This Row],[Country or Territory]]=Table14[[#This Row],[Column1]],"","***")</f>
        <v/>
      </c>
    </row>
    <row r="172" spans="1:5" x14ac:dyDescent="0.25">
      <c r="A172" s="2" t="str">
        <f>VLOOKUP(B172,'country codes'!A158:B402,2,FALSE)</f>
        <v>RS</v>
      </c>
      <c r="B172" s="1" t="s">
        <v>151</v>
      </c>
      <c r="C172" s="2" t="s">
        <v>206</v>
      </c>
      <c r="D172" s="36" t="s">
        <v>151</v>
      </c>
      <c r="E172" s="36" t="str">
        <f>IF(Table14[[#This Row],[Country or Territory]]=Table14[[#This Row],[Column1]],"","***")</f>
        <v/>
      </c>
    </row>
    <row r="173" spans="1:5" x14ac:dyDescent="0.25">
      <c r="A173" s="2" t="str">
        <f>VLOOKUP(B173,'country codes'!A159:B403,2,FALSE)</f>
        <v>SC</v>
      </c>
      <c r="B173" s="1" t="s">
        <v>152</v>
      </c>
      <c r="C173" s="2" t="s">
        <v>206</v>
      </c>
      <c r="D173" s="36" t="s">
        <v>152</v>
      </c>
      <c r="E173" s="36" t="str">
        <f>IF(Table14[[#This Row],[Country or Territory]]=Table14[[#This Row],[Column1]],"","***")</f>
        <v/>
      </c>
    </row>
    <row r="174" spans="1:5" x14ac:dyDescent="0.25">
      <c r="A174" s="2" t="str">
        <f>VLOOKUP(B174,'country codes'!A160:B404,2,FALSE)</f>
        <v>SL</v>
      </c>
      <c r="B174" s="1" t="s">
        <v>153</v>
      </c>
      <c r="C174" s="2" t="s">
        <v>206</v>
      </c>
      <c r="D174" s="36" t="s">
        <v>153</v>
      </c>
      <c r="E174" s="36" t="str">
        <f>IF(Table14[[#This Row],[Country or Territory]]=Table14[[#This Row],[Column1]],"","***")</f>
        <v/>
      </c>
    </row>
    <row r="175" spans="1:5" x14ac:dyDescent="0.25">
      <c r="A175" s="2" t="str">
        <f>VLOOKUP(B175,'country codes'!A161:B405,2,FALSE)</f>
        <v>SG</v>
      </c>
      <c r="B175" s="1" t="s">
        <v>154</v>
      </c>
      <c r="C175" s="2" t="s">
        <v>206</v>
      </c>
      <c r="D175" s="36" t="s">
        <v>154</v>
      </c>
      <c r="E175" s="36" t="str">
        <f>IF(Table14[[#This Row],[Country or Territory]]=Table14[[#This Row],[Column1]],"","***")</f>
        <v/>
      </c>
    </row>
    <row r="176" spans="1:5" x14ac:dyDescent="0.25">
      <c r="A176" s="2" t="str">
        <f>VLOOKUP(B176,'country codes'!A162:B406,2,FALSE)</f>
        <v>SK</v>
      </c>
      <c r="B176" s="1" t="s">
        <v>155</v>
      </c>
      <c r="C176" s="2" t="s">
        <v>206</v>
      </c>
      <c r="D176" s="36" t="s">
        <v>155</v>
      </c>
      <c r="E176" s="36" t="str">
        <f>IF(Table14[[#This Row],[Country or Territory]]=Table14[[#This Row],[Column1]],"","***")</f>
        <v/>
      </c>
    </row>
    <row r="177" spans="1:5" x14ac:dyDescent="0.25">
      <c r="A177" s="2" t="str">
        <f>VLOOKUP(B177,'country codes'!A163:B407,2,FALSE)</f>
        <v>SI</v>
      </c>
      <c r="B177" s="1" t="s">
        <v>156</v>
      </c>
      <c r="C177" s="2" t="s">
        <v>206</v>
      </c>
      <c r="D177" s="36" t="s">
        <v>156</v>
      </c>
      <c r="E177" s="36" t="str">
        <f>IF(Table14[[#This Row],[Country or Territory]]=Table14[[#This Row],[Column1]],"","***")</f>
        <v/>
      </c>
    </row>
    <row r="178" spans="1:5" x14ac:dyDescent="0.25">
      <c r="A178" s="2" t="str">
        <f>VLOOKUP(B178,'country codes'!A164:B408,2,FALSE)</f>
        <v>SB</v>
      </c>
      <c r="B178" s="1" t="s">
        <v>157</v>
      </c>
      <c r="C178" s="2" t="s">
        <v>206</v>
      </c>
      <c r="D178" s="36" t="s">
        <v>157</v>
      </c>
      <c r="E178" s="36" t="str">
        <f>IF(Table14[[#This Row],[Country or Territory]]=Table14[[#This Row],[Column1]],"","***")</f>
        <v/>
      </c>
    </row>
    <row r="179" spans="1:5" x14ac:dyDescent="0.25">
      <c r="A179" s="2" t="str">
        <f>VLOOKUP(B179,'country codes'!A165:B409,2,FALSE)</f>
        <v>SO</v>
      </c>
      <c r="B179" s="1" t="s">
        <v>158</v>
      </c>
      <c r="C179" s="2" t="s">
        <v>206</v>
      </c>
      <c r="D179" s="36" t="s">
        <v>158</v>
      </c>
      <c r="E179" s="36" t="str">
        <f>IF(Table14[[#This Row],[Country or Territory]]=Table14[[#This Row],[Column1]],"","***")</f>
        <v/>
      </c>
    </row>
    <row r="180" spans="1:5" x14ac:dyDescent="0.25">
      <c r="A180" s="2" t="str">
        <f>VLOOKUP(B180,'country codes'!A166:B410,2,FALSE)</f>
        <v>ZA</v>
      </c>
      <c r="B180" s="1" t="s">
        <v>159</v>
      </c>
      <c r="C180" s="2" t="s">
        <v>206</v>
      </c>
      <c r="D180" s="36" t="s">
        <v>159</v>
      </c>
      <c r="E180" s="36" t="str">
        <f>IF(Table14[[#This Row],[Country or Territory]]=Table14[[#This Row],[Column1]],"","***")</f>
        <v/>
      </c>
    </row>
    <row r="181" spans="1:5" x14ac:dyDescent="0.25">
      <c r="A181" s="2" t="str">
        <f>VLOOKUP(B181,'country codes'!A94:B340,2,FALSE)</f>
        <v>KR</v>
      </c>
      <c r="B181" s="1" t="s">
        <v>89</v>
      </c>
      <c r="C181" s="2" t="s">
        <v>206</v>
      </c>
      <c r="D181" s="36" t="s">
        <v>89</v>
      </c>
      <c r="E181" s="36" t="str">
        <f>IF(Table14[[#This Row],[Country or Territory]]=Table14[[#This Row],[Column1]],"","***")</f>
        <v/>
      </c>
    </row>
    <row r="182" spans="1:5" x14ac:dyDescent="0.25">
      <c r="A182" s="2" t="str">
        <f>VLOOKUP(B182,'country codes'!A167:B411,2,FALSE)</f>
        <v>SS</v>
      </c>
      <c r="B182" s="1" t="s">
        <v>160</v>
      </c>
      <c r="C182" s="2" t="s">
        <v>206</v>
      </c>
      <c r="D182" s="36" t="s">
        <v>160</v>
      </c>
      <c r="E182" s="36" t="str">
        <f>IF(Table14[[#This Row],[Country or Territory]]=Table14[[#This Row],[Column1]],"","***")</f>
        <v/>
      </c>
    </row>
    <row r="183" spans="1:5" x14ac:dyDescent="0.25">
      <c r="A183" s="2" t="str">
        <f>VLOOKUP(B183,'country codes'!A168:B412,2,FALSE)</f>
        <v>ES</v>
      </c>
      <c r="B183" s="1" t="s">
        <v>161</v>
      </c>
      <c r="C183" s="2" t="s">
        <v>206</v>
      </c>
      <c r="D183" s="36" t="s">
        <v>161</v>
      </c>
      <c r="E183" s="36" t="str">
        <f>IF(Table14[[#This Row],[Country or Territory]]=Table14[[#This Row],[Column1]],"","***")</f>
        <v/>
      </c>
    </row>
    <row r="184" spans="1:5" x14ac:dyDescent="0.25">
      <c r="A184" s="2" t="str">
        <f>VLOOKUP(B184,'country codes'!A169:B413,2,FALSE)</f>
        <v>LK</v>
      </c>
      <c r="B184" s="1" t="s">
        <v>162</v>
      </c>
      <c r="C184" s="2" t="s">
        <v>206</v>
      </c>
      <c r="D184" s="36" t="s">
        <v>162</v>
      </c>
      <c r="E184" s="36" t="str">
        <f>IF(Table14[[#This Row],[Country or Territory]]=Table14[[#This Row],[Column1]],"","***")</f>
        <v/>
      </c>
    </row>
    <row r="185" spans="1:5" x14ac:dyDescent="0.25">
      <c r="A185" s="2" t="str">
        <f>VLOOKUP(B185,'country codes'!A170:B414,2,FALSE)</f>
        <v>SD</v>
      </c>
      <c r="B185" s="1" t="s">
        <v>163</v>
      </c>
      <c r="C185" s="2" t="s">
        <v>206</v>
      </c>
      <c r="D185" s="36" t="s">
        <v>163</v>
      </c>
      <c r="E185" s="36" t="str">
        <f>IF(Table14[[#This Row],[Country or Territory]]=Table14[[#This Row],[Column1]],"","***")</f>
        <v/>
      </c>
    </row>
    <row r="186" spans="1:5" x14ac:dyDescent="0.25">
      <c r="A186" s="2" t="str">
        <f>VLOOKUP(B186,'country codes'!A171:B415,2,FALSE)</f>
        <v>SR</v>
      </c>
      <c r="B186" s="1" t="s">
        <v>164</v>
      </c>
      <c r="C186" s="2" t="s">
        <v>206</v>
      </c>
      <c r="D186" s="36" t="s">
        <v>164</v>
      </c>
      <c r="E186" s="36" t="str">
        <f>IF(Table14[[#This Row],[Country or Territory]]=Table14[[#This Row],[Column1]],"","***")</f>
        <v/>
      </c>
    </row>
    <row r="187" spans="1:5" x14ac:dyDescent="0.25">
      <c r="A187" s="2" t="str">
        <f>VLOOKUP(B187,'country codes'!A173:B417,2,FALSE)</f>
        <v>SE</v>
      </c>
      <c r="B187" s="1" t="s">
        <v>165</v>
      </c>
      <c r="C187" s="2" t="s">
        <v>206</v>
      </c>
      <c r="D187" s="36" t="s">
        <v>165</v>
      </c>
      <c r="E187" s="36" t="str">
        <f>IF(Table14[[#This Row],[Country or Territory]]=Table14[[#This Row],[Column1]],"","***")</f>
        <v/>
      </c>
    </row>
    <row r="188" spans="1:5" x14ac:dyDescent="0.25">
      <c r="A188" s="2" t="str">
        <f>VLOOKUP(B188,'country codes'!A174:B418,2,FALSE)</f>
        <v>CH</v>
      </c>
      <c r="B188" s="1" t="s">
        <v>166</v>
      </c>
      <c r="C188" s="2" t="s">
        <v>206</v>
      </c>
      <c r="D188" s="36" t="s">
        <v>166</v>
      </c>
      <c r="E188" s="36" t="str">
        <f>IF(Table14[[#This Row],[Country or Territory]]=Table14[[#This Row],[Column1]],"","***")</f>
        <v/>
      </c>
    </row>
    <row r="189" spans="1:5" x14ac:dyDescent="0.25">
      <c r="A189" s="2" t="str">
        <f>VLOOKUP(B189,'country codes'!A175:B419,2,FALSE)</f>
        <v>SY</v>
      </c>
      <c r="B189" s="1" t="s">
        <v>167</v>
      </c>
      <c r="C189" s="2" t="s">
        <v>206</v>
      </c>
      <c r="D189" s="36" t="s">
        <v>167</v>
      </c>
      <c r="E189" s="36" t="str">
        <f>IF(Table14[[#This Row],[Country or Territory]]=Table14[[#This Row],[Column1]],"","***")</f>
        <v/>
      </c>
    </row>
    <row r="190" spans="1:5" x14ac:dyDescent="0.25">
      <c r="A190" s="2" t="str">
        <f>VLOOKUP(B190,'country codes'!A200:B444,2,FALSE)</f>
        <v>TW</v>
      </c>
      <c r="B190" s="1" t="s">
        <v>192</v>
      </c>
      <c r="C190" s="2" t="s">
        <v>206</v>
      </c>
      <c r="D190" s="36"/>
      <c r="E190" s="36" t="str">
        <f>IF(Table14[[#This Row],[Country or Territory]]=Table14[[#This Row],[Column1]],"","***")</f>
        <v>***</v>
      </c>
    </row>
    <row r="191" spans="1:5" x14ac:dyDescent="0.25">
      <c r="A191" s="2" t="str">
        <f>VLOOKUP(B191,'country codes'!A176:B420,2,FALSE)</f>
        <v>TJ</v>
      </c>
      <c r="B191" s="1" t="s">
        <v>168</v>
      </c>
      <c r="C191" s="2" t="s">
        <v>206</v>
      </c>
      <c r="D191" s="36" t="s">
        <v>168</v>
      </c>
      <c r="E191" s="36" t="str">
        <f>IF(Table14[[#This Row],[Country or Territory]]=Table14[[#This Row],[Column1]],"","***")</f>
        <v/>
      </c>
    </row>
    <row r="192" spans="1:5" x14ac:dyDescent="0.25">
      <c r="A192" s="2" t="str">
        <f>VLOOKUP(B192,'country codes'!A177:B421,2,FALSE)</f>
        <v>TZ</v>
      </c>
      <c r="B192" s="1" t="s">
        <v>169</v>
      </c>
      <c r="C192" s="2" t="s">
        <v>206</v>
      </c>
      <c r="D192" s="36" t="s">
        <v>169</v>
      </c>
      <c r="E192" s="36" t="str">
        <f>IF(Table14[[#This Row],[Country or Territory]]=Table14[[#This Row],[Column1]],"","***")</f>
        <v/>
      </c>
    </row>
    <row r="193" spans="1:5" x14ac:dyDescent="0.25">
      <c r="A193" s="2" t="str">
        <f>VLOOKUP(B193,'country codes'!A178:B422,2,FALSE)</f>
        <v>TH</v>
      </c>
      <c r="B193" s="1" t="s">
        <v>170</v>
      </c>
      <c r="C193" s="2" t="s">
        <v>206</v>
      </c>
      <c r="D193" s="36" t="s">
        <v>170</v>
      </c>
      <c r="E193" s="36" t="str">
        <f>IF(Table14[[#This Row],[Country or Territory]]=Table14[[#This Row],[Column1]],"","***")</f>
        <v/>
      </c>
    </row>
    <row r="194" spans="1:5" x14ac:dyDescent="0.25">
      <c r="A194" s="2" t="e">
        <f>VLOOKUP(B194,'country codes'!A13:B260,2,FALSE)</f>
        <v>#N/A</v>
      </c>
      <c r="B194" s="1" t="s">
        <v>11</v>
      </c>
      <c r="C194" s="2" t="s">
        <v>206</v>
      </c>
      <c r="D194" s="40" t="s">
        <v>11</v>
      </c>
      <c r="E194" s="36" t="str">
        <f>IF(Table14[[#This Row],[Country or Territory]]=Table14[[#This Row],[Column1]],"","***")</f>
        <v/>
      </c>
    </row>
    <row r="195" spans="1:5" x14ac:dyDescent="0.25">
      <c r="A195" s="2" t="e">
        <f>VLOOKUP(B195,'country codes'!A65:B311,2,FALSE)</f>
        <v>#N/A</v>
      </c>
      <c r="B195" s="1" t="s">
        <v>60</v>
      </c>
      <c r="C195" s="2" t="s">
        <v>206</v>
      </c>
      <c r="D195" s="40" t="s">
        <v>60</v>
      </c>
      <c r="E195" s="36" t="str">
        <f>IF(Table14[[#This Row],[Country or Territory]]=Table14[[#This Row],[Column1]],"","***")</f>
        <v/>
      </c>
    </row>
    <row r="196" spans="1:5" x14ac:dyDescent="0.25">
      <c r="A196" s="2" t="str">
        <f>VLOOKUP(B196,'country codes'!A179:B423,2,FALSE)</f>
        <v>TL</v>
      </c>
      <c r="B196" s="1" t="s">
        <v>171</v>
      </c>
      <c r="C196" s="2" t="s">
        <v>206</v>
      </c>
      <c r="D196" s="36" t="s">
        <v>171</v>
      </c>
      <c r="E196" s="36" t="str">
        <f>IF(Table14[[#This Row],[Country or Territory]]=Table14[[#This Row],[Column1]],"","***")</f>
        <v/>
      </c>
    </row>
    <row r="197" spans="1:5" x14ac:dyDescent="0.25">
      <c r="A197" s="2" t="str">
        <f>VLOOKUP(B197,'country codes'!A180:B424,2,FALSE)</f>
        <v>TG</v>
      </c>
      <c r="B197" s="1" t="s">
        <v>172</v>
      </c>
      <c r="C197" s="2" t="s">
        <v>206</v>
      </c>
      <c r="D197" s="36" t="s">
        <v>172</v>
      </c>
      <c r="E197" s="36" t="str">
        <f>IF(Table14[[#This Row],[Country or Territory]]=Table14[[#This Row],[Column1]],"","***")</f>
        <v/>
      </c>
    </row>
    <row r="198" spans="1:5" x14ac:dyDescent="0.25">
      <c r="A198" s="2" t="str">
        <f>VLOOKUP(B198,'country codes'!A181:B425,2,FALSE)</f>
        <v>TO</v>
      </c>
      <c r="B198" s="1" t="s">
        <v>173</v>
      </c>
      <c r="C198" s="2" t="s">
        <v>206</v>
      </c>
      <c r="D198" s="36" t="s">
        <v>173</v>
      </c>
      <c r="E198" s="36" t="str">
        <f>IF(Table14[[#This Row],[Country or Territory]]=Table14[[#This Row],[Column1]],"","***")</f>
        <v/>
      </c>
    </row>
    <row r="199" spans="1:5" x14ac:dyDescent="0.25">
      <c r="A199" s="2" t="str">
        <f>VLOOKUP(B199,'country codes'!A182:B426,2,FALSE)</f>
        <v>TT</v>
      </c>
      <c r="B199" s="1" t="s">
        <v>174</v>
      </c>
      <c r="C199" s="2" t="s">
        <v>206</v>
      </c>
      <c r="D199" s="36" t="s">
        <v>174</v>
      </c>
      <c r="E199" s="36" t="str">
        <f>IF(Table14[[#This Row],[Country or Territory]]=Table14[[#This Row],[Column1]],"","***")</f>
        <v/>
      </c>
    </row>
    <row r="200" spans="1:5" x14ac:dyDescent="0.25">
      <c r="A200" s="2" t="str">
        <f>VLOOKUP(B200,'country codes'!A183:B427,2,FALSE)</f>
        <v>TN</v>
      </c>
      <c r="B200" s="1" t="s">
        <v>175</v>
      </c>
      <c r="C200" s="2" t="s">
        <v>206</v>
      </c>
      <c r="D200" s="36" t="s">
        <v>175</v>
      </c>
      <c r="E200" s="36" t="str">
        <f>IF(Table14[[#This Row],[Country or Territory]]=Table14[[#This Row],[Column1]],"","***")</f>
        <v/>
      </c>
    </row>
    <row r="201" spans="1:5" x14ac:dyDescent="0.25">
      <c r="A201" s="2" t="str">
        <f>VLOOKUP(B201,'country codes'!A184:B428,2,FALSE)</f>
        <v>TR</v>
      </c>
      <c r="B201" s="1" t="s">
        <v>176</v>
      </c>
      <c r="C201" s="2" t="s">
        <v>206</v>
      </c>
      <c r="D201" s="36" t="s">
        <v>176</v>
      </c>
      <c r="E201" s="36" t="str">
        <f>IF(Table14[[#This Row],[Country or Territory]]=Table14[[#This Row],[Column1]],"","***")</f>
        <v/>
      </c>
    </row>
    <row r="202" spans="1:5" x14ac:dyDescent="0.25">
      <c r="A202" s="2" t="str">
        <f>VLOOKUP(B202,'country codes'!A185:B429,2,FALSE)</f>
        <v>TM</v>
      </c>
      <c r="B202" s="1" t="s">
        <v>177</v>
      </c>
      <c r="C202" s="2" t="s">
        <v>206</v>
      </c>
      <c r="D202" s="36" t="s">
        <v>177</v>
      </c>
      <c r="E202" s="36" t="str">
        <f>IF(Table14[[#This Row],[Country or Territory]]=Table14[[#This Row],[Column1]],"","***")</f>
        <v/>
      </c>
    </row>
    <row r="203" spans="1:5" x14ac:dyDescent="0.25">
      <c r="A203" s="2" t="str">
        <f>VLOOKUP(B203,'country codes'!A186:B430,2,FALSE)</f>
        <v>TV</v>
      </c>
      <c r="B203" s="1" t="s">
        <v>178</v>
      </c>
      <c r="C203" s="2" t="s">
        <v>206</v>
      </c>
      <c r="D203" s="36" t="s">
        <v>178</v>
      </c>
      <c r="E203" s="36" t="str">
        <f>IF(Table14[[#This Row],[Country or Territory]]=Table14[[#This Row],[Column1]],"","***")</f>
        <v/>
      </c>
    </row>
    <row r="204" spans="1:5" x14ac:dyDescent="0.25">
      <c r="A204" s="15" t="s">
        <v>1969</v>
      </c>
      <c r="B204" s="16" t="s">
        <v>2018</v>
      </c>
      <c r="C204" s="14" t="s">
        <v>2015</v>
      </c>
      <c r="D204" s="36"/>
      <c r="E204" s="36" t="str">
        <f>IF(Table14[[#This Row],[Country or Territory]]=Table14[[#This Row],[Column1]],"","***")</f>
        <v>***</v>
      </c>
    </row>
    <row r="205" spans="1:5" x14ac:dyDescent="0.25">
      <c r="A205" s="2" t="str">
        <f>VLOOKUP(B205,'country codes'!A187:B431,2,FALSE)</f>
        <v>UG</v>
      </c>
      <c r="B205" s="1" t="s">
        <v>179</v>
      </c>
      <c r="C205" s="2" t="s">
        <v>206</v>
      </c>
      <c r="D205" s="36" t="s">
        <v>179</v>
      </c>
      <c r="E205" s="36" t="str">
        <f>IF(Table14[[#This Row],[Country or Territory]]=Table14[[#This Row],[Column1]],"","***")</f>
        <v/>
      </c>
    </row>
    <row r="206" spans="1:5" x14ac:dyDescent="0.25">
      <c r="A206" s="2" t="str">
        <f>VLOOKUP(B206,'country codes'!A188:B432,2,FALSE)</f>
        <v>UA</v>
      </c>
      <c r="B206" s="1" t="s">
        <v>180</v>
      </c>
      <c r="C206" s="2" t="s">
        <v>206</v>
      </c>
      <c r="D206" s="36" t="s">
        <v>180</v>
      </c>
      <c r="E206" s="36" t="str">
        <f>IF(Table14[[#This Row],[Country or Territory]]=Table14[[#This Row],[Column1]],"","***")</f>
        <v/>
      </c>
    </row>
    <row r="207" spans="1:5" x14ac:dyDescent="0.25">
      <c r="A207" s="2" t="str">
        <f>VLOOKUP(B207,'country codes'!A189:B433,2,FALSE)</f>
        <v>AE</v>
      </c>
      <c r="B207" s="1" t="s">
        <v>181</v>
      </c>
      <c r="C207" s="2" t="s">
        <v>206</v>
      </c>
      <c r="D207" s="36" t="s">
        <v>181</v>
      </c>
      <c r="E207" s="36" t="str">
        <f>IF(Table14[[#This Row],[Country or Territory]]=Table14[[#This Row],[Column1]],"","***")</f>
        <v/>
      </c>
    </row>
    <row r="208" spans="1:5" x14ac:dyDescent="0.25">
      <c r="A208" s="2" t="str">
        <f>VLOOKUP(B208,'country codes'!A190:B434,2,FALSE)</f>
        <v>GB</v>
      </c>
      <c r="B208" s="1" t="s">
        <v>182</v>
      </c>
      <c r="C208" s="2" t="s">
        <v>206</v>
      </c>
      <c r="D208" s="36" t="s">
        <v>182</v>
      </c>
      <c r="E208" s="36" t="str">
        <f>IF(Table14[[#This Row],[Country or Territory]]=Table14[[#This Row],[Column1]],"","***")</f>
        <v/>
      </c>
    </row>
    <row r="209" spans="1:5" x14ac:dyDescent="0.25">
      <c r="A209" s="2" t="e">
        <f>VLOOKUP(B209,'country codes'!A191:B435,2,FALSE)</f>
        <v>#N/A</v>
      </c>
      <c r="B209" s="1" t="s">
        <v>183</v>
      </c>
      <c r="C209" s="2" t="s">
        <v>206</v>
      </c>
      <c r="D209" s="36" t="s">
        <v>183</v>
      </c>
      <c r="E209" s="36" t="str">
        <f>IF(Table14[[#This Row],[Country or Territory]]=Table14[[#This Row],[Column1]],"","***")</f>
        <v/>
      </c>
    </row>
    <row r="210" spans="1:5" x14ac:dyDescent="0.25">
      <c r="A210" s="2" t="str">
        <f>VLOOKUP(B210,'country codes'!A192:B436,2,FALSE)</f>
        <v>UY</v>
      </c>
      <c r="B210" s="1" t="s">
        <v>184</v>
      </c>
      <c r="C210" s="2" t="s">
        <v>206</v>
      </c>
      <c r="D210" s="36" t="s">
        <v>184</v>
      </c>
      <c r="E210" s="36" t="str">
        <f>IF(Table14[[#This Row],[Country or Territory]]=Table14[[#This Row],[Column1]],"","***")</f>
        <v/>
      </c>
    </row>
    <row r="211" spans="1:5" x14ac:dyDescent="0.25">
      <c r="A211" s="2" t="str">
        <f>VLOOKUP(B211,'country codes'!A193:B437,2,FALSE)</f>
        <v>UZ</v>
      </c>
      <c r="B211" s="1" t="s">
        <v>185</v>
      </c>
      <c r="C211" s="2" t="s">
        <v>206</v>
      </c>
      <c r="D211" s="36" t="s">
        <v>185</v>
      </c>
      <c r="E211" s="36" t="str">
        <f>IF(Table14[[#This Row],[Country or Territory]]=Table14[[#This Row],[Column1]],"","***")</f>
        <v/>
      </c>
    </row>
    <row r="212" spans="1:5" x14ac:dyDescent="0.25">
      <c r="A212" s="2" t="str">
        <f>VLOOKUP(B212,'country codes'!A194:B438,2,FALSE)</f>
        <v>VU</v>
      </c>
      <c r="B212" s="1" t="s">
        <v>186</v>
      </c>
      <c r="C212" s="2" t="s">
        <v>206</v>
      </c>
      <c r="D212" s="36" t="s">
        <v>186</v>
      </c>
      <c r="E212" s="36" t="str">
        <f>IF(Table14[[#This Row],[Country or Territory]]=Table14[[#This Row],[Column1]],"","***")</f>
        <v/>
      </c>
    </row>
    <row r="213" spans="1:5" x14ac:dyDescent="0.25">
      <c r="A213" s="2" t="str">
        <f>VLOOKUP(B213,'country codes'!A195:B439,2,FALSE)</f>
        <v>VE</v>
      </c>
      <c r="B213" s="1" t="s">
        <v>187</v>
      </c>
      <c r="C213" s="2" t="s">
        <v>206</v>
      </c>
      <c r="D213" s="36" t="s">
        <v>187</v>
      </c>
      <c r="E213" s="36" t="str">
        <f>IF(Table14[[#This Row],[Country or Territory]]=Table14[[#This Row],[Column1]],"","***")</f>
        <v/>
      </c>
    </row>
    <row r="214" spans="1:5" x14ac:dyDescent="0.25">
      <c r="A214" s="2" t="str">
        <f>VLOOKUP(B214,'country codes'!A196:B440,2,FALSE)</f>
        <v>VN</v>
      </c>
      <c r="B214" s="1" t="s">
        <v>188</v>
      </c>
      <c r="C214" s="2" t="s">
        <v>206</v>
      </c>
      <c r="D214" s="36" t="s">
        <v>188</v>
      </c>
      <c r="E214" s="36" t="str">
        <f>IF(Table14[[#This Row],[Country or Territory]]=Table14[[#This Row],[Column1]],"","***")</f>
        <v/>
      </c>
    </row>
    <row r="215" spans="1:5" x14ac:dyDescent="0.25">
      <c r="A215" s="2" t="str">
        <f>VLOOKUP(B215,'country codes'!A197:B441,2,FALSE)</f>
        <v>YE</v>
      </c>
      <c r="B215" s="1" t="s">
        <v>189</v>
      </c>
      <c r="C215" s="2" t="s">
        <v>206</v>
      </c>
      <c r="D215" s="36" t="s">
        <v>189</v>
      </c>
      <c r="E215" s="36" t="str">
        <f>IF(Table14[[#This Row],[Country or Territory]]=Table14[[#This Row],[Column1]],"","***")</f>
        <v/>
      </c>
    </row>
    <row r="216" spans="1:5" x14ac:dyDescent="0.25">
      <c r="A216" s="2" t="str">
        <f>VLOOKUP(B216,'country codes'!A198:B442,2,FALSE)</f>
        <v>ZM</v>
      </c>
      <c r="B216" s="1" t="s">
        <v>190</v>
      </c>
      <c r="C216" s="2" t="s">
        <v>206</v>
      </c>
      <c r="D216" s="36" t="s">
        <v>190</v>
      </c>
      <c r="E216" s="36" t="str">
        <f>IF(Table14[[#This Row],[Country or Territory]]=Table14[[#This Row],[Column1]],"","***")</f>
        <v/>
      </c>
    </row>
    <row r="217" spans="1:5" x14ac:dyDescent="0.25">
      <c r="A217" s="2" t="str">
        <f>VLOOKUP(B217,'country codes'!A199:B443,2,FALSE)</f>
        <v>ZW</v>
      </c>
      <c r="B217" s="1" t="s">
        <v>191</v>
      </c>
      <c r="C217" s="2" t="s">
        <v>206</v>
      </c>
      <c r="D217" s="36" t="s">
        <v>191</v>
      </c>
      <c r="E217" s="36" t="str">
        <f>IF(Table14[[#This Row],[Country or Territory]]=Table14[[#This Row],[Column1]],"","***")</f>
        <v/>
      </c>
    </row>
    <row r="218" spans="1:5" x14ac:dyDescent="0.25">
      <c r="A218" s="38"/>
      <c r="B218" s="39"/>
      <c r="C218" s="38"/>
      <c r="D218" s="36"/>
      <c r="E218" s="36" t="str">
        <f>IF(Table14[[#This Row],[Country or Territory]]=Table14[[#This Row],[Column1]],"","***")</f>
        <v/>
      </c>
    </row>
    <row r="220" spans="1:5" x14ac:dyDescent="0.25">
      <c r="D220">
        <f>COUNTA(Table14[Column1])</f>
        <v>193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88807C-EE48-4450-81D9-5AF85097D7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Country or Territory</vt:lpstr>
      <vt:lpstr>with years</vt:lpstr>
      <vt:lpstr>U.S. States</vt:lpstr>
      <vt:lpstr>fusion</vt:lpstr>
      <vt:lpstr>Sovereign &amp; Non-Sovereign</vt:lpstr>
      <vt:lpstr>country codes</vt:lpstr>
      <vt:lpstr>geojson fields</vt:lpstr>
      <vt:lpstr>ISO 3166-2</vt:lpstr>
      <vt:lpstr>latlong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S. Corlett</dc:creator>
  <cp:lastModifiedBy>Christopher Corlett</cp:lastModifiedBy>
  <dcterms:created xsi:type="dcterms:W3CDTF">2016-01-09T20:24:43Z</dcterms:created>
  <dcterms:modified xsi:type="dcterms:W3CDTF">2026-01-25T16:50:46Z</dcterms:modified>
</cp:coreProperties>
</file>